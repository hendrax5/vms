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ERAH TERIMA PERANGKAT MAS" sheetId="1" r:id="rId5"/>
    <sheet state="visible" name="Sheet34" sheetId="2" r:id="rId6"/>
    <sheet state="visible" name="PENGGUNA AKSES P1" sheetId="3" r:id="rId7"/>
    <sheet state="visible" name="RACK HSP" sheetId="4" r:id="rId8"/>
    <sheet state="visible" name="PENGAJUAN ENGINEER" sheetId="5" r:id="rId9"/>
    <sheet state="visible" name="RACK CUSTOMER LT. 8 (P1)" sheetId="6" r:id="rId10"/>
    <sheet state="visible" name="RACK CUSTOMER LT.9 (P2) DataHal" sheetId="7" r:id="rId11"/>
    <sheet state="visible" name="Sheet37" sheetId="8" r:id="rId12"/>
    <sheet state="visible" name="MMR OPEN RACK LT. 8 (P1)" sheetId="9" r:id="rId13"/>
    <sheet state="visible" name="Inventaris P1" sheetId="10" r:id="rId14"/>
    <sheet state="visible" name="MMR OPEN RACK LT.9 (P2)" sheetId="11" r:id="rId15"/>
    <sheet state="visible" name="BUKU KUNJUNGAN" sheetId="12" r:id="rId16"/>
    <sheet state="visible" name="JANGAN DI ISI STOK P1" sheetId="13" r:id="rId17"/>
    <sheet state="visible" name="MMR LT.9" sheetId="14" r:id="rId18"/>
    <sheet state="visible" name="data client " sheetId="15" r:id="rId19"/>
    <sheet state="visible" name="JANGAN DI ISI REPORT GUDANG" sheetId="16" r:id="rId20"/>
    <sheet state="visible" name="Sheet27" sheetId="17" r:id="rId21"/>
    <sheet state="visible" name="Sheet35" sheetId="18" r:id="rId22"/>
    <sheet state="visible" name="RACK MMR OTB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6">
      <text>
        <t xml:space="preserve">NEXUS</t>
      </text>
    </comment>
  </commentList>
</comments>
</file>

<file path=xl/sharedStrings.xml><?xml version="1.0" encoding="utf-8"?>
<sst xmlns="http://schemas.openxmlformats.org/spreadsheetml/2006/main" count="17813" uniqueCount="6593">
  <si>
    <t>d</t>
  </si>
  <si>
    <t>NO. FST</t>
  </si>
  <si>
    <t>BULAN</t>
  </si>
  <si>
    <t>TAHUN</t>
  </si>
  <si>
    <t>COSTUMER</t>
  </si>
  <si>
    <t>TANGGAL</t>
  </si>
  <si>
    <t>KETERANGAN</t>
  </si>
  <si>
    <t>NOC</t>
  </si>
  <si>
    <t>PIC</t>
  </si>
  <si>
    <t>0017</t>
  </si>
  <si>
    <t>XI</t>
  </si>
  <si>
    <t>MEDIA AKSES DATA</t>
  </si>
  <si>
    <t>0018</t>
  </si>
  <si>
    <t>JDP</t>
  </si>
  <si>
    <t>0019</t>
  </si>
  <si>
    <t>0020</t>
  </si>
  <si>
    <t>JKB</t>
  </si>
  <si>
    <t>0021</t>
  </si>
  <si>
    <t>Helium</t>
  </si>
  <si>
    <t>0022</t>
  </si>
  <si>
    <t>0023</t>
  </si>
  <si>
    <t>ASNET</t>
  </si>
  <si>
    <t>0024</t>
  </si>
  <si>
    <t>RST</t>
  </si>
  <si>
    <t>0025</t>
  </si>
  <si>
    <t>XII</t>
  </si>
  <si>
    <t>HELIUM</t>
  </si>
  <si>
    <t>0026</t>
  </si>
  <si>
    <t>RTIGA</t>
  </si>
  <si>
    <t>0027</t>
  </si>
  <si>
    <t>MYARSILA</t>
  </si>
  <si>
    <t>0028</t>
  </si>
  <si>
    <t>INTERNET MAJU ABAD</t>
  </si>
  <si>
    <t>0029</t>
  </si>
  <si>
    <t>Quinsis</t>
  </si>
  <si>
    <t>0030</t>
  </si>
  <si>
    <t>Diaza</t>
  </si>
  <si>
    <t>0031</t>
  </si>
  <si>
    <t>Golden</t>
  </si>
  <si>
    <t>0032</t>
  </si>
  <si>
    <t>Fahasa</t>
  </si>
  <si>
    <t>0033</t>
  </si>
  <si>
    <t>Global exream</t>
  </si>
  <si>
    <t>0034</t>
  </si>
  <si>
    <t>0035</t>
  </si>
  <si>
    <t>0036</t>
  </si>
  <si>
    <t>0037</t>
  </si>
  <si>
    <t>CTN</t>
  </si>
  <si>
    <t>0038</t>
  </si>
  <si>
    <t>0039</t>
  </si>
  <si>
    <t>0040</t>
  </si>
  <si>
    <t>0041</t>
  </si>
  <si>
    <t>0042</t>
  </si>
  <si>
    <t>0043</t>
  </si>
  <si>
    <t>Traharja</t>
  </si>
  <si>
    <t>0044</t>
  </si>
  <si>
    <t>AMERAA</t>
  </si>
  <si>
    <t>0045</t>
  </si>
  <si>
    <t>I</t>
  </si>
  <si>
    <t>0046</t>
  </si>
  <si>
    <t>0047</t>
  </si>
  <si>
    <t>0048</t>
  </si>
  <si>
    <t>Asnet</t>
  </si>
  <si>
    <t>0049</t>
  </si>
  <si>
    <t>Telindo</t>
  </si>
  <si>
    <t>0050</t>
  </si>
  <si>
    <t>MITRACOM</t>
  </si>
  <si>
    <t>0051</t>
  </si>
  <si>
    <t>TWINS DATA PRATAMA</t>
  </si>
  <si>
    <t>0052</t>
  </si>
  <si>
    <t>0053</t>
  </si>
  <si>
    <t>0054</t>
  </si>
  <si>
    <t>0055</t>
  </si>
  <si>
    <t>0056</t>
  </si>
  <si>
    <t>0057</t>
  </si>
  <si>
    <t>PASCAL</t>
  </si>
  <si>
    <t>0058</t>
  </si>
  <si>
    <t>KINGPOLAH</t>
  </si>
  <si>
    <t>0059</t>
  </si>
  <si>
    <t>0060</t>
  </si>
  <si>
    <t>0061</t>
  </si>
  <si>
    <t>II</t>
  </si>
  <si>
    <t>KARUNIA</t>
  </si>
  <si>
    <t>0062</t>
  </si>
  <si>
    <t>ll</t>
  </si>
  <si>
    <t>MULTI KARTA</t>
  </si>
  <si>
    <t>0063</t>
  </si>
  <si>
    <t>0064</t>
  </si>
  <si>
    <t>0065</t>
  </si>
  <si>
    <t>0066</t>
  </si>
  <si>
    <t>BAROKAH</t>
  </si>
  <si>
    <t>0067</t>
  </si>
  <si>
    <t>0068</t>
  </si>
  <si>
    <t>0069</t>
  </si>
  <si>
    <t>diaza</t>
  </si>
  <si>
    <t>0070</t>
  </si>
  <si>
    <t>0071</t>
  </si>
  <si>
    <t>Karunia</t>
  </si>
  <si>
    <t>0072</t>
  </si>
  <si>
    <t>0073</t>
  </si>
  <si>
    <t>0074</t>
  </si>
  <si>
    <t>III</t>
  </si>
  <si>
    <t>ENIGMA</t>
  </si>
  <si>
    <t>0075</t>
  </si>
  <si>
    <t>SSR</t>
  </si>
  <si>
    <t>0076</t>
  </si>
  <si>
    <t>0077</t>
  </si>
  <si>
    <t>0078</t>
  </si>
  <si>
    <t>0079</t>
  </si>
  <si>
    <t>helium</t>
  </si>
  <si>
    <t>0080</t>
  </si>
  <si>
    <t>0081</t>
  </si>
  <si>
    <t>Jaringan lintas</t>
  </si>
  <si>
    <t>0082</t>
  </si>
  <si>
    <t>15 Mret 2023</t>
  </si>
  <si>
    <t>0083</t>
  </si>
  <si>
    <t>LNS</t>
  </si>
  <si>
    <t>0084</t>
  </si>
  <si>
    <t>0085</t>
  </si>
  <si>
    <t>0086</t>
  </si>
  <si>
    <t>0087</t>
  </si>
  <si>
    <t>SMC</t>
  </si>
  <si>
    <t>0088</t>
  </si>
  <si>
    <t>0089</t>
  </si>
  <si>
    <t>IV</t>
  </si>
  <si>
    <t>ICON+</t>
  </si>
  <si>
    <t>0090</t>
  </si>
  <si>
    <t>SIBER TECH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</si>
  <si>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</si>
  <si>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</si>
  <si>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</si>
  <si>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</si>
  <si>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</si>
  <si>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</si>
  <si>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</si>
  <si>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</si>
  <si>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</si>
  <si>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QWORD</t>
  </si>
  <si>
    <t>0100</t>
  </si>
  <si>
    <t>KHALISTA</t>
  </si>
  <si>
    <t>0101</t>
  </si>
  <si>
    <t>BINTANG INDO TENOLOGI</t>
  </si>
  <si>
    <t>0102</t>
  </si>
  <si>
    <t>JME</t>
  </si>
  <si>
    <t>0103</t>
  </si>
  <si>
    <t>0104</t>
  </si>
  <si>
    <t>R3</t>
  </si>
  <si>
    <t>0105</t>
  </si>
  <si>
    <t>0106</t>
  </si>
  <si>
    <t>0107</t>
  </si>
  <si>
    <t>V</t>
  </si>
  <si>
    <t>0108</t>
  </si>
  <si>
    <t>CIRCLECOM</t>
  </si>
  <si>
    <t>0109</t>
  </si>
  <si>
    <t>DBN</t>
  </si>
  <si>
    <t>GOOD OUT</t>
  </si>
  <si>
    <t>0110</t>
  </si>
  <si>
    <t>DIAZA</t>
  </si>
  <si>
    <t>GOOD IN</t>
  </si>
  <si>
    <t>0111</t>
  </si>
  <si>
    <t>PANDAWA LINTAS</t>
  </si>
  <si>
    <t>0112</t>
  </si>
  <si>
    <t>0113</t>
  </si>
  <si>
    <t>0114</t>
  </si>
  <si>
    <t>0115</t>
  </si>
  <si>
    <t>AULIA</t>
  </si>
  <si>
    <t>0116</t>
  </si>
  <si>
    <t>0117</t>
  </si>
  <si>
    <t>0118</t>
  </si>
  <si>
    <t>0119</t>
  </si>
  <si>
    <t>0120</t>
  </si>
  <si>
    <t>0121</t>
  </si>
  <si>
    <t>SMK 1</t>
  </si>
  <si>
    <t>0122</t>
  </si>
  <si>
    <t>JMTO</t>
  </si>
  <si>
    <t>0123</t>
  </si>
  <si>
    <t>Angkasa pura</t>
  </si>
  <si>
    <t>0124</t>
  </si>
  <si>
    <t>0125</t>
  </si>
  <si>
    <t>Vl</t>
  </si>
  <si>
    <t>0126</t>
  </si>
  <si>
    <t>0127</t>
  </si>
  <si>
    <t>0128</t>
  </si>
  <si>
    <t>0129</t>
  </si>
  <si>
    <t>0130</t>
  </si>
  <si>
    <t>VI</t>
  </si>
  <si>
    <t>0131</t>
  </si>
  <si>
    <t>0132</t>
  </si>
  <si>
    <t>0133</t>
  </si>
  <si>
    <t>saranaindo</t>
  </si>
  <si>
    <t>0134</t>
  </si>
  <si>
    <t>0135</t>
  </si>
  <si>
    <t>Nesta</t>
  </si>
  <si>
    <t>0136</t>
  </si>
  <si>
    <t>0137</t>
  </si>
  <si>
    <t>0138</t>
  </si>
  <si>
    <t>sakti</t>
  </si>
  <si>
    <t>0139</t>
  </si>
  <si>
    <t>0140</t>
  </si>
  <si>
    <t>0141</t>
  </si>
  <si>
    <t>VII</t>
  </si>
  <si>
    <t>0142</t>
  </si>
  <si>
    <t>Internet Rakyat</t>
  </si>
  <si>
    <t>0143</t>
  </si>
  <si>
    <t>vII</t>
  </si>
  <si>
    <t>0144</t>
  </si>
  <si>
    <t>GLOBAL TRANSMISSI</t>
  </si>
  <si>
    <t>0145</t>
  </si>
  <si>
    <t>0146</t>
  </si>
  <si>
    <t>0147</t>
  </si>
  <si>
    <t>0148</t>
  </si>
  <si>
    <t>0149</t>
  </si>
  <si>
    <t>0150</t>
  </si>
  <si>
    <t>0151</t>
  </si>
  <si>
    <t>GOODIN</t>
  </si>
  <si>
    <t xml:space="preserve"> </t>
  </si>
  <si>
    <t>0152</t>
  </si>
  <si>
    <t>0153</t>
  </si>
  <si>
    <t xml:space="preserve">AGUNG BAROKAH </t>
  </si>
  <si>
    <t>0154</t>
  </si>
  <si>
    <t>0155</t>
  </si>
  <si>
    <t>VIII</t>
  </si>
  <si>
    <t>LEVEL INDODATA</t>
  </si>
  <si>
    <t>0156</t>
  </si>
  <si>
    <t>0157</t>
  </si>
  <si>
    <t>SAKTI</t>
  </si>
  <si>
    <t>0158</t>
  </si>
  <si>
    <t>0159</t>
  </si>
  <si>
    <t>JENIUS LINTAS NUSANTARA</t>
  </si>
  <si>
    <t>0160</t>
  </si>
  <si>
    <t>DENTA SEJAHTERA</t>
  </si>
  <si>
    <t>0161</t>
  </si>
  <si>
    <t>0162</t>
  </si>
  <si>
    <t>0163</t>
  </si>
  <si>
    <t>0164</t>
  </si>
  <si>
    <t>0165</t>
  </si>
  <si>
    <t>0166</t>
  </si>
  <si>
    <t>INDOSOFT DIGITAL</t>
  </si>
  <si>
    <t>0167</t>
  </si>
  <si>
    <t>good out</t>
  </si>
  <si>
    <t>0168</t>
  </si>
  <si>
    <t>MYARSYILA</t>
  </si>
  <si>
    <t>0169</t>
  </si>
  <si>
    <t>0170</t>
  </si>
  <si>
    <t>SaranaInfo</t>
  </si>
  <si>
    <t>0171</t>
  </si>
  <si>
    <t>GOOD-IN-OUT</t>
  </si>
  <si>
    <t>0172</t>
  </si>
  <si>
    <t>0173</t>
  </si>
  <si>
    <t>IX</t>
  </si>
  <si>
    <t>0174</t>
  </si>
  <si>
    <t>0175</t>
  </si>
  <si>
    <t>0176</t>
  </si>
  <si>
    <t>0177</t>
  </si>
  <si>
    <t>0178</t>
  </si>
  <si>
    <t>PT.Sarana Telemedia Nusantara</t>
  </si>
  <si>
    <t>0179</t>
  </si>
  <si>
    <t>PT.Karunia Sinergi</t>
  </si>
  <si>
    <t>0180</t>
  </si>
  <si>
    <t>PT Palapa Timur Telematika</t>
  </si>
  <si>
    <t>0181</t>
  </si>
  <si>
    <t>0182</t>
  </si>
  <si>
    <t>PT.LINTAS DATA TRANS</t>
  </si>
  <si>
    <t>good-in</t>
  </si>
  <si>
    <t>0183</t>
  </si>
  <si>
    <t xml:space="preserve">good </t>
  </si>
  <si>
    <t>0184</t>
  </si>
  <si>
    <t>good in</t>
  </si>
  <si>
    <t>0185</t>
  </si>
  <si>
    <t>BAKTI KOMINFO (PT Palapa Timur Telematika)</t>
  </si>
  <si>
    <t>0186</t>
  </si>
  <si>
    <t>SARANAINDO</t>
  </si>
  <si>
    <t>0187</t>
  </si>
  <si>
    <t>BAKTI KOMINFO (PT. Len Telekomunikasi)</t>
  </si>
  <si>
    <t>0188</t>
  </si>
  <si>
    <t>X</t>
  </si>
  <si>
    <t>0189</t>
  </si>
  <si>
    <t>0190</t>
  </si>
  <si>
    <t>BAKTI KOMINFO (LTN)</t>
  </si>
  <si>
    <t>GOODS IN</t>
  </si>
  <si>
    <t>0191</t>
  </si>
  <si>
    <t>0192</t>
  </si>
  <si>
    <t>GOOd-out</t>
  </si>
  <si>
    <t>0193</t>
  </si>
  <si>
    <t>PT CLOUD TEKNOLOGI NUSANTARA</t>
  </si>
  <si>
    <t>0194</t>
  </si>
  <si>
    <t>PT MY ARSYILA INDONESIA INTERKONEKSI</t>
  </si>
  <si>
    <t>0195</t>
  </si>
  <si>
    <t>LINTAS NETWORK SOLUSI</t>
  </si>
  <si>
    <t>0196</t>
  </si>
  <si>
    <t>PT.PALAPA TIMUR TELEMATIKA</t>
  </si>
  <si>
    <t>0197</t>
  </si>
  <si>
    <t>0198</t>
  </si>
  <si>
    <t>GOODS OUT</t>
  </si>
  <si>
    <t>0199</t>
  </si>
  <si>
    <t>OTB</t>
  </si>
  <si>
    <t>0200</t>
  </si>
  <si>
    <t>PT INFRASTRUKTUR DIGITAL INDONESIA (IDI)</t>
  </si>
  <si>
    <t>0201</t>
  </si>
  <si>
    <t>0202</t>
  </si>
  <si>
    <t>out</t>
  </si>
  <si>
    <t>0203</t>
  </si>
  <si>
    <t>0204</t>
  </si>
  <si>
    <t>0205</t>
  </si>
  <si>
    <t>0206</t>
  </si>
  <si>
    <t>PALAPA</t>
  </si>
  <si>
    <t>0207</t>
  </si>
  <si>
    <t>0208</t>
  </si>
  <si>
    <t>x</t>
  </si>
  <si>
    <t>PT. AMEERA MEGA BUANA</t>
  </si>
  <si>
    <t>0209</t>
  </si>
  <si>
    <t>0210</t>
  </si>
  <si>
    <t>PT. GRAHA SUMBER TEKNOLOGI</t>
  </si>
  <si>
    <t>0211</t>
  </si>
  <si>
    <t>0212</t>
  </si>
  <si>
    <t>SARANAINDO MITRA BERSAMA</t>
  </si>
  <si>
    <t>0213</t>
  </si>
  <si>
    <t>PT DIAZA LINTAS ASIA</t>
  </si>
  <si>
    <t>0214</t>
  </si>
  <si>
    <t>Terminate</t>
  </si>
  <si>
    <t>0215</t>
  </si>
  <si>
    <t>PT PARIMAS HICINDO SENTOSA</t>
  </si>
  <si>
    <t>0216</t>
  </si>
  <si>
    <t>PT.DIGITAL AKSES NUSANTARA</t>
  </si>
  <si>
    <t>0217</t>
  </si>
  <si>
    <t>LOVEIKA</t>
  </si>
  <si>
    <t>0218</t>
  </si>
  <si>
    <t>0219</t>
  </si>
  <si>
    <t>DIGTA</t>
  </si>
  <si>
    <t>0220</t>
  </si>
  <si>
    <t>0221</t>
  </si>
  <si>
    <t>0222</t>
  </si>
  <si>
    <t>PT.PASCAL SOLUSI NUSANTARA</t>
  </si>
  <si>
    <t>0223</t>
  </si>
  <si>
    <t>0224</t>
  </si>
  <si>
    <t>0225</t>
  </si>
  <si>
    <t xml:space="preserve">XI </t>
  </si>
  <si>
    <t>0226</t>
  </si>
  <si>
    <t>0227</t>
  </si>
  <si>
    <t>0228</t>
  </si>
  <si>
    <t xml:space="preserve">Data Buana </t>
  </si>
  <si>
    <t>In</t>
  </si>
  <si>
    <t>0229</t>
  </si>
  <si>
    <t>0230</t>
  </si>
  <si>
    <t>0231</t>
  </si>
  <si>
    <t>xi</t>
  </si>
  <si>
    <t>globalextrme</t>
  </si>
  <si>
    <t>0232</t>
  </si>
  <si>
    <t>0233</t>
  </si>
  <si>
    <t>0234</t>
  </si>
  <si>
    <t>GLOBAL SARANA ELEKTRONIKA</t>
  </si>
  <si>
    <t>0235</t>
  </si>
  <si>
    <t>GOODOUT</t>
  </si>
  <si>
    <t>0236</t>
  </si>
  <si>
    <t>0237</t>
  </si>
  <si>
    <t>0238</t>
  </si>
  <si>
    <t>PT. RTIGA GLOBAL MEDIA</t>
  </si>
  <si>
    <t>0239</t>
  </si>
  <si>
    <t>PT. SIBER TECH INDONESIA</t>
  </si>
  <si>
    <t>0240</t>
  </si>
  <si>
    <t>0241</t>
  </si>
  <si>
    <t>0242</t>
  </si>
  <si>
    <t>0243</t>
  </si>
  <si>
    <t>0244</t>
  </si>
  <si>
    <t>Garuda</t>
  </si>
  <si>
    <t>0245</t>
  </si>
  <si>
    <t>0246</t>
  </si>
  <si>
    <t>LINTAS  TELEMATIKA NUSANTARA</t>
  </si>
  <si>
    <t>1 Desembet 2023</t>
  </si>
  <si>
    <t>GOOD-IN</t>
  </si>
  <si>
    <t>0247</t>
  </si>
  <si>
    <t>LINTAS TEKNOLOGI SOLUSI</t>
  </si>
  <si>
    <t>GOOD INt</t>
  </si>
  <si>
    <t>0248</t>
  </si>
  <si>
    <t xml:space="preserve"> KKP</t>
  </si>
  <si>
    <t>0249</t>
  </si>
  <si>
    <t>GLOBAL MEDIA</t>
  </si>
  <si>
    <t>0250</t>
  </si>
  <si>
    <t>0251</t>
  </si>
  <si>
    <t>0252</t>
  </si>
  <si>
    <t>LTS</t>
  </si>
  <si>
    <t>0253</t>
  </si>
  <si>
    <t>MAGNA</t>
  </si>
  <si>
    <t>0254</t>
  </si>
  <si>
    <t>NESTA</t>
  </si>
  <si>
    <t>0255</t>
  </si>
  <si>
    <t>0256</t>
  </si>
  <si>
    <t>INFRASTRUKTIK DIGITAL INDO</t>
  </si>
  <si>
    <t>0257</t>
  </si>
  <si>
    <t>KOMINFO SUBANG</t>
  </si>
  <si>
    <t>0258</t>
  </si>
  <si>
    <t>0259</t>
  </si>
  <si>
    <t>SIDNET</t>
  </si>
  <si>
    <t>IN</t>
  </si>
  <si>
    <t>0260</t>
  </si>
  <si>
    <t>CAHAYA SOLUSINDO INTERNUSA</t>
  </si>
  <si>
    <t>0261</t>
  </si>
  <si>
    <t>0262</t>
  </si>
  <si>
    <t>0263</t>
  </si>
  <si>
    <t xml:space="preserve">SAKTI </t>
  </si>
  <si>
    <t>0264</t>
  </si>
  <si>
    <t>FIXY</t>
  </si>
  <si>
    <t>0265</t>
  </si>
  <si>
    <t>0266</t>
  </si>
  <si>
    <t>SIBERTECH</t>
  </si>
  <si>
    <t>0267</t>
  </si>
  <si>
    <t>0268</t>
  </si>
  <si>
    <t>AKHASIA</t>
  </si>
  <si>
    <t>0269</t>
  </si>
  <si>
    <t>0270</t>
  </si>
  <si>
    <t>0271</t>
  </si>
  <si>
    <t>TRISNA MEGA ABADI</t>
  </si>
  <si>
    <t>0272</t>
  </si>
  <si>
    <t>GLOSINDO</t>
  </si>
  <si>
    <t>0273</t>
  </si>
  <si>
    <t>0274</t>
  </si>
  <si>
    <t>TELINDO</t>
  </si>
  <si>
    <t>IN and OUT</t>
  </si>
  <si>
    <t>0275</t>
  </si>
  <si>
    <t>0276</t>
  </si>
  <si>
    <t>0277</t>
  </si>
  <si>
    <t>QUINSIS</t>
  </si>
  <si>
    <t>0278</t>
  </si>
  <si>
    <t>0279</t>
  </si>
  <si>
    <t>MMP</t>
  </si>
  <si>
    <t>OUT</t>
  </si>
  <si>
    <t>0280</t>
  </si>
  <si>
    <t>0281</t>
  </si>
  <si>
    <t>INDOTEL</t>
  </si>
  <si>
    <t>0282</t>
  </si>
  <si>
    <t>0283</t>
  </si>
  <si>
    <t>in</t>
  </si>
  <si>
    <t>0284</t>
  </si>
  <si>
    <t>24 Febuari 2024</t>
  </si>
  <si>
    <t>0285</t>
  </si>
  <si>
    <t>SSR DIGITAL INFORMATIKA</t>
  </si>
  <si>
    <t>0286</t>
  </si>
  <si>
    <t>Ii</t>
  </si>
  <si>
    <t>Akm</t>
  </si>
  <si>
    <t>0287</t>
  </si>
  <si>
    <t>DHARMA SARANA</t>
  </si>
  <si>
    <t>0288</t>
  </si>
  <si>
    <t>SUFI</t>
  </si>
  <si>
    <t>0289</t>
  </si>
  <si>
    <t>0290</t>
  </si>
  <si>
    <t>MMD</t>
  </si>
  <si>
    <t>0291</t>
  </si>
  <si>
    <t>0292</t>
  </si>
  <si>
    <t>0293</t>
  </si>
  <si>
    <t>KARYA HASTA</t>
  </si>
  <si>
    <t>0294</t>
  </si>
  <si>
    <t>JARINGAN TIANG INDONESIA</t>
  </si>
  <si>
    <t>0295</t>
  </si>
  <si>
    <t>SG . GS</t>
  </si>
  <si>
    <t>0296</t>
  </si>
  <si>
    <t>DIGITAL MEDIA TELEMATIKA</t>
  </si>
  <si>
    <t>0297</t>
  </si>
  <si>
    <t>0298</t>
  </si>
  <si>
    <t>0299</t>
  </si>
  <si>
    <t>0300</t>
  </si>
  <si>
    <t>0301</t>
  </si>
  <si>
    <t>IN OUT</t>
  </si>
  <si>
    <t>0302</t>
  </si>
  <si>
    <t>0303</t>
  </si>
  <si>
    <t>GLOBUS MELIA</t>
  </si>
  <si>
    <t>TERMINATE.</t>
  </si>
  <si>
    <t>0304</t>
  </si>
  <si>
    <t>SAMUDRA DIGITAL</t>
  </si>
  <si>
    <t>0305</t>
  </si>
  <si>
    <t>Ksinergi</t>
  </si>
  <si>
    <t>0306</t>
  </si>
  <si>
    <t xml:space="preserve">IV </t>
  </si>
  <si>
    <t>0307</t>
  </si>
  <si>
    <t>0308</t>
  </si>
  <si>
    <t>0309</t>
  </si>
  <si>
    <t>RUMAHNET</t>
  </si>
  <si>
    <t>0310</t>
  </si>
  <si>
    <t>GLOBAL NET</t>
  </si>
  <si>
    <t>0311</t>
  </si>
  <si>
    <t>0312</t>
  </si>
  <si>
    <t>GLOBALNET MULTIDATA</t>
  </si>
  <si>
    <t>0313</t>
  </si>
  <si>
    <t>0314</t>
  </si>
  <si>
    <t>0315</t>
  </si>
  <si>
    <t>AGENCY PELAYARAN</t>
  </si>
  <si>
    <t>0316</t>
  </si>
  <si>
    <t>RIYAD</t>
  </si>
  <si>
    <t>0317</t>
  </si>
  <si>
    <t>Airlink</t>
  </si>
  <si>
    <t>0318</t>
  </si>
  <si>
    <t>TIGA MEDIA SOLUSI</t>
  </si>
  <si>
    <t>0319</t>
  </si>
  <si>
    <t>PUSTAKA KREASI MANDIRI</t>
  </si>
  <si>
    <t>0320</t>
  </si>
  <si>
    <t>DIGITAL AKSES NUSANTARA</t>
  </si>
  <si>
    <t>0321</t>
  </si>
  <si>
    <t xml:space="preserve">TESLAR JAYA </t>
  </si>
  <si>
    <t>0322</t>
  </si>
  <si>
    <t>0323</t>
  </si>
  <si>
    <t>PT.KUNINGAN NETWORK</t>
  </si>
  <si>
    <t>0324</t>
  </si>
  <si>
    <t>PT.TOMIHONK</t>
  </si>
  <si>
    <t>0325</t>
  </si>
  <si>
    <t>in out</t>
  </si>
  <si>
    <t>0326</t>
  </si>
  <si>
    <t>0327</t>
  </si>
  <si>
    <t>Putra lebak banten</t>
  </si>
  <si>
    <t>0328</t>
  </si>
  <si>
    <t>PT Len Telekomunikasi Indonesia</t>
  </si>
  <si>
    <t>0329</t>
  </si>
  <si>
    <t>PT Chiabinet Jaringan Multimedia</t>
  </si>
  <si>
    <t>0330</t>
  </si>
  <si>
    <t>PT. MMD</t>
  </si>
  <si>
    <t>0331</t>
  </si>
  <si>
    <t>0332</t>
  </si>
  <si>
    <t>ANDALAN</t>
  </si>
  <si>
    <t>0333</t>
  </si>
  <si>
    <t>AJI RAFASYA</t>
  </si>
  <si>
    <t>0334</t>
  </si>
  <si>
    <t>0335</t>
  </si>
  <si>
    <t>PUTRA lebak banten</t>
  </si>
  <si>
    <t>0336</t>
  </si>
  <si>
    <t>internet madju abad(global extream)</t>
  </si>
  <si>
    <t>0337</t>
  </si>
  <si>
    <t>INDOSOFT ENIGMA</t>
  </si>
  <si>
    <t>0338</t>
  </si>
  <si>
    <t>JOYO KOBUL</t>
  </si>
  <si>
    <t>0339</t>
  </si>
  <si>
    <t>0340</t>
  </si>
  <si>
    <t>KKP</t>
  </si>
  <si>
    <t>0341</t>
  </si>
  <si>
    <t>0342</t>
  </si>
  <si>
    <t>0343</t>
  </si>
  <si>
    <t>FLASHNET</t>
  </si>
  <si>
    <t>0344</t>
  </si>
  <si>
    <t>APCI</t>
  </si>
  <si>
    <t>0345</t>
  </si>
  <si>
    <t>0346</t>
  </si>
  <si>
    <t>0347</t>
  </si>
  <si>
    <t>IKADA</t>
  </si>
  <si>
    <t>0348</t>
  </si>
  <si>
    <t>0349</t>
  </si>
  <si>
    <t>COMMSOL</t>
  </si>
  <si>
    <t>0350</t>
  </si>
  <si>
    <t>0351</t>
  </si>
  <si>
    <t>0352</t>
  </si>
  <si>
    <t>GSE</t>
  </si>
  <si>
    <t>0353</t>
  </si>
  <si>
    <t>0354</t>
  </si>
  <si>
    <t>0355</t>
  </si>
  <si>
    <t>24 July 0287</t>
  </si>
  <si>
    <t>0356</t>
  </si>
  <si>
    <t>BERKAH JARINGAN</t>
  </si>
  <si>
    <t>0357</t>
  </si>
  <si>
    <t>0358</t>
  </si>
  <si>
    <t>PHATRIA</t>
  </si>
  <si>
    <t>0359</t>
  </si>
  <si>
    <t>0360</t>
  </si>
  <si>
    <t>0361</t>
  </si>
  <si>
    <t>SMKN 1 Subang</t>
  </si>
  <si>
    <t>0362</t>
  </si>
  <si>
    <t>0363</t>
  </si>
  <si>
    <t xml:space="preserve"> DELTA BARU</t>
  </si>
  <si>
    <t>0364</t>
  </si>
  <si>
    <t>in-out replace</t>
  </si>
  <si>
    <t>0365</t>
  </si>
  <si>
    <t>0366</t>
  </si>
  <si>
    <t>siberTECH</t>
  </si>
  <si>
    <t>0367</t>
  </si>
  <si>
    <t>0368</t>
  </si>
  <si>
    <t>LTI</t>
  </si>
  <si>
    <t>0369</t>
  </si>
  <si>
    <t>0370</t>
  </si>
  <si>
    <t>0371</t>
  </si>
  <si>
    <t>Globalnet MULTIDATA</t>
  </si>
  <si>
    <t>0372</t>
  </si>
  <si>
    <t>KDN</t>
  </si>
  <si>
    <t>0373</t>
  </si>
  <si>
    <t>0374</t>
  </si>
  <si>
    <t>0375</t>
  </si>
  <si>
    <t>0376</t>
  </si>
  <si>
    <t>0377</t>
  </si>
  <si>
    <t>MAXLIND</t>
  </si>
  <si>
    <t>0378</t>
  </si>
  <si>
    <t>AIrlink</t>
  </si>
  <si>
    <t>Out</t>
  </si>
  <si>
    <t>0379</t>
  </si>
  <si>
    <t>Delta Baru</t>
  </si>
  <si>
    <t>0380</t>
  </si>
  <si>
    <t>0381</t>
  </si>
  <si>
    <t>PRATAMA HASTA</t>
  </si>
  <si>
    <t>0382</t>
  </si>
  <si>
    <t>SIBerTECH</t>
  </si>
  <si>
    <t>0383</t>
  </si>
  <si>
    <t>0384</t>
  </si>
  <si>
    <t>ITL</t>
  </si>
  <si>
    <t>0385</t>
  </si>
  <si>
    <t>0386</t>
  </si>
  <si>
    <t>TELSAR</t>
  </si>
  <si>
    <t>0387</t>
  </si>
  <si>
    <t>Karunia Sinergi</t>
  </si>
  <si>
    <t>0388</t>
  </si>
  <si>
    <t>In/Out</t>
  </si>
  <si>
    <t>0389</t>
  </si>
  <si>
    <t>0390</t>
  </si>
  <si>
    <t>0391</t>
  </si>
  <si>
    <t>SARANA TELEMEDIA NUSANTARA</t>
  </si>
  <si>
    <t>0392</t>
  </si>
  <si>
    <t>MAGNA NETWORK</t>
  </si>
  <si>
    <t>IN/OUT</t>
  </si>
  <si>
    <t>0393</t>
  </si>
  <si>
    <t>Andromega</t>
  </si>
  <si>
    <t xml:space="preserve">1xz                         </t>
  </si>
  <si>
    <t>0394</t>
  </si>
  <si>
    <t>Magna NETWORK</t>
  </si>
  <si>
    <t>0395</t>
  </si>
  <si>
    <t>0396</t>
  </si>
  <si>
    <t>0397</t>
  </si>
  <si>
    <t>Kampung Dua Net</t>
  </si>
  <si>
    <t>0398</t>
  </si>
  <si>
    <t>Jaringan Keluarga Bersama</t>
  </si>
  <si>
    <t>0399</t>
  </si>
  <si>
    <t>0400</t>
  </si>
  <si>
    <t>KARYA ANEKA</t>
  </si>
  <si>
    <t>0401</t>
  </si>
  <si>
    <t>DIST CIREBON</t>
  </si>
  <si>
    <t>0402</t>
  </si>
  <si>
    <t>0403</t>
  </si>
  <si>
    <t>KINGPOLAH NETWORK SOLUTION</t>
  </si>
  <si>
    <t>0404</t>
  </si>
  <si>
    <t>PUSAKA KREASI MANDIRI</t>
  </si>
  <si>
    <t>0405</t>
  </si>
  <si>
    <t>0406</t>
  </si>
  <si>
    <t>crossnet</t>
  </si>
  <si>
    <t>0407</t>
  </si>
  <si>
    <t>0408</t>
  </si>
  <si>
    <t>GLOBAL INTERNET</t>
  </si>
  <si>
    <t>0409</t>
  </si>
  <si>
    <t>acces media</t>
  </si>
  <si>
    <t>0410</t>
  </si>
  <si>
    <t>0411</t>
  </si>
  <si>
    <t>0412</t>
  </si>
  <si>
    <t>Universitas Singaperbangsa Karawangan</t>
  </si>
  <si>
    <t>0413</t>
  </si>
  <si>
    <t>PT Andromega</t>
  </si>
  <si>
    <t>0414</t>
  </si>
  <si>
    <t>PT BAS NETWORK</t>
  </si>
  <si>
    <t>0415</t>
  </si>
  <si>
    <t>pascal</t>
  </si>
  <si>
    <t>0416</t>
  </si>
  <si>
    <t>0417</t>
  </si>
  <si>
    <t>SAYAGINET</t>
  </si>
  <si>
    <t>IN - OUT</t>
  </si>
  <si>
    <t>0418</t>
  </si>
  <si>
    <t>Radnet</t>
  </si>
  <si>
    <t>0419</t>
  </si>
  <si>
    <t>0420</t>
  </si>
  <si>
    <t>CIKAL</t>
  </si>
  <si>
    <t>0421</t>
  </si>
  <si>
    <t>BAS NETWORK</t>
  </si>
  <si>
    <t>0422</t>
  </si>
  <si>
    <t>0423</t>
  </si>
  <si>
    <t>0424</t>
  </si>
  <si>
    <t>YETOYA</t>
  </si>
  <si>
    <t>0425</t>
  </si>
  <si>
    <t>0426</t>
  </si>
  <si>
    <t>0427</t>
  </si>
  <si>
    <t>0428</t>
  </si>
  <si>
    <t>0429</t>
  </si>
  <si>
    <t>0430</t>
  </si>
  <si>
    <t>0431</t>
  </si>
  <si>
    <t>OMBUN</t>
  </si>
  <si>
    <t>0432</t>
  </si>
  <si>
    <t>0433</t>
  </si>
  <si>
    <t>PT.DELTA BARU</t>
  </si>
  <si>
    <t>0434</t>
  </si>
  <si>
    <t>PT.SSR</t>
  </si>
  <si>
    <t>0435</t>
  </si>
  <si>
    <t>0436</t>
  </si>
  <si>
    <t>0437</t>
  </si>
  <si>
    <t>ENERGY</t>
  </si>
  <si>
    <t>0438</t>
  </si>
  <si>
    <t>0439</t>
  </si>
  <si>
    <t xml:space="preserve">PT.SAMUDRA </t>
  </si>
  <si>
    <t>0440</t>
  </si>
  <si>
    <t>IN &amp; OUT</t>
  </si>
  <si>
    <t>0441</t>
  </si>
  <si>
    <t>0442</t>
  </si>
  <si>
    <t>0443</t>
  </si>
  <si>
    <t>0444</t>
  </si>
  <si>
    <t>0445</t>
  </si>
  <si>
    <t>GARUDA</t>
  </si>
  <si>
    <t>0446</t>
  </si>
  <si>
    <t>0447</t>
  </si>
  <si>
    <t>0448</t>
  </si>
  <si>
    <t>0449</t>
  </si>
  <si>
    <t>0450</t>
  </si>
  <si>
    <t>0451</t>
  </si>
  <si>
    <t>0452</t>
  </si>
  <si>
    <t>0453</t>
  </si>
  <si>
    <t>TONGGAK</t>
  </si>
  <si>
    <t>0454</t>
  </si>
  <si>
    <t>ANDROMEGA</t>
  </si>
  <si>
    <t>0455</t>
  </si>
  <si>
    <t>ALTECH</t>
  </si>
  <si>
    <t>0456</t>
  </si>
  <si>
    <t>0457</t>
  </si>
  <si>
    <t>AURORA</t>
  </si>
  <si>
    <t>0458</t>
  </si>
  <si>
    <t>xii</t>
  </si>
  <si>
    <t>IN DAN OUT</t>
  </si>
  <si>
    <t>0459</t>
  </si>
  <si>
    <t>AKAMAI</t>
  </si>
  <si>
    <t>0460</t>
  </si>
  <si>
    <t>0461</t>
  </si>
  <si>
    <t>PLB</t>
  </si>
  <si>
    <t>0462</t>
  </si>
  <si>
    <t>0463</t>
  </si>
  <si>
    <t>0464</t>
  </si>
  <si>
    <t>APCII</t>
  </si>
  <si>
    <t>0465</t>
  </si>
  <si>
    <t>0466</t>
  </si>
  <si>
    <t>Java Digital</t>
  </si>
  <si>
    <t>0467</t>
  </si>
  <si>
    <t>Saranaindo MITRA BERSAMA</t>
  </si>
  <si>
    <t>0468</t>
  </si>
  <si>
    <t>0469</t>
  </si>
  <si>
    <t>0470</t>
  </si>
  <si>
    <t>DISKOMINFO BANTEN</t>
  </si>
  <si>
    <t>0471</t>
  </si>
  <si>
    <t>ACCESS PRIMA NUSANTARA</t>
  </si>
  <si>
    <t>0472</t>
  </si>
  <si>
    <t>KUMARA</t>
  </si>
  <si>
    <t>0473</t>
  </si>
  <si>
    <t>0474</t>
  </si>
  <si>
    <t>0475</t>
  </si>
  <si>
    <t>RTIGA GLOBAL MEDIA</t>
  </si>
  <si>
    <t>0476</t>
  </si>
  <si>
    <t>0477</t>
  </si>
  <si>
    <t>GOPAL NETWORK</t>
  </si>
  <si>
    <t>0478</t>
  </si>
  <si>
    <t xml:space="preserve">PT.CELIIX /ERA BANGUN </t>
  </si>
  <si>
    <t>0479</t>
  </si>
  <si>
    <t>0480</t>
  </si>
  <si>
    <t>0481</t>
  </si>
  <si>
    <t>0482</t>
  </si>
  <si>
    <t>berdikari</t>
  </si>
  <si>
    <t>0483</t>
  </si>
  <si>
    <t>0484</t>
  </si>
  <si>
    <t>0485</t>
  </si>
  <si>
    <t>myarsyila</t>
  </si>
  <si>
    <t>0486</t>
  </si>
  <si>
    <t>0487</t>
  </si>
  <si>
    <t>Media Cloud</t>
  </si>
  <si>
    <t>0488</t>
  </si>
  <si>
    <t>0489</t>
  </si>
  <si>
    <t>Jaringan Lintas Artha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</si>
  <si>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</si>
  <si>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</si>
  <si>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</si>
  <si>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</si>
  <si>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</si>
  <si>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</si>
  <si>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</si>
  <si>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</si>
  <si>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</si>
  <si>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</si>
  <si>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KAYONG MUARA TEKNOINDO</t>
  </si>
  <si>
    <t>0500</t>
  </si>
  <si>
    <t>0501</t>
  </si>
  <si>
    <t>0502</t>
  </si>
  <si>
    <t>0503</t>
  </si>
  <si>
    <t>0504</t>
  </si>
  <si>
    <t>0505</t>
  </si>
  <si>
    <t>0506</t>
  </si>
  <si>
    <t>MITRA KITA BRILIAN</t>
  </si>
  <si>
    <t>0507</t>
  </si>
  <si>
    <t>0508</t>
  </si>
  <si>
    <t>MAHAWIRA</t>
  </si>
  <si>
    <t>0509</t>
  </si>
  <si>
    <t>FAHASA</t>
  </si>
  <si>
    <t>0510</t>
  </si>
  <si>
    <t>DATA BUANA</t>
  </si>
  <si>
    <t>0511</t>
  </si>
  <si>
    <t>0512</t>
  </si>
  <si>
    <t>0513</t>
  </si>
  <si>
    <t>0514</t>
  </si>
  <si>
    <t>0515</t>
  </si>
  <si>
    <t>0516</t>
  </si>
  <si>
    <t>BLUM DATANG</t>
  </si>
  <si>
    <t>0517</t>
  </si>
  <si>
    <t>PT SAKTI WIJAYA</t>
  </si>
  <si>
    <t>0518</t>
  </si>
  <si>
    <t>GLOBAL MEDIA/GLOSINDO</t>
  </si>
  <si>
    <t>0519</t>
  </si>
  <si>
    <t>0520</t>
  </si>
  <si>
    <t xml:space="preserve">SSR DIGITAL </t>
  </si>
  <si>
    <t>0521</t>
  </si>
  <si>
    <t>0522</t>
  </si>
  <si>
    <t>DIHOSTINGIN</t>
  </si>
  <si>
    <t>0523</t>
  </si>
  <si>
    <t>0524</t>
  </si>
  <si>
    <t>0525</t>
  </si>
  <si>
    <t>AURORA SENTRAL</t>
  </si>
  <si>
    <t>0526</t>
  </si>
  <si>
    <t>WIRELESSINDO</t>
  </si>
  <si>
    <t>0527</t>
  </si>
  <si>
    <t>0528</t>
  </si>
  <si>
    <t>0529</t>
  </si>
  <si>
    <t>0530</t>
  </si>
  <si>
    <t>0531</t>
  </si>
  <si>
    <t>DELTA BARU</t>
  </si>
  <si>
    <t>0532</t>
  </si>
  <si>
    <t>0533</t>
  </si>
  <si>
    <t>0534</t>
  </si>
  <si>
    <t>0535</t>
  </si>
  <si>
    <t>KARANGMUKTI</t>
  </si>
  <si>
    <t>0536</t>
  </si>
  <si>
    <t>SMART TEKNOLOGI</t>
  </si>
  <si>
    <t>0537</t>
  </si>
  <si>
    <t>LINTAS DATA TRANS</t>
  </si>
  <si>
    <t>0538</t>
  </si>
  <si>
    <t xml:space="preserve">INDONUSA </t>
  </si>
  <si>
    <t>0539</t>
  </si>
  <si>
    <t>MULTI MEDIA ACCESS</t>
  </si>
  <si>
    <t>0540</t>
  </si>
  <si>
    <t>0541</t>
  </si>
  <si>
    <t>PT AULIA SENTRAL MULTI DATA</t>
  </si>
  <si>
    <t>0542</t>
  </si>
  <si>
    <t>0543</t>
  </si>
  <si>
    <t>DISKOMINFO PROJECT RPTRA</t>
  </si>
  <si>
    <t>0544</t>
  </si>
  <si>
    <t>0545</t>
  </si>
  <si>
    <t>0546</t>
  </si>
  <si>
    <t>aurora</t>
  </si>
  <si>
    <t>0547</t>
  </si>
  <si>
    <t>PINDAHAN</t>
  </si>
  <si>
    <t>0548</t>
  </si>
  <si>
    <t>0549</t>
  </si>
  <si>
    <t>0550</t>
  </si>
  <si>
    <t>GLOBAL TERAINDO</t>
  </si>
  <si>
    <t>0551</t>
  </si>
  <si>
    <t>SAKTI WIJAYA</t>
  </si>
  <si>
    <t>0552</t>
  </si>
  <si>
    <t>0553</t>
  </si>
  <si>
    <t>KARUNIA SINERGI</t>
  </si>
  <si>
    <t>0554</t>
  </si>
  <si>
    <t>MEDIA CEPAT</t>
  </si>
  <si>
    <t>0555</t>
  </si>
  <si>
    <t>0556</t>
  </si>
  <si>
    <t>DENTA</t>
  </si>
  <si>
    <t>0557</t>
  </si>
  <si>
    <t>0558</t>
  </si>
  <si>
    <t>0559</t>
  </si>
  <si>
    <t>0560</t>
  </si>
  <si>
    <t>0561</t>
  </si>
  <si>
    <t>0562</t>
  </si>
  <si>
    <t>0563</t>
  </si>
  <si>
    <t>0564</t>
  </si>
  <si>
    <t>DATA BUANA NUSANTARA</t>
  </si>
  <si>
    <t>0565</t>
  </si>
  <si>
    <t>GRAHA TEL</t>
  </si>
  <si>
    <t>0566</t>
  </si>
  <si>
    <t>0567</t>
  </si>
  <si>
    <t>0568</t>
  </si>
  <si>
    <t>INFRASTRUKTUR DIGITAL INDONESIA</t>
  </si>
  <si>
    <t>0569</t>
  </si>
  <si>
    <t>ION CLOUD</t>
  </si>
  <si>
    <t>0570</t>
  </si>
  <si>
    <t>SDC</t>
  </si>
  <si>
    <t>0571</t>
  </si>
  <si>
    <t>0572</t>
  </si>
  <si>
    <t>AIRLINK</t>
  </si>
  <si>
    <t>0573</t>
  </si>
  <si>
    <t>0574</t>
  </si>
  <si>
    <t>0575</t>
  </si>
  <si>
    <t>0576</t>
  </si>
  <si>
    <t xml:space="preserve">V </t>
  </si>
  <si>
    <t>IKUBARU</t>
  </si>
  <si>
    <t>0577</t>
  </si>
  <si>
    <t>0578</t>
  </si>
  <si>
    <t>0579</t>
  </si>
  <si>
    <t>0580</t>
  </si>
  <si>
    <t>0581</t>
  </si>
  <si>
    <t>TAKALINK</t>
  </si>
  <si>
    <t>0582</t>
  </si>
  <si>
    <t>0583</t>
  </si>
  <si>
    <t>0584</t>
  </si>
  <si>
    <t>RUANG VALIDASI TEKNOLOGI</t>
  </si>
  <si>
    <t>0585</t>
  </si>
  <si>
    <t>AGUNG BAROKAH</t>
  </si>
  <si>
    <t>0586</t>
  </si>
  <si>
    <t>0587</t>
  </si>
  <si>
    <t>0588</t>
  </si>
  <si>
    <t>0589</t>
  </si>
  <si>
    <t>0590</t>
  </si>
  <si>
    <t>0591</t>
  </si>
  <si>
    <t>0592</t>
  </si>
  <si>
    <t>0593</t>
  </si>
  <si>
    <t>ABYS</t>
  </si>
  <si>
    <t>0594</t>
  </si>
  <si>
    <t>0595</t>
  </si>
  <si>
    <t>0596</t>
  </si>
  <si>
    <t>0597</t>
  </si>
  <si>
    <t>0598</t>
  </si>
  <si>
    <t>v</t>
  </si>
  <si>
    <t>JOYO KABUL</t>
  </si>
  <si>
    <t>0599</t>
  </si>
  <si>
    <t>0600</t>
  </si>
  <si>
    <t>0601</t>
  </si>
  <si>
    <t>MIRACOM</t>
  </si>
  <si>
    <t>0602</t>
  </si>
  <si>
    <t>CDN</t>
  </si>
  <si>
    <t>0603</t>
  </si>
  <si>
    <t>KUNING MEDIA</t>
  </si>
  <si>
    <t>0604</t>
  </si>
  <si>
    <t>LAMBDA</t>
  </si>
  <si>
    <t>0605</t>
  </si>
  <si>
    <t>0606</t>
  </si>
  <si>
    <t>0607</t>
  </si>
  <si>
    <t>UNSIKA</t>
  </si>
  <si>
    <t>0608</t>
  </si>
  <si>
    <t>Pascal</t>
  </si>
  <si>
    <t>0609</t>
  </si>
  <si>
    <t>0610</t>
  </si>
  <si>
    <t>0611</t>
  </si>
  <si>
    <t>VALIDATECH</t>
  </si>
  <si>
    <t>0612</t>
  </si>
  <si>
    <t>BINTEK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</si>
  <si>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</si>
  <si>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</si>
  <si>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</si>
  <si>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</si>
  <si>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</si>
  <si>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</si>
  <si>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</si>
  <si>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</si>
  <si>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</si>
  <si>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</si>
  <si>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TRIDATA</t>
  </si>
  <si>
    <t>0623</t>
  </si>
  <si>
    <t>0624</t>
  </si>
  <si>
    <t>lns</t>
  </si>
  <si>
    <t>0625</t>
  </si>
  <si>
    <t>0626</t>
  </si>
  <si>
    <t>0627</t>
  </si>
  <si>
    <t>0628</t>
  </si>
  <si>
    <t>0629</t>
  </si>
  <si>
    <t>0630</t>
  </si>
  <si>
    <t>GlobalNet</t>
  </si>
  <si>
    <t>0631</t>
  </si>
  <si>
    <t>Kumara</t>
  </si>
  <si>
    <t>0632</t>
  </si>
  <si>
    <t>0633</t>
  </si>
  <si>
    <t>Mahawira</t>
  </si>
  <si>
    <t>0634</t>
  </si>
  <si>
    <t>media cepat</t>
  </si>
  <si>
    <t>0635</t>
  </si>
  <si>
    <t>0636</t>
  </si>
  <si>
    <t>0637</t>
  </si>
  <si>
    <t>0638</t>
  </si>
  <si>
    <t>0639</t>
  </si>
  <si>
    <t>0640</t>
  </si>
  <si>
    <t>0641</t>
  </si>
  <si>
    <t>0642</t>
  </si>
  <si>
    <t>INDONUSA</t>
  </si>
  <si>
    <t>0643</t>
  </si>
  <si>
    <t>0644</t>
  </si>
  <si>
    <t>0645</t>
  </si>
  <si>
    <t>0646</t>
  </si>
  <si>
    <t>CHIABINET</t>
  </si>
  <si>
    <t>0647</t>
  </si>
  <si>
    <t>TERAINDO</t>
  </si>
  <si>
    <t>0648</t>
  </si>
  <si>
    <t>0649</t>
  </si>
  <si>
    <t>zambilis</t>
  </si>
  <si>
    <t>0650</t>
  </si>
  <si>
    <t>MAXCLOUD</t>
  </si>
  <si>
    <t>0651</t>
  </si>
  <si>
    <t>0652</t>
  </si>
  <si>
    <t>0653</t>
  </si>
  <si>
    <t>PARIMAS</t>
  </si>
  <si>
    <t>0654</t>
  </si>
  <si>
    <t>0655</t>
  </si>
  <si>
    <t>0656</t>
  </si>
  <si>
    <t>0657</t>
  </si>
  <si>
    <t>DESIBLE ERADATA</t>
  </si>
  <si>
    <t>0658</t>
  </si>
  <si>
    <t>GLOBAL INTERNET INDO</t>
  </si>
  <si>
    <t>0659</t>
  </si>
  <si>
    <t>0660</t>
  </si>
  <si>
    <t>0661</t>
  </si>
  <si>
    <t>GIGA NET</t>
  </si>
  <si>
    <t>OUT &amp; IN</t>
  </si>
  <si>
    <t>0662</t>
  </si>
  <si>
    <t>gopal</t>
  </si>
  <si>
    <t>0663</t>
  </si>
  <si>
    <t>0664</t>
  </si>
  <si>
    <t>JTIG</t>
  </si>
  <si>
    <t>0665</t>
  </si>
  <si>
    <t>AJI RAFASHA</t>
  </si>
  <si>
    <t>0666</t>
  </si>
  <si>
    <t>SG.GS</t>
  </si>
  <si>
    <t>0667</t>
  </si>
  <si>
    <t>0668</t>
  </si>
  <si>
    <t>0669</t>
  </si>
  <si>
    <t>0670</t>
  </si>
  <si>
    <t>0671</t>
  </si>
  <si>
    <t>0672</t>
  </si>
  <si>
    <t>CIKAL JAYA</t>
  </si>
  <si>
    <t>0673</t>
  </si>
  <si>
    <t>0674</t>
  </si>
  <si>
    <t>0675</t>
  </si>
  <si>
    <t>HARMONIKA</t>
  </si>
  <si>
    <t>0676</t>
  </si>
  <si>
    <t>0677</t>
  </si>
  <si>
    <t>BERKAH JARINGAN NUSANTARA</t>
  </si>
  <si>
    <t>0678</t>
  </si>
  <si>
    <t>JARINGAN KELUAR BERSAMA</t>
  </si>
  <si>
    <t>0679</t>
  </si>
  <si>
    <t>SARANA TELEMEDIA</t>
  </si>
  <si>
    <t>0680</t>
  </si>
  <si>
    <t>0681</t>
  </si>
  <si>
    <t>0682</t>
  </si>
  <si>
    <t>0683</t>
  </si>
  <si>
    <t>0684</t>
  </si>
  <si>
    <t>0685</t>
  </si>
  <si>
    <t>RIVA</t>
  </si>
  <si>
    <t>0686</t>
  </si>
  <si>
    <t>RADCOM</t>
  </si>
  <si>
    <t>0687</t>
  </si>
  <si>
    <t>0688</t>
  </si>
  <si>
    <t>0689</t>
  </si>
  <si>
    <t>0690</t>
  </si>
  <si>
    <t>0691</t>
  </si>
  <si>
    <t>0692</t>
  </si>
  <si>
    <t>0693</t>
  </si>
  <si>
    <t>CIPTA DATA</t>
  </si>
  <si>
    <t>0694</t>
  </si>
  <si>
    <t>nayantaka</t>
  </si>
  <si>
    <t>0695</t>
  </si>
  <si>
    <t>0696</t>
  </si>
  <si>
    <t>0697</t>
  </si>
  <si>
    <t>0698</t>
  </si>
  <si>
    <t>0699</t>
  </si>
  <si>
    <t>BIGNET</t>
  </si>
  <si>
    <t>0700</t>
  </si>
  <si>
    <t>BERKAT</t>
  </si>
  <si>
    <t>0701</t>
  </si>
  <si>
    <t>samudra</t>
  </si>
  <si>
    <t>0702</t>
  </si>
  <si>
    <t>GLOBAL TEKNOLOGI TERAINDO</t>
  </si>
  <si>
    <t>0703</t>
  </si>
  <si>
    <t>0704</t>
  </si>
  <si>
    <t>0705</t>
  </si>
  <si>
    <t>Java Media</t>
  </si>
  <si>
    <t>0706</t>
  </si>
  <si>
    <t>ilham wifi</t>
  </si>
  <si>
    <t>0707</t>
  </si>
  <si>
    <t>0708</t>
  </si>
  <si>
    <t>CLOUD MEDIA</t>
  </si>
  <si>
    <t>0709</t>
  </si>
  <si>
    <t>0710</t>
  </si>
  <si>
    <t>IN-OUT</t>
  </si>
  <si>
    <t>0711</t>
  </si>
  <si>
    <t>ADHLEIN</t>
  </si>
  <si>
    <t>0712</t>
  </si>
  <si>
    <t>ANGKASA PURA</t>
  </si>
  <si>
    <t>TERMINATE/OUT</t>
  </si>
  <si>
    <t>0713</t>
  </si>
  <si>
    <t>CAKRA</t>
  </si>
  <si>
    <t>0714</t>
  </si>
  <si>
    <t>0715</t>
  </si>
  <si>
    <t>TEKNOLOGI AGUNG</t>
  </si>
  <si>
    <t>0716</t>
  </si>
  <si>
    <t>TELKOM</t>
  </si>
  <si>
    <t>0717</t>
  </si>
  <si>
    <t>0718</t>
  </si>
  <si>
    <t>JARING LAWAH CYBER</t>
  </si>
  <si>
    <t>0719</t>
  </si>
  <si>
    <t>0720</t>
  </si>
  <si>
    <t>0721</t>
  </si>
  <si>
    <t>PHATRIA INTI</t>
  </si>
  <si>
    <t>0722</t>
  </si>
  <si>
    <t>TAKAFUL</t>
  </si>
  <si>
    <t>0723</t>
  </si>
  <si>
    <t>0724</t>
  </si>
  <si>
    <t>ARTHATEL</t>
  </si>
  <si>
    <t>0725</t>
  </si>
  <si>
    <t>0726</t>
  </si>
  <si>
    <t>ARTATEL</t>
  </si>
  <si>
    <t>0727</t>
  </si>
  <si>
    <t>0728</t>
  </si>
  <si>
    <t>0729</t>
  </si>
  <si>
    <t>0730</t>
  </si>
  <si>
    <t>0731</t>
  </si>
  <si>
    <t>TERADATA</t>
  </si>
  <si>
    <t>0732</t>
  </si>
  <si>
    <t>java Media</t>
  </si>
  <si>
    <t>0733</t>
  </si>
  <si>
    <t>0734</t>
  </si>
  <si>
    <t>Myarsilla</t>
  </si>
  <si>
    <t>0735</t>
  </si>
  <si>
    <t>Gayuh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</si>
  <si>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</si>
  <si>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</si>
  <si>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</si>
  <si>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</si>
  <si>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</si>
  <si>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</si>
  <si>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</si>
  <si>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</si>
  <si>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</si>
  <si>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</si>
  <si>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</si>
  <si>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</si>
  <si>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</si>
  <si>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</si>
  <si>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</si>
  <si>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</si>
  <si>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</si>
  <si>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KINGPOLAH - R19</t>
  </si>
  <si>
    <t>RIAN</t>
  </si>
  <si>
    <t>SALMAN</t>
  </si>
  <si>
    <t>0753</t>
  </si>
  <si>
    <t>Septyan</t>
  </si>
  <si>
    <t>Arman</t>
  </si>
  <si>
    <t>0754</t>
  </si>
  <si>
    <t>0755</t>
  </si>
  <si>
    <t>Wildan</t>
  </si>
  <si>
    <t>0756</t>
  </si>
  <si>
    <t>Ryu</t>
  </si>
  <si>
    <t>0757</t>
  </si>
  <si>
    <t>Fahmi</t>
  </si>
  <si>
    <t>Lintang</t>
  </si>
  <si>
    <t>0758</t>
  </si>
  <si>
    <t>Ridwan</t>
  </si>
  <si>
    <t>0759</t>
  </si>
  <si>
    <t xml:space="preserve">   X</t>
  </si>
  <si>
    <t>Haidar</t>
  </si>
  <si>
    <t>0760</t>
  </si>
  <si>
    <t>CMT &amp; NAWAKARYA</t>
  </si>
  <si>
    <t>OUT R26 &amp; IN R92</t>
  </si>
  <si>
    <t>0761</t>
  </si>
  <si>
    <t>JAVA MEDIA</t>
  </si>
  <si>
    <t>0762</t>
  </si>
  <si>
    <t>Idham</t>
  </si>
  <si>
    <t>0763</t>
  </si>
  <si>
    <t>0764</t>
  </si>
  <si>
    <t>0765</t>
  </si>
  <si>
    <t>Setianda</t>
  </si>
  <si>
    <t>0766</t>
  </si>
  <si>
    <t>0767</t>
  </si>
  <si>
    <t>NAWAKARYA</t>
  </si>
  <si>
    <t>EKO</t>
  </si>
  <si>
    <t>0768</t>
  </si>
  <si>
    <t>PT Global Teknologi Teraindo</t>
  </si>
  <si>
    <t>Sofari</t>
  </si>
  <si>
    <t>NOC Global</t>
  </si>
  <si>
    <t>0769</t>
  </si>
  <si>
    <t>0770</t>
  </si>
  <si>
    <t>0771</t>
  </si>
  <si>
    <t>0772</t>
  </si>
  <si>
    <t>kurnia</t>
  </si>
  <si>
    <t>0773</t>
  </si>
  <si>
    <t>Artatel</t>
  </si>
  <si>
    <t>0774</t>
  </si>
  <si>
    <t>FAHMI</t>
  </si>
  <si>
    <t>SETIANDA</t>
  </si>
  <si>
    <t>0775</t>
  </si>
  <si>
    <t>DWI ARDIANSYAH</t>
  </si>
  <si>
    <t>0776</t>
  </si>
  <si>
    <t>GIGANET</t>
  </si>
  <si>
    <t>0777</t>
  </si>
  <si>
    <t>ABDUL</t>
  </si>
  <si>
    <t>0778</t>
  </si>
  <si>
    <t>0779</t>
  </si>
  <si>
    <t>iN</t>
  </si>
  <si>
    <t>DWI</t>
  </si>
  <si>
    <t>JOHAN</t>
  </si>
  <si>
    <t>0780</t>
  </si>
  <si>
    <t>SEPTIAN</t>
  </si>
  <si>
    <t>0781</t>
  </si>
  <si>
    <t>INVOASI</t>
  </si>
  <si>
    <t>KURNIA</t>
  </si>
  <si>
    <t>0782</t>
  </si>
  <si>
    <t>BAYU</t>
  </si>
  <si>
    <t>0783</t>
  </si>
  <si>
    <t>WILDAN</t>
  </si>
  <si>
    <t>0784</t>
  </si>
  <si>
    <t>arman</t>
  </si>
  <si>
    <t>0785</t>
  </si>
  <si>
    <t>0786</t>
  </si>
  <si>
    <t>anang</t>
  </si>
  <si>
    <t>0787</t>
  </si>
  <si>
    <t>GOPAL</t>
  </si>
  <si>
    <t>MAHDI</t>
  </si>
  <si>
    <t>0788</t>
  </si>
  <si>
    <t>ARMAN</t>
  </si>
  <si>
    <t>0789</t>
  </si>
  <si>
    <t>SEPTYAN</t>
  </si>
  <si>
    <t>0790</t>
  </si>
  <si>
    <t>Tridata</t>
  </si>
  <si>
    <t>0791</t>
  </si>
  <si>
    <t>0792</t>
  </si>
  <si>
    <t>WIFIKCB</t>
  </si>
  <si>
    <t>0793</t>
  </si>
  <si>
    <t>INOVASI NETWORK</t>
  </si>
  <si>
    <t>0794</t>
  </si>
  <si>
    <t>RIZKY</t>
  </si>
  <si>
    <t>0795</t>
  </si>
  <si>
    <t>PT. CLOUD TEKNOLOGI NUSANTARA</t>
  </si>
  <si>
    <t>farizky@ctn.co.id</t>
  </si>
  <si>
    <t>0796</t>
  </si>
  <si>
    <t>PT. ACS WINETO CIKUPA</t>
  </si>
  <si>
    <t>RIZKI PRATAMA</t>
  </si>
  <si>
    <t>0797</t>
  </si>
  <si>
    <t>PT.GARUDA MEDIA</t>
  </si>
  <si>
    <t>kamal</t>
  </si>
  <si>
    <t>0798</t>
  </si>
  <si>
    <t>PT SARANA INDO</t>
  </si>
  <si>
    <t>DIKA FEBRIANA</t>
  </si>
  <si>
    <t>0799</t>
  </si>
  <si>
    <t>MBAYU</t>
  </si>
  <si>
    <t>0800</t>
  </si>
  <si>
    <t>0801</t>
  </si>
  <si>
    <t>Iman</t>
  </si>
  <si>
    <t>0802</t>
  </si>
  <si>
    <t>0803</t>
  </si>
  <si>
    <t>Nurkholis</t>
  </si>
  <si>
    <t>0804</t>
  </si>
  <si>
    <t>0805</t>
  </si>
  <si>
    <t>0806</t>
  </si>
  <si>
    <t>0807</t>
  </si>
  <si>
    <t>30 November 0205</t>
  </si>
  <si>
    <t>0808</t>
  </si>
  <si>
    <t>ALFA OMEGA</t>
  </si>
  <si>
    <t>0809</t>
  </si>
  <si>
    <t xml:space="preserve">XII </t>
  </si>
  <si>
    <t>0810</t>
  </si>
  <si>
    <t>0811</t>
  </si>
  <si>
    <t>SUPERLINK</t>
  </si>
  <si>
    <t>0812</t>
  </si>
  <si>
    <t>FIQRAN</t>
  </si>
  <si>
    <t>RAZAN</t>
  </si>
  <si>
    <t>0813</t>
  </si>
  <si>
    <t>RSTNET</t>
  </si>
  <si>
    <t>0814</t>
  </si>
  <si>
    <t>JENIUS</t>
  </si>
  <si>
    <t>IKHSAN</t>
  </si>
  <si>
    <t>0815</t>
  </si>
  <si>
    <t>SPEED NETWORK INDONESIA</t>
  </si>
  <si>
    <t>RIFQI ARIEF</t>
  </si>
  <si>
    <t>0816</t>
  </si>
  <si>
    <t>FADLI</t>
  </si>
  <si>
    <t>0817</t>
  </si>
  <si>
    <t>PT.ADIDAYA</t>
  </si>
  <si>
    <t>yudi</t>
  </si>
  <si>
    <t>0818</t>
  </si>
  <si>
    <t>0819</t>
  </si>
  <si>
    <t>GOPALNET</t>
  </si>
  <si>
    <t>0820</t>
  </si>
  <si>
    <t>Gilang</t>
  </si>
  <si>
    <t>0821</t>
  </si>
  <si>
    <t>0822</t>
  </si>
  <si>
    <t>Global net multidata</t>
  </si>
  <si>
    <t>Ace</t>
  </si>
  <si>
    <t>0823</t>
  </si>
  <si>
    <t>razan</t>
  </si>
  <si>
    <t>0824</t>
  </si>
  <si>
    <t>Gopal</t>
  </si>
  <si>
    <t>septyan</t>
  </si>
  <si>
    <t>0825</t>
  </si>
  <si>
    <t>INTERNUSA DUTA MAKMUR</t>
  </si>
  <si>
    <t>0826</t>
  </si>
  <si>
    <t>AMAN ISP</t>
  </si>
  <si>
    <t>0827</t>
  </si>
  <si>
    <t>0828</t>
  </si>
  <si>
    <t>BUSANO</t>
  </si>
  <si>
    <t>0829</t>
  </si>
  <si>
    <t>0830</t>
  </si>
  <si>
    <t>0831</t>
  </si>
  <si>
    <t>IN&amp;OUT</t>
  </si>
  <si>
    <t>0832</t>
  </si>
  <si>
    <t>0833</t>
  </si>
  <si>
    <t>Rikrik Rahadian</t>
  </si>
  <si>
    <t>0834</t>
  </si>
  <si>
    <t>INDOSOFT</t>
  </si>
  <si>
    <t>0835</t>
  </si>
  <si>
    <t>0836</t>
  </si>
  <si>
    <t>RYNDO</t>
  </si>
  <si>
    <t>RYU</t>
  </si>
  <si>
    <t>0837</t>
  </si>
  <si>
    <t>0838</t>
  </si>
  <si>
    <t>dwI</t>
  </si>
  <si>
    <t>wildan</t>
  </si>
  <si>
    <t>0839</t>
  </si>
  <si>
    <t>0840</t>
  </si>
  <si>
    <t>0841</t>
  </si>
  <si>
    <t>NUSA JAYA PRASETYO</t>
  </si>
  <si>
    <t>0842</t>
  </si>
  <si>
    <t>NAKA</t>
  </si>
  <si>
    <t>0843</t>
  </si>
  <si>
    <t>0844</t>
  </si>
  <si>
    <t>EXA TELEKOMUNIKASI NUSANTARA</t>
  </si>
  <si>
    <t>RAMLAN</t>
  </si>
  <si>
    <t>0845</t>
  </si>
  <si>
    <t>0846</t>
  </si>
  <si>
    <t>CMT</t>
  </si>
  <si>
    <t>0847</t>
  </si>
  <si>
    <t>ADRIAN</t>
  </si>
  <si>
    <t>0848</t>
  </si>
  <si>
    <t>0849</t>
  </si>
  <si>
    <t>0850</t>
  </si>
  <si>
    <t>ADIDAYA</t>
  </si>
  <si>
    <t>0851</t>
  </si>
  <si>
    <t>0852</t>
  </si>
  <si>
    <t>0853</t>
  </si>
  <si>
    <t>DESIBLE</t>
  </si>
  <si>
    <t>0854</t>
  </si>
  <si>
    <t>ANANG</t>
  </si>
  <si>
    <t>0855</t>
  </si>
  <si>
    <t>0856</t>
  </si>
  <si>
    <t>9 February 0205</t>
  </si>
  <si>
    <t>0857</t>
  </si>
  <si>
    <t>ASRI</t>
  </si>
  <si>
    <t>0858</t>
  </si>
  <si>
    <t>0859</t>
  </si>
  <si>
    <t>JALA INFORMATIKA NUSANTARA</t>
  </si>
  <si>
    <t>0860</t>
  </si>
  <si>
    <t>0861</t>
  </si>
  <si>
    <t>JKB P2</t>
  </si>
  <si>
    <t>IDHAM</t>
  </si>
  <si>
    <t>0862</t>
  </si>
  <si>
    <t>INOVASI</t>
  </si>
  <si>
    <t>0863</t>
  </si>
  <si>
    <t>0864</t>
  </si>
  <si>
    <t>0865</t>
  </si>
  <si>
    <t>0866</t>
  </si>
  <si>
    <t>0867</t>
  </si>
  <si>
    <t>0868</t>
  </si>
  <si>
    <t>GRAHA TELEKOMUNIKASI</t>
  </si>
  <si>
    <t>0869</t>
  </si>
  <si>
    <t>0870</t>
  </si>
  <si>
    <t>DELTABARU</t>
  </si>
  <si>
    <t>0871</t>
  </si>
  <si>
    <t>RAZENDRA</t>
  </si>
  <si>
    <t>0872</t>
  </si>
  <si>
    <t>0873</t>
  </si>
  <si>
    <t>0874</t>
  </si>
  <si>
    <t>0875</t>
  </si>
  <si>
    <t>TOMIHONK</t>
  </si>
  <si>
    <t>Pindah administrasi</t>
  </si>
  <si>
    <t>0876</t>
  </si>
  <si>
    <t>CSNET</t>
  </si>
  <si>
    <t>TERMINATE</t>
  </si>
  <si>
    <t>0877</t>
  </si>
  <si>
    <t>TRISNA MEGA</t>
  </si>
  <si>
    <t>0878</t>
  </si>
  <si>
    <t>0879</t>
  </si>
  <si>
    <t>0880</t>
  </si>
  <si>
    <t>BPR</t>
  </si>
  <si>
    <t>0881</t>
  </si>
  <si>
    <t>ARKANOVA</t>
  </si>
  <si>
    <t>0882</t>
  </si>
  <si>
    <t>JUPITER</t>
  </si>
  <si>
    <t>0883</t>
  </si>
  <si>
    <t>0884</t>
  </si>
  <si>
    <t>KATAJI</t>
  </si>
  <si>
    <t>0885</t>
  </si>
  <si>
    <t>0886</t>
  </si>
  <si>
    <t>0887</t>
  </si>
  <si>
    <t>MOLINDO</t>
  </si>
  <si>
    <t>0888</t>
  </si>
  <si>
    <t>0889</t>
  </si>
  <si>
    <t>IMAN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</si>
  <si>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</si>
  <si>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</si>
  <si>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</si>
  <si>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</si>
  <si>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</si>
  <si>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</si>
  <si>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</si>
  <si>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</si>
  <si>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</si>
  <si>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</si>
  <si>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</si>
  <si>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DATA SERAH TERIMA REPORT MAINTENANCE NEST DAN GHAZA</t>
  </si>
  <si>
    <t>NO. TICKED</t>
  </si>
  <si>
    <t>NAMA COSTUMER VENDOR</t>
  </si>
  <si>
    <t>KETERANGAN KEGIATAN</t>
  </si>
  <si>
    <t>DAFTAR PENGGUNA KARTU AKSES P1</t>
  </si>
  <si>
    <t>NO AKSES</t>
  </si>
  <si>
    <t>NAMA PEMINJAM</t>
  </si>
  <si>
    <t>TGL &amp; JAM MULAI</t>
  </si>
  <si>
    <t>TGL &amp; JAM SELESAI</t>
  </si>
  <si>
    <t>STATUS</t>
  </si>
  <si>
    <t>R 1</t>
  </si>
  <si>
    <t>ready</t>
  </si>
  <si>
    <t>R 2</t>
  </si>
  <si>
    <t>R 3</t>
  </si>
  <si>
    <t>R 4</t>
  </si>
  <si>
    <t>R 5</t>
  </si>
  <si>
    <t>R 6</t>
  </si>
  <si>
    <t>R 7</t>
  </si>
  <si>
    <t>R 8</t>
  </si>
  <si>
    <t>R 9</t>
  </si>
  <si>
    <t>R 10</t>
  </si>
  <si>
    <t>R 11</t>
  </si>
  <si>
    <t>R 12</t>
  </si>
  <si>
    <t>R 13</t>
  </si>
  <si>
    <t>R 14</t>
  </si>
  <si>
    <t>R 15</t>
  </si>
  <si>
    <t xml:space="preserve">   </t>
  </si>
  <si>
    <t>R 16</t>
  </si>
  <si>
    <t>R 17</t>
  </si>
  <si>
    <t>R 18</t>
  </si>
  <si>
    <t>R 19</t>
  </si>
  <si>
    <t>R 20</t>
  </si>
  <si>
    <t>OR 1</t>
  </si>
  <si>
    <t>OR 2</t>
  </si>
  <si>
    <t>OR 3</t>
  </si>
  <si>
    <t>OR 4</t>
  </si>
  <si>
    <t>OR 5</t>
  </si>
  <si>
    <t>DEVICE</t>
  </si>
  <si>
    <t>IP ADDRESS</t>
  </si>
  <si>
    <t>PINTU DEPAN</t>
  </si>
  <si>
    <t>192.168.1.202</t>
  </si>
  <si>
    <t>MMR</t>
  </si>
  <si>
    <t>192.168.1.213</t>
  </si>
  <si>
    <t>HALL &amp; LISTRIK</t>
  </si>
  <si>
    <t>192.168.1.214</t>
  </si>
  <si>
    <t>HALL</t>
  </si>
  <si>
    <t>LISTRIK</t>
  </si>
  <si>
    <t>rack8</t>
  </si>
  <si>
    <t>No</t>
  </si>
  <si>
    <t>Barang</t>
  </si>
  <si>
    <t>QTY</t>
  </si>
  <si>
    <t>Berat</t>
  </si>
  <si>
    <t>Dimensi U</t>
  </si>
  <si>
    <t>SN</t>
  </si>
  <si>
    <t xml:space="preserve">Tanggal Masuk </t>
  </si>
  <si>
    <t xml:space="preserve">Keterangan </t>
  </si>
  <si>
    <t>Close Rack (60x120x200)</t>
  </si>
  <si>
    <t>PDU</t>
  </si>
  <si>
    <t>OTB 24 Core</t>
  </si>
  <si>
    <t>Terpasang</t>
  </si>
  <si>
    <t>terpasang</t>
  </si>
  <si>
    <t>Switch Huawei S6720</t>
  </si>
  <si>
    <t>dari rack 24</t>
  </si>
  <si>
    <t>Switch Cisco 4948E</t>
  </si>
  <si>
    <t>Server Dell R740</t>
  </si>
  <si>
    <t>PT ENERGY TRANSPONDER INDONESIA(out)</t>
  </si>
  <si>
    <t>Mikrotik CCR 1016 12 G</t>
  </si>
  <si>
    <t>PT EKI Neurbi (Colocation) tanpa izin enginer / GOODS OUT</t>
  </si>
  <si>
    <t>Mikrotik CCR 1036 12G 4S</t>
  </si>
  <si>
    <t>D8310D296676/105/r3</t>
  </si>
  <si>
    <t>PT SARANA TELEMEDIA NUSANTARA tanpa izin enginer  / DARI APJII/ terminate, perangkat dimatikan</t>
  </si>
  <si>
    <t>Mikrotik CCR2004-1G-12S+2XS</t>
  </si>
  <si>
    <t>F0710ED6F439</t>
  </si>
  <si>
    <t>18/02/2022 (OUT 2/1/25)</t>
  </si>
  <si>
    <t>PT JEMBER TEKNOLOGI SOLUSI (JETNETS) PIC IDHAM</t>
  </si>
  <si>
    <t>9TPWZG2</t>
  </si>
  <si>
    <t>CDN ( PINDAH KE RACK CTN )</t>
  </si>
  <si>
    <t>Mikrotik CCR1036-8G-4s</t>
  </si>
  <si>
    <t>D8370EA76E/127/R3</t>
  </si>
  <si>
    <t>23/02/2022 (KELUAR TANGGAL 19/05/2023</t>
  </si>
  <si>
    <t>PT FAHASA TRI DATA (Rahman)</t>
  </si>
  <si>
    <t>CCR 2116</t>
  </si>
  <si>
    <t>F1990F494395/205</t>
  </si>
  <si>
    <t>INTELMEDIA</t>
  </si>
  <si>
    <t>F105096570/205</t>
  </si>
  <si>
    <t>CCR 1036-8G-2S+</t>
  </si>
  <si>
    <t>good out 22 desember 2023</t>
  </si>
  <si>
    <t>D8370FEE809C/149/r3</t>
  </si>
  <si>
    <t>PT AROZAK BIMA YUDHA SANGKARA (abys) [ out 22/5/2025 ]</t>
  </si>
  <si>
    <t>CCR 2116-12G-4S+</t>
  </si>
  <si>
    <t>F1990FED0058/152</t>
  </si>
  <si>
    <t>PT. PUSAKA KREASI MANDIRI (OUT)</t>
  </si>
  <si>
    <t>Router Bitbox</t>
  </si>
  <si>
    <t>G4S+20211220003</t>
  </si>
  <si>
    <t>PT SAYAGINET BROADBAND COMPANY (out 8/11/24)</t>
  </si>
  <si>
    <t>SERVER HP</t>
  </si>
  <si>
    <t>SGH820VARW</t>
  </si>
  <si>
    <t>dari rack 24 (out)</t>
  </si>
  <si>
    <t>Server Dell 0073M0-FCTOO-7AA-004H-A00</t>
  </si>
  <si>
    <t>24CYPM2</t>
  </si>
  <si>
    <t>SMKN 1 SUBANG  out 30/07/2024</t>
  </si>
  <si>
    <t>CCR 1036 -86-2S +</t>
  </si>
  <si>
    <t>PT.LANCAR ARTHA MEDIA DATA, PT (LAMDA) (GOODS OUT 10/1/2024)</t>
  </si>
  <si>
    <t>CRS 326 -24S+2Q</t>
  </si>
  <si>
    <t>PT ANDALAN PRATAMA INDONESIA(out)</t>
  </si>
  <si>
    <t>CCR2116-12G-4S +</t>
  </si>
  <si>
    <t>F1990F63CCF8/152</t>
  </si>
  <si>
    <t>Cepat Multi Data (cmd) dari MMR Rack 6</t>
  </si>
  <si>
    <t>RB4011iGS+RM</t>
  </si>
  <si>
    <t>HC907MDG0S/209/r2</t>
  </si>
  <si>
    <t>07/07/2022/ TERMINATE PER 31 Agustus 2023</t>
  </si>
  <si>
    <t>Toba Jaya Net</t>
  </si>
  <si>
    <t>Juniper Mx204</t>
  </si>
  <si>
    <t>FT899</t>
  </si>
  <si>
    <t>CDN PIC IDHAM (PINDAH KE RACK 42)</t>
  </si>
  <si>
    <t>CCR 1009-7G-1C-1ST</t>
  </si>
  <si>
    <t>E321OF44695F</t>
  </si>
  <si>
    <t>11/08/2022 /PINDAH KE RACK 43</t>
  </si>
  <si>
    <t>PT. WIKAPLUS GLOBAL NUSANTARA</t>
  </si>
  <si>
    <t>CCR2216-1G-12XS-2XQ</t>
  </si>
  <si>
    <t>PINDAHAN DARI RACK MARVATEL Bumi Manusia (Takalink)    (OUT 4/5/2025)</t>
  </si>
  <si>
    <t>5EC205F952C9/543</t>
  </si>
  <si>
    <t>PT. SAYAGINET (GOODS OUT)</t>
  </si>
  <si>
    <t>Juniper Netwoks MX204</t>
  </si>
  <si>
    <t>FE309</t>
  </si>
  <si>
    <t>6/02/2023 (PINDAH KE RACK 39)</t>
  </si>
  <si>
    <t>PT. CAHAYA SOLUSI CSNET</t>
  </si>
  <si>
    <t>SERVER DELL R360</t>
  </si>
  <si>
    <t>6JF11L2</t>
  </si>
  <si>
    <t>19/05/2023 (DARI RACK 9)</t>
  </si>
  <si>
    <t>MIKROTIK RB 4011</t>
  </si>
  <si>
    <t>-</t>
  </si>
  <si>
    <t>hsp</t>
  </si>
  <si>
    <t>rb4011</t>
  </si>
  <si>
    <t>MIKROTIK RB4011</t>
  </si>
  <si>
    <t>LINGKRA</t>
  </si>
  <si>
    <t>MIKROTIK CCR2116</t>
  </si>
  <si>
    <t>HF2095HZ5NE/335</t>
  </si>
  <si>
    <t>LINGKRA (out)</t>
  </si>
  <si>
    <t>JUNIPER MX204</t>
  </si>
  <si>
    <t>GM572</t>
  </si>
  <si>
    <t>LAMDA (PINDAHAN DARI RACK9 9/1/2024) (out)</t>
  </si>
  <si>
    <t>DELL R750XS</t>
  </si>
  <si>
    <t>3XQBC04</t>
  </si>
  <si>
    <t>Dell R740XD</t>
  </si>
  <si>
    <t>8WCXB33</t>
  </si>
  <si>
    <t>DISKOMINFO CIREBON (PINDAH KE RACK 8 P1)</t>
  </si>
  <si>
    <t>Huawei ATN 910-D</t>
  </si>
  <si>
    <t>98ATN004512FA-001</t>
  </si>
  <si>
    <t>08/11/2024 OUT 22/12/25</t>
  </si>
  <si>
    <t>PT SAYAGINET BROADBAND COMPANY</t>
  </si>
  <si>
    <t>Meraki MX85</t>
  </si>
  <si>
    <t>Q2YN-X2EY-KTCL</t>
  </si>
  <si>
    <t>21/11/2024 PINDAH KE RACK 51 7/11/2024</t>
  </si>
  <si>
    <t xml:space="preserve">PT ENERGY TRANSPONDER INDONESIA </t>
  </si>
  <si>
    <t>Storage Qnap</t>
  </si>
  <si>
    <t>QN4SP00629A</t>
  </si>
  <si>
    <t>PT ENERGY TRANSPONDER INDONESIA</t>
  </si>
  <si>
    <t>Switch ARUBA 6000</t>
  </si>
  <si>
    <t>CN35L3M45T</t>
  </si>
  <si>
    <t>FAHASA ( OUT 18/2/25)</t>
  </si>
  <si>
    <t>r630</t>
  </si>
  <si>
    <t>HUAWEI S6745S</t>
  </si>
  <si>
    <t>R620</t>
  </si>
  <si>
    <t>out 23/12/25</t>
  </si>
  <si>
    <t>Raptor-1CQ+GE</t>
  </si>
  <si>
    <t>ABYS211124100GGE</t>
  </si>
  <si>
    <t>TERPASANG</t>
  </si>
  <si>
    <t>ATN 910D</t>
  </si>
  <si>
    <t>210235K</t>
  </si>
  <si>
    <t>out 1/4/26</t>
  </si>
  <si>
    <t xml:space="preserve">KATAJI </t>
  </si>
  <si>
    <t>HPE PROLIANT DL 380</t>
  </si>
  <si>
    <t>SGH613XSHD</t>
  </si>
  <si>
    <t>Huawei ATN 910D-A</t>
  </si>
  <si>
    <t>Total</t>
  </si>
  <si>
    <t>RACK 9 HSPNET</t>
  </si>
  <si>
    <t>Dimensi</t>
  </si>
  <si>
    <t>Keterangan</t>
  </si>
  <si>
    <t>Server Dell EMC EMC R740xd</t>
  </si>
  <si>
    <t>60B5R13</t>
  </si>
  <si>
    <t>dari rak 24</t>
  </si>
  <si>
    <t>Server HP DL380 Gen 10</t>
  </si>
  <si>
    <t>2M201005YY</t>
  </si>
  <si>
    <t>HSP</t>
  </si>
  <si>
    <t>2102351MXN10L1000433</t>
  </si>
  <si>
    <t>POWER EDGE R630</t>
  </si>
  <si>
    <t>7BCDWL2</t>
  </si>
  <si>
    <t>intelmedia out 03/10/2024</t>
  </si>
  <si>
    <t>CCR 2116-12g-4s+</t>
  </si>
  <si>
    <t>F1990F73E7B7</t>
  </si>
  <si>
    <t>31/08/2022 (PINDAH KE RACK 44 )</t>
  </si>
  <si>
    <t>CCR1009-7G-1C-1S+</t>
  </si>
  <si>
    <t>E3200DC08888</t>
  </si>
  <si>
    <t>PT. GLOBUS MELIA INDOTAMA(TERMINATE 1/4/2024)</t>
  </si>
  <si>
    <t>E3200F7EBCEB/145/r2</t>
  </si>
  <si>
    <t>PT.GRAHA SUMBER TEKNOLOGI</t>
  </si>
  <si>
    <t>Crs 326 24S+2Q+RM</t>
  </si>
  <si>
    <t>D84EOF88FA5F/208/2</t>
  </si>
  <si>
    <t>Takalink</t>
  </si>
  <si>
    <t xml:space="preserve">Cisco Nexcus </t>
  </si>
  <si>
    <t>CDN PINDAH KE RACK 42</t>
  </si>
  <si>
    <t>SERVER HP DL360 G10</t>
  </si>
  <si>
    <t>MXQ911047K</t>
  </si>
  <si>
    <t>SERVER HSP PINDAHAN DARI RACK 38 GIGANET</t>
  </si>
  <si>
    <t>MXQ9110482</t>
  </si>
  <si>
    <t>MXQ911048P</t>
  </si>
  <si>
    <t>CRS317-1G-16+</t>
  </si>
  <si>
    <t>HCJ080VFZNQ</t>
  </si>
  <si>
    <t>12/12/2022 OUT</t>
  </si>
  <si>
    <t>PT.SAKTI WIJATA NETWORK</t>
  </si>
  <si>
    <t>CRS310-1G-5S</t>
  </si>
  <si>
    <t xml:space="preserve">GOODS OUT </t>
  </si>
  <si>
    <t xml:space="preserve"> Server DLRX630</t>
  </si>
  <si>
    <t>9TJ20A2</t>
  </si>
  <si>
    <t>SERVER DELL POWER EDGE R620</t>
  </si>
  <si>
    <t>F3RJG2S</t>
  </si>
  <si>
    <t>19/12/2022 (GOODS OUT)</t>
  </si>
  <si>
    <t>SERVER TRAHARJA</t>
  </si>
  <si>
    <t>19/01/2023 (pindah ke rack 8)</t>
  </si>
  <si>
    <t>19/05/2023 (PINDAH KE RACK 8)</t>
  </si>
  <si>
    <t xml:space="preserve">HUAWEI </t>
  </si>
  <si>
    <t>TT0TA4941703X4N</t>
  </si>
  <si>
    <t>19/05/2023 (PINDAH KE MMR RACK 8)</t>
  </si>
  <si>
    <t xml:space="preserve">RECTI HUAWEI </t>
  </si>
  <si>
    <t>Huawei S6735S-S24X6C</t>
  </si>
  <si>
    <t xml:space="preserve"> N9APX3A58N8PTXP</t>
  </si>
  <si>
    <t>FAHASA / EWO HSP</t>
  </si>
  <si>
    <t>AXIOMTEK NA860 R2GI</t>
  </si>
  <si>
    <t>E21AA21060640001</t>
  </si>
  <si>
    <t xml:space="preserve">SERVER HP DL360 </t>
  </si>
  <si>
    <t>CN7923006T</t>
  </si>
  <si>
    <t>UNIVERSITAS PERBANGSA KARAWANG</t>
  </si>
  <si>
    <t>MIKROTIK CCR 1036</t>
  </si>
  <si>
    <t>HE608X7KAFX/306/R3</t>
  </si>
  <si>
    <t>NIZAM/ PT Mitra Mandiri Network</t>
  </si>
  <si>
    <t>SERVER DELL R740</t>
  </si>
  <si>
    <t>8B2XVV2</t>
  </si>
  <si>
    <t>HP PROLIANT DL380 GEN10</t>
  </si>
  <si>
    <t>SGH929YHBV</t>
  </si>
  <si>
    <t>LAMDA (PINDAH KE RACK 8 9/1/2024)</t>
  </si>
  <si>
    <t>GM458</t>
  </si>
  <si>
    <t>CSNET (PINDAH KE RACK 39 9/1/2024)</t>
  </si>
  <si>
    <t xml:space="preserve">RB5009 </t>
  </si>
  <si>
    <t>HFJ09FEQZV/350</t>
  </si>
  <si>
    <t>ULO ARTHATEL</t>
  </si>
  <si>
    <t>CCR1036-8G-2S+</t>
  </si>
  <si>
    <t>09/11/2023 out 19/7/2025</t>
  </si>
  <si>
    <t>SERVER DELL R630</t>
  </si>
  <si>
    <t>HQBMHG2</t>
  </si>
  <si>
    <t>INTELMEDIA (rendra net)</t>
  </si>
  <si>
    <t>PC DELL OPTIPLEX 3080</t>
  </si>
  <si>
    <t>NEST</t>
  </si>
  <si>
    <t>3R8QY42</t>
  </si>
  <si>
    <t>29/10/2024 out 19/7/25</t>
  </si>
  <si>
    <t>PT.GLOBAL INTERNET INDO</t>
  </si>
  <si>
    <t>CCR2004-16G-2S+</t>
  </si>
  <si>
    <t>HH30A484J0K/r3</t>
  </si>
  <si>
    <t>PT GLOBAL INTERNET INDO</t>
  </si>
  <si>
    <t>CCR 1072</t>
  </si>
  <si>
    <t>8A340B8459597943</t>
  </si>
  <si>
    <t>16/07/2025 ( 4/11/25 pindah ke 22 p1 )</t>
  </si>
  <si>
    <t>Lenovo SR250V2</t>
  </si>
  <si>
    <t>J901HALH</t>
  </si>
  <si>
    <t>17/09/2025 ( 4/11/25 pindah ke 22 p1 )</t>
  </si>
  <si>
    <t>CCR2116-12G-4S+</t>
  </si>
  <si>
    <t>HHE0A4BKB6N/r2</t>
  </si>
  <si>
    <t>RACK 11 HSPNET - 42U</t>
  </si>
  <si>
    <t>OSN 9800 M12</t>
  </si>
  <si>
    <t>TMFK1AFB07</t>
  </si>
  <si>
    <t>TERPASANG DARI RACK 12</t>
  </si>
  <si>
    <t xml:space="preserve">RETIFIER </t>
  </si>
  <si>
    <t>BN1920001201</t>
  </si>
  <si>
    <t>CIENA MUX/DEMUX MODULE</t>
  </si>
  <si>
    <t>NNTMRT1955</t>
  </si>
  <si>
    <t>RACK 12 HSPNET - 42U</t>
  </si>
  <si>
    <t>PINDAH KE RACK 11</t>
  </si>
  <si>
    <t>OSN 9800 U32</t>
  </si>
  <si>
    <t>TNKB2RACK02</t>
  </si>
  <si>
    <t>TRANSPONDER ITN8200</t>
  </si>
  <si>
    <t>103003039501A24510A0010G</t>
  </si>
  <si>
    <t>RACK 13 HSPNET</t>
  </si>
  <si>
    <t>Switch HUAWEI S6730</t>
  </si>
  <si>
    <t>PINDAH KE RACK 15</t>
  </si>
  <si>
    <t>DWDM Raisecom</t>
  </si>
  <si>
    <t>Switch HUAWEI S6720</t>
  </si>
  <si>
    <t>Rectifier 48V Huawei ETP4890</t>
  </si>
  <si>
    <t>iTN8200-II-DC</t>
  </si>
  <si>
    <t>103003039501A24B07A0017G</t>
  </si>
  <si>
    <t>Terpasang(pindahan dari rack 25)</t>
  </si>
  <si>
    <t>OPCOM DCM 100 RAISECOM</t>
  </si>
  <si>
    <t>2.35</t>
  </si>
  <si>
    <t>OTB 96</t>
  </si>
  <si>
    <t>ITN 8200-II-MUX48</t>
  </si>
  <si>
    <t>164500002810A25A23A0028G</t>
  </si>
  <si>
    <t>pindahan darai 26</t>
  </si>
  <si>
    <t>RACK 23 HSPNET</t>
  </si>
  <si>
    <t>Berat Kg.</t>
  </si>
  <si>
    <t>goodout/ 8/8/2024</t>
  </si>
  <si>
    <t xml:space="preserve">Switch Cumulus FS </t>
  </si>
  <si>
    <t>goodout</t>
  </si>
  <si>
    <t>Switch Cumulus Arista</t>
  </si>
  <si>
    <t>PINDAH KE P2</t>
  </si>
  <si>
    <t>Server FNA Del 380 Gen10</t>
  </si>
  <si>
    <t>Switch Cisco NCS 5001</t>
  </si>
  <si>
    <t>pindah ke rack 11 p2</t>
  </si>
  <si>
    <t>Switch Juniper QFX 5200</t>
  </si>
  <si>
    <t>goodsout</t>
  </si>
  <si>
    <t>Server GGC Dell E38S/R740</t>
  </si>
  <si>
    <t>Juniper MX204</t>
  </si>
  <si>
    <t>HUAWEI S6730</t>
  </si>
  <si>
    <t>PINDAH KE MMR P1 OR 10</t>
  </si>
  <si>
    <t>pindah ke rack 49 p2 (21/1/25)</t>
  </si>
  <si>
    <t>PINDAH KE RACK 31</t>
  </si>
  <si>
    <t>FQ113</t>
  </si>
  <si>
    <t>FG992</t>
  </si>
  <si>
    <t>Huawei S6750</t>
  </si>
  <si>
    <t>pndah rack 15</t>
  </si>
  <si>
    <t>belom terpasang</t>
  </si>
  <si>
    <t xml:space="preserve">MX10k4 </t>
  </si>
  <si>
    <t>HL172</t>
  </si>
  <si>
    <t>RACK 24 HSPNET</t>
  </si>
  <si>
    <t>WH0221400025</t>
  </si>
  <si>
    <t>goods out</t>
  </si>
  <si>
    <t>CCR2116-12G-4S</t>
  </si>
  <si>
    <t>F1990F6D33AC/152</t>
  </si>
  <si>
    <t>JUNIPER MX480</t>
  </si>
  <si>
    <t>KELUAR 17/07/2023</t>
  </si>
  <si>
    <t>Modul Juniper MX480</t>
  </si>
  <si>
    <t>TIDAK TERPASANG</t>
  </si>
  <si>
    <t>RB 4011</t>
  </si>
  <si>
    <t>FAD30F68FC7B</t>
  </si>
  <si>
    <t>dari apjii</t>
  </si>
  <si>
    <t>QFX 5210-64C</t>
  </si>
  <si>
    <t>JUNIPER MX10003</t>
  </si>
  <si>
    <t>BCCX5478</t>
  </si>
  <si>
    <t>FT892</t>
  </si>
  <si>
    <t>FT891</t>
  </si>
  <si>
    <t>RB5009</t>
  </si>
  <si>
    <t>JUNIPER ACX7100-32C-AC-AO</t>
  </si>
  <si>
    <t>YX3622170070</t>
  </si>
  <si>
    <t>CMM6H10CRA / YX3622170186</t>
  </si>
  <si>
    <t>KELUAR TANGGAL 3/5/2023</t>
  </si>
  <si>
    <t xml:space="preserve">HUAWEI S6730 </t>
  </si>
  <si>
    <t>BELUM TERPASANG</t>
  </si>
  <si>
    <t>Router Mikrotik RB5009UG+S+IN</t>
  </si>
  <si>
    <t>EC190F491F6B/142</t>
  </si>
  <si>
    <t>DARI RACK 25 (TERPASANG)</t>
  </si>
  <si>
    <t>EC190F123D45/145</t>
  </si>
  <si>
    <t>EC190FDBEDS7/142</t>
  </si>
  <si>
    <t>EC190KFCED04/142</t>
  </si>
  <si>
    <t>PINDAH KE RACK 39</t>
  </si>
  <si>
    <t>Server mx204</t>
  </si>
  <si>
    <t>FU036</t>
  </si>
  <si>
    <t>Huawei S6730</t>
  </si>
  <si>
    <t>PINDAH KE RACK 49 P2(21/1/25)</t>
  </si>
  <si>
    <t>pindah ke rack 23</t>
  </si>
  <si>
    <t>HUAWEI S6731</t>
  </si>
  <si>
    <t>1020c0065197</t>
  </si>
  <si>
    <t>NV PLEX-X</t>
  </si>
  <si>
    <t>OTB 96 Core</t>
  </si>
  <si>
    <t>ITN 8200-II-DC</t>
  </si>
  <si>
    <t>103003039501A25A31A0035G</t>
  </si>
  <si>
    <t>PINDAH KE RACK 26</t>
  </si>
  <si>
    <t>RACK 25 HSPNET</t>
  </si>
  <si>
    <t xml:space="preserve">Jumlah </t>
  </si>
  <si>
    <t>Switch Huawei S6730</t>
  </si>
  <si>
    <t>PoweEdge  R740 Xd</t>
  </si>
  <si>
    <t>Server Dell Power Edge R630</t>
  </si>
  <si>
    <t>01/09/2022 (out)</t>
  </si>
  <si>
    <t>PINDAH KE RACK 24</t>
  </si>
  <si>
    <t>Server Dell R740xD</t>
  </si>
  <si>
    <t>3H2CGR3</t>
  </si>
  <si>
    <t>01/09/2022 (OUT)</t>
  </si>
  <si>
    <t>01/09/2022 (OUT</t>
  </si>
  <si>
    <t>7L1H7K2</t>
  </si>
  <si>
    <t>1X8 BISON NV MEX-X</t>
  </si>
  <si>
    <t>MX-2151-0052</t>
  </si>
  <si>
    <t>PINDAH DARI RACK 1 (OUT)</t>
  </si>
  <si>
    <t>MX-2151-0059</t>
  </si>
  <si>
    <t>MX-2151-0010</t>
  </si>
  <si>
    <t>MX-2151-0041</t>
  </si>
  <si>
    <t>MX-2151-0063</t>
  </si>
  <si>
    <t>MX-2151-0007</t>
  </si>
  <si>
    <t>MX-2151-0037</t>
  </si>
  <si>
    <t>SEASTONE DX 1010</t>
  </si>
  <si>
    <t>DX010B2FO91610AK20015</t>
  </si>
  <si>
    <t>SWITCH QUANTUM MESH</t>
  </si>
  <si>
    <t>AKL353910</t>
  </si>
  <si>
    <t>SERVER MBX 3300</t>
  </si>
  <si>
    <t>PINDAH KE P2 rack 11 (OUT)</t>
  </si>
  <si>
    <t>PTX</t>
  </si>
  <si>
    <t xml:space="preserve">RECTIFIER </t>
  </si>
  <si>
    <t>pindah ke rack 13</t>
  </si>
  <si>
    <t>iTN8600-I-DC</t>
  </si>
  <si>
    <t>103003033002S23609A0011G</t>
  </si>
  <si>
    <t>103003039501A26124A0007G</t>
  </si>
  <si>
    <t>pindahan dari 26</t>
  </si>
  <si>
    <t>RACK 26 HSPNET</t>
  </si>
  <si>
    <t>WH3621410019</t>
  </si>
  <si>
    <t>Switch Juniper QFX5210</t>
  </si>
  <si>
    <t>YB0221440054</t>
  </si>
  <si>
    <t xml:space="preserve">Juniper MX480 </t>
  </si>
  <si>
    <t>JN12664A4AFB</t>
  </si>
  <si>
    <t>GOODS OUT TANGGAL 24 NOVEMBER 2022</t>
  </si>
  <si>
    <t>1020C0065203</t>
  </si>
  <si>
    <t xml:space="preserve">ROUTER ITN </t>
  </si>
  <si>
    <t>MD20257226</t>
  </si>
  <si>
    <t>Modul DWDM</t>
  </si>
  <si>
    <t>terpsang</t>
  </si>
  <si>
    <t>Huawei S6720</t>
  </si>
  <si>
    <t xml:space="preserve">RAISECOM ITN </t>
  </si>
  <si>
    <t>RAISECOM INT 8600</t>
  </si>
  <si>
    <t>103003033002S2272950014G</t>
  </si>
  <si>
    <t>QFX5200-32C</t>
  </si>
  <si>
    <t>SERVER GGC DELL R740</t>
  </si>
  <si>
    <t>BCNHMW3</t>
  </si>
  <si>
    <t>CCNHMW3</t>
  </si>
  <si>
    <t>MX10003-BASE</t>
  </si>
  <si>
    <t>JN5E4A1FEJCB</t>
  </si>
  <si>
    <t>JUNIPER QFX 5210-64C</t>
  </si>
  <si>
    <t>YB3622080012</t>
  </si>
  <si>
    <t>TRANSPONDER</t>
  </si>
  <si>
    <t>103003033002S23609A0019G</t>
  </si>
  <si>
    <t>QFX 5210 64C</t>
  </si>
  <si>
    <t>YB3623090137</t>
  </si>
  <si>
    <t>OTB 48C</t>
  </si>
  <si>
    <t>ITN 8600-I-DC</t>
  </si>
  <si>
    <t>103003033002S23531A007G</t>
  </si>
  <si>
    <t xml:space="preserve">Emerson Network Power </t>
  </si>
  <si>
    <t>ITN 8200 - II - DC</t>
  </si>
  <si>
    <t>103003039501A24B07A0023G</t>
  </si>
  <si>
    <t>TERpasang</t>
  </si>
  <si>
    <t>103003039501A24B07A0033G</t>
  </si>
  <si>
    <t>pindah ke rack 25</t>
  </si>
  <si>
    <t>PINDAHAN DARI RACK 24</t>
  </si>
  <si>
    <t>Ruang NOC</t>
  </si>
  <si>
    <t>NO</t>
  </si>
  <si>
    <t>Monitor</t>
  </si>
  <si>
    <t>Keyboard</t>
  </si>
  <si>
    <t>Troli</t>
  </si>
  <si>
    <t>Obeng Set</t>
  </si>
  <si>
    <t>Tang</t>
  </si>
  <si>
    <t xml:space="preserve">Tangga Lipat mini </t>
  </si>
  <si>
    <t xml:space="preserve">Sendal Jepit Server </t>
  </si>
  <si>
    <t>10 Unit</t>
  </si>
  <si>
    <t>Handphone</t>
  </si>
  <si>
    <t>1 unit</t>
  </si>
  <si>
    <t>Printer</t>
  </si>
  <si>
    <t>Crimping</t>
  </si>
  <si>
    <t xml:space="preserve">  </t>
  </si>
  <si>
    <t>PT. SOLUSI DATA CEPAT</t>
  </si>
  <si>
    <t>Gedung Cyber Lantai 8-9, JL Kuningan Barat Raya, No. 8, Jakarta Selatan</t>
  </si>
  <si>
    <t>Lantai 8</t>
  </si>
  <si>
    <t>PENGIRIM : PT. PARSAORAN GLOBAL DATATRANS</t>
  </si>
  <si>
    <t>Rack 22 PT VISSIE CYBER DATA 1/2 RACK</t>
  </si>
  <si>
    <t xml:space="preserve">QTY </t>
  </si>
  <si>
    <t>Keterangann</t>
  </si>
  <si>
    <t>OTB 24 C</t>
  </si>
  <si>
    <t>CRS 326-24S+2Q+RM</t>
  </si>
  <si>
    <t>BITBOX</t>
  </si>
  <si>
    <t>Good Out</t>
  </si>
  <si>
    <t>Server Dell Poweredge R630</t>
  </si>
  <si>
    <t>Rack 22 Parimas 1/2 RACK</t>
  </si>
  <si>
    <t>HP DL 380 G8</t>
  </si>
  <si>
    <t>Good In</t>
  </si>
  <si>
    <t>OTB 24 CORE</t>
  </si>
  <si>
    <t>HP Proliant DL385p Gen 8</t>
  </si>
  <si>
    <t>SGH436NVLH</t>
  </si>
  <si>
    <t xml:space="preserve">mikrotik RB 5009 </t>
  </si>
  <si>
    <t>HC907QF2RM5/210</t>
  </si>
  <si>
    <t xml:space="preserve">mikrotik GX4 </t>
  </si>
  <si>
    <t>HCM08DCJ7Q2/221/R2</t>
  </si>
  <si>
    <t>Mikrotik RB 3011</t>
  </si>
  <si>
    <t xml:space="preserve">E7E60FA84A50/136/rr
</t>
  </si>
  <si>
    <t>Server Dell R630</t>
  </si>
  <si>
    <t>47GYHD2</t>
  </si>
  <si>
    <t>2NWWQ52</t>
  </si>
  <si>
    <t>Server Del R620</t>
  </si>
  <si>
    <t>JDR0232</t>
  </si>
  <si>
    <t>Huawei ATN 910D</t>
  </si>
  <si>
    <t>DC Supply Power</t>
  </si>
  <si>
    <t>mikrotik CCR1009-7G-1C-1S+</t>
  </si>
  <si>
    <t>TERMINATE PER 19 AGUSTUS 2025</t>
  </si>
  <si>
    <t>RACK 1 PT INTERNUSA DUTA MAKMUR</t>
  </si>
  <si>
    <t>MX204</t>
  </si>
  <si>
    <t>JG637</t>
  </si>
  <si>
    <t>HUAWEI S6750</t>
  </si>
  <si>
    <t>BELUM MASUK ( EMAIL 13/2/26 )</t>
  </si>
  <si>
    <t>l</t>
  </si>
  <si>
    <t>Rack 3 TELINDO NUSANTARA</t>
  </si>
  <si>
    <t>FC5B26410A50</t>
  </si>
  <si>
    <t>Mikrobits Dinara v3</t>
  </si>
  <si>
    <t>FC5B26410948</t>
  </si>
  <si>
    <t>Cisco C4948</t>
  </si>
  <si>
    <t>FOX1618G031</t>
  </si>
  <si>
    <t>FOX1410G1J7</t>
  </si>
  <si>
    <t>Pindah MMR Rack 6</t>
  </si>
  <si>
    <t>FOX1410G8VL</t>
  </si>
  <si>
    <t>Cisco C3560</t>
  </si>
  <si>
    <t>Cisco C3750</t>
  </si>
  <si>
    <t>Server Lenovo X3550M5</t>
  </si>
  <si>
    <t>1331XMP</t>
  </si>
  <si>
    <t>J334NRX</t>
  </si>
  <si>
    <t>Server HP DL360</t>
  </si>
  <si>
    <t>CN7819A345</t>
  </si>
  <si>
    <t>Mikrotik  1100AHx4</t>
  </si>
  <si>
    <t>CE9A0C5D19B0</t>
  </si>
  <si>
    <t>J30FZED</t>
  </si>
  <si>
    <t>Dari apjii ( out 17/6/25 )</t>
  </si>
  <si>
    <t>Server HP Proliant DL380 G5</t>
  </si>
  <si>
    <t>USE743NGHJ</t>
  </si>
  <si>
    <t>Terpasang- dari apjii ( out 17/6/25 )</t>
  </si>
  <si>
    <t>USE743NGHL</t>
  </si>
  <si>
    <t>Terpasang- dari apjii</t>
  </si>
  <si>
    <t>SGH320VR4K</t>
  </si>
  <si>
    <t>Server HP Proliant DL360 G5</t>
  </si>
  <si>
    <t>CN7819A34R</t>
  </si>
  <si>
    <t>CN7819A3A2</t>
  </si>
  <si>
    <t>Server IBM X3650</t>
  </si>
  <si>
    <t>99R4484</t>
  </si>
  <si>
    <t>99R3239</t>
  </si>
  <si>
    <t>99N8607</t>
  </si>
  <si>
    <t>99N8609</t>
  </si>
  <si>
    <t>Server IBM X3250 M5</t>
  </si>
  <si>
    <t>5458AC1</t>
  </si>
  <si>
    <t>SWITCH DELL</t>
  </si>
  <si>
    <t>HADL 110400058</t>
  </si>
  <si>
    <t>HADL 143620036</t>
  </si>
  <si>
    <t>OUT 24/2/2024</t>
  </si>
  <si>
    <t>HADL 154C20016</t>
  </si>
  <si>
    <t>Rack 4 TELINDO NUSANTARA</t>
  </si>
  <si>
    <t>Server ProLiant DL20 Gen10</t>
  </si>
  <si>
    <t>SGH105TXZ5</t>
  </si>
  <si>
    <t>Dari APJII LT.1</t>
  </si>
  <si>
    <t>SGH016YW3X</t>
  </si>
  <si>
    <t>Server ProLiant DL20 Gen9</t>
  </si>
  <si>
    <t>SGH909V9Z4</t>
  </si>
  <si>
    <t>SGH834TDF6</t>
  </si>
  <si>
    <t>Mikrotik RB1100 AHx4</t>
  </si>
  <si>
    <t>91D70B2D9E94</t>
  </si>
  <si>
    <t xml:space="preserve"> Server Proliant DL20 G9</t>
  </si>
  <si>
    <t>CN69190FGM</t>
  </si>
  <si>
    <t>Server Lenovo X3550 M3</t>
  </si>
  <si>
    <t>J30FZE7</t>
  </si>
  <si>
    <t>Switch Cisco Catalyst 3750</t>
  </si>
  <si>
    <t>FOC1401Z0CZ</t>
  </si>
  <si>
    <t xml:space="preserve">KMV Masterview </t>
  </si>
  <si>
    <t>A1750197BDH0035</t>
  </si>
  <si>
    <t>Router MikroTik RB1100</t>
  </si>
  <si>
    <t>TBA</t>
  </si>
  <si>
    <t>HP Prolian DL 360 G5</t>
  </si>
  <si>
    <t>CN7819A3A8</t>
  </si>
  <si>
    <t>HP Proliant DL 380 Gen 10</t>
  </si>
  <si>
    <t xml:space="preserve">SGH221VHVM
</t>
  </si>
  <si>
    <t>RB 3011</t>
  </si>
  <si>
    <t>HCS082X9QMS / 226 / r2</t>
  </si>
  <si>
    <t>DELL R710</t>
  </si>
  <si>
    <t>2JB742S</t>
  </si>
  <si>
    <t>HP DL 380 Gen 9</t>
  </si>
  <si>
    <t>S9HG26WYBI</t>
  </si>
  <si>
    <t>SGH6280P8T</t>
  </si>
  <si>
    <t>HP DL 120 Gen 9</t>
  </si>
  <si>
    <t>SGH62WYP8</t>
  </si>
  <si>
    <t>Rack 5 TELINDO NUSANTARA Terminate</t>
  </si>
  <si>
    <t xml:space="preserve">MIKROBITS DINARA </t>
  </si>
  <si>
    <t>FC5B26410A08</t>
  </si>
  <si>
    <t>PINDAH KE LT 1</t>
  </si>
  <si>
    <t>12/04/2022 PER TANGGAL 28/02/2025</t>
  </si>
  <si>
    <t>SWITCH CISCO CATALYST 3750</t>
  </si>
  <si>
    <t>FDO1833Z2VP</t>
  </si>
  <si>
    <t>12/04/2022  PER TANGGAL 28/02/2025</t>
  </si>
  <si>
    <t xml:space="preserve">SERVER HP DL180 G6 </t>
  </si>
  <si>
    <t>CN702007XW</t>
  </si>
  <si>
    <t xml:space="preserve">SERVER IBM X3250 M4 </t>
  </si>
  <si>
    <t>06KKVCA</t>
  </si>
  <si>
    <t xml:space="preserve">SERVER HP DL380 G7 </t>
  </si>
  <si>
    <t>SERVER DELL R240</t>
  </si>
  <si>
    <t>7B3CBW2</t>
  </si>
  <si>
    <t>06/07/2023  PER TANGGAL 28/02/2025</t>
  </si>
  <si>
    <t>2RZG172</t>
  </si>
  <si>
    <t>MIKROBITS DINARA</t>
  </si>
  <si>
    <t>???</t>
  </si>
  <si>
    <t>27/10/2023  PER TANGGAL 28/02/2025</t>
  </si>
  <si>
    <t>3XWLN62</t>
  </si>
  <si>
    <t>Net App</t>
  </si>
  <si>
    <t>69VTL92</t>
  </si>
  <si>
    <t>24/01/2024  PER TANGGAL 28/02/2025</t>
  </si>
  <si>
    <t>BVSPG62</t>
  </si>
  <si>
    <t>SWITCH CISCO NEXUX N9K</t>
  </si>
  <si>
    <t>FDO20270TJP</t>
  </si>
  <si>
    <t>BITBOX TERA E1275DP-8G-4S+</t>
  </si>
  <si>
    <t>8G4S20230225005</t>
  </si>
  <si>
    <t>16/12/2024  PER TANGGAL 28/02/2025</t>
  </si>
  <si>
    <t>PROLIANT DL20 GEN 9</t>
  </si>
  <si>
    <t>SGH841S</t>
  </si>
  <si>
    <t>DELL R620</t>
  </si>
  <si>
    <t>4T5M102</t>
  </si>
  <si>
    <t xml:space="preserve">   DC </t>
  </si>
  <si>
    <t>24FD9X1</t>
  </si>
  <si>
    <t>JL7TS02</t>
  </si>
  <si>
    <t>MIKROTIK RB 1100 AHX2</t>
  </si>
  <si>
    <t xml:space="preserve"> 716D067EC6C1</t>
  </si>
  <si>
    <t>MIKROTIK RB 1100 AHX4</t>
  </si>
  <si>
    <t>91070A59FB24</t>
  </si>
  <si>
    <t>NEXUS 3064 CHASSIS</t>
  </si>
  <si>
    <t>FOC1706R0UQ</t>
  </si>
  <si>
    <t>PINDAH KE OPENRACK 11 18/03/2025</t>
  </si>
  <si>
    <t>Rack 5 PT SMART TEKNOLOGI UTAMA (RSTNET)</t>
  </si>
  <si>
    <t>Arista 7060X</t>
  </si>
  <si>
    <t>SGD21161892</t>
  </si>
  <si>
    <t>Terpasang (pindahan dari rack 7)</t>
  </si>
  <si>
    <t>HPE DL380 GEN 10</t>
  </si>
  <si>
    <t>2M213500FD</t>
  </si>
  <si>
    <t>2M213500FH</t>
  </si>
  <si>
    <t>2M213500DZ</t>
  </si>
  <si>
    <t>2M213500GB</t>
  </si>
  <si>
    <t>Mini PC</t>
  </si>
  <si>
    <t>BW8S102</t>
  </si>
  <si>
    <t>18/03/2025 (out 22/7/25)</t>
  </si>
  <si>
    <t>CRS326-24S+2Q+RM</t>
  </si>
  <si>
    <t>HG609TGYXNJ/r3</t>
  </si>
  <si>
    <t>18/03/2025 pindah rak 7</t>
  </si>
  <si>
    <t>Mikrotik RB4011iGS+RM</t>
  </si>
  <si>
    <t>HGF09G63D2X/r2</t>
  </si>
  <si>
    <t>out (pindah ke rack 7)</t>
  </si>
  <si>
    <t>2M2D0Y01ZT</t>
  </si>
  <si>
    <t>2M2D0Y01ZX</t>
  </si>
  <si>
    <t>2M2D0Y020C</t>
  </si>
  <si>
    <t>DELL R630</t>
  </si>
  <si>
    <t>JLQQZH2</t>
  </si>
  <si>
    <t>Terpasang (pindah KE RACK 7)</t>
  </si>
  <si>
    <t>JUNIPER MX 204</t>
  </si>
  <si>
    <t>fq113</t>
  </si>
  <si>
    <t>sw dell emc</t>
  </si>
  <si>
    <t>SERVER DELL CGK</t>
  </si>
  <si>
    <t>Rack 6 PT QUINSIS LINTAS MITRA</t>
  </si>
  <si>
    <t>Cisco Catalyst C2960-S</t>
  </si>
  <si>
    <t>FOC1712X4D9</t>
  </si>
  <si>
    <t>Mikrotik CCR1009-7G-1C-1S+</t>
  </si>
  <si>
    <t>79AE06B93EA0/703</t>
  </si>
  <si>
    <t>Switch Alcatel OS6450-P48</t>
  </si>
  <si>
    <t>A0032291</t>
  </si>
  <si>
    <t>Server Dell PowerEdge R630</t>
  </si>
  <si>
    <t>33SKDC2</t>
  </si>
  <si>
    <t>Switch Alcatel OS6860E-24</t>
  </si>
  <si>
    <t>W3081629</t>
  </si>
  <si>
    <t>Pindah ke MMR rack 6</t>
  </si>
  <si>
    <t>Cisco Catalyst 3560G</t>
  </si>
  <si>
    <t>FOC1252W2SB</t>
  </si>
  <si>
    <t>Server ProLiant DL380 GEN 10</t>
  </si>
  <si>
    <t>SGH148T0HR</t>
  </si>
  <si>
    <t>Good Out 23 Sept 2022</t>
  </si>
  <si>
    <t>SGH148TGZK</t>
  </si>
  <si>
    <t>SGH148T0HJ</t>
  </si>
  <si>
    <t>SGH148TGZG</t>
  </si>
  <si>
    <t>SGH148TGZL</t>
  </si>
  <si>
    <t>SGH148T0HN</t>
  </si>
  <si>
    <t>SGH148T0GS</t>
  </si>
  <si>
    <t>SGH148T0H5</t>
  </si>
  <si>
    <t>SGH148T0HD</t>
  </si>
  <si>
    <t>SGH148TGZJ</t>
  </si>
  <si>
    <t>SGH148T0H0</t>
  </si>
  <si>
    <t>SGH148T0HB</t>
  </si>
  <si>
    <t>SGH148TGZM</t>
  </si>
  <si>
    <t>Server HP DL380 Gen 8</t>
  </si>
  <si>
    <t>SGH419H325</t>
  </si>
  <si>
    <t>HPE Proliant DL380 Gen10</t>
  </si>
  <si>
    <t>SGH015YL06</t>
  </si>
  <si>
    <t>DELL R720</t>
  </si>
  <si>
    <t>JDZ7RV1</t>
  </si>
  <si>
    <t>Good Out 23 April 2024</t>
  </si>
  <si>
    <t>GYKS3Y1</t>
  </si>
  <si>
    <t>GOOD OUT ( 4/6/25 )</t>
  </si>
  <si>
    <t>DELL R320</t>
  </si>
  <si>
    <t>6L5RQ02</t>
  </si>
  <si>
    <t>Good Out 7 April 2023</t>
  </si>
  <si>
    <t>HE308RFHY0C/303</t>
  </si>
  <si>
    <t>HE308GMD74Y/303</t>
  </si>
  <si>
    <t>Server Dell PowerEdge R720</t>
  </si>
  <si>
    <t>3GXDMW1</t>
  </si>
  <si>
    <t>Dell Poweredge R320</t>
  </si>
  <si>
    <t>9QYZF42</t>
  </si>
  <si>
    <t>GOOD OUT 13 Desember 2024</t>
  </si>
  <si>
    <t>Dell Poweredge R610</t>
  </si>
  <si>
    <t>B68Y92S</t>
  </si>
  <si>
    <t>GOOD OUT 19 Desember 2024</t>
  </si>
  <si>
    <t>Dell PowerEdge R610</t>
  </si>
  <si>
    <t>D0WRP4J</t>
  </si>
  <si>
    <t>Dell Poweredge R630</t>
  </si>
  <si>
    <t>1 U</t>
  </si>
  <si>
    <t>8Q1JCD2</t>
  </si>
  <si>
    <t>Dell Poweredge</t>
  </si>
  <si>
    <t xml:space="preserve">9M5RQ02 </t>
  </si>
  <si>
    <t>79AE06661BA2/703</t>
  </si>
  <si>
    <t>SERVER DELL R330</t>
  </si>
  <si>
    <t>J7XVCK2</t>
  </si>
  <si>
    <t>GJVGGM2</t>
  </si>
  <si>
    <t xml:space="preserve"> SERVER IBM X3650</t>
  </si>
  <si>
    <t>99DH402</t>
  </si>
  <si>
    <t>OUT 01 April 2026</t>
  </si>
  <si>
    <t>KQ6HV4C</t>
  </si>
  <si>
    <t>SERVER DELL R720</t>
  </si>
  <si>
    <t>CB2CF22</t>
  </si>
  <si>
    <t>SERVER RAKITAN</t>
  </si>
  <si>
    <t>JCINTRKT01</t>
  </si>
  <si>
    <t>JCINTRKT02</t>
  </si>
  <si>
    <t>INTEL NUC MINI PC</t>
  </si>
  <si>
    <t>GBRY5410029Z</t>
  </si>
  <si>
    <t>SERVER AXIOMTEK</t>
  </si>
  <si>
    <t>E1876E8501000008-06</t>
  </si>
  <si>
    <t>WATCHGUARD</t>
  </si>
  <si>
    <t>70A60A9F-F693</t>
  </si>
  <si>
    <t>TP-LINK</t>
  </si>
  <si>
    <t>SUPERMICRO</t>
  </si>
  <si>
    <t>PT8253C12PN0357</t>
  </si>
  <si>
    <t xml:space="preserve"> E3200FA732C1/144/r2</t>
  </si>
  <si>
    <t>OUT 13/5/25</t>
  </si>
  <si>
    <t>INTEL NUC5i7RYH</t>
  </si>
  <si>
    <t>B8AEED7A145F</t>
  </si>
  <si>
    <t>DP7ZL82</t>
  </si>
  <si>
    <t xml:space="preserve">Terpasang </t>
  </si>
  <si>
    <t>JKD1BC2</t>
  </si>
  <si>
    <t>Dell EMC S4048-ON</t>
  </si>
  <si>
    <t>1U</t>
  </si>
  <si>
    <t>DZLZWC2</t>
  </si>
  <si>
    <t>Dell R630</t>
  </si>
  <si>
    <t>9M5RQ02</t>
  </si>
  <si>
    <t>CCR 2004</t>
  </si>
  <si>
    <t>HHF0AEHNEPQ/R3</t>
  </si>
  <si>
    <t>RD16331441080051</t>
  </si>
  <si>
    <t>Pindahan dari LTN MMR P1</t>
  </si>
  <si>
    <t>Rack 7 PT SMART TEKNOLOGI UTAMA (RSTNET)</t>
  </si>
  <si>
    <t>JuniperMX204</t>
  </si>
  <si>
    <t>750-069579</t>
  </si>
  <si>
    <t>ServerDell R630</t>
  </si>
  <si>
    <t>9L0RG62</t>
  </si>
  <si>
    <t>ServerDell R430</t>
  </si>
  <si>
    <t>C799IH2</t>
  </si>
  <si>
    <t>RouterBitxbox 1200</t>
  </si>
  <si>
    <t>814O20210119009</t>
  </si>
  <si>
    <t>814O20210119002</t>
  </si>
  <si>
    <t>8G4S20210416005</t>
  </si>
  <si>
    <t>RouterRB4011 Mikrotik</t>
  </si>
  <si>
    <t>F03A0FA98DB9/144/R2</t>
  </si>
  <si>
    <t>Good Out 05 April 2022</t>
  </si>
  <si>
    <t>SwitchCRS 32624S</t>
  </si>
  <si>
    <t>D84E0E7A86B9</t>
  </si>
  <si>
    <t>Good Out 17 Juli 2023</t>
  </si>
  <si>
    <t>SwitchCisco N3K</t>
  </si>
  <si>
    <t>FOC1539R082</t>
  </si>
  <si>
    <t>Good Out 24 Agustus 2022</t>
  </si>
  <si>
    <t>Server HP DL360 GEN 9</t>
  </si>
  <si>
    <t>SGH627X4B4</t>
  </si>
  <si>
    <t>08/03/2022 out 5/12/25</t>
  </si>
  <si>
    <t>CCR 1036 MikroTik</t>
  </si>
  <si>
    <t>D8370D35A6A2/106/R3</t>
  </si>
  <si>
    <t>SWITCH CISCO NEXUSN9K-C92160YC</t>
  </si>
  <si>
    <t>FDO21441PQB</t>
  </si>
  <si>
    <t>Good Out 23 April 2022</t>
  </si>
  <si>
    <t>Server DellDell R740</t>
  </si>
  <si>
    <t>Router MikrotikCCR 2116</t>
  </si>
  <si>
    <t>PINDAH MMR OR RACK 6</t>
  </si>
  <si>
    <t>Terpasang (PINDAH KE RACK 5 P1 18/3/25)</t>
  </si>
  <si>
    <t>1020C0054329</t>
  </si>
  <si>
    <t>GOODS OUT 14/09/2023</t>
  </si>
  <si>
    <t>1020C0065296</t>
  </si>
  <si>
    <t>OUT 18/7/25</t>
  </si>
  <si>
    <t>RB4011</t>
  </si>
  <si>
    <t>B8FE0BE54EF</t>
  </si>
  <si>
    <t>22/06/2022 out 5/12/25</t>
  </si>
  <si>
    <t>Dell R620</t>
  </si>
  <si>
    <t>Sun Fire X4170</t>
  </si>
  <si>
    <t>64490J2</t>
  </si>
  <si>
    <t>out 9/4/26</t>
  </si>
  <si>
    <t>NEXUS 3064 X (N3K-C3064PQ-10GX V01)</t>
  </si>
  <si>
    <t>FOC1723R2FK</t>
  </si>
  <si>
    <t>23TJDB2</t>
  </si>
  <si>
    <t>06/02/2025 out 5/12/25</t>
  </si>
  <si>
    <t>Server HPE DL380 GEN 10</t>
  </si>
  <si>
    <t>CZ20410FCW</t>
  </si>
  <si>
    <t>Terpasang (pindahan dari rack 5</t>
  </si>
  <si>
    <t>19/05/2025 out 5/12/25</t>
  </si>
  <si>
    <t>dell r630</t>
  </si>
  <si>
    <t>HFN50J2</t>
  </si>
  <si>
    <t>CTLZC92</t>
  </si>
  <si>
    <t>out 5/12/25</t>
  </si>
  <si>
    <t>Terpasang (pindah ke rack 7)</t>
  </si>
  <si>
    <t>RB760IGS</t>
  </si>
  <si>
    <t>HUAWEI CE 8850-64CQ-EI</t>
  </si>
  <si>
    <t>1024B6105279</t>
  </si>
  <si>
    <t>7WWMCD2</t>
  </si>
  <si>
    <t>DELL POWER S532 F</t>
  </si>
  <si>
    <t xml:space="preserve"> 13/8/25 OUT 26/11/25</t>
  </si>
  <si>
    <t>R760 XS</t>
  </si>
  <si>
    <t>Terpasang dari rak 5</t>
  </si>
  <si>
    <t>server x86</t>
  </si>
  <si>
    <t>GSRY0L2</t>
  </si>
  <si>
    <t>HJP0AZBPX33/r3</t>
  </si>
  <si>
    <t>23TJB2</t>
  </si>
  <si>
    <t>3CV6WL2</t>
  </si>
  <si>
    <t>CW8BQ2N</t>
  </si>
  <si>
    <t>CRS 354</t>
  </si>
  <si>
    <t>D1F20CAADE79/013</t>
  </si>
  <si>
    <t>CCR 1009</t>
  </si>
  <si>
    <t>DELL R640</t>
  </si>
  <si>
    <t>BXLTB33</t>
  </si>
  <si>
    <t>MX304</t>
  </si>
  <si>
    <t>Rack 10 - PT. SARANAINDO MITRA BERSAMA</t>
  </si>
  <si>
    <t>CRS354</t>
  </si>
  <si>
    <t>d8530cbadbaf/037</t>
  </si>
  <si>
    <t>CCR1036</t>
  </si>
  <si>
    <t>fb450f406b0d/209</t>
  </si>
  <si>
    <t>42a102f1b057/334</t>
  </si>
  <si>
    <t>Nokia210wbx4</t>
  </si>
  <si>
    <t>Server Supermicro</t>
  </si>
  <si>
    <t>s12428243203641</t>
  </si>
  <si>
    <t>MIKROTIK CCR 2004</t>
  </si>
  <si>
    <t>HE108GB441C</t>
  </si>
  <si>
    <t>Terpasang (out 17/11/24)</t>
  </si>
  <si>
    <t>D83A0D31A9A8</t>
  </si>
  <si>
    <t>MXQ53007F2</t>
  </si>
  <si>
    <t>Supermicro</t>
  </si>
  <si>
    <t>C81306D13MK0120</t>
  </si>
  <si>
    <t>out 10/1/25</t>
  </si>
  <si>
    <t xml:space="preserve">Supermicro  CSE-829U
</t>
  </si>
  <si>
    <t>C829UAD49A10060</t>
  </si>
  <si>
    <t>GOOD OUT 13 JANUARI 2025</t>
  </si>
  <si>
    <t>HUAWEI RH1288 v3</t>
  </si>
  <si>
    <t>2102311GGN10G6000021</t>
  </si>
  <si>
    <t>01-SC813157</t>
  </si>
  <si>
    <t>Supermicro CSE - 819U</t>
  </si>
  <si>
    <t>C8150LB51M70107</t>
  </si>
  <si>
    <t xml:space="preserve">MIKROTIK CCR1009 </t>
  </si>
  <si>
    <t>D56A0C58D9C7/038/r2</t>
  </si>
  <si>
    <t>Terpasang( dari apjii)</t>
  </si>
  <si>
    <t>MIKROTK CCR 2116</t>
  </si>
  <si>
    <t>HGC09K0WYW9</t>
  </si>
  <si>
    <t>MIKROTK CCR 1016</t>
  </si>
  <si>
    <t>6EFD0652ED60</t>
  </si>
  <si>
    <t>OUT 10/3/2025</t>
  </si>
  <si>
    <t>D56A0CB7D41B</t>
  </si>
  <si>
    <t>OUT 19/7/2025</t>
  </si>
  <si>
    <t>CN-0H7F1C-72481-63E-00IN-A02</t>
  </si>
  <si>
    <t>15/3/25 (OUT 23/3/25)</t>
  </si>
  <si>
    <t>MX80</t>
  </si>
  <si>
    <t>CAFC2489</t>
  </si>
  <si>
    <t>HZ418</t>
  </si>
  <si>
    <t>mx80</t>
  </si>
  <si>
    <t>E2528</t>
  </si>
  <si>
    <t>HHE0A71WVGN/r2</t>
  </si>
  <si>
    <t>Out (22/01/2026)</t>
  </si>
  <si>
    <t>mx204</t>
  </si>
  <si>
    <t>AN326</t>
  </si>
  <si>
    <t>HKJ0ANDMCJ8</t>
  </si>
  <si>
    <t>JW0AW35WJ1</t>
  </si>
  <si>
    <t>Rack 14  PT GEMILANG CATUR PERCADA (AlcenID) / IPTP Vietnam</t>
  </si>
  <si>
    <t>Fortinet Fortigate FG40F Firewall</t>
  </si>
  <si>
    <t>FGT40FTK20089467</t>
  </si>
  <si>
    <t>FGT40FTK20091951</t>
  </si>
  <si>
    <t>Opengear Console Manager 7100</t>
  </si>
  <si>
    <t>Juniper EX2300-48T Switch</t>
  </si>
  <si>
    <t>SJX0221460052</t>
  </si>
  <si>
    <t>Juniper MX204-IR Firewall</t>
  </si>
  <si>
    <t>SCR752</t>
  </si>
  <si>
    <t>SCR733</t>
  </si>
  <si>
    <t>Juniper QFX5110-48S-AFI Switch</t>
  </si>
  <si>
    <t>SWS3721270465</t>
  </si>
  <si>
    <t>SWS3721270359</t>
  </si>
  <si>
    <t>Dell PowerEdge R6515 Server</t>
  </si>
  <si>
    <t>BWKXYP3</t>
  </si>
  <si>
    <t>9XKXYP3</t>
  </si>
  <si>
    <t>NetApp Diskshelf AFF-A250 Server</t>
  </si>
  <si>
    <t>AFFA250</t>
  </si>
  <si>
    <t>Rack 15 - PT YETOYA / ALCEN</t>
  </si>
  <si>
    <t xml:space="preserve"> FT891     </t>
  </si>
  <si>
    <t xml:space="preserve">Server dell EMC </t>
  </si>
  <si>
    <t>TERPASANG (PINDAHAN DARI RACK 39)</t>
  </si>
  <si>
    <t>Bitbox EXA EVO A7281-2G-S+2CQ</t>
  </si>
  <si>
    <t>Huawei s6720</t>
  </si>
  <si>
    <t>Server HP 380 GEN 8</t>
  </si>
  <si>
    <t>Server HP 360 GEN 9</t>
  </si>
  <si>
    <t>DARI RACK 24</t>
  </si>
  <si>
    <t>FT534</t>
  </si>
  <si>
    <t>Terpasang (yetoya)</t>
  </si>
  <si>
    <t>RB5009UG+S+IN</t>
  </si>
  <si>
    <t>HEP08SX22NG/322</t>
  </si>
  <si>
    <t>JUNIPER MX-204</t>
  </si>
  <si>
    <t>BCDH6082</t>
  </si>
  <si>
    <t>GF566</t>
  </si>
  <si>
    <t>DARI RACK 13 (16/1/2024)</t>
  </si>
  <si>
    <t>GQ028</t>
  </si>
  <si>
    <t>GM495</t>
  </si>
  <si>
    <t>0A2XP1Y1029723Y</t>
  </si>
  <si>
    <t>2TNX9C1212X7188</t>
  </si>
  <si>
    <t>Juniper ACX7100-32C-AC-AO</t>
  </si>
  <si>
    <t>YX3622170004</t>
  </si>
  <si>
    <t>RECTI HUAWEI</t>
  </si>
  <si>
    <t>BN21A1015475</t>
  </si>
  <si>
    <t>HUAWEI NETENGINE 8000</t>
  </si>
  <si>
    <t>033FPV10M4000007</t>
  </si>
  <si>
    <t>RAX721-A-XF</t>
  </si>
  <si>
    <t>103002032402a23018a00426</t>
  </si>
  <si>
    <t xml:space="preserve">DELL R640 </t>
  </si>
  <si>
    <t>1LH4DP2</t>
  </si>
  <si>
    <r>
      <rPr>
        <rFont val="docs-Calibri"/>
        <color rgb="FF000000"/>
        <sz val="12.0"/>
      </rPr>
      <t>DELL R640</t>
    </r>
  </si>
  <si>
    <t>8G9L3W2</t>
  </si>
  <si>
    <r>
      <rPr>
        <rFont val="docs-Calibri"/>
        <color rgb="FF000000"/>
        <sz val="12.0"/>
      </rPr>
      <t>DELL R640</t>
    </r>
  </si>
  <si>
    <t>1LDPD5P2</t>
  </si>
  <si>
    <t>HFJ09FCEMJE/350</t>
  </si>
  <si>
    <t>Huawei NE AR6140 16G4XG</t>
  </si>
  <si>
    <t>DM2110009676</t>
  </si>
  <si>
    <t>HUAWEI AR 6140</t>
  </si>
  <si>
    <t>DM110009716</t>
  </si>
  <si>
    <t>RB5009U+S+IN</t>
  </si>
  <si>
    <t>HGK090J70S</t>
  </si>
  <si>
    <t>Rack 16 PT DIAZA LINTAS ASIA (SMI)</t>
  </si>
  <si>
    <t>Switch Huawei S5735-L32ST4X-A</t>
  </si>
  <si>
    <t>4E2150045727</t>
  </si>
  <si>
    <t>Good Out 21 Februari 2023</t>
  </si>
  <si>
    <t>Server HP Proliant DL360p Gen8</t>
  </si>
  <si>
    <t>SGH2309S65</t>
  </si>
  <si>
    <t>Terpsang</t>
  </si>
  <si>
    <t>Server Supermicro 219-9</t>
  </si>
  <si>
    <t>C2190FC47ME0135</t>
  </si>
  <si>
    <t>Switch Ruijie RG-S6220-48XS4QXS</t>
  </si>
  <si>
    <t>G1M51N000808</t>
  </si>
  <si>
    <t>18/05/2022 out 17/6/25</t>
  </si>
  <si>
    <t>Switch Juniper EX3300-48T</t>
  </si>
  <si>
    <t>GA0212110209</t>
  </si>
  <si>
    <t>Router Mikrotik CCR1016-12S-1S+</t>
  </si>
  <si>
    <t>D5470D2AD5B9</t>
  </si>
  <si>
    <t>Terpasang (dari tenant lantai 1)</t>
  </si>
  <si>
    <t>Dell Poweredge R730</t>
  </si>
  <si>
    <t>37B4YC2</t>
  </si>
  <si>
    <t>GOODS OUT 12/10/2023</t>
  </si>
  <si>
    <t>5BZG172</t>
  </si>
  <si>
    <t>Server HP Proliant dl360P</t>
  </si>
  <si>
    <t>6CU535VHDH</t>
  </si>
  <si>
    <t>Super Micro</t>
  </si>
  <si>
    <t>C2190FC47MEDI35</t>
  </si>
  <si>
    <t>FC5B261507E9</t>
  </si>
  <si>
    <t>GOODS OUT TANGGAL 3/7/2023</t>
  </si>
  <si>
    <t>9YH2GL2</t>
  </si>
  <si>
    <t xml:space="preserve">-Cisco Nexus 3064-X </t>
  </si>
  <si>
    <t>FOC1644R06S</t>
  </si>
  <si>
    <t xml:space="preserve">PINDAHAN DARI RACK 38 </t>
  </si>
  <si>
    <t>JUNIPER MX80</t>
  </si>
  <si>
    <t>T7809</t>
  </si>
  <si>
    <t>CRS 317- 1G-16S+RM</t>
  </si>
  <si>
    <t>SWITCH BDCOM S2928EF</t>
  </si>
  <si>
    <t>PIINDAH KE RACK 17</t>
  </si>
  <si>
    <t>HDB08AF0W60</t>
  </si>
  <si>
    <t>Server DELL R620</t>
  </si>
  <si>
    <t>2N07F02</t>
  </si>
  <si>
    <t>pindah ke 17</t>
  </si>
  <si>
    <t>2VZ7F02</t>
  </si>
  <si>
    <t>CCR1009</t>
  </si>
  <si>
    <t>E3210F179250/147/r2</t>
  </si>
  <si>
    <t>E3200D7A0651/101r2</t>
  </si>
  <si>
    <t>Terpasang ( Tanpa surat  gedung )</t>
  </si>
  <si>
    <t>HP PRODESK 600 G1 SFF</t>
  </si>
  <si>
    <t xml:space="preserve"> SGH615Q594</t>
  </si>
  <si>
    <t>HUAWEI NETENGGINE 8000 M8</t>
  </si>
  <si>
    <t>033GGC10</t>
  </si>
  <si>
    <t>20/06/2023 (out)  TANGGAL 13/07/2024</t>
  </si>
  <si>
    <t>7G1GKF2</t>
  </si>
  <si>
    <t>5BQF172</t>
  </si>
  <si>
    <t>54R8172</t>
  </si>
  <si>
    <t>good out 27/07/2024</t>
  </si>
  <si>
    <t>1P9M9C2</t>
  </si>
  <si>
    <t>CRS326-24S+2Q+</t>
  </si>
  <si>
    <t xml:space="preserve">D8500DA3C4F3 </t>
  </si>
  <si>
    <t>20/07/2023 (out) TANGGAL 13/07/2024</t>
  </si>
  <si>
    <t>SJ8PWJ82</t>
  </si>
  <si>
    <t>Cisco Nexus 3048</t>
  </si>
  <si>
    <t>FOC1635R0W4</t>
  </si>
  <si>
    <t>PINDAH KE RACK 17</t>
  </si>
  <si>
    <t>FOC1815R03T</t>
  </si>
  <si>
    <t>MIKROTIK CCR1036</t>
  </si>
  <si>
    <t>916C08F01C19/805</t>
  </si>
  <si>
    <t>good out 19/08/2023</t>
  </si>
  <si>
    <t xml:space="preserve"> Mikrotik RB1100 </t>
  </si>
  <si>
    <t>Huawei S6735</t>
  </si>
  <si>
    <t>PINDAH KE APJII 11/10/2023</t>
  </si>
  <si>
    <t>GM456</t>
  </si>
  <si>
    <t>E3200e5b3301B/136/r2</t>
  </si>
  <si>
    <t>MIKROTIK CCR 1009-7G-1C-1S+</t>
  </si>
  <si>
    <t>HE808KY352P/309/r2</t>
  </si>
  <si>
    <t>Harmonic</t>
  </si>
  <si>
    <t>Wisi Chameleon</t>
  </si>
  <si>
    <t>out 07/01/2026</t>
  </si>
  <si>
    <t>Huawei CE 6860</t>
  </si>
  <si>
    <t>YXC27Y993X02A3P</t>
  </si>
  <si>
    <t>21/05/2024 (out)  TANGGAL 13/07/2024</t>
  </si>
  <si>
    <t>D76VRG2</t>
  </si>
  <si>
    <t>HCG087HJFG/216/r3</t>
  </si>
  <si>
    <t>pindah ke r40 23/8/25</t>
  </si>
  <si>
    <t xml:space="preserve"> dell power edge r630</t>
  </si>
  <si>
    <t>1bxj642</t>
  </si>
  <si>
    <t>DELL PE R730</t>
  </si>
  <si>
    <t>3zb4yc2</t>
  </si>
  <si>
    <t>DELL PE R630</t>
  </si>
  <si>
    <t>3RC3352</t>
  </si>
  <si>
    <t>X86 True Performance P12-RM2-1G-2S+2Q</t>
  </si>
  <si>
    <t>bitbox J1900</t>
  </si>
  <si>
    <t>R630</t>
  </si>
  <si>
    <t>GW24CP2</t>
  </si>
  <si>
    <t>7Z78HJ2</t>
  </si>
  <si>
    <t>325ZT72</t>
  </si>
  <si>
    <t>CE 6865-48S8CQ-EI</t>
  </si>
  <si>
    <t>2102351RFEDML4001070</t>
  </si>
  <si>
    <t>FT393</t>
  </si>
  <si>
    <t>ASNET TERMINATE</t>
  </si>
  <si>
    <t>Mikrotik CRS354-48G-4S+2Q+RM</t>
  </si>
  <si>
    <t>HC707TZD76B/208/R2</t>
  </si>
  <si>
    <t>Server HP DL360p Gen7</t>
  </si>
  <si>
    <t>8CV5F02</t>
  </si>
  <si>
    <t>Server HP DL360p Gen8</t>
  </si>
  <si>
    <t>SGH428LDA8</t>
  </si>
  <si>
    <t>SGH526X806</t>
  </si>
  <si>
    <t>Server Dell R620</t>
  </si>
  <si>
    <t>SGH121XKSH</t>
  </si>
  <si>
    <t>Server Dell R420</t>
  </si>
  <si>
    <t>BXK0XX1</t>
  </si>
  <si>
    <t>F4H8GY1</t>
  </si>
  <si>
    <t>Server HP Proliant DL 180 Gen 10</t>
  </si>
  <si>
    <t>SGH004WXXS</t>
  </si>
  <si>
    <t>6RH8Q52</t>
  </si>
  <si>
    <t>7X6JG2S</t>
  </si>
  <si>
    <t>BS8TS02</t>
  </si>
  <si>
    <t>F0710FBD5FAD/204</t>
  </si>
  <si>
    <t>Dell Server Power 410</t>
  </si>
  <si>
    <t>52GF65J</t>
  </si>
  <si>
    <t>Server Dell edge</t>
  </si>
  <si>
    <t>62GF65J</t>
  </si>
  <si>
    <t>3BOVK02</t>
  </si>
  <si>
    <t>SERVER DELL POWER EDGE R420</t>
  </si>
  <si>
    <t>4DQK102</t>
  </si>
  <si>
    <t>SERVER HP DL380 GEN 9</t>
  </si>
  <si>
    <t>SGH609Y29A</t>
  </si>
  <si>
    <t>Rack 17 - INDOSOFT DIGITAL ENIGMA,PT</t>
  </si>
  <si>
    <t>JUNIPER EX3300</t>
  </si>
  <si>
    <t>PINDAH DARI RACK 16 ( 2 Maret 2023 )</t>
  </si>
  <si>
    <t>02/03/2023 (out)  TANGGAL 13/07/2024</t>
  </si>
  <si>
    <t>48QJKB2</t>
  </si>
  <si>
    <t>2XFZ0L2</t>
  </si>
  <si>
    <t>2XGZ0L2</t>
  </si>
  <si>
    <t>F5 BIG IP 2000</t>
  </si>
  <si>
    <t>F5-zsxz-bqem</t>
  </si>
  <si>
    <t>20/07/2023 (out)  TANGGAL 13/07/2024</t>
  </si>
  <si>
    <t>20/07/2023 (out)</t>
  </si>
  <si>
    <t>HPE ProLiant DL360e Gen8</t>
  </si>
  <si>
    <t>SGH404BEC8</t>
  </si>
  <si>
    <t>Terpasang ( GOOD OUT 30/9 )</t>
  </si>
  <si>
    <t>Mikrotik CCR 1036-8G-2S+</t>
  </si>
  <si>
    <t>D8370E61069B/118/r3</t>
  </si>
  <si>
    <t>trpasang</t>
  </si>
  <si>
    <t>pindahan daari 16</t>
  </si>
  <si>
    <t>Rack 18 - RADNET,PT KARUNIA SINERGI 21U</t>
  </si>
  <si>
    <t>MIKROTIK CRS 125</t>
  </si>
  <si>
    <t>944E07BE4A73</t>
  </si>
  <si>
    <t>RADNET (TERPASANG)</t>
  </si>
  <si>
    <t>MIKROTIK CRS 212</t>
  </si>
  <si>
    <t>521F0581E000</t>
  </si>
  <si>
    <t>HC887ZCP4AQ</t>
  </si>
  <si>
    <t>SERVER NUTANIX</t>
  </si>
  <si>
    <t>185M6G210031</t>
  </si>
  <si>
    <t>30/03/2022 (out)</t>
  </si>
  <si>
    <t xml:space="preserve"> SERVER RAKITAN</t>
  </si>
  <si>
    <t>CT-3110104-0275</t>
  </si>
  <si>
    <t>KARUNIA SINERGI (TERPASANG) Keluar 30 Jan</t>
  </si>
  <si>
    <t>MIKROTIK RB 1100</t>
  </si>
  <si>
    <t>D8580E15E077/118/r2</t>
  </si>
  <si>
    <t>KARUNIA SINERGI (TERPASANG) ((out pindah ke r101 p2 jadi devpro)</t>
  </si>
  <si>
    <t>Server Combox</t>
  </si>
  <si>
    <t>CB122024</t>
  </si>
  <si>
    <t>KARUNIA SINERGI (TERPASANG) Keluar 26 sep</t>
  </si>
  <si>
    <t>CB140119</t>
  </si>
  <si>
    <t>KARUNIA SINERGI (TERPASANG) keluar 26 sep</t>
  </si>
  <si>
    <t>Mikrotik CCR2004-16G-2S+</t>
  </si>
  <si>
    <t>HG809HCGM7Y/r2</t>
  </si>
  <si>
    <t>KARUNIA SINERGI (TERPASANG) keluar (11/1/2025)</t>
  </si>
  <si>
    <t>Mikrotik CCR2004-15G-2S</t>
  </si>
  <si>
    <t>HG809J1ZHGD</t>
  </si>
  <si>
    <t>Terpasang karunia sinergi (out pindah ke r101 p2 jadi devpro)</t>
  </si>
  <si>
    <t>Mikrotik CRS328-4c-20S+RM</t>
  </si>
  <si>
    <t>HGG09ZRCBH9/R2</t>
  </si>
  <si>
    <t>Nutanix NX-1065S-G5</t>
  </si>
  <si>
    <t>18SM6G210031</t>
  </si>
  <si>
    <t>Terpasang radnet</t>
  </si>
  <si>
    <t>PROLIANT HP DL 180G6</t>
  </si>
  <si>
    <t>CN70440002P</t>
  </si>
  <si>
    <t>Rack 19 - PT. KINGPOLAH NETWORK SOLUTION</t>
  </si>
  <si>
    <t>SERVER DELL POWER EDGE R630</t>
  </si>
  <si>
    <t>7X2JCD2</t>
  </si>
  <si>
    <t>DARI INTERLINK</t>
  </si>
  <si>
    <t>MIKROTIK CRS 326</t>
  </si>
  <si>
    <t>D84EF455574/143/R2</t>
  </si>
  <si>
    <t>DELL FORCE 10 4810</t>
  </si>
  <si>
    <t>HBDL158120017</t>
  </si>
  <si>
    <t>GOODS OUT (21/11/2023)</t>
  </si>
  <si>
    <t>3285V72</t>
  </si>
  <si>
    <t>15/02/2023 out 13/11/23</t>
  </si>
  <si>
    <t>Dell Edge R620</t>
  </si>
  <si>
    <t>FXDJ102</t>
  </si>
  <si>
    <t>F1990FE1B424</t>
  </si>
  <si>
    <t>SERVER DELL R620</t>
  </si>
  <si>
    <t>JWS1F02</t>
  </si>
  <si>
    <t>TERPASANG (out 28/10/25)</t>
  </si>
  <si>
    <t>3N6R102</t>
  </si>
  <si>
    <t>GOOD OUT (21/11/2024)</t>
  </si>
  <si>
    <t>Dell Edge R630</t>
  </si>
  <si>
    <t>3284V72</t>
  </si>
  <si>
    <t>GOODS OUT/ 25/4/2024</t>
  </si>
  <si>
    <t>CCR1036 8G 2S+</t>
  </si>
  <si>
    <t>8A60072DBAE9/742</t>
  </si>
  <si>
    <t>Juniper MX 204-HW-BASE</t>
  </si>
  <si>
    <t>Switch Huawei S6735</t>
  </si>
  <si>
    <t>Switch Huawei CE6851</t>
  </si>
  <si>
    <t>Huawei CE6851</t>
  </si>
  <si>
    <t>2102350JAR10F7000183</t>
  </si>
  <si>
    <t>246E964A8178</t>
  </si>
  <si>
    <t>HGHFKF2</t>
  </si>
  <si>
    <t>7MP6882</t>
  </si>
  <si>
    <t>JF6M7N2</t>
  </si>
  <si>
    <t>Dell R640</t>
  </si>
  <si>
    <t>7X1K5G3</t>
  </si>
  <si>
    <t>Switch Juniper QFX5200</t>
  </si>
  <si>
    <t>WH0220150620</t>
  </si>
  <si>
    <t>THINK CENTRO</t>
  </si>
  <si>
    <t>PC028VLD</t>
  </si>
  <si>
    <t>CLOUD ENGINE 6851</t>
  </si>
  <si>
    <t>XPYY1YXAT170221</t>
  </si>
  <si>
    <t>RACK 20 - ALTECH</t>
  </si>
  <si>
    <t>Switch Cisco N3K-C3048TP-1GE</t>
  </si>
  <si>
    <t>F0C193R18N</t>
  </si>
  <si>
    <t>Server IBM X3650 M3</t>
  </si>
  <si>
    <t>7945l4a - 99x6319</t>
  </si>
  <si>
    <t>Mikrotik RB5009U+S+IN</t>
  </si>
  <si>
    <t>HC907Y71JS0/210</t>
  </si>
  <si>
    <t>7945L4A - 06GXT29</t>
  </si>
  <si>
    <t>7945J2A-99N8707</t>
  </si>
  <si>
    <t>7945J2A - 99N8694</t>
  </si>
  <si>
    <t>7945j2a - 99N8722</t>
  </si>
  <si>
    <t>Server IBM X3550 M4</t>
  </si>
  <si>
    <t>7042CR7 - 06AE65C</t>
  </si>
  <si>
    <t>DELL R430</t>
  </si>
  <si>
    <t>CN - 0RX20N - 42945 - 52S - 00JF - A00 DP/N 0RX20N</t>
  </si>
  <si>
    <t>Server Dell PowerEdge R430</t>
  </si>
  <si>
    <t>9C3FR42</t>
  </si>
  <si>
    <t>out 26/3/24</t>
  </si>
  <si>
    <t>H43FR42</t>
  </si>
  <si>
    <t>HP DL360 G10 Platinum 8170</t>
  </si>
  <si>
    <t>SGH914S49C</t>
  </si>
  <si>
    <t xml:space="preserve">OUT  </t>
  </si>
  <si>
    <t>28/05/2025 out 30/5/25</t>
  </si>
  <si>
    <t>JP3DR42</t>
  </si>
  <si>
    <t>Rack 21 PT. MARVA GLOBAL TELEKOMUNIKASI (MARVATEL) 1/2 RACK 21 U  TERMINATE</t>
  </si>
  <si>
    <t>Mikrobits</t>
  </si>
  <si>
    <t>FC5B264108A8</t>
  </si>
  <si>
    <t>Cisco</t>
  </si>
  <si>
    <t>FOC1603RCKG</t>
  </si>
  <si>
    <t>Server HP DL380</t>
  </si>
  <si>
    <t>SGH546WLK8</t>
  </si>
  <si>
    <t xml:space="preserve">Rack 21 PT. MITRACOM </t>
  </si>
  <si>
    <t>Mikrotik CCR2116-12G-4S+</t>
  </si>
  <si>
    <t>HC2084HFE4T/32</t>
  </si>
  <si>
    <t>Mikrotik CCR1036-8G-2S+</t>
  </si>
  <si>
    <t>HDB08K79C/3</t>
  </si>
  <si>
    <t>Mikrotik CRS326-24S+2Q+RM</t>
  </si>
  <si>
    <t>HD308KMD</t>
  </si>
  <si>
    <t>Miktotik CRS326-24S+2Q+RM</t>
  </si>
  <si>
    <t>HD308FMD</t>
  </si>
  <si>
    <t xml:space="preserve">PINDAH KE RACK 37 </t>
  </si>
  <si>
    <t>Server Lenovo</t>
  </si>
  <si>
    <t>Dell EMC R740</t>
  </si>
  <si>
    <t>6XL4DM3</t>
  </si>
  <si>
    <t>Server Dell R630 Xeon Dual</t>
  </si>
  <si>
    <t>GTF00H2</t>
  </si>
  <si>
    <t>B7TMCDZ</t>
  </si>
  <si>
    <t>HUAWEI CE6855</t>
  </si>
  <si>
    <t>TCNPTCT778535C2</t>
  </si>
  <si>
    <t>HUAWEI CE6856</t>
  </si>
  <si>
    <t>Switch Huawei CE-6855</t>
  </si>
  <si>
    <t>2102350RTB6TH9000354</t>
  </si>
  <si>
    <t xml:space="preserve">Mikrotik X86 Basic DELR620        </t>
  </si>
  <si>
    <t>18,5 Kg.</t>
  </si>
  <si>
    <t>PT. LEVEL INDO DATA 1/8/2023</t>
  </si>
  <si>
    <t>MIKROTIK CRS317</t>
  </si>
  <si>
    <t>HF009BP3T2H/333/r2</t>
  </si>
  <si>
    <t>TERPASANG dari rack 39</t>
  </si>
  <si>
    <t>level 15/09/2024</t>
  </si>
  <si>
    <t>646B0J2</t>
  </si>
  <si>
    <t>SCW4823</t>
  </si>
  <si>
    <t>1KH9N33</t>
  </si>
  <si>
    <t>D84E0F32C8EB/149/r2</t>
  </si>
  <si>
    <t>8T6N7K2</t>
  </si>
  <si>
    <t>Rack 22 PT ANGKASA PURA SUPPORT 1/2 RACK</t>
  </si>
  <si>
    <t>HP Proliant DL 160 G10</t>
  </si>
  <si>
    <t>SGH220YDTR</t>
  </si>
  <si>
    <t>SGH229YDTS</t>
  </si>
  <si>
    <t>Mikrotik Cloud Core CCR-1036</t>
  </si>
  <si>
    <t>91A509D40A3C</t>
  </si>
  <si>
    <t xml:space="preserve">CISCO Catalys 1000 Series </t>
  </si>
  <si>
    <t>PSZ260319WO</t>
  </si>
  <si>
    <t>FOC2603YEAC</t>
  </si>
  <si>
    <t>HP DL360p G8</t>
  </si>
  <si>
    <t>SGH404BJNV</t>
  </si>
  <si>
    <t>Terpasang dari migrasi JUPITER</t>
  </si>
  <si>
    <t>15/12/2022 (OUT)</t>
  </si>
  <si>
    <t>note. surat di 11</t>
  </si>
  <si>
    <t>Terpasang Pindahan dari rack 9 p1</t>
  </si>
  <si>
    <t>J4BMFF</t>
  </si>
  <si>
    <t>RACK 27  PT.GLOBAL SARANA ELEKTRONIKA (GSE)</t>
  </si>
  <si>
    <t>D8370F0041</t>
  </si>
  <si>
    <t>Server Proliant DL 360P Gen8</t>
  </si>
  <si>
    <t>SGH328046B2</t>
  </si>
  <si>
    <t>Server Proliant DL 380P Gen9</t>
  </si>
  <si>
    <t>CN753304N9</t>
  </si>
  <si>
    <t>D8370CAB9BA9/036/RE</t>
  </si>
  <si>
    <t>Mikrotik CRS 326 -24S+2Q+RM</t>
  </si>
  <si>
    <t xml:space="preserve">Server Hp </t>
  </si>
  <si>
    <t>6CU4161XGY</t>
  </si>
  <si>
    <t>Goods Out</t>
  </si>
  <si>
    <t>CCR 1036-1G-12S</t>
  </si>
  <si>
    <t>D4F10F7A6959</t>
  </si>
  <si>
    <t>14/09/2022 out 21/11/2023</t>
  </si>
  <si>
    <t>D8500D45EDA8/104/R2</t>
  </si>
  <si>
    <t>E3200F70B67B/145/r2</t>
  </si>
  <si>
    <t>H50YBP2</t>
  </si>
  <si>
    <t>13/10/2023 out 28/11/24</t>
  </si>
  <si>
    <t>FQ38R42</t>
  </si>
  <si>
    <t>10/11/2023 out 24/07/2024</t>
  </si>
  <si>
    <t>HP DL360 GEN8</t>
  </si>
  <si>
    <t>IBM SERVER</t>
  </si>
  <si>
    <t>69Y5635YK10KS030947</t>
  </si>
  <si>
    <t>HP DL380 GEN 7</t>
  </si>
  <si>
    <t>SGH104XDC0</t>
  </si>
  <si>
    <t>Huawei CE 6851</t>
  </si>
  <si>
    <t>SERVER X86</t>
  </si>
  <si>
    <t>86.2.01292024</t>
  </si>
  <si>
    <t>29/01/2024 /out 24/07/2024</t>
  </si>
  <si>
    <t>SWITCH HUAWEI S6735</t>
  </si>
  <si>
    <t>3G2350006132</t>
  </si>
  <si>
    <t>CCR 1036</t>
  </si>
  <si>
    <t>HDC080EHDTG/248/r3</t>
  </si>
  <si>
    <t>23/11/2024 out 13/4/26</t>
  </si>
  <si>
    <t>PowerEdge R630</t>
  </si>
  <si>
    <t>780SRK2</t>
  </si>
  <si>
    <t>D837CA014E2/029/r3</t>
  </si>
  <si>
    <t>HP PROLIAN DL360 Gen 9</t>
  </si>
  <si>
    <t>6CU73053PR</t>
  </si>
  <si>
    <t>HSK09FXQW1W/351/r2</t>
  </si>
  <si>
    <t>DELL R740</t>
  </si>
  <si>
    <t>F2H9NX2</t>
  </si>
  <si>
    <t>8464BR2</t>
  </si>
  <si>
    <t>CCR1072-1G-8S+</t>
  </si>
  <si>
    <t>D8410C71986F/027/R2</t>
  </si>
  <si>
    <t>1DZ3S62</t>
  </si>
  <si>
    <t>ARISTA DCS-7060CX</t>
  </si>
  <si>
    <t>JPE20282071</t>
  </si>
  <si>
    <t>Rack 28 RIYAD NETWORK MULTI TEKNOLOGI, PT 1/2 U TERMINATE</t>
  </si>
  <si>
    <t>FT893</t>
  </si>
  <si>
    <t xml:space="preserve"> RACK 28 PT. SSR DIGITAL INFORMATIKA </t>
  </si>
  <si>
    <t>CRS326 - 24S+2Q+RM</t>
  </si>
  <si>
    <t>HD3088JR4G1/235/r2</t>
  </si>
  <si>
    <t>CCR2004-1G-12S+XS</t>
  </si>
  <si>
    <t>HE308QKD5JA/303</t>
  </si>
  <si>
    <t>HE308RWKQAY/303</t>
  </si>
  <si>
    <t>CCR1009 - 7G - 1C - 1S</t>
  </si>
  <si>
    <t>914F0AB70670/902</t>
  </si>
  <si>
    <t>SERVER DELL R430</t>
  </si>
  <si>
    <t>GFWCR42</t>
  </si>
  <si>
    <t>4KBXCK2</t>
  </si>
  <si>
    <t>4BTSG52</t>
  </si>
  <si>
    <t>GH78HD2</t>
  </si>
  <si>
    <t>Server Dell R640</t>
  </si>
  <si>
    <t>C9KP643</t>
  </si>
  <si>
    <t>C9LP643</t>
  </si>
  <si>
    <t>C9KQ643</t>
  </si>
  <si>
    <t>MikroTik CSS326-24G-2S+RM</t>
  </si>
  <si>
    <t>HDM08QXEJJ4</t>
  </si>
  <si>
    <t>Router bitbox GIGA E1275 MAX-6G-2S+</t>
  </si>
  <si>
    <t>6G2S20241221010</t>
  </si>
  <si>
    <t>HUAWEI CE810-48S4Q-EI</t>
  </si>
  <si>
    <t>45Y35AP8CYP9CXY2Y</t>
  </si>
  <si>
    <t>4L4CJ23</t>
  </si>
  <si>
    <t>GOOD OUT 18 Februari 2026</t>
  </si>
  <si>
    <t>RACK 29 PT.BAS NETWORK</t>
  </si>
  <si>
    <t>Tanggal Masuk</t>
  </si>
  <si>
    <t>Catalyst 4948E</t>
  </si>
  <si>
    <t>CAT1836S2LJ</t>
  </si>
  <si>
    <t>CAT1509S13W</t>
  </si>
  <si>
    <t>Cisco ASR 1002-X</t>
  </si>
  <si>
    <t>CMMHW10ARC</t>
  </si>
  <si>
    <t xml:space="preserve">RB 951Ui 2HnD </t>
  </si>
  <si>
    <t>HF209BF7WMY/334/r3</t>
  </si>
  <si>
    <t>Cisco Nexus 3000</t>
  </si>
  <si>
    <t>F0C1731R0MS</t>
  </si>
  <si>
    <t>pindah ke mmr P1 open rack 06 (15/11/24)</t>
  </si>
  <si>
    <t>HFK093899TP/351/r2</t>
  </si>
  <si>
    <t>HG309ZBSTPA/r2</t>
  </si>
  <si>
    <t>HFK0929JG7A/351/r2</t>
  </si>
  <si>
    <t xml:space="preserve">Cisco Catalyst c4948e-e
</t>
  </si>
  <si>
    <t xml:space="preserve">CAT1835S2LJ 
</t>
  </si>
  <si>
    <t>Rack 30 PT JARING LAWAH CYBER  (Mitra Media Data "MMD")</t>
  </si>
  <si>
    <t>Cisco Catalyst 3750</t>
  </si>
  <si>
    <t>F0C1042Y15C</t>
  </si>
  <si>
    <t xml:space="preserve">MikroTik CCR-1016 </t>
  </si>
  <si>
    <t>5AA2046BBB20</t>
  </si>
  <si>
    <t>719607AD79B0</t>
  </si>
  <si>
    <t xml:space="preserve"> Mikrotik RB1100  </t>
  </si>
  <si>
    <t>47B8046746A8</t>
  </si>
  <si>
    <t xml:space="preserve"> HP DL360 G6  </t>
  </si>
  <si>
    <t>CZJ02808P9</t>
  </si>
  <si>
    <t>CZJ02808Q7</t>
  </si>
  <si>
    <t xml:space="preserve">HP DL360 G6 </t>
  </si>
  <si>
    <t>CZJ02808Q0</t>
  </si>
  <si>
    <t xml:space="preserve"> Dell PowerEdge R430 </t>
  </si>
  <si>
    <t>81Z1952</t>
  </si>
  <si>
    <t xml:space="preserve"> Dell PowerEdge R320 </t>
  </si>
  <si>
    <t>F1V5ZZ1</t>
  </si>
  <si>
    <t xml:space="preserve">SuperMIcro NAS </t>
  </si>
  <si>
    <t>FHBU345202A</t>
  </si>
  <si>
    <t>DELL POWER EDGE R430</t>
  </si>
  <si>
    <t>Rack 30 PT JENIUS</t>
  </si>
  <si>
    <t>TERPASANG DARI APJI</t>
  </si>
  <si>
    <t>RACK 31 PT. RTIGA GLOBAL MEDIA</t>
  </si>
  <si>
    <t xml:space="preserve">CISCO NEXUS </t>
  </si>
  <si>
    <t>FOC1633ROGT</t>
  </si>
  <si>
    <t>NEXUS HSP UNTUK MIGRASI RTIGA DI P1 (GOODS OUT TANGGAL 28 APRIL 2023)</t>
  </si>
  <si>
    <t>Mikrotik CCR1036-8G-2S+EM</t>
  </si>
  <si>
    <t>4466026FC4A2/412</t>
  </si>
  <si>
    <t>DARI APJII</t>
  </si>
  <si>
    <t>Supermicro Server Komputer</t>
  </si>
  <si>
    <t>A329335X0A01992</t>
  </si>
  <si>
    <t>02/12/2022 (out 21/1/25)</t>
  </si>
  <si>
    <t>Migrasi dari lantai 3A to P1</t>
  </si>
  <si>
    <t xml:space="preserve">Supermicro Server Komputer  </t>
  </si>
  <si>
    <t>A329335X0A01990</t>
  </si>
  <si>
    <t>02/12/2022 (out 29/3/25)</t>
  </si>
  <si>
    <t>Pindah Ke Lantai 5 Nextline</t>
  </si>
  <si>
    <t>A329335X0104162</t>
  </si>
  <si>
    <t>A329335X0A01991</t>
  </si>
  <si>
    <t>S08815713A14311</t>
  </si>
  <si>
    <t>OUT 29/3/25</t>
  </si>
  <si>
    <t xml:space="preserve">Cisco Gigabit Smart Plus Switch </t>
  </si>
  <si>
    <t>DNI244101N8</t>
  </si>
  <si>
    <t>Enlight Server Rakitan</t>
  </si>
  <si>
    <t xml:space="preserve"> MN4106G94900287</t>
  </si>
  <si>
    <t>pindah Ke Lantai 5 Nextline</t>
  </si>
  <si>
    <t xml:space="preserve">Mikrotik Cloud Core  </t>
  </si>
  <si>
    <t>E3200DAD417E</t>
  </si>
  <si>
    <t xml:space="preserve">ASUS Server Komputer </t>
  </si>
  <si>
    <t>LBS0CG0001DA</t>
  </si>
  <si>
    <t>Server HP Proliant DL180 G6</t>
  </si>
  <si>
    <t xml:space="preserve">Server rakit </t>
  </si>
  <si>
    <t>out 2/10/2023</t>
  </si>
  <si>
    <t>Power Edge HP R710</t>
  </si>
  <si>
    <t>72Q9BP1</t>
  </si>
  <si>
    <t>GOODS OUT (3/7/2023)</t>
  </si>
  <si>
    <t>44VX992</t>
  </si>
  <si>
    <t>Terpasang ( EKSANET )</t>
  </si>
  <si>
    <t>Mikrotik RB5009UG+S+IN</t>
  </si>
  <si>
    <t>HEE08PMEP65/314</t>
  </si>
  <si>
    <t>Server HP Proliant DL380 G7</t>
  </si>
  <si>
    <t>SGH122XWVM</t>
  </si>
  <si>
    <t>JPT11958V5</t>
  </si>
  <si>
    <t>Juniper MX-204</t>
  </si>
  <si>
    <t>GZ163</t>
  </si>
  <si>
    <t>ATN910D-A</t>
  </si>
  <si>
    <t>4,3 Kg.</t>
  </si>
  <si>
    <t>2102353KMX10N2100509</t>
  </si>
  <si>
    <t xml:space="preserve">Server PC Dell D03S </t>
  </si>
  <si>
    <t>SN1P1DNW1</t>
  </si>
  <si>
    <t>terpasang (OUT 3/2/25)</t>
  </si>
  <si>
    <t xml:space="preserve"> TERPASANG DARI RACK 23 </t>
  </si>
  <si>
    <t>Server HP ProLiant DL160</t>
  </si>
  <si>
    <t>CN744502QQ</t>
  </si>
  <si>
    <t>Cloud Core Router</t>
  </si>
  <si>
    <t>HF809FZ9YX5</t>
  </si>
  <si>
    <t>RACK 32 PT. JARINGAN KELUARGA BERSAMA (JKB)</t>
  </si>
  <si>
    <t>f</t>
  </si>
  <si>
    <t xml:space="preserve">Server GGC </t>
  </si>
  <si>
    <t xml:space="preserve">Bitbox Tera V5 </t>
  </si>
  <si>
    <t>Switch Ruijie</t>
  </si>
  <si>
    <t>Mikrobit</t>
  </si>
  <si>
    <t>FC5B26410C88</t>
  </si>
  <si>
    <t>Server ILO Network</t>
  </si>
  <si>
    <t>6CU601YHWW</t>
  </si>
  <si>
    <t>SERVER HP DL360 GEN 9</t>
  </si>
  <si>
    <t>6CU636X35C</t>
  </si>
  <si>
    <t>SERVER DELL R7525</t>
  </si>
  <si>
    <t>HQJB43</t>
  </si>
  <si>
    <t>SERVER TERA</t>
  </si>
  <si>
    <t>21C19455A00325</t>
  </si>
  <si>
    <t>Good Out ( 4/3/24 )</t>
  </si>
  <si>
    <t>Switch Arista</t>
  </si>
  <si>
    <t>JPE22074805</t>
  </si>
  <si>
    <t xml:space="preserve">terpasang </t>
  </si>
  <si>
    <t>server HP DL380</t>
  </si>
  <si>
    <t>SGH301T7PM</t>
  </si>
  <si>
    <t>SGH301TCML</t>
  </si>
  <si>
    <t>SGH301TCMF</t>
  </si>
  <si>
    <t>GX981</t>
  </si>
  <si>
    <t>DELL EMC S5232F - ON</t>
  </si>
  <si>
    <t>4YKHSR3</t>
  </si>
  <si>
    <t>DELL R7615</t>
  </si>
  <si>
    <t>CBJ9B74</t>
  </si>
  <si>
    <t>7FR6L94</t>
  </si>
  <si>
    <t>huawei s6730</t>
  </si>
  <si>
    <t>Rack 33 PT. JEMBATAN DATA PANGRANGO</t>
  </si>
  <si>
    <t>Dell Force</t>
  </si>
  <si>
    <t>S4810P</t>
  </si>
  <si>
    <t>Super Micro Server</t>
  </si>
  <si>
    <t>C113MLF38N70176</t>
  </si>
  <si>
    <t>(out 4/2/25)</t>
  </si>
  <si>
    <t>Rectifier</t>
  </si>
  <si>
    <t>RB 5009 G+S+In</t>
  </si>
  <si>
    <t>EC190F09ABCC</t>
  </si>
  <si>
    <t>di pindah ke rack 7 sakti p2 (12/1/24)</t>
  </si>
  <si>
    <t>1,6 Kg.</t>
  </si>
  <si>
    <t>EC190F11CB23</t>
  </si>
  <si>
    <t>SERVER HP DL360</t>
  </si>
  <si>
    <t>C2J505039F</t>
  </si>
  <si>
    <t>C2J44504V5</t>
  </si>
  <si>
    <t>21/11/2022 (out 4/2/25)</t>
  </si>
  <si>
    <t>C2J505039D</t>
  </si>
  <si>
    <t>C2J44504V8</t>
  </si>
  <si>
    <t>C2J505039P</t>
  </si>
  <si>
    <t>C2170AG49NP0012</t>
  </si>
  <si>
    <t xml:space="preserve">Server Dell </t>
  </si>
  <si>
    <t>7NPR9T1</t>
  </si>
  <si>
    <t>HUAWEI NetEngine M8000</t>
  </si>
  <si>
    <t>98MSP0032A7DA-004</t>
  </si>
  <si>
    <t>26/10/2023 (out 4/2/25)</t>
  </si>
  <si>
    <t>HUAWEI ATN910D</t>
  </si>
  <si>
    <t>2102353KMX10M4000383</t>
  </si>
  <si>
    <t>05/03/2024) (out 4/2/25)</t>
  </si>
  <si>
    <t>2102353KMX10N9100681</t>
  </si>
  <si>
    <t xml:space="preserve">2102353K MX10NA100920 </t>
  </si>
  <si>
    <t>23/03/2024 (out 4/2/25)</t>
  </si>
  <si>
    <t xml:space="preserve">2102353K MX10N1100031 </t>
  </si>
  <si>
    <t>MIKROTIK CCR 2004-16G-2S+</t>
  </si>
  <si>
    <t>HES098CG8K0</t>
  </si>
  <si>
    <t>DELL E028001</t>
  </si>
  <si>
    <t>5gkf828</t>
  </si>
  <si>
    <t>HUAWEI ATN910 C-G</t>
  </si>
  <si>
    <t>2102352Y TQ10P2100657</t>
  </si>
  <si>
    <t>23/03/2024 (out 4/4/25)</t>
  </si>
  <si>
    <t>Server HP Dl360p G8</t>
  </si>
  <si>
    <t>use335d3s4</t>
  </si>
  <si>
    <t>17/05/2024 (OUT 11/6/25)</t>
  </si>
  <si>
    <t>Switch DCN</t>
  </si>
  <si>
    <t>Switch CloudEngine 6800</t>
  </si>
  <si>
    <t>2102350SBQ10H9000038</t>
  </si>
  <si>
    <t>juniper MX204</t>
  </si>
  <si>
    <t>1F18D164476</t>
  </si>
  <si>
    <t>Switch CloudEngine 8000</t>
  </si>
  <si>
    <t>DCN S5750E</t>
  </si>
  <si>
    <t>00030F850BEB</t>
  </si>
  <si>
    <t>NET ENGINE 800 M8</t>
  </si>
  <si>
    <t>QFX 5200</t>
  </si>
  <si>
    <t>WH0218160057</t>
  </si>
  <si>
    <t>DELL R7615-AC servers</t>
  </si>
  <si>
    <t>28PVBH4</t>
  </si>
  <si>
    <t>78PVBH4</t>
  </si>
  <si>
    <t>Dell-Sonic-S5232-AC</t>
  </si>
  <si>
    <t>9VGFSR3</t>
  </si>
  <si>
    <t>Rack 34 PT DIGITAL MEDIA TELEMATIKA (DMT)</t>
  </si>
  <si>
    <t>AEF60B183602</t>
  </si>
  <si>
    <t>09/03/2022 (out 4/2/25)</t>
  </si>
  <si>
    <t>C6CC0CBA2C88</t>
  </si>
  <si>
    <t>8A60078832E4</t>
  </si>
  <si>
    <t>Router Bitbox Tera 1200-8G-2S+</t>
  </si>
  <si>
    <t>Router CCR1009-7G-1C-1S+</t>
  </si>
  <si>
    <t>e3200d2d1686/045/r2</t>
  </si>
  <si>
    <t>Switch RUJIE S6220</t>
  </si>
  <si>
    <t>G6XC7J2</t>
  </si>
  <si>
    <t xml:space="preserve"> Server MX204</t>
  </si>
  <si>
    <t xml:space="preserve">MIKROTIK CCR 1016 </t>
  </si>
  <si>
    <t>HCH085H8HE7/217/R3</t>
  </si>
  <si>
    <t>TERPASANG/DARI APJII</t>
  </si>
  <si>
    <t>D8370C3E3D56/039/R3</t>
  </si>
  <si>
    <t>HCQ08AS67TA/223</t>
  </si>
  <si>
    <t>OUT 16./10/2023</t>
  </si>
  <si>
    <t>HUAWEI S6735</t>
  </si>
  <si>
    <t>3G21B0111759</t>
  </si>
  <si>
    <t>3G21B0111711</t>
  </si>
  <si>
    <t>GG224</t>
  </si>
  <si>
    <t>19/08/2023 (out 16/4/25)</t>
  </si>
  <si>
    <t>SWITCH HUAWEI CE6851</t>
  </si>
  <si>
    <t>6K32GD2</t>
  </si>
  <si>
    <t>PINDAHAN DARI RACK GIGANET</t>
  </si>
  <si>
    <t>ce6860-48s8cq-ei</t>
  </si>
  <si>
    <t>HN354</t>
  </si>
  <si>
    <t>CE 6851</t>
  </si>
  <si>
    <t>ZB2015-02-A55229</t>
  </si>
  <si>
    <t>OUT 14/4/25</t>
  </si>
  <si>
    <t>JG</t>
  </si>
  <si>
    <t>NOTED : INFOIN PAK REZA  YANG DI RACK 34 CUMA DMT AJA, KALO MARVATEL SEKARANG DI RACK 21</t>
  </si>
  <si>
    <t>Rack 35 PT.SARANA MEDIA CEMERLANG (JAGONET)</t>
  </si>
  <si>
    <t>GOOD OUT 5 Juni 2023</t>
  </si>
  <si>
    <t>DQPB172</t>
  </si>
  <si>
    <t>7XHPCD2</t>
  </si>
  <si>
    <t>084EQF1AE28A/145/R2</t>
  </si>
  <si>
    <t>GOOD OUT (23/06/2023)</t>
  </si>
  <si>
    <t>Server Dell 630</t>
  </si>
  <si>
    <t>6SZ2YJ2</t>
  </si>
  <si>
    <t>GOOD OUT (21/08/2023)</t>
  </si>
  <si>
    <t>3G21B0097848</t>
  </si>
  <si>
    <t>3G21B0097713</t>
  </si>
  <si>
    <t>DK6K32</t>
  </si>
  <si>
    <t>8K1XHD2</t>
  </si>
  <si>
    <t>GOOD OUT (11/09/2023)</t>
  </si>
  <si>
    <t>8KOYH2</t>
  </si>
  <si>
    <t xml:space="preserve">TERPASANG </t>
  </si>
  <si>
    <t>CK25OH2</t>
  </si>
  <si>
    <t>GOOD OUT 2 November 2023</t>
  </si>
  <si>
    <t>6QV9SG2</t>
  </si>
  <si>
    <t>F40D8F2</t>
  </si>
  <si>
    <t>4WMF642</t>
  </si>
  <si>
    <t>HPE ProLiant DL360 Gen9</t>
  </si>
  <si>
    <t>SGH732T0WR</t>
  </si>
  <si>
    <t>PINDAH KE 39 (26 juni 2024)</t>
  </si>
  <si>
    <t>RUIJIE RG-S6220-48XS6QXS-11</t>
  </si>
  <si>
    <t>G1PT6YO102903</t>
  </si>
  <si>
    <t>S6735S</t>
  </si>
  <si>
    <t>3G23C0000262</t>
  </si>
  <si>
    <t>CCR2004</t>
  </si>
  <si>
    <t>HK70AYY2KX3</t>
  </si>
  <si>
    <t>Cloud Storage NAS Server</t>
  </si>
  <si>
    <t>F2-221-190300633</t>
  </si>
  <si>
    <t>RACK 36 - PT. SOLUSINDO BINTANG PRATAMA (SBP)</t>
  </si>
  <si>
    <t>DELL POWEREDGE R240xl</t>
  </si>
  <si>
    <t>3Q8TJQ3</t>
  </si>
  <si>
    <t>4Q8TJQ4</t>
  </si>
  <si>
    <t>6Q8TJQ5</t>
  </si>
  <si>
    <t>7Q8TJQ6</t>
  </si>
  <si>
    <t>Cisco Nexus 3048TP</t>
  </si>
  <si>
    <t>FOC2335R14V</t>
  </si>
  <si>
    <t>HP DL360 Gen 9</t>
  </si>
  <si>
    <t>SGH608Y07T</t>
  </si>
  <si>
    <t>SGH608Y0BY</t>
  </si>
  <si>
    <t>SGH608Y0CA</t>
  </si>
  <si>
    <t>Mikrotik CCR1009</t>
  </si>
  <si>
    <t>5A18044667CC</t>
  </si>
  <si>
    <t>Server HP DL380 G6</t>
  </si>
  <si>
    <t>USE138N9K5</t>
  </si>
  <si>
    <t>Terpasang Migrasi dari Lt1</t>
  </si>
  <si>
    <t>Mikrotik CCR1036</t>
  </si>
  <si>
    <t>D8370E0A48DD</t>
  </si>
  <si>
    <t>SGH018X51Y</t>
  </si>
  <si>
    <t>IBM SYSTEMX 3650 M4</t>
  </si>
  <si>
    <t xml:space="preserve">HP DL380 G6 </t>
  </si>
  <si>
    <t>G6SGH024XTRN</t>
  </si>
  <si>
    <t xml:space="preserve">Datto asrock </t>
  </si>
  <si>
    <t>D1541D4U</t>
  </si>
  <si>
    <t xml:space="preserve">Nexus </t>
  </si>
  <si>
    <t>FOC1916R0DH</t>
  </si>
  <si>
    <t xml:space="preserve">Supermicro </t>
  </si>
  <si>
    <t xml:space="preserve"> S347346X9204285</t>
  </si>
  <si>
    <t>CloudEngine 8875</t>
  </si>
  <si>
    <t>TERPASANG (pindahan dari rack 41)</t>
  </si>
  <si>
    <t>RACK 37  PT.Data Buana Nusantara (DBN)</t>
  </si>
  <si>
    <t>Dari Lt.4 Interlink</t>
  </si>
  <si>
    <t>CCR2004-1G-12S+2XS</t>
  </si>
  <si>
    <t>HUAWEI CE6870-24S6CQ-EI</t>
  </si>
  <si>
    <t>OUT 01/02/2025</t>
  </si>
  <si>
    <t>HP DL360p Gen8</t>
  </si>
  <si>
    <t>EY625</t>
  </si>
  <si>
    <t>17/08/2022 out 17/07/2024</t>
  </si>
  <si>
    <t>Server DL360</t>
  </si>
  <si>
    <t>GR3RZ72</t>
  </si>
  <si>
    <t>Dell PowerEdge R240</t>
  </si>
  <si>
    <t>1ZHM2L3</t>
  </si>
  <si>
    <t>GOOD OUT 1 Agustus 2023</t>
  </si>
  <si>
    <t>2ZHM2L3</t>
  </si>
  <si>
    <t>3ZHM2L3</t>
  </si>
  <si>
    <t>3KRJ1N3</t>
  </si>
  <si>
    <t>4KRJ1N3</t>
  </si>
  <si>
    <t>5KRJ1N3</t>
  </si>
  <si>
    <t>Dell K630</t>
  </si>
  <si>
    <t>15,5 Kg.</t>
  </si>
  <si>
    <t>9TGLO112</t>
  </si>
  <si>
    <t>Router RB4011iGS+RM</t>
  </si>
  <si>
    <t>D4480CAA1523/035/R2</t>
  </si>
  <si>
    <t>dari pak hendra</t>
  </si>
  <si>
    <t>HD808BPVAYE/240/r2</t>
  </si>
  <si>
    <t>PINDAHAN DARI RACK 21</t>
  </si>
  <si>
    <t>XYC78277CX09N21</t>
  </si>
  <si>
    <t>SERVER HUAWEI RH1288 V3</t>
  </si>
  <si>
    <t>2102311GGN</t>
  </si>
  <si>
    <t xml:space="preserve">HUAWEI 8830E-32CQ-EL </t>
  </si>
  <si>
    <t>TERPASANG (out 21/1/25)</t>
  </si>
  <si>
    <t>6J899</t>
  </si>
  <si>
    <t>SERVER HUAWEI V3</t>
  </si>
  <si>
    <t>2102311GGNN0J2000027</t>
  </si>
  <si>
    <t>2102311GGNN0J2000025</t>
  </si>
  <si>
    <t>SERVER HUAWEI RH1288</t>
  </si>
  <si>
    <t>2102311GGNN0J2000026</t>
  </si>
  <si>
    <t>PINDAH KE RACK 38 GIGA</t>
  </si>
  <si>
    <t>2102311GGNN0J2000018</t>
  </si>
  <si>
    <t>25/07/2023 (out)</t>
  </si>
  <si>
    <t>DTF2KG2</t>
  </si>
  <si>
    <t>66280 / BCEG9454</t>
  </si>
  <si>
    <t>Keluar 29 Jan 2024</t>
  </si>
  <si>
    <t>HUAWEI S6330</t>
  </si>
  <si>
    <t>HUAWEI CE6851</t>
  </si>
  <si>
    <t>JUNIPER MX304</t>
  </si>
  <si>
    <t>DVE-22939</t>
  </si>
  <si>
    <t>Switch HUAWEI CE8850</t>
  </si>
  <si>
    <t>DELL R631</t>
  </si>
  <si>
    <t>Rack 41</t>
  </si>
  <si>
    <t>DELL OPTIPLEX 3060</t>
  </si>
  <si>
    <t>6W3CNX2</t>
  </si>
  <si>
    <t>HL304</t>
  </si>
  <si>
    <t>HL176</t>
  </si>
  <si>
    <t>Rack 38 PT GIGA DIGITAL NUSANTARA (GIGANET)</t>
  </si>
  <si>
    <t xml:space="preserve">CCR1036-8G-2S+ </t>
  </si>
  <si>
    <t>D83700E81376A/122/r3</t>
  </si>
  <si>
    <t>Good Out 14/10/2022</t>
  </si>
  <si>
    <t>D8370DBE1F71/106/r3</t>
  </si>
  <si>
    <t>Dari InterLink lt.4</t>
  </si>
  <si>
    <t xml:space="preserve">Bitbox Tera V5 E1200V5-66-25-45 </t>
  </si>
  <si>
    <t>2S4S20210630002</t>
  </si>
  <si>
    <t xml:space="preserve">Cisco Nexus 3064-X </t>
  </si>
  <si>
    <t>PINDAH KE RACK 16 DIAZA 4/1/2023</t>
  </si>
  <si>
    <t xml:space="preserve">Server HP DL360p </t>
  </si>
  <si>
    <t>SGH412E09J</t>
  </si>
  <si>
    <t>PINDAH KE RACK 46</t>
  </si>
  <si>
    <t xml:space="preserve"> Server DELL R630 </t>
  </si>
  <si>
    <t>7WJQCD2</t>
  </si>
  <si>
    <t>D8370C42C4A9/036/r3</t>
  </si>
  <si>
    <t xml:space="preserve">Dari InterLink lt.4 </t>
  </si>
  <si>
    <t>PINDAH KE RACK 45</t>
  </si>
  <si>
    <t xml:space="preserve">CCR1009-7G-1C-1S+ </t>
  </si>
  <si>
    <t>E3200FA90CE9/144r2</t>
  </si>
  <si>
    <t xml:space="preserve">Server Dell R740 </t>
  </si>
  <si>
    <t>J9LWKJ3</t>
  </si>
  <si>
    <t>D9LWKJ3</t>
  </si>
  <si>
    <t>HCC0812FX3/213/r2</t>
  </si>
  <si>
    <t>Good Out 26/06/2024</t>
  </si>
  <si>
    <t>CCR1006-8G-2S+</t>
  </si>
  <si>
    <t>D8370F328681</t>
  </si>
  <si>
    <t>D8370C39A4E5/036/r3</t>
  </si>
  <si>
    <t>D84E0FEA9D66/145/r2</t>
  </si>
  <si>
    <t>D84E0F1AE28A/145/r2</t>
  </si>
  <si>
    <t>64CXOL2</t>
  </si>
  <si>
    <t>9SS20112</t>
  </si>
  <si>
    <t xml:space="preserve">Huawei S6735 </t>
  </si>
  <si>
    <t>3G2280004989</t>
  </si>
  <si>
    <t>08/11/2022 (OUT 6/2/25)</t>
  </si>
  <si>
    <t>3G2280005072</t>
  </si>
  <si>
    <t>PINDAH KE RACK 9</t>
  </si>
  <si>
    <t>FW429</t>
  </si>
  <si>
    <t>MIKROTIK 4011</t>
  </si>
  <si>
    <t>HD4080EZCRN/237/R3</t>
  </si>
  <si>
    <t>CV4JS62</t>
  </si>
  <si>
    <t>BARU MASUK BELUM TERPASANG</t>
  </si>
  <si>
    <t>08/05/2023 out (17/07/2024)</t>
  </si>
  <si>
    <t>F1990F8852EB/207</t>
  </si>
  <si>
    <t>DAR APJII (PINDAH RACK JME 26/2/26)</t>
  </si>
  <si>
    <t>DARI RACK 37 DBN</t>
  </si>
  <si>
    <t>8ZKB642</t>
  </si>
  <si>
    <t>SERVER DELL EMC 740</t>
  </si>
  <si>
    <t>43SJ642</t>
  </si>
  <si>
    <t>PINDAH KE RACK 34 (DMT)</t>
  </si>
  <si>
    <t>3G2240022518Y</t>
  </si>
  <si>
    <t>HE252</t>
  </si>
  <si>
    <t>Huawei CE6860-48S8CQ-EI</t>
  </si>
  <si>
    <t>81XT8P4909YPY0Y</t>
  </si>
  <si>
    <t>SW HUAWEI S6735S</t>
  </si>
  <si>
    <t>OUT 06/02/2025</t>
  </si>
  <si>
    <t>HK10AKDYCAF</t>
  </si>
  <si>
    <t>Rack 39 RACK BERSAMA SDC</t>
  </si>
  <si>
    <t>06/02/2023 (CSNET)</t>
  </si>
  <si>
    <t>9TCOOH2</t>
  </si>
  <si>
    <t>OMBUN 11/03/2023</t>
  </si>
  <si>
    <t>INTEL NUC II PAH</t>
  </si>
  <si>
    <t>006HE</t>
  </si>
  <si>
    <t>00EGL</t>
  </si>
  <si>
    <t>0082D</t>
  </si>
  <si>
    <t>0062JE</t>
  </si>
  <si>
    <t>0082R</t>
  </si>
  <si>
    <t>007KU</t>
  </si>
  <si>
    <t>CISCO C4948E</t>
  </si>
  <si>
    <t>OMBUN 11/03/2023 out 13/11/2023</t>
  </si>
  <si>
    <t>CAT162251SF</t>
  </si>
  <si>
    <t>B083FEE64F40</t>
  </si>
  <si>
    <t>PINDAH KE RACK 43</t>
  </si>
  <si>
    <t>LINTAS NETWORK SOLUSI 15/03/2023</t>
  </si>
  <si>
    <t>Server HP DL160 Gen 8</t>
  </si>
  <si>
    <t>LINTAS NETWORK SOLUSI 17/03/2023</t>
  </si>
  <si>
    <t>DHK2052</t>
  </si>
  <si>
    <t>SERAYU MULTI CONNECTION (SMC) 18/3/23 (out 29/6/25)</t>
  </si>
  <si>
    <t>DL360</t>
  </si>
  <si>
    <t>SERAYU (SMC) 28/3/25</t>
  </si>
  <si>
    <t>MIKROTIK RB5009</t>
  </si>
  <si>
    <t>TERPASANG (PINDAHAN DARI RACK 24)</t>
  </si>
  <si>
    <t>HSP (DIST P1 4)</t>
  </si>
  <si>
    <t>Server HP DL 360p Gen 8</t>
  </si>
  <si>
    <t>CZJ3220C81</t>
  </si>
  <si>
    <t>LNS 30/4/2023</t>
  </si>
  <si>
    <t xml:space="preserve">SERVER HP DL160 </t>
  </si>
  <si>
    <t>CN70330DBH</t>
  </si>
  <si>
    <t>PANDAWA LINTAS MEDIA 07/05/2023</t>
  </si>
  <si>
    <t>SERVER ERICSON</t>
  </si>
  <si>
    <t>DS20501945</t>
  </si>
  <si>
    <t>HCS083DYBDT</t>
  </si>
  <si>
    <t>HP PROLIANT DL360e</t>
  </si>
  <si>
    <t>CZJ505039G</t>
  </si>
  <si>
    <t>PANDAWA LINTAS MEDIA 09/05/2023</t>
  </si>
  <si>
    <t>BVFYQ52</t>
  </si>
  <si>
    <t>AMEERA 9/05/2023</t>
  </si>
  <si>
    <t>BV7WQ52</t>
  </si>
  <si>
    <t>AMEERA 17/05/2024</t>
  </si>
  <si>
    <t xml:space="preserve">MIKROTIK CCR 2116 </t>
  </si>
  <si>
    <t>HCR082FYE1H/224</t>
  </si>
  <si>
    <t>29/12/2022/ PINDAHAN DARI OPEN RACK 11 (AMEERA)</t>
  </si>
  <si>
    <t>4466016FD441/341</t>
  </si>
  <si>
    <t>out 23/10/2023</t>
  </si>
  <si>
    <t>CISCO NEXUS 5000</t>
  </si>
  <si>
    <t>30650-0082</t>
  </si>
  <si>
    <t>AMERTA 13/05/2025</t>
  </si>
  <si>
    <t>Mikrotik CRS326-24S+2Q+</t>
  </si>
  <si>
    <t>HCH086Y0JC2</t>
  </si>
  <si>
    <t>LINTAS NETWORK SOLUSI 31/05/2023</t>
  </si>
  <si>
    <t>SWITCH JUNIPER OCX110-48SX</t>
  </si>
  <si>
    <t>0068-15-1261</t>
  </si>
  <si>
    <t>out 03/10/2023</t>
  </si>
  <si>
    <t>PT. GLOBAL TRANMISI GLOBAL 19/6/2023</t>
  </si>
  <si>
    <t>8T7HK2</t>
  </si>
  <si>
    <t>out 24/06/2025</t>
  </si>
  <si>
    <t>PT. Merak Lintas Nusantara 19/6/2023</t>
  </si>
  <si>
    <t>8T5K7K2</t>
  </si>
  <si>
    <t>NESTA 26/6/2023 ( PINDAH KE RACK NESTA P2 )</t>
  </si>
  <si>
    <t>SERVER HP DL360 GEN 8</t>
  </si>
  <si>
    <t>USF3204AXB</t>
  </si>
  <si>
    <t>LINTAS NETWORK SOLUSI  8/ JULI /2023</t>
  </si>
  <si>
    <t>74290794BDCE</t>
  </si>
  <si>
    <t>PT. Merak Lintas Nusantara 14/7/2023</t>
  </si>
  <si>
    <t>HC505817JW1</t>
  </si>
  <si>
    <t>pindah ke rack 21</t>
  </si>
  <si>
    <t>SERVER IBM X3250 M3</t>
  </si>
  <si>
    <t>425142A-99A4206</t>
  </si>
  <si>
    <t>PT. DENTA SEJAHTERA 3/8/23</t>
  </si>
  <si>
    <t>SWITCH RUJIE RG-NBS3200</t>
  </si>
  <si>
    <t>G1RUCM0001927</t>
  </si>
  <si>
    <t>Dell R610</t>
  </si>
  <si>
    <t>1QWD72S</t>
  </si>
  <si>
    <t>13/04/2025 ( PT.DENTA SEJAHTERA )</t>
  </si>
  <si>
    <t>CCR1072</t>
  </si>
  <si>
    <t>HE808258KMA</t>
  </si>
  <si>
    <t>TERPASANG (PINDAHAN DARI OPEN RACK 11)</t>
  </si>
  <si>
    <t>PT. JENIUS LINTAS NUSANTARA (4/08/2023)</t>
  </si>
  <si>
    <t>SERVER DELL R640</t>
  </si>
  <si>
    <t>F9R2JP2</t>
  </si>
  <si>
    <t>PT. JENIUS LINTAS NUSANTARA (15/08/2023)</t>
  </si>
  <si>
    <t>SERVER HP DL360 GEN10</t>
  </si>
  <si>
    <t>SGH927X0DJ</t>
  </si>
  <si>
    <t>ombun 11/9/23</t>
  </si>
  <si>
    <t>4593SG2</t>
  </si>
  <si>
    <t>GOOD OUT 27/11/2024</t>
  </si>
  <si>
    <t>ombun 3/10/23 (OUTT 26/11/24)</t>
  </si>
  <si>
    <t>MIKROTIK CCR2216-1G-12XS-2XQ</t>
  </si>
  <si>
    <t>Ameraa 23/10/2023</t>
  </si>
  <si>
    <t>out.</t>
  </si>
  <si>
    <t>CSNET (PINDAHAN DARI RACK9 9/1/2024)</t>
  </si>
  <si>
    <t>Switch Huawei S6730-H24X6C</t>
  </si>
  <si>
    <t>8841PATTX4YA4NO</t>
  </si>
  <si>
    <t>14/01/2023 ( CSNET )</t>
  </si>
  <si>
    <t>26/06/2024 ( SERAYU MULTI CONNECTION )</t>
  </si>
  <si>
    <t>Terpasang pindah ke rack 21</t>
  </si>
  <si>
    <t>DELL R420</t>
  </si>
  <si>
    <t>9MP4232</t>
  </si>
  <si>
    <t>OUT 24/1/25</t>
  </si>
  <si>
    <t>8B7J0R2</t>
  </si>
  <si>
    <t>27/6/2025 ( SERAYU MULTI CONNECTION )</t>
  </si>
  <si>
    <t xml:space="preserve"> PT. Circlecom Nusantara Indonesia TERMINATE</t>
  </si>
  <si>
    <t>CX962</t>
  </si>
  <si>
    <t>FOC1603RO56</t>
  </si>
  <si>
    <t>MIKROTIK CRS</t>
  </si>
  <si>
    <t>D7EB0 F433CE2/148/r2</t>
  </si>
  <si>
    <t>dari LT 3 Terpasang</t>
  </si>
  <si>
    <t>MIKROBITS AINOS</t>
  </si>
  <si>
    <t>FC5B26410420-G3TA-AEDR</t>
  </si>
  <si>
    <r>
      <rPr>
        <rFont val="Calibri"/>
        <color rgb="FF000000"/>
        <sz val="12.0"/>
      </rPr>
      <t xml:space="preserve">RACK 40 - </t>
    </r>
    <r>
      <rPr>
        <rFont val="Calibri"/>
        <b/>
        <color rgb="FF000000"/>
        <sz val="12.0"/>
      </rPr>
      <t xml:space="preserve">PT Lintas Teknologi Solusindo ( 21U ) </t>
    </r>
    <r>
      <rPr>
        <rFont val="Calibri"/>
        <b/>
        <i/>
        <color rgb="FF000000"/>
        <sz val="12.0"/>
      </rPr>
      <t xml:space="preserve">/ </t>
    </r>
    <r>
      <rPr>
        <rFont val="Calibri"/>
        <i/>
        <strike/>
        <color rgb="FF000000"/>
        <sz val="12.0"/>
      </rPr>
      <t>PT. HARMONIKA MULTIMEDIA SAWANGAN</t>
    </r>
  </si>
  <si>
    <t>Dell Server R630</t>
  </si>
  <si>
    <t>CN-0T6RV9-72481-6CD-00SG-A03</t>
  </si>
  <si>
    <t>HDD084ZPTMT / 245</t>
  </si>
  <si>
    <t>HDD08FJVTMH / 245</t>
  </si>
  <si>
    <t>GOODS OUT 5/1/2024</t>
  </si>
  <si>
    <t>HE308VR6GWX / 303</t>
  </si>
  <si>
    <t>GOOD OUT 4 Maret 2026</t>
  </si>
  <si>
    <t>HDD088S498D / 245</t>
  </si>
  <si>
    <t>CN-0T6RU90-72488-6CO-0056-A03</t>
  </si>
  <si>
    <t>SERVER IBM X3650</t>
  </si>
  <si>
    <t>7945D2A / 06YY098</t>
  </si>
  <si>
    <t>SERVER R730</t>
  </si>
  <si>
    <t>1BS1052</t>
  </si>
  <si>
    <t>03/07/2024 OUT 23/6/25</t>
  </si>
  <si>
    <t>CYJ4H82</t>
  </si>
  <si>
    <t>Out 20/09/2024</t>
  </si>
  <si>
    <t>51HL6H2</t>
  </si>
  <si>
    <t>MIKROTIK CCR 1009</t>
  </si>
  <si>
    <t>E3200E0FE654</t>
  </si>
  <si>
    <t>SERVER DELL R730</t>
  </si>
  <si>
    <t>CYJ0H82</t>
  </si>
  <si>
    <r>
      <rPr>
        <rFont val="Calibri"/>
        <color rgb="FF000000"/>
        <sz val="12.0"/>
      </rPr>
      <t>Mikrotik Server Ciara Akamai</t>
    </r>
  </si>
  <si>
    <r>
      <rPr>
        <rFont val="Calibri"/>
        <color rgb="FF000000"/>
        <sz val="12.0"/>
      </rPr>
      <t>CT-4200723-00138</t>
    </r>
  </si>
  <si>
    <r>
      <rPr>
        <rFont val="Calibri"/>
        <color rgb="FF000000"/>
        <sz val="12.0"/>
      </rPr>
      <t>Mikrotik CCR 1036-8G-2S+EM</t>
    </r>
  </si>
  <si>
    <r>
      <rPr>
        <rFont val="Calibri"/>
        <color rgb="FF000000"/>
        <sz val="12.0"/>
      </rPr>
      <t>D83A0FB42442/149/r3</t>
    </r>
  </si>
  <si>
    <t>Dell Server R730</t>
  </si>
  <si>
    <t>HVSMD92</t>
  </si>
  <si>
    <t>15/10/2024 OUT 23/6/25</t>
  </si>
  <si>
    <t>CYJ3H82</t>
  </si>
  <si>
    <t>HG109ZTCFQR/r3</t>
  </si>
  <si>
    <t>Mikrotik CCR2216-1G-12XS-2XQ</t>
  </si>
  <si>
    <t>HGT0A7Q3YKF</t>
  </si>
  <si>
    <t>HJ30AE635KQ</t>
  </si>
  <si>
    <t>OUT 28/07/2025</t>
  </si>
  <si>
    <t>Dell R730</t>
  </si>
  <si>
    <t>1  U</t>
  </si>
  <si>
    <t>HJ90ABNHXQ5</t>
  </si>
  <si>
    <r>
      <rPr>
        <rFont val="Calibri"/>
        <color rgb="FF000000"/>
        <sz val="12.0"/>
      </rPr>
      <t xml:space="preserve">RACK 40 - </t>
    </r>
    <r>
      <rPr>
        <rFont val="Calibri"/>
        <i/>
        <strike/>
        <color rgb="FF000000"/>
        <sz val="12.0"/>
      </rPr>
      <t>PT Lintas Teknologi Solusindo ( 21U )</t>
    </r>
    <r>
      <rPr>
        <rFont val="Calibri"/>
        <color rgb="FF000000"/>
        <sz val="12.0"/>
      </rPr>
      <t xml:space="preserve"> /</t>
    </r>
    <r>
      <rPr>
        <rFont val="Calibri"/>
        <b/>
        <color rgb="FF000000"/>
        <sz val="12.0"/>
      </rPr>
      <t xml:space="preserve"> PT. HARMONIKA MULTIMEDIA SAWANGAN ( 21 U )</t>
    </r>
  </si>
  <si>
    <t>Cisco Nexus N9K-C93108TC-EX</t>
  </si>
  <si>
    <t>FDO213007CJ</t>
  </si>
  <si>
    <t>HJC0A3H4CBM</t>
  </si>
  <si>
    <t>HJC0ADGAE8M</t>
  </si>
  <si>
    <t>HJC0AEMH8J0</t>
  </si>
  <si>
    <t>terpasang dari rack 16</t>
  </si>
  <si>
    <t>terpasang dari rack 16 ( out 26/2/26 )</t>
  </si>
  <si>
    <t>J2BDHJ2</t>
  </si>
  <si>
    <t>Switch Huawei</t>
  </si>
  <si>
    <t>210235RTC6TJB002039</t>
  </si>
  <si>
    <t>Rack 41 PT.Data Buana Nusantara (DBN)</t>
  </si>
  <si>
    <t xml:space="preserve">SERVER DELL R240 </t>
  </si>
  <si>
    <t>Out  03/09/24</t>
  </si>
  <si>
    <t>631E04BD</t>
  </si>
  <si>
    <t>CRS326-24S</t>
  </si>
  <si>
    <t>D84EOB1AA2D/127/12</t>
  </si>
  <si>
    <t>Digigate Moleo 6G 4S +</t>
  </si>
  <si>
    <t>MIKROTIK CCR 2116</t>
  </si>
  <si>
    <t>HFE095JLRRF</t>
  </si>
  <si>
    <t>HFE09C1QUKB</t>
  </si>
  <si>
    <t>HFE09C4ATAB</t>
  </si>
  <si>
    <t>HFA090YEWDA</t>
  </si>
  <si>
    <t>HE005</t>
  </si>
  <si>
    <t>MODUL IPC</t>
  </si>
  <si>
    <t>IPC086202403130003</t>
  </si>
  <si>
    <t>04/07/2024 out 17/04/2024</t>
  </si>
  <si>
    <t>SERVER IPC086</t>
  </si>
  <si>
    <t>ipc086202403130003</t>
  </si>
  <si>
    <t>03/11/2024(out 18/2/25)</t>
  </si>
  <si>
    <t xml:space="preserve">Huawei ATN 910D-A </t>
  </si>
  <si>
    <t>98ATN0047COCA-001</t>
  </si>
  <si>
    <t>10/11/2024 (out 18/2/25)</t>
  </si>
  <si>
    <t>HUAWEI CE6860-48S8CQ-EI</t>
  </si>
  <si>
    <t xml:space="preserve"> 2102350SBQ10J4000102</t>
  </si>
  <si>
    <t>H3CTB33</t>
  </si>
  <si>
    <t>HH70ACWVG9Z</t>
  </si>
  <si>
    <t>PC Rakitan</t>
  </si>
  <si>
    <t>8 Juli 2025 ( di pindah ke rack NESTA 08/07/2025 )</t>
  </si>
  <si>
    <t>NetEngine 8000</t>
  </si>
  <si>
    <t>2102353H</t>
  </si>
  <si>
    <t>PINDAH KE RACK 36 (31/12/25)</t>
  </si>
  <si>
    <t>Rack 42 PT. ANUGRAH CIMANUK RAYA (CDN)</t>
  </si>
  <si>
    <t>CISCO NEXCUS</t>
  </si>
  <si>
    <t>FOC1633R0H2</t>
  </si>
  <si>
    <t>PINDAHAN DARI RACK MARVATEL</t>
  </si>
  <si>
    <t>PINDAHAN DARI RACK 8</t>
  </si>
  <si>
    <t>SGH60ZWLRN</t>
  </si>
  <si>
    <t>zte zx rctn 6120</t>
  </si>
  <si>
    <t>reqti vape</t>
  </si>
  <si>
    <t>ZTE ZXCTH6120-S</t>
  </si>
  <si>
    <t>RACK 43  PT. LINTAS NETWORK SOLUSI ( LNS )</t>
  </si>
  <si>
    <t>JUNNIPER MX 204</t>
  </si>
  <si>
    <t>FT626</t>
  </si>
  <si>
    <t>HD7081B1EDV/239/R2</t>
  </si>
  <si>
    <t>TERPASANG (DARI APJII)</t>
  </si>
  <si>
    <t>Dell r630</t>
  </si>
  <si>
    <t>3281V72</t>
  </si>
  <si>
    <t>PINDAH KE RACK 40 P2 13/08/2024</t>
  </si>
  <si>
    <t>Dell r610</t>
  </si>
  <si>
    <t>532RB2S</t>
  </si>
  <si>
    <t>TERPASANG OUT3/6/24</t>
  </si>
  <si>
    <t>8LX2WN2</t>
  </si>
  <si>
    <t>PINDAH KE RACK 36 P2 (17/5/2024)</t>
  </si>
  <si>
    <t>Huawei ATN 910 C</t>
  </si>
  <si>
    <t>4,8 kg</t>
  </si>
  <si>
    <t>98ATN0147932N-001</t>
  </si>
  <si>
    <t>PC Build UP</t>
  </si>
  <si>
    <t>88XYQER</t>
  </si>
  <si>
    <t>HD7081B1EDV/239/r2</t>
  </si>
  <si>
    <t>PINDAH KE RACK 36 P2(17/5/2024)</t>
  </si>
  <si>
    <t>CN72290FQ9</t>
  </si>
  <si>
    <t>17/03/2023 OUT25/8/25</t>
  </si>
  <si>
    <t>GOODOUT 22/1/2024</t>
  </si>
  <si>
    <t>HE608J6SDFY/307/r2</t>
  </si>
  <si>
    <t>TERPASANG (PINDAHAN DARI RACK 39) keluar 3/10/23</t>
  </si>
  <si>
    <t>HDC085227EM/248/r3</t>
  </si>
  <si>
    <t>HCC0837THXB/213/r2</t>
  </si>
  <si>
    <t>Server DELL x86</t>
  </si>
  <si>
    <t>AK040046</t>
  </si>
  <si>
    <t>PT. WIKAPLUS GLOBAL NUSANTARA PINDAH DARI RACK 8 out 30/9/2024</t>
  </si>
  <si>
    <t>HUAWEI CE6851-48S6Q-HI</t>
  </si>
  <si>
    <t xml:space="preserve"> 2102350JAS6TJ1000367</t>
  </si>
  <si>
    <t>SERVER HP DL160 Gen 9</t>
  </si>
  <si>
    <t>SGH732TAY8</t>
  </si>
  <si>
    <t>HCA07YY77BV/210</t>
  </si>
  <si>
    <t>PINDAH KE RACK 36 P2</t>
  </si>
  <si>
    <t xml:space="preserve">F7WCH62 </t>
  </si>
  <si>
    <t>727206263552/709</t>
  </si>
  <si>
    <t>Server x86 Akamai (AKL497956)</t>
  </si>
  <si>
    <t>AK040716</t>
  </si>
  <si>
    <t>HP proliant DL360 Gen10</t>
  </si>
  <si>
    <t>SGH945SKTR</t>
  </si>
  <si>
    <t>HP proliant DL360 Gen9</t>
  </si>
  <si>
    <t>SGH806SYBL</t>
  </si>
  <si>
    <t>out 10/1/2024</t>
  </si>
  <si>
    <t>Dell PowerEdge r630</t>
  </si>
  <si>
    <t>6Z46YM2</t>
  </si>
  <si>
    <t>x86 TruePerformance Model: P9K-8G-4S+</t>
  </si>
  <si>
    <t>8Z24M12D</t>
  </si>
  <si>
    <t>terpasang out 30/9/2024</t>
  </si>
  <si>
    <t>HUAWEI ATN 910d-a</t>
  </si>
  <si>
    <t>98ATN0063FAFA-006</t>
  </si>
  <si>
    <t>x86 True Performance</t>
  </si>
  <si>
    <t>2407298K01</t>
  </si>
  <si>
    <r>
      <rPr>
        <rFont val="Calibri"/>
        <color rgb="FF000000"/>
        <sz val="12.0"/>
      </rPr>
      <t>x86 Ciara</t>
    </r>
  </si>
  <si>
    <r>
      <rPr>
        <rFont val="Calibri"/>
        <color rgb="FF000000"/>
        <sz val="12.0"/>
      </rPr>
      <t>CT-4150918-00044</t>
    </r>
  </si>
  <si>
    <t>HUAWEI CE6881</t>
  </si>
  <si>
    <t>102080042734 Y</t>
  </si>
  <si>
    <t>HPE CUSTOM</t>
  </si>
  <si>
    <t>7CE535P2AL</t>
  </si>
  <si>
    <t>Switch ZTE ZXCTN6120HS</t>
  </si>
  <si>
    <t>744AA42E4F90</t>
  </si>
  <si>
    <t>21/2/2025 (OUT 5/3/25)</t>
  </si>
  <si>
    <t>HFG09ABY1MD/r2</t>
  </si>
  <si>
    <t>HN504</t>
  </si>
  <si>
    <t>JUNIPER QFX5200-32C-32Q</t>
  </si>
  <si>
    <t>WHO218250182</t>
  </si>
  <si>
    <t>HJ50A1C4PXE</t>
  </si>
  <si>
    <t>PC X86 1U IPC086</t>
  </si>
  <si>
    <t>IPC086202501060006</t>
  </si>
  <si>
    <t>hp x86</t>
  </si>
  <si>
    <t>11AN23200055</t>
  </si>
  <si>
    <t>Huawei RH2288V3</t>
  </si>
  <si>
    <t>210311LBE10J4000053</t>
  </si>
  <si>
    <t>X86 True Performance Builld UP</t>
  </si>
  <si>
    <t>2A20250825MDS110</t>
  </si>
  <si>
    <t>CRS 520</t>
  </si>
  <si>
    <t>HH40AJWTONT</t>
  </si>
  <si>
    <t>GE879</t>
  </si>
  <si>
    <t>02/03/2026 out 14/4/26</t>
  </si>
  <si>
    <t>RACK 44  PT. JAYA MEDIA EXPRESS (JME)</t>
  </si>
  <si>
    <t>QFX OCX1100</t>
  </si>
  <si>
    <t>OUT 25/8/2023</t>
  </si>
  <si>
    <t>CRS326</t>
  </si>
  <si>
    <t>OUT 15/8/2024</t>
  </si>
  <si>
    <t>CCR 1009-7G-1C-1S+</t>
  </si>
  <si>
    <t>914F09CD6464/843</t>
  </si>
  <si>
    <t>SWITCH HUAWEI 6800</t>
  </si>
  <si>
    <t>HF000</t>
  </si>
  <si>
    <t>Huawai CE6851-48S6Q-HI</t>
  </si>
  <si>
    <t>21022350JAR10F7000012</t>
  </si>
  <si>
    <t>server dell R630</t>
  </si>
  <si>
    <t>2KL0VG2 5598200882</t>
  </si>
  <si>
    <t>RACK 45 BERKAH MEDIA KUSUMA VISION, PT (BMKV)</t>
  </si>
  <si>
    <t>c</t>
  </si>
  <si>
    <t>CCR2116 + 12G 4S</t>
  </si>
  <si>
    <t>CRS326-24S 2Q+RM</t>
  </si>
  <si>
    <t>out 13/11/2023</t>
  </si>
  <si>
    <t>GG280</t>
  </si>
  <si>
    <t>PX75PP9410CTPTY</t>
  </si>
  <si>
    <t>HGC09M6ZMQA/r2</t>
  </si>
  <si>
    <t>RACK 46 PT. JARINGAN LINTAS ARTHA</t>
  </si>
  <si>
    <t>FR940</t>
  </si>
  <si>
    <t>HP DL 360 G8</t>
  </si>
  <si>
    <t>SGHS33WEN2</t>
  </si>
  <si>
    <t>Out ( PINDAH KE INTERLINK )</t>
  </si>
  <si>
    <t xml:space="preserve">-Server HP DL360p </t>
  </si>
  <si>
    <t>Terpasang ( PINDAH dari RACK 38 )</t>
  </si>
  <si>
    <t>HDJ08YXFZG5/252/R2</t>
  </si>
  <si>
    <t>HP DL 360 G10</t>
  </si>
  <si>
    <t>SGH311VK3W</t>
  </si>
  <si>
    <t>SGH311VK3M</t>
  </si>
  <si>
    <t>SGH311VK46</t>
  </si>
  <si>
    <t>SGH311VK3R</t>
  </si>
  <si>
    <t>ARISTA DCS-7060SX</t>
  </si>
  <si>
    <t>JPE22071251</t>
  </si>
  <si>
    <t>DELL R750xs</t>
  </si>
  <si>
    <t>RACK 47 PT LAMBDA SINERGI TELEKOMUNIKASI, (HELIUM)</t>
  </si>
  <si>
    <t>Server Dell R220</t>
  </si>
  <si>
    <t>70NH862</t>
  </si>
  <si>
    <t>Switch MikroTik CRS326-24G-2S+RM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</si>
  <si>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</si>
  <si>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G1P32TR00192B</t>
  </si>
  <si>
    <t>Switch MikroTik CRS326-24S+2Q+RM</t>
  </si>
  <si>
    <t>D84E0FB226C7/208/r2</t>
  </si>
  <si>
    <t>D84E0F0A4B94/208/r2</t>
  </si>
  <si>
    <t>B7QSHL2</t>
  </si>
  <si>
    <t>KELUAR 19/12/2023</t>
  </si>
  <si>
    <t>HP Proliant DL360p G8</t>
  </si>
  <si>
    <t>SGH320VJM4</t>
  </si>
  <si>
    <t>Mini PC Dell 9020SFF</t>
  </si>
  <si>
    <t>4RSYWO2</t>
  </si>
  <si>
    <t>out 2/10/2023 10/12/23</t>
  </si>
  <si>
    <t>SERVER HP DL360 G7</t>
  </si>
  <si>
    <t>6CU245SZ5J</t>
  </si>
  <si>
    <t>GOOD OUT 23 JUli 2024</t>
  </si>
  <si>
    <t>6CU250TR4J</t>
  </si>
  <si>
    <t>OUT (8/8/2024)</t>
  </si>
  <si>
    <t xml:space="preserve">NETWORK APLIANCE </t>
  </si>
  <si>
    <t>ILGNA003</t>
  </si>
  <si>
    <t>GOODS OUT (20/06/2023)</t>
  </si>
  <si>
    <t>PC BUILD UP DELL OPTICLEX 9020</t>
  </si>
  <si>
    <t>5FZM252</t>
  </si>
  <si>
    <t>SERVER HP DL360 G8</t>
  </si>
  <si>
    <t>SGH411D8S7</t>
  </si>
  <si>
    <t>CNG235TG4R</t>
  </si>
  <si>
    <t>Switch Ruijie RG-S6220</t>
  </si>
  <si>
    <t>G1PT7YD107495</t>
  </si>
  <si>
    <t>HP DL360 G8</t>
  </si>
  <si>
    <t>SGH320VJLV</t>
  </si>
  <si>
    <t xml:space="preserve"> 38WZBD2</t>
  </si>
  <si>
    <t>good out pindah ke apjii</t>
  </si>
  <si>
    <t>36J4KL2</t>
  </si>
  <si>
    <t>HP Proliant DL360p G9</t>
  </si>
  <si>
    <t>MXQ64205WS</t>
  </si>
  <si>
    <t>DELL R220</t>
  </si>
  <si>
    <t>68PGR42</t>
  </si>
  <si>
    <t>out 8/7/2024</t>
  </si>
  <si>
    <t>6TXK652</t>
  </si>
  <si>
    <t>8LMER42</t>
  </si>
  <si>
    <t>HP PROLIANT DL360 G8</t>
  </si>
  <si>
    <t>BHQ9S63</t>
  </si>
  <si>
    <t>SWITCH HUAWEI CE6851-48S6Q-HI</t>
  </si>
  <si>
    <t>2102350JAS10FB000133</t>
  </si>
  <si>
    <t>4B9LN62</t>
  </si>
  <si>
    <t>37Y4KL2</t>
  </si>
  <si>
    <t>pindah ke rack 9 12/2/2024</t>
  </si>
  <si>
    <t>B417Q52</t>
  </si>
  <si>
    <t>mx 204</t>
  </si>
  <si>
    <t>HE784</t>
  </si>
  <si>
    <t>PINDAH KE APJII (2/1/25)</t>
  </si>
  <si>
    <t>CCR1016-12S-1S+</t>
  </si>
  <si>
    <t>D5470D3EB35E</t>
  </si>
  <si>
    <t>OUT 14/7/25</t>
  </si>
  <si>
    <t>D9S6KP2</t>
  </si>
  <si>
    <t>7GDYBP2</t>
  </si>
  <si>
    <t>23/05/2025 (pindah ke lt 1 28/9/25)</t>
  </si>
  <si>
    <t>GL109</t>
  </si>
  <si>
    <t>Mikrotik CCR 2004-1G-12S+2XS</t>
  </si>
  <si>
    <t>HEQ09BZTD02/324</t>
  </si>
  <si>
    <t>H3HKT44</t>
  </si>
  <si>
    <t>F3HKT44</t>
  </si>
  <si>
    <t>G3HKT44</t>
  </si>
  <si>
    <t>5YJ1DF2</t>
  </si>
  <si>
    <t>44SYHD2</t>
  </si>
  <si>
    <t>PT0473C8P3XPC4P</t>
  </si>
  <si>
    <t>Good out 28 Februari 2026</t>
  </si>
  <si>
    <t>MIKROTIK CRS3326</t>
  </si>
  <si>
    <t>HHH0AE4554N/r3</t>
  </si>
  <si>
    <t>AA8908C69A01/931/r2</t>
  </si>
  <si>
    <t>Terpasang (masi blum dtng)</t>
  </si>
  <si>
    <t>Server AsRock</t>
  </si>
  <si>
    <t>J8S0R8000216</t>
  </si>
  <si>
    <t>RACK 48 Media Akses Data</t>
  </si>
  <si>
    <t>9FN5050</t>
  </si>
  <si>
    <t>9TC20H2</t>
  </si>
  <si>
    <t>CRS 326</t>
  </si>
  <si>
    <t>084E999389208</t>
  </si>
  <si>
    <t>C114DH62</t>
  </si>
  <si>
    <t>Good out</t>
  </si>
  <si>
    <t>21MKG2S</t>
  </si>
  <si>
    <t>OUT 26/3/2024</t>
  </si>
  <si>
    <t>FT5K7K2</t>
  </si>
  <si>
    <t>BR32DZ1</t>
  </si>
  <si>
    <t xml:space="preserve">HP DL360p Gen 8 </t>
  </si>
  <si>
    <t>SGH317TBFB</t>
  </si>
  <si>
    <t>PC HP PRODESK 280 G3</t>
  </si>
  <si>
    <t>8CG9464VWP</t>
  </si>
  <si>
    <t>huawei CE6855</t>
  </si>
  <si>
    <t>2102350SRQ6TK3000045</t>
  </si>
  <si>
    <t>BN18KP2</t>
  </si>
  <si>
    <t>Pindah ke Lt.9 PRODC RACK 48</t>
  </si>
  <si>
    <t>RACK 49 PT Cloud Teknologi Nusantara (CTN)</t>
  </si>
  <si>
    <t xml:space="preserve">HP DL360 G8 </t>
  </si>
  <si>
    <t>SGH404BHH3</t>
  </si>
  <si>
    <t xml:space="preserve">DELL S4810P </t>
  </si>
  <si>
    <t>Server Dell R720</t>
  </si>
  <si>
    <t>SDV7Z42</t>
  </si>
  <si>
    <t>Out 7/3/25</t>
  </si>
  <si>
    <t>75G4562</t>
  </si>
  <si>
    <t>CCR1009-7g-1c-1s+</t>
  </si>
  <si>
    <t>HCY08375FKP</t>
  </si>
  <si>
    <t>Terpasang (out 6/1/25</t>
  </si>
  <si>
    <t>Dell R420</t>
  </si>
  <si>
    <t>6ZK0XXI</t>
  </si>
  <si>
    <t>Terpasang (MIGRASI)</t>
  </si>
  <si>
    <t>24MOXXI</t>
  </si>
  <si>
    <t>Dell R720</t>
  </si>
  <si>
    <t>7RPIS82</t>
  </si>
  <si>
    <t>Dell Force 10s60</t>
  </si>
  <si>
    <t>00ASII030K158</t>
  </si>
  <si>
    <t>4KTM032</t>
  </si>
  <si>
    <t>SYNOLOGY DS918</t>
  </si>
  <si>
    <t>19C0PDN250701</t>
  </si>
  <si>
    <t>DWDM 8 CHANNEL</t>
  </si>
  <si>
    <t>202202160102 &amp; 202202160101</t>
  </si>
  <si>
    <t>18/01/2022 ( out 18/06/2025 )</t>
  </si>
  <si>
    <t>D84F0CDA5FB9/028/r2</t>
  </si>
  <si>
    <t>Mikrotik CRS317-1G-16S+RM</t>
  </si>
  <si>
    <t>C0BA0B2A50A7/940</t>
  </si>
  <si>
    <t>J2XJ5X1</t>
  </si>
  <si>
    <t>OUT (20/10/2023)</t>
  </si>
  <si>
    <t>3SV4722</t>
  </si>
  <si>
    <t>Terpasang (out 17/4/25)</t>
  </si>
  <si>
    <t>6251XJ2</t>
  </si>
  <si>
    <t>OUT(6/11/2023)</t>
  </si>
  <si>
    <t>HBB7YK2</t>
  </si>
  <si>
    <t>3T9TS02</t>
  </si>
  <si>
    <t>65CHS12</t>
  </si>
  <si>
    <t>HGR1322</t>
  </si>
  <si>
    <t>45R6SG2</t>
  </si>
  <si>
    <t>OUT(20/10/2023)</t>
  </si>
  <si>
    <t>HE608QVKBMH/307/r2</t>
  </si>
  <si>
    <t>HE608Q5NR0E</t>
  </si>
  <si>
    <t>20/01/2024 out 13/5/24</t>
  </si>
  <si>
    <t>GK871</t>
  </si>
  <si>
    <t>Inspur SA5112M5</t>
  </si>
  <si>
    <t>OUT(4/7/2024)</t>
  </si>
  <si>
    <t>FortiGate 60F</t>
  </si>
  <si>
    <t>FGT60FTK2209C7NG</t>
  </si>
  <si>
    <t>23/08/2024 out 1/10/25</t>
  </si>
  <si>
    <t xml:space="preserve">Mikrotik CCR2116-12G-4S+ </t>
  </si>
  <si>
    <t>HF9099NBQEG)</t>
  </si>
  <si>
    <t>HG409RVWR5E</t>
  </si>
  <si>
    <t xml:space="preserve">RUIJIE RG-EG1510XS </t>
  </si>
  <si>
    <t>H1T073400209A</t>
  </si>
  <si>
    <t>DL360p</t>
  </si>
  <si>
    <t>SGH404BJXL</t>
  </si>
  <si>
    <t>3FF4ZC2</t>
  </si>
  <si>
    <t>R640</t>
  </si>
  <si>
    <t>ng</t>
  </si>
  <si>
    <t>JF7V7N2</t>
  </si>
  <si>
    <t>13/10/25 (out)</t>
  </si>
  <si>
    <t>Switch DELL Force10</t>
  </si>
  <si>
    <t>00AS110301458</t>
  </si>
  <si>
    <t>mikrotik CRS504-4XQ-IN</t>
  </si>
  <si>
    <t>HGZ0A026J75</t>
  </si>
  <si>
    <t>terPASANG</t>
  </si>
  <si>
    <t>mikrotik mAP lite</t>
  </si>
  <si>
    <t>HEW09F5JXRQ</t>
  </si>
  <si>
    <t>C90QPM2</t>
  </si>
  <si>
    <t>BN1CKP2</t>
  </si>
  <si>
    <t>C813MLG20NE0098</t>
  </si>
  <si>
    <t>dell r640</t>
  </si>
  <si>
    <t>out 1/10/25</t>
  </si>
  <si>
    <t>4SY8YK2</t>
  </si>
  <si>
    <t>MikroTik CCR2004-1G-12S+2XS</t>
  </si>
  <si>
    <t>F0710E2A326F/126</t>
  </si>
  <si>
    <t>CYBEROAM</t>
  </si>
  <si>
    <t>C16617273860</t>
  </si>
  <si>
    <t>HP DL380 G8</t>
  </si>
  <si>
    <t>H852N7282</t>
  </si>
  <si>
    <t>10/2/26 ( out 14/2/26 )</t>
  </si>
  <si>
    <t>H852N14356</t>
  </si>
  <si>
    <t>SGH314RRK3</t>
  </si>
  <si>
    <t>JF4Q7N2</t>
  </si>
  <si>
    <t>OUT 9/3/2026</t>
  </si>
  <si>
    <t>RACK 50 - PT. GARUDA MEDIA TELEMATIKA</t>
  </si>
  <si>
    <t>Huawei CE6851-48S6Q-HI</t>
  </si>
  <si>
    <t>2102350JAR6TH7000433</t>
  </si>
  <si>
    <t>TERPASANG (OUT 10/12/23)</t>
  </si>
  <si>
    <t>2102350JAR6TH4000969</t>
  </si>
  <si>
    <t>Server</t>
  </si>
  <si>
    <t>4N300070</t>
  </si>
  <si>
    <t>CRS 316</t>
  </si>
  <si>
    <t>ccr 2116-12G-4S+</t>
  </si>
  <si>
    <t>HJT0AWG2MA3</t>
  </si>
  <si>
    <t>HJR0AJJ99XC</t>
  </si>
  <si>
    <t>CE6855</t>
  </si>
  <si>
    <t>OUT 30/11/25</t>
  </si>
  <si>
    <t>CE6851</t>
  </si>
  <si>
    <t>210235-AJ16TH2000147</t>
  </si>
  <si>
    <t>529D04118D0F/43B</t>
  </si>
  <si>
    <t>OUT 3/12/25</t>
  </si>
  <si>
    <t>Server Builtup</t>
  </si>
  <si>
    <t>1BBUAEBS000160</t>
  </si>
  <si>
    <t xml:space="preserve">
</t>
  </si>
  <si>
    <t>RACK 51 PT. INTERNET MADJU ABAD MELINDO / GlobalXtreme</t>
  </si>
  <si>
    <t>SWITCH CISCO / N3K-C3064PQ-10GX V01</t>
  </si>
  <si>
    <t>FOC1815R0AS</t>
  </si>
  <si>
    <t>GOODS OUT (20/06/2024)</t>
  </si>
  <si>
    <t>Server Dell / R610</t>
  </si>
  <si>
    <t>1D6N6M1</t>
  </si>
  <si>
    <t>BYQ2FQ1</t>
  </si>
  <si>
    <t>Firewall Juniper SRX3400</t>
  </si>
  <si>
    <t>100E7E5847DA</t>
  </si>
  <si>
    <t>QFX5110</t>
  </si>
  <si>
    <t>WS3119010090</t>
  </si>
  <si>
    <t>GOODS OUT (20/11/2023)</t>
  </si>
  <si>
    <t>RACK 51 - PT. ENERGY TRANSPONDER INDONESIA (ETI) 20 U</t>
  </si>
  <si>
    <t>Dell Poweredge R740</t>
  </si>
  <si>
    <t>6RCCMF3</t>
  </si>
  <si>
    <t xml:space="preserve"> RACK 52 - PT. PASCAL SOLUSI NUSANTARA</t>
  </si>
  <si>
    <t>Server Dell Power Edge R240</t>
  </si>
  <si>
    <t>6HJDPQ3</t>
  </si>
  <si>
    <t>4HJDPQ3</t>
  </si>
  <si>
    <t>5HJDPQ3</t>
  </si>
  <si>
    <t>3HJDPQ3</t>
  </si>
  <si>
    <t>Switch Foece 10</t>
  </si>
  <si>
    <t>CRS 354-48G-4S+2Q</t>
  </si>
  <si>
    <t>B8450B0A627E/951</t>
  </si>
  <si>
    <t>CSS 326-24G-2S+RM</t>
  </si>
  <si>
    <t>F6F40FA88F52/208/r2</t>
  </si>
  <si>
    <t>Server Motorolla</t>
  </si>
  <si>
    <t>Server diablo</t>
  </si>
  <si>
    <t>Server EG410-LC</t>
  </si>
  <si>
    <t>Switch Cisco Catalyst 2950</t>
  </si>
  <si>
    <t xml:space="preserve">3902A816 </t>
  </si>
  <si>
    <t>Server IBM  2583-62A</t>
  </si>
  <si>
    <t>06UBY31</t>
  </si>
  <si>
    <t>Server HPE</t>
  </si>
  <si>
    <t xml:space="preserve"> USE346KX3P
</t>
  </si>
  <si>
    <t>OUT 10/11/2023</t>
  </si>
  <si>
    <t>CISCO UCS M2</t>
  </si>
  <si>
    <t>1674FS</t>
  </si>
  <si>
    <t>HP PROLIANT DL120 GEN9</t>
  </si>
  <si>
    <t>SGH622XMCT</t>
  </si>
  <si>
    <t>HP 1620-8G</t>
  </si>
  <si>
    <t>CN55GNQDCT</t>
  </si>
  <si>
    <t>DELL S480P-AC-R</t>
  </si>
  <si>
    <t>HBDL139U20136</t>
  </si>
  <si>
    <t>Lenovo SR630 V2</t>
  </si>
  <si>
    <t>J90128AL</t>
  </si>
  <si>
    <t>SERVER IBM 4364</t>
  </si>
  <si>
    <t>99B2443</t>
  </si>
  <si>
    <t>ccr 2216-1g-12xs-2xq</t>
  </si>
  <si>
    <t>HGH09mbn9k9</t>
  </si>
  <si>
    <t>ccr1009-7g-1c-1s+</t>
  </si>
  <si>
    <t>849a08618181/751</t>
  </si>
  <si>
    <t>914F09A9D4E1</t>
  </si>
  <si>
    <t>CRS 326 24S+2Q+RM</t>
  </si>
  <si>
    <t>2X4CC2S</t>
  </si>
  <si>
    <t>DELL R610</t>
  </si>
  <si>
    <t>HHH0AA1D58G</t>
  </si>
  <si>
    <t>DELL S60-44T</t>
  </si>
  <si>
    <t>FN9N3V1</t>
  </si>
  <si>
    <t>HP DL18 G6</t>
  </si>
  <si>
    <t>CN724704RQ</t>
  </si>
  <si>
    <t xml:space="preserve">HP DL360 Gen 8 </t>
  </si>
  <si>
    <t>MXQ35200T2</t>
  </si>
  <si>
    <t>SERVER</t>
  </si>
  <si>
    <t>DELL Power Edge R630</t>
  </si>
  <si>
    <t xml:space="preserve">10W47T2 </t>
  </si>
  <si>
    <t>DELL S4048-ON</t>
  </si>
  <si>
    <t>BRN0PK2</t>
  </si>
  <si>
    <t>2X9TXR1</t>
  </si>
  <si>
    <t>Rack 1 - PT AURORA</t>
  </si>
  <si>
    <t xml:space="preserve">OTB 24C </t>
  </si>
  <si>
    <t>HP DL 360G8</t>
  </si>
  <si>
    <t>SGH320VJLF</t>
  </si>
  <si>
    <t>HUAWEI CE6850-48S6Q-HI</t>
  </si>
  <si>
    <t>2102350EHC6TGC00001</t>
  </si>
  <si>
    <t>Dell R220</t>
  </si>
  <si>
    <t>GTXKG52</t>
  </si>
  <si>
    <t>out 10/12/2025</t>
  </si>
  <si>
    <t>Router Server Dell R630</t>
  </si>
  <si>
    <t>3WZRN62</t>
  </si>
  <si>
    <t>96L4DF2</t>
  </si>
  <si>
    <t>BHQ9S62</t>
  </si>
  <si>
    <t>4P84S62</t>
  </si>
  <si>
    <t>31V09XZ</t>
  </si>
  <si>
    <t>ZTE ZXCTN 6120H-S</t>
  </si>
  <si>
    <t>Huawei ATN-910D-A</t>
  </si>
  <si>
    <t>21023353KMX10N6100716</t>
  </si>
  <si>
    <t>Out 07/01/2026</t>
  </si>
  <si>
    <t>H3C S6850-56HF</t>
  </si>
  <si>
    <t>210235A3JSH187002543</t>
  </si>
  <si>
    <t>98ATN0063789A-001</t>
  </si>
  <si>
    <t xml:space="preserve">Rack 2 PT. LINTAS TELEMATIKA NUSANTARA </t>
  </si>
  <si>
    <t>OTB 24C</t>
  </si>
  <si>
    <t>catalyst 9300</t>
  </si>
  <si>
    <t>9500 - FDO26381YQ4</t>
  </si>
  <si>
    <t>cataliyst 9500</t>
  </si>
  <si>
    <t>9500 - FDO26382D2F</t>
  </si>
  <si>
    <t>9500 - FOC2628Y4ZA</t>
  </si>
  <si>
    <t>juniper srx 1500</t>
  </si>
  <si>
    <t xml:space="preserve">DB2323AK0013 </t>
  </si>
  <si>
    <t>DB2323AK0056</t>
  </si>
  <si>
    <t>BIG IP i5000</t>
  </si>
  <si>
    <t xml:space="preserve">F5-szmz-gvjs </t>
  </si>
  <si>
    <t>F5-bmvq-zgyo</t>
  </si>
  <si>
    <t>F5-zycu-myqe</t>
  </si>
  <si>
    <t>F5-dlcu-vudl</t>
  </si>
  <si>
    <t>dell r740</t>
  </si>
  <si>
    <t>6W6X8Z2</t>
  </si>
  <si>
    <t>70PT8Z2</t>
  </si>
  <si>
    <t>70LX8Z2</t>
  </si>
  <si>
    <t>70JZ8Z2</t>
  </si>
  <si>
    <t>70MY8Z2</t>
  </si>
  <si>
    <t>Rack 3 PT. LINTAS TELEMATIKA NUSANTARA</t>
  </si>
  <si>
    <t>9500 - FDO26381565</t>
  </si>
  <si>
    <t>catalyst 9500</t>
  </si>
  <si>
    <t>9500 - FDO26381Z26</t>
  </si>
  <si>
    <t>9500 - FOC2628Y52F</t>
  </si>
  <si>
    <t>6Y4X013</t>
  </si>
  <si>
    <t>GYC2113</t>
  </si>
  <si>
    <t>6Y4T013</t>
  </si>
  <si>
    <t>6Y9W013</t>
  </si>
  <si>
    <t>dell s740</t>
  </si>
  <si>
    <t>6YCW013</t>
  </si>
  <si>
    <t>6Y8W013</t>
  </si>
  <si>
    <t>6YB1113</t>
  </si>
  <si>
    <t>687T8Z2</t>
  </si>
  <si>
    <t>6H1Z8Z2</t>
  </si>
  <si>
    <t>68BR8Z2</t>
  </si>
  <si>
    <t>Rack 4 PT. LEN TELEKOMUNIKASI INDONESIA (LTI)</t>
  </si>
  <si>
    <t>Server RH2288H V3</t>
  </si>
  <si>
    <t>2102311HHU10J1C000041 Y NSDX00ZYPC11</t>
  </si>
  <si>
    <t>KVM, Synology RS819</t>
  </si>
  <si>
    <t>HW20582357-1</t>
  </si>
  <si>
    <t>Asus RS-100 E9</t>
  </si>
  <si>
    <t>C5D2C2F2-6B57-4C12-820F-7B847A655EFC</t>
  </si>
  <si>
    <t>Asus E9 RS-500</t>
  </si>
  <si>
    <t>K4S0CG0000R6</t>
  </si>
  <si>
    <t>Thinksystem SR650 5218</t>
  </si>
  <si>
    <t>J3044D4K</t>
  </si>
  <si>
    <t>HFG09AP5FAV</t>
  </si>
  <si>
    <t>Synology RS819</t>
  </si>
  <si>
    <t>2080R3RATCW9W</t>
  </si>
  <si>
    <t>Rack 5 PT. DIGITAL AKSES NUSANTARA (DIGTA)</t>
  </si>
  <si>
    <t>2102350JAR6TH7000427</t>
  </si>
  <si>
    <t>SWITCH HUAWEI S6330</t>
  </si>
  <si>
    <t>8YAA813N3NA840C</t>
  </si>
  <si>
    <t xml:space="preserve">MIKROTIK 5009 </t>
  </si>
  <si>
    <t>HF3099Y3P6G</t>
  </si>
  <si>
    <t>OUT 14/5/2024</t>
  </si>
  <si>
    <t xml:space="preserve">MIKROTIK CRS 309 </t>
  </si>
  <si>
    <t>HDJ08H3A25S</t>
  </si>
  <si>
    <t>TERPASANG DARI CDC</t>
  </si>
  <si>
    <t>MXQ3500CLN</t>
  </si>
  <si>
    <t>MIKROTIK CRS 305</t>
  </si>
  <si>
    <t>HCF085WSN87</t>
  </si>
  <si>
    <t>Huawei RH2188v3</t>
  </si>
  <si>
    <t>2102311GGN10H9001286</t>
  </si>
  <si>
    <t>pindah ke lt 5 (25/10/24)</t>
  </si>
  <si>
    <t>IBM Server</t>
  </si>
  <si>
    <t>06EBY02</t>
  </si>
  <si>
    <t>CCR 1036 2S+</t>
  </si>
  <si>
    <t>D8370D62C769</t>
  </si>
  <si>
    <t>HE908GBFQ0X</t>
  </si>
  <si>
    <t>Dell PowerEdge R630</t>
  </si>
  <si>
    <t>BLF4GM2</t>
  </si>
  <si>
    <t>CKG74GM2</t>
  </si>
  <si>
    <t>out 30/9/2024</t>
  </si>
  <si>
    <t xml:space="preserve">RB750Gr3             </t>
  </si>
  <si>
    <t>HCY08A0AK9H</t>
  </si>
  <si>
    <t>HFB099Q4ZJB</t>
  </si>
  <si>
    <t>Rack 6 PT. GLOBAL MEDIA PRATAMA / glosindo</t>
  </si>
  <si>
    <t>6G00X02</t>
  </si>
  <si>
    <t>3932GB2</t>
  </si>
  <si>
    <t xml:space="preserve">Huawei CE6851 </t>
  </si>
  <si>
    <t>2102350JAR6TG8000585</t>
  </si>
  <si>
    <t>DNQCF2S</t>
  </si>
  <si>
    <t>22/01/2024 (OUT 24/2/25)</t>
  </si>
  <si>
    <t>DCN S4600-28P-SI</t>
  </si>
  <si>
    <t>LG LED MONITOR KOMPUTER</t>
  </si>
  <si>
    <t>402INLV9D128</t>
  </si>
  <si>
    <t>QNAP NAS</t>
  </si>
  <si>
    <t>Q188I06663</t>
  </si>
  <si>
    <t>BCFZ4691</t>
  </si>
  <si>
    <t>Rack 7 PT. SAKTI WIJAYA NETWORK 20U / PT. COMUNICATION SOLUTIONS 20U</t>
  </si>
  <si>
    <t xml:space="preserve">CCR1036 8g 2s+EM </t>
  </si>
  <si>
    <t>083B0F6A333A</t>
  </si>
  <si>
    <t>TERPASANG(SAKTI WIJAYA)</t>
  </si>
  <si>
    <t>Mikrotik CCR2116 12G-4S+</t>
  </si>
  <si>
    <t>HCA07YVYSYC/210</t>
  </si>
  <si>
    <t>CNSYY42</t>
  </si>
  <si>
    <t>good out 18/12/23</t>
  </si>
  <si>
    <t>HCX0847CE2B</t>
  </si>
  <si>
    <t>BVDJ174</t>
  </si>
  <si>
    <t>46FR82S</t>
  </si>
  <si>
    <t>out 8/1/24</t>
  </si>
  <si>
    <t>CMB532S</t>
  </si>
  <si>
    <t>Out 02/10/2024</t>
  </si>
  <si>
    <t>2102350JAR6TH7000643</t>
  </si>
  <si>
    <t>GM457</t>
  </si>
  <si>
    <t>CISCO 3560</t>
  </si>
  <si>
    <t>FDO1738Z0D5</t>
  </si>
  <si>
    <t>out 18/3/2024</t>
  </si>
  <si>
    <t>TERPASANG (SAKTI WIJAYA, PINDAHAN DARI RACK 33 JDP)</t>
  </si>
  <si>
    <t>CISCO 3750x</t>
  </si>
  <si>
    <t xml:space="preserve">MIKROTIK CCR1036 </t>
  </si>
  <si>
    <t>8A6208CD9E19</t>
  </si>
  <si>
    <t>FDO1546K1J1</t>
  </si>
  <si>
    <t>81M2TR2</t>
  </si>
  <si>
    <t>TERPASANG (COMMSOL, DARI APJII)</t>
  </si>
  <si>
    <t>SERVER DELL R210</t>
  </si>
  <si>
    <t>76D2ZY1</t>
  </si>
  <si>
    <t>TERPASANG (COMMSOL)</t>
  </si>
  <si>
    <t>MIKROTIK</t>
  </si>
  <si>
    <t>94D90BFCD072/942/r2</t>
  </si>
  <si>
    <t>94D90B0C53DE/942/r2</t>
  </si>
  <si>
    <t>SWITCH CISCO</t>
  </si>
  <si>
    <t>PSZ22371B5E</t>
  </si>
  <si>
    <t>HGC09R7NGEG/r2</t>
  </si>
  <si>
    <t>DELL PE  R210</t>
  </si>
  <si>
    <t>76D22Y</t>
  </si>
  <si>
    <t>HP DL360P GEN 8</t>
  </si>
  <si>
    <t>H855NQ2252</t>
  </si>
  <si>
    <t>TERPASANG (SAKTI WIJAYA ) OUT 24/2/2025</t>
  </si>
  <si>
    <t>Dell R710 SN</t>
  </si>
  <si>
    <t>TERPASANG (SAKTI WIJAYA)</t>
  </si>
  <si>
    <t>DELL PowerEdge R630</t>
  </si>
  <si>
    <t>3XQVS72</t>
  </si>
  <si>
    <t xml:space="preserve">GOODS IN </t>
  </si>
  <si>
    <t>24 February 2025</t>
  </si>
  <si>
    <t>Dell Power Edge R730</t>
  </si>
  <si>
    <t xml:space="preserve"> n</t>
  </si>
  <si>
    <t>QFX5200-32C-AFO</t>
  </si>
  <si>
    <t>WH0218250484</t>
  </si>
  <si>
    <t>TERPASANG (SAKTI)</t>
  </si>
  <si>
    <t>Supermicro X10DRU-i+</t>
  </si>
  <si>
    <t>C829UAE38B00481</t>
  </si>
  <si>
    <t>Rack 8 PT.LINTAS DATA TRANS (21 U)</t>
  </si>
  <si>
    <t>HUAWEI ATN910D-A</t>
  </si>
  <si>
    <t>2102353K</t>
  </si>
  <si>
    <t>18/09/2023 (surat good out sdng di proses)</t>
  </si>
  <si>
    <t>DELL POWEREDGE R630</t>
  </si>
  <si>
    <t>BG9CKP2</t>
  </si>
  <si>
    <t>18/09/2023 surat good out sdng di proses)</t>
  </si>
  <si>
    <t xml:space="preserve"> PROLIANT DL380 GEN10</t>
  </si>
  <si>
    <t>SHG929YJ87</t>
  </si>
  <si>
    <t>18/09/2023surat good out sdng di proses)</t>
  </si>
  <si>
    <t>Mikrotic CCR 1036-8g-2S+EM</t>
  </si>
  <si>
    <t>D83A0D36C0F0/0491/r3</t>
  </si>
  <si>
    <t>JFRJ642</t>
  </si>
  <si>
    <t>GM489</t>
  </si>
  <si>
    <t>30/06/2024surat good out sdng di proses)</t>
  </si>
  <si>
    <t>HG509X63C4X/r2</t>
  </si>
  <si>
    <t>01/07/2024surat good out sdng di proses)</t>
  </si>
  <si>
    <t>Rack 8 PT.SAMUDRA DIGITAL NETWORK (21 U)</t>
  </si>
  <si>
    <t>B968C38</t>
  </si>
  <si>
    <t>PT.SAMUDRA DIGITAL NETWORK</t>
  </si>
  <si>
    <t>10 Dsmber 2024  pindahn dari rack 48</t>
  </si>
  <si>
    <t>HFH09DAJQYT</t>
  </si>
  <si>
    <t>1CWBHP2</t>
  </si>
  <si>
    <t>PT SAMUDRA DIGITAL NETWORK</t>
  </si>
  <si>
    <t>11 Maret 2025 GOOD IN ( OUT 10/9/25 )</t>
  </si>
  <si>
    <t>Hz109</t>
  </si>
  <si>
    <t>11/01/2026(out )</t>
  </si>
  <si>
    <t>Rack 8 PT. CIPTA DATA GLOBAL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</si>
  <si>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</si>
  <si>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CRS 2116</t>
  </si>
  <si>
    <t>Rack 8 PT. NESTA MEDIA (21 U) PINDAH KE 27</t>
  </si>
  <si>
    <t>a</t>
  </si>
  <si>
    <t>MIKROTIK CRS326-24S</t>
  </si>
  <si>
    <t>HEXU99TVREN/330/R3</t>
  </si>
  <si>
    <t>TERPASANG (R39(P1)--&gt;R8(P2))</t>
  </si>
  <si>
    <t>7HTJ642</t>
  </si>
  <si>
    <t>GOOD OUT 26 September 2023</t>
  </si>
  <si>
    <t>BZTJ642</t>
  </si>
  <si>
    <t>5FTJ642</t>
  </si>
  <si>
    <t>NTX2N78928PP</t>
  </si>
  <si>
    <t>pindah apjii 10/2/24</t>
  </si>
  <si>
    <t>DELL POWER EDGE R630</t>
  </si>
  <si>
    <t>4599SG2</t>
  </si>
  <si>
    <t>HCC0DPCHQ8/213/R2</t>
  </si>
  <si>
    <t>5PKB642</t>
  </si>
  <si>
    <t>36SKG52</t>
  </si>
  <si>
    <t>Rack 9 PT LOVEIKA HOST INDONESIA  (20U) / PT. MAXLINK DATA PRIMA INDONESIA (20U)</t>
  </si>
  <si>
    <t>Router CCR2116</t>
  </si>
  <si>
    <t>HF6092145DY</t>
  </si>
  <si>
    <t>TERPASANG ( PT LOVEIKA HOST INDONESIA )</t>
  </si>
  <si>
    <t>HFF099B1F5H/348/r2</t>
  </si>
  <si>
    <t>TERPASANG ( PT. MAXLINK DATA PRIMA INDONESIA )</t>
  </si>
  <si>
    <t>HG509R93SYR/r3</t>
  </si>
  <si>
    <t>9KG1232</t>
  </si>
  <si>
    <t>F1990F9CDC8D/151</t>
  </si>
  <si>
    <t>16/12/2024 out 13/4/26</t>
  </si>
  <si>
    <t>PC Server Gigabyte</t>
  </si>
  <si>
    <t>25123A021166</t>
  </si>
  <si>
    <t>Rack 10 PARSAORAN GLOBAL DATATRANS ( HSP )</t>
  </si>
  <si>
    <t xml:space="preserve"> HIK Vision NVR</t>
  </si>
  <si>
    <t>G28631047</t>
  </si>
  <si>
    <t>AC9336679</t>
  </si>
  <si>
    <t>AD6553500</t>
  </si>
  <si>
    <t>D03632087</t>
  </si>
  <si>
    <t>AA6304496</t>
  </si>
  <si>
    <t>D4440D6FDC3B/843/R²</t>
  </si>
  <si>
    <t>HIK Vision NVR</t>
  </si>
  <si>
    <t>AW6773179</t>
  </si>
  <si>
    <t>Hik Vision NVR</t>
  </si>
  <si>
    <t>AW6773113WCVU</t>
  </si>
  <si>
    <t>AW6773153WCVU</t>
  </si>
  <si>
    <t>Hik Vision NVR DS-7732NI-M4</t>
  </si>
  <si>
    <t>AW6801425</t>
  </si>
  <si>
    <t>FM9792982</t>
  </si>
  <si>
    <t>out 22/08/2025</t>
  </si>
  <si>
    <t>AF8098963</t>
  </si>
  <si>
    <t>HIK VISION NVR</t>
  </si>
  <si>
    <t>FB1685535</t>
  </si>
  <si>
    <t>FB1685509</t>
  </si>
  <si>
    <t>NVR DS-7732NI-M4</t>
  </si>
  <si>
    <t>aw6080043</t>
  </si>
  <si>
    <t>FM9793002</t>
  </si>
  <si>
    <t>hikvision NVR1</t>
  </si>
  <si>
    <t>FM979282</t>
  </si>
  <si>
    <t>Rack 11  PARSAORAN GLOBAL DATATRANS ( HSP )</t>
  </si>
  <si>
    <t xml:space="preserve">PDU </t>
  </si>
  <si>
    <t>9QLZSD3</t>
  </si>
  <si>
    <t>7QLZSD3</t>
  </si>
  <si>
    <t>1BLWKJ3</t>
  </si>
  <si>
    <t>2BLWKJ3</t>
  </si>
  <si>
    <t>3BLWKJ3</t>
  </si>
  <si>
    <t>3HZCGR3</t>
  </si>
  <si>
    <t xml:space="preserve"> SWITCH CISCO NCS5001</t>
  </si>
  <si>
    <t>SERVER HP DL30</t>
  </si>
  <si>
    <t>SGH943XTW7</t>
  </si>
  <si>
    <t>1KPHDW2</t>
  </si>
  <si>
    <t>9RHGDW2</t>
  </si>
  <si>
    <t>1KLJDW2</t>
  </si>
  <si>
    <t>Rack 12 PARSAORAN GLOBAL DATATRANS</t>
  </si>
  <si>
    <t>PDU 12 PORT</t>
  </si>
  <si>
    <t>SERVER AKAMAI 1X8 BISON NVME-X</t>
  </si>
  <si>
    <t>AK80-AKMBIK-MMI</t>
  </si>
  <si>
    <t>PINDAH KE RACK 25 P1</t>
  </si>
  <si>
    <t xml:space="preserve">SERVER HP DL380 </t>
  </si>
  <si>
    <t>SGH333V7J7</t>
  </si>
  <si>
    <t>TERPASANG ( PINDAHAN DARI RACK 24 P2)</t>
  </si>
  <si>
    <t>SGH333V7J3</t>
  </si>
  <si>
    <t>SGH333V7HV</t>
  </si>
  <si>
    <t>SGH333V7HZ</t>
  </si>
  <si>
    <t>SGH333V7NM</t>
  </si>
  <si>
    <t>SGH333V7NH</t>
  </si>
  <si>
    <t>Rack 13 BAKTI KOMINFO PT. PALAPA RING BARAT</t>
  </si>
  <si>
    <t>SERVER TAISHAN HUAWEI</t>
  </si>
  <si>
    <r>
      <rPr>
        <rFont val="Calibri"/>
        <color rgb="FF000000"/>
        <sz val="11.0"/>
      </rPr>
      <t>2102312RMS10L3000482</t>
    </r>
  </si>
  <si>
    <r>
      <rPr>
        <rFont val="Calibri"/>
        <color rgb="FF000000"/>
        <sz val="11.0"/>
      </rPr>
      <t>2102311HHU10H6000154</t>
    </r>
  </si>
  <si>
    <t>MONITOR KVM</t>
  </si>
  <si>
    <t>Rack 14 BAKTI KOMINFO PT. LEN TELEKOMUNIKASI INDONESIA</t>
  </si>
  <si>
    <t xml:space="preserve">MIKROTIK CCR 1009 </t>
  </si>
  <si>
    <t>HE908X3W0HD</t>
  </si>
  <si>
    <t>Server NCE (Taishan 2280)</t>
  </si>
  <si>
    <t>2102312RM10L3001563 Y K22R-02-NCE512GAC01</t>
  </si>
  <si>
    <t>TERPASANG(DARI INTERLINK)</t>
  </si>
  <si>
    <t>Asus E8 RS-500</t>
  </si>
  <si>
    <t>J2S0CG0000NV</t>
  </si>
  <si>
    <t>KVM NCE</t>
  </si>
  <si>
    <t>HW20983991-6</t>
  </si>
  <si>
    <t>Rack 15 BAKTI KOMINFO PT. PALAPA RING TIMUR</t>
  </si>
  <si>
    <t>HD408CT7YCK</t>
  </si>
  <si>
    <t xml:space="preserve">  SERVER DELL TOWER POWEREDGE T30</t>
  </si>
  <si>
    <t>CN-0JW73G-WS200-7CF-AOIS</t>
  </si>
  <si>
    <t>MONITOR SAMSUNG 24inchi</t>
  </si>
  <si>
    <t>5N7QH9TW302708E</t>
  </si>
  <si>
    <t>1708A-X11V720A0567</t>
  </si>
  <si>
    <t>TAISHAN 2280 V2</t>
  </si>
  <si>
    <t>2102312RMS10L3000705</t>
  </si>
  <si>
    <t>SERVER DELL R450</t>
  </si>
  <si>
    <t>Rack 16 PT INFRASTRUKTUR DIGITAL INDONESIA (IDINET)</t>
  </si>
  <si>
    <t>CCR 1036 8G 2S+</t>
  </si>
  <si>
    <t>HE608NFFC6E/307/r3</t>
  </si>
  <si>
    <t>CCR 1072 1G 8S+</t>
  </si>
  <si>
    <t>D8420F56C401/206/r2</t>
  </si>
  <si>
    <t>Switch NSS4330-60GXF V2</t>
  </si>
  <si>
    <t>HUAWEI S4330-54GXF</t>
  </si>
  <si>
    <t>Switch ISCOM2924G-4C-AC/D</t>
  </si>
  <si>
    <t>101614002103S21122S0008G</t>
  </si>
  <si>
    <t>10 July 2024</t>
  </si>
  <si>
    <t>Switch NSS5810-26XF</t>
  </si>
  <si>
    <t>4cc8440028e1</t>
  </si>
  <si>
    <t>Mikrotik CCR2116-12G-4s+</t>
  </si>
  <si>
    <t>HHG0ADFJDVW</t>
  </si>
  <si>
    <t>Rack 17 PT.SIBER TECH INDONESIA</t>
  </si>
  <si>
    <t>INM4J00ERG</t>
  </si>
  <si>
    <t>SGH310TL4T</t>
  </si>
  <si>
    <t>SGH310TL4G</t>
  </si>
  <si>
    <t xml:space="preserve">SGH310TL4L
</t>
  </si>
  <si>
    <t>SWITCH ARISTA DCS-7060CX-32S-R</t>
  </si>
  <si>
    <t>JPE22074904</t>
  </si>
  <si>
    <t>SWITCH ZXR 10</t>
  </si>
  <si>
    <t>7583AA884</t>
  </si>
  <si>
    <t>7553AA42C</t>
  </si>
  <si>
    <t>Good out 16 januari 2024</t>
  </si>
  <si>
    <t>SWITCH RUJIE RG-S6220</t>
  </si>
  <si>
    <t>G1M518N00088L</t>
  </si>
  <si>
    <t>DARI P1 MMR R6</t>
  </si>
  <si>
    <t>742904D8CCA9</t>
  </si>
  <si>
    <t>DELL R230</t>
  </si>
  <si>
    <t>64GZKG2</t>
  </si>
  <si>
    <t>GYM60J2</t>
  </si>
  <si>
    <t>pindah ke RACK 86</t>
  </si>
  <si>
    <t>HUAWEI ATN 91D</t>
  </si>
  <si>
    <t>98ATN0069737A-047</t>
  </si>
  <si>
    <t>9WMF642</t>
  </si>
  <si>
    <t>43790J2</t>
  </si>
  <si>
    <t>GHJ4VG2</t>
  </si>
  <si>
    <t>D4XTZH2</t>
  </si>
  <si>
    <t>HZ135</t>
  </si>
  <si>
    <t>S6750-H36C</t>
  </si>
  <si>
    <t>1024BC194167</t>
  </si>
  <si>
    <t>Rack 18 KEMENTRIAN KELAUTAN DAN PERIKANAN</t>
  </si>
  <si>
    <t>PDU APC</t>
  </si>
  <si>
    <t>HF809988RQS/341</t>
  </si>
  <si>
    <t>HF7091HZC3G/341</t>
  </si>
  <si>
    <t>Fortinet FortiGate 301E</t>
  </si>
  <si>
    <t>Cisco 9200L</t>
  </si>
  <si>
    <t>Dell EMC S4148F</t>
  </si>
  <si>
    <t>Dell EMC S4148T</t>
  </si>
  <si>
    <t>Dell EMC DS-6620B</t>
  </si>
  <si>
    <t>ProLiant dl380 gen10</t>
  </si>
  <si>
    <t>SGH125XHZL</t>
  </si>
  <si>
    <t>SGH014X764</t>
  </si>
  <si>
    <t>SGH840YTJ2</t>
  </si>
  <si>
    <t>Fortinet Fortiweb 600D</t>
  </si>
  <si>
    <t>Fortinet Fortianalyzer 300F</t>
  </si>
  <si>
    <t>Fortinet Fortianalyzer 200F</t>
  </si>
  <si>
    <t>FortiAnalyzer</t>
  </si>
  <si>
    <t>FL-3HFTB21900015</t>
  </si>
  <si>
    <t>TERPASANG out (20 /08/2024)</t>
  </si>
  <si>
    <t>FAZ3HGTA21000472</t>
  </si>
  <si>
    <t>Rack 19 KEMENTRIAN KELAUTAN DAN PERIKANAN (KKP)</t>
  </si>
  <si>
    <t>Server Dell R650</t>
  </si>
  <si>
    <t>DELL SC7020</t>
  </si>
  <si>
    <t>DELL SC460</t>
  </si>
  <si>
    <t>Rack 20 KEMENTRIAN KELAUTAN DAN PERIKANAN ( KKP)</t>
  </si>
  <si>
    <t>Cisco Catalyst 9200L</t>
  </si>
  <si>
    <t>FOC26302Q1T</t>
  </si>
  <si>
    <t>Trellix NX-3600</t>
  </si>
  <si>
    <t>FM2410VA008</t>
  </si>
  <si>
    <t>Netscout Dashboard</t>
  </si>
  <si>
    <t>8BP2D64</t>
  </si>
  <si>
    <t>Dell PowerEdge Server</t>
  </si>
  <si>
    <t>J686D64</t>
  </si>
  <si>
    <t>9BP2D64</t>
  </si>
  <si>
    <t>1786D64</t>
  </si>
  <si>
    <t>9512D64</t>
  </si>
  <si>
    <t>Dell PowerConnect Switch 24</t>
  </si>
  <si>
    <t>pnms</t>
  </si>
  <si>
    <t>Rack 21 SISTEM INTERKONEKSI DATA (TERMINATE)</t>
  </si>
  <si>
    <t>`1</t>
  </si>
  <si>
    <t>DL390 Gen9</t>
  </si>
  <si>
    <t>SGH618YB56</t>
  </si>
  <si>
    <t>12/12/2023 (OUT 24/1/25)</t>
  </si>
  <si>
    <t>PC Server HP DL360G7</t>
  </si>
  <si>
    <t>SGH047XN4W</t>
  </si>
  <si>
    <t>19/12/2023 (24/1/25)</t>
  </si>
  <si>
    <t>Switch Ruijie RG-S6220-48XS6QXS-H</t>
  </si>
  <si>
    <t>G1PT5YD10266C</t>
  </si>
  <si>
    <t>GOOD OUT / KE APJII 21/12/2023</t>
  </si>
  <si>
    <t>19/12/2023 (OUT 24/1/25)</t>
  </si>
  <si>
    <t>Switch Mikrotik CRS326-24S+2Q+RM</t>
  </si>
  <si>
    <t>EX097NCVQ</t>
  </si>
  <si>
    <t>(OUT 24/1/25)</t>
  </si>
  <si>
    <t>Rack 21 PT MAHAWIRA</t>
  </si>
  <si>
    <t>MX 204</t>
  </si>
  <si>
    <t>HF019</t>
  </si>
  <si>
    <t xml:space="preserve">HUAWEI RH 1288 </t>
  </si>
  <si>
    <t>out 13/12/25</t>
  </si>
  <si>
    <t>supermicro</t>
  </si>
  <si>
    <t>2102311GGNN0J2000921</t>
  </si>
  <si>
    <t>1SYKWM2</t>
  </si>
  <si>
    <t xml:space="preserve">CCR2004 </t>
  </si>
  <si>
    <t>HJ60A9D75ZP</t>
  </si>
  <si>
    <t>PINDAHAN DARI JUPITER (TERPASANG)</t>
  </si>
  <si>
    <t>ccr1072</t>
  </si>
  <si>
    <t>8a340bf91bd9/003</t>
  </si>
  <si>
    <t>Pindahan dalam gedung</t>
  </si>
  <si>
    <t>CCR2116</t>
  </si>
  <si>
    <t>HJ70AE9MVNK/r2</t>
  </si>
  <si>
    <t>GOOD OUT ( 3/12/25 )</t>
  </si>
  <si>
    <t>server HP DL160 GEN 8</t>
  </si>
  <si>
    <t>SGH310NRSS</t>
  </si>
  <si>
    <t>HJG0AJ45YFV</t>
  </si>
  <si>
    <t>43yjcm2</t>
  </si>
  <si>
    <t>Bnj9kp2</t>
  </si>
  <si>
    <t>Corn8n2</t>
  </si>
  <si>
    <t>Bgh1zc2</t>
  </si>
  <si>
    <t>2102350jar6tha000591</t>
  </si>
  <si>
    <t>RDS2116</t>
  </si>
  <si>
    <t>HJA0AD528CD</t>
  </si>
  <si>
    <t>GVXQLNZ</t>
  </si>
  <si>
    <t>FR158</t>
  </si>
  <si>
    <t>FR398</t>
  </si>
  <si>
    <t>Rectifier RNEC4810A</t>
  </si>
  <si>
    <t>SMT202510031</t>
  </si>
  <si>
    <t>SMT202510034</t>
  </si>
  <si>
    <t>3dmbbwl2</t>
  </si>
  <si>
    <t>Hn3rln2</t>
  </si>
  <si>
    <t>Rectifier ZTE</t>
  </si>
  <si>
    <t>200010712022062900343</t>
  </si>
  <si>
    <t>Rack 22 PARSAORAN GLOBAL DATATRANS ( HSP )</t>
  </si>
  <si>
    <t>MITAC STB gen 11.6 GPU server</t>
  </si>
  <si>
    <t>PINDAH KE RACK 24 ( 8/10/24 )</t>
  </si>
  <si>
    <t>Juniper switch Port panel</t>
  </si>
  <si>
    <t>Arista 7050X 30</t>
  </si>
  <si>
    <t>Juniper EX 3400 48T</t>
  </si>
  <si>
    <t>Cisco 1 SR</t>
  </si>
  <si>
    <t>Server tect PDU</t>
  </si>
  <si>
    <t>Server Tect Power.</t>
  </si>
  <si>
    <t>Hyve GEN 11 5 Server</t>
  </si>
  <si>
    <t>Storage QNAP TS-1273U-RP</t>
  </si>
  <si>
    <t>Q177100892</t>
  </si>
  <si>
    <t>C78G9S1</t>
  </si>
  <si>
    <t>HP ProDesk 600 G5 SFF</t>
  </si>
  <si>
    <t>1C20370404</t>
  </si>
  <si>
    <t>HRNBBS2</t>
  </si>
  <si>
    <t>G3CTB33</t>
  </si>
  <si>
    <t>HRQ5BS2</t>
  </si>
  <si>
    <t>HUAWEI CE6685</t>
  </si>
  <si>
    <t>8X0X8X5C54N0X90</t>
  </si>
  <si>
    <t>E4-43-4B-41-23-64</t>
  </si>
  <si>
    <t>CRS317-1G-16S+RM</t>
  </si>
  <si>
    <t>HFB0932N945/343/r2</t>
  </si>
  <si>
    <t>09/06/2025 OUT 10/6.2025</t>
  </si>
  <si>
    <t>RDS2216</t>
  </si>
  <si>
    <t>HJAOADQ8896</t>
  </si>
  <si>
    <t>Rack 23 PARSAORAN GLOBAL DATATRANS ( AKAMAI)</t>
  </si>
  <si>
    <t>Ciara 1 x 13 Carbou</t>
  </si>
  <si>
    <t>Delta Network AK 9903 902 Switch</t>
  </si>
  <si>
    <t>Edgecore</t>
  </si>
  <si>
    <t>Clara 1x13 Carbou</t>
  </si>
  <si>
    <t>Ciaratec 1x11 caribou nvme</t>
  </si>
  <si>
    <t>CT-4240712-00076</t>
  </si>
  <si>
    <t>1X8 Bison nvme</t>
  </si>
  <si>
    <t>MX22030262</t>
  </si>
  <si>
    <t>out 29/1/26</t>
  </si>
  <si>
    <t>Delta Network AK 9032 v2</t>
  </si>
  <si>
    <t>Caribou 1X11 NVME -L</t>
  </si>
  <si>
    <t>Rack 24  PARSAORAN GLOBAL DATATRANS ( HSP ) (TIDAK BOLEH DI ISI LAGI)FULL INFO REZA.</t>
  </si>
  <si>
    <t>PINDAH KE RACK 12</t>
  </si>
  <si>
    <t>CONTAINMENT 2 HALL A</t>
  </si>
  <si>
    <t>Rack 25 PT. Magna Network</t>
  </si>
  <si>
    <t>HER09ARE41Q/325/r3</t>
  </si>
  <si>
    <t>Server HP DL380 Gen7</t>
  </si>
  <si>
    <t>SGH106XVAF</t>
  </si>
  <si>
    <t>Server HP DL380 Gen9</t>
  </si>
  <si>
    <t>SGH723YME3</t>
  </si>
  <si>
    <t>20/12/2023  (OUT 26/3/25)</t>
  </si>
  <si>
    <t>Blade Enclosure HP C7000</t>
  </si>
  <si>
    <t>SGH940XSA4</t>
  </si>
  <si>
    <t>HPE BL460</t>
  </si>
  <si>
    <t>SGH823XNT9</t>
  </si>
  <si>
    <t>SGH310NXME</t>
  </si>
  <si>
    <t>TERPASANG (OUT 24/3/2025)</t>
  </si>
  <si>
    <t>SGH310NXMJ</t>
  </si>
  <si>
    <t>SGH310NXMK</t>
  </si>
  <si>
    <t>HPE BL460 C G9</t>
  </si>
  <si>
    <t>SGH618XX2B</t>
  </si>
  <si>
    <t>27/12/2023 (OUT 26/3/25)</t>
  </si>
  <si>
    <t>SGH310NXMD</t>
  </si>
  <si>
    <t>27/12/2023  (OUT 26/3/25)</t>
  </si>
  <si>
    <t>HPE BL460 C G8</t>
  </si>
  <si>
    <t>SGH310NXMH</t>
  </si>
  <si>
    <t>DL360 G9</t>
  </si>
  <si>
    <t>SGH742WS50</t>
  </si>
  <si>
    <t>HPE BL460 G9</t>
  </si>
  <si>
    <t>SGH801VMAJ</t>
  </si>
  <si>
    <t>DELL EMC</t>
  </si>
  <si>
    <t>GQ9GRZ2</t>
  </si>
  <si>
    <t>Qnap ts-3088</t>
  </si>
  <si>
    <t>Q228104737R</t>
  </si>
  <si>
    <t>2 U</t>
  </si>
  <si>
    <t>HPE MSa2000</t>
  </si>
  <si>
    <t>GNRCLGH-12131470EA</t>
  </si>
  <si>
    <t>HPE 3PAR 8200</t>
  </si>
  <si>
    <t>7CE635P1C2</t>
  </si>
  <si>
    <t>2DG62K2</t>
  </si>
  <si>
    <t>Terpasang (Dari Lt 3A)</t>
  </si>
  <si>
    <t>Rack 26 - PT.Cloud Media Teknologi (TERMINATE)</t>
  </si>
  <si>
    <t>9YFV622</t>
  </si>
  <si>
    <t>pindah Rack 97 ( 31/10/25)</t>
  </si>
  <si>
    <t>J8Y7HZ1</t>
  </si>
  <si>
    <t>2BH5622</t>
  </si>
  <si>
    <t>3MP4232</t>
  </si>
  <si>
    <t>8BL0XX1</t>
  </si>
  <si>
    <t>Pindah Rack 97 ( 31/10/25)</t>
  </si>
  <si>
    <t>DELL PE 2950</t>
  </si>
  <si>
    <t>DVDTQ1S</t>
  </si>
  <si>
    <t>GOOD OUT 10/01/2026</t>
  </si>
  <si>
    <t>6Q9W2L2</t>
  </si>
  <si>
    <t>( out 10/1/25)</t>
  </si>
  <si>
    <t>6VHT502</t>
  </si>
  <si>
    <t>8JT1WN2</t>
  </si>
  <si>
    <t>866RPN1</t>
  </si>
  <si>
    <t>HP PROLIANT 12 GEN 10</t>
  </si>
  <si>
    <t>56H010XWN6</t>
  </si>
  <si>
    <t>HP DL360 GEN 9</t>
  </si>
  <si>
    <t>56H632XE2J</t>
  </si>
  <si>
    <t>SGH723YRRW</t>
  </si>
  <si>
    <t>PINDAH Rack 97 ( 31/10/25)</t>
  </si>
  <si>
    <t>SYNOLOGY NAS D5J 420</t>
  </si>
  <si>
    <t>2130S3RXT2NW2</t>
  </si>
  <si>
    <t>MIKROTIK CSS326-24G-2S+RM</t>
  </si>
  <si>
    <t>94580B2F6DBE</t>
  </si>
  <si>
    <t>F6FA0F650F25</t>
  </si>
  <si>
    <t>HPE PROLIANT DL320 GEN 11</t>
  </si>
  <si>
    <t>CNXD0W000G</t>
  </si>
  <si>
    <t>CCR 2004-1G-12S+2XS</t>
  </si>
  <si>
    <t>F0710F4F2B6F</t>
  </si>
  <si>
    <t>HP DL360</t>
  </si>
  <si>
    <t>MXQ731005B</t>
  </si>
  <si>
    <t>udah di pindah tapi gak da di good out cmt. lagi dipastikan ke pic 97</t>
  </si>
  <si>
    <t>HP DL-360 Gen9</t>
  </si>
  <si>
    <t xml:space="preserve"> MXQ73100L6</t>
  </si>
  <si>
    <t>RJT1WN2</t>
  </si>
  <si>
    <t>Rack 27 - NESTA</t>
  </si>
  <si>
    <t>19/09/2023 (OUT)</t>
  </si>
  <si>
    <t>29/03/2024 (out)</t>
  </si>
  <si>
    <t>GOOD OUT 26 Februari 2026</t>
  </si>
  <si>
    <t>JHBQ9D3</t>
  </si>
  <si>
    <t>TR93344901</t>
  </si>
  <si>
    <t>H3C S6850</t>
  </si>
  <si>
    <t>I2-C559-174290</t>
  </si>
  <si>
    <t>JK930</t>
  </si>
  <si>
    <t>1022A6515220</t>
  </si>
  <si>
    <t>JN644</t>
  </si>
  <si>
    <t>Rack 28 PT DHARMA SARANA SOLUSINDO</t>
  </si>
  <si>
    <t xml:space="preserve">SERVER HUAWEI </t>
  </si>
  <si>
    <t>BC1M22HGSC</t>
  </si>
  <si>
    <t>MIKROTIK CCR1009</t>
  </si>
  <si>
    <t>E3200EC3433FF/123/r2</t>
  </si>
  <si>
    <t>C6CC0B4699BF/941/r2</t>
  </si>
  <si>
    <t>6CU725W2M6</t>
  </si>
  <si>
    <t>HP360</t>
  </si>
  <si>
    <t>BL63ZQ2</t>
  </si>
  <si>
    <t xml:space="preserve">Rack 29 PT PGD untuk SG.GS Pte Ltd </t>
  </si>
  <si>
    <t>Cienna</t>
  </si>
  <si>
    <t>M9629CFA</t>
  </si>
  <si>
    <t>PSU AC DCP-2-FB</t>
  </si>
  <si>
    <t>K2246DCP22280</t>
  </si>
  <si>
    <t>FW424</t>
  </si>
  <si>
    <t>JUNIPER QFX5120</t>
  </si>
  <si>
    <t>XH3722390781</t>
  </si>
  <si>
    <t>Out 04/09/2024</t>
  </si>
  <si>
    <t>GE128</t>
  </si>
  <si>
    <t>XH3722391803</t>
  </si>
  <si>
    <t>JUNIPER QFX5200</t>
  </si>
  <si>
    <t>WHO0218150099</t>
  </si>
  <si>
    <t>Rack 30 PT.MITRA MEDIA DATA ( MMD)</t>
  </si>
  <si>
    <t>HUAWEI ATN 910D</t>
  </si>
  <si>
    <t>98ATN006DE8DA016</t>
  </si>
  <si>
    <t>F92LN62</t>
  </si>
  <si>
    <t>HCF089YZVGS</t>
  </si>
  <si>
    <t>HL763</t>
  </si>
  <si>
    <t>OUT 16 maret 2026</t>
  </si>
  <si>
    <r>
      <t xml:space="preserve"> Rack 31 </t>
    </r>
    <r>
      <rPr>
        <rFont val="Calibri"/>
        <b/>
        <color rgb="FF000000"/>
        <sz val="11.0"/>
      </rPr>
      <t>PT. JARINGAN TIANG INDONESIA GROUP 20U</t>
    </r>
    <r>
      <rPr>
        <rFont val="Calibri"/>
        <color rgb="FF000000"/>
        <sz val="11.0"/>
      </rPr>
      <t xml:space="preserve"> / PT MITRA KITA BRILIAN 20U</t>
    </r>
  </si>
  <si>
    <t>Mikrotik CCR 2116-12G-4S+</t>
  </si>
  <si>
    <t>HFF09BPZ05W/248/r2</t>
  </si>
  <si>
    <t>Y79439X2T35181</t>
  </si>
  <si>
    <t>HP DL 360p Gen8</t>
  </si>
  <si>
    <t>SGH418FT2A</t>
  </si>
  <si>
    <t>17/03/2024 out</t>
  </si>
  <si>
    <t>DELL R620 PowerEdge</t>
  </si>
  <si>
    <t>B4LP842</t>
  </si>
  <si>
    <t>D8370FC4D502</t>
  </si>
  <si>
    <t xml:space="preserve">18/03/2024 out </t>
  </si>
  <si>
    <t>D84E0D1E0B79</t>
  </si>
  <si>
    <t>18/03/2024 out</t>
  </si>
  <si>
    <t>HUAWEI NetEngine 8000 M1c</t>
  </si>
  <si>
    <t>2102353HFW10N7100002</t>
  </si>
  <si>
    <t>F3NM8F2</t>
  </si>
  <si>
    <r>
      <rPr>
        <rFont val="Calibri"/>
        <color rgb="FF000000"/>
        <sz val="11.0"/>
      </rPr>
      <t xml:space="preserve">Rack 31 PT. JARINGAN TIANG INDONESIA GROUP 20U / </t>
    </r>
    <r>
      <rPr>
        <rFont val="Calibri"/>
        <b/>
        <color rgb="FF000000"/>
        <sz val="11.0"/>
      </rPr>
      <t>PT MITRA KITA BRILIAN 20U</t>
    </r>
  </si>
  <si>
    <t>FD684</t>
  </si>
  <si>
    <t>Cisco Nexus 9000</t>
  </si>
  <si>
    <t>SAU939PWIZ</t>
  </si>
  <si>
    <t>Good Out 08/02/2025</t>
  </si>
  <si>
    <t>8N3V262</t>
  </si>
  <si>
    <t>LENOVO THINKSYSTEM SR650</t>
  </si>
  <si>
    <t>J900WRW6</t>
  </si>
  <si>
    <t>TERPASANG PINDAHAN DARI LT10 FDC</t>
  </si>
  <si>
    <t>RB4001</t>
  </si>
  <si>
    <t>Switch Cisco Nexus 3172TQ</t>
  </si>
  <si>
    <t>F0C2047R06V</t>
  </si>
  <si>
    <t>HGA09YAEFYC</t>
  </si>
  <si>
    <t xml:space="preserve">FDO21360U2J </t>
  </si>
  <si>
    <t>Rack 31 PT. AKM LINK NET 20U SOMASI</t>
  </si>
  <si>
    <t>SERVER HUAWEI RH2288v3</t>
  </si>
  <si>
    <t>2102311GGPCNJ7000017</t>
  </si>
  <si>
    <t>TERPASANG DARI RACK 27</t>
  </si>
  <si>
    <t>2102311GGP10J4000118</t>
  </si>
  <si>
    <t>Rack 32- PT. RUMAHNET</t>
  </si>
  <si>
    <t>CCR1036-12G-4S</t>
  </si>
  <si>
    <t>1,9 Kg.</t>
  </si>
  <si>
    <t>42131025136306/306</t>
  </si>
  <si>
    <t>CCR2004-16G-2S</t>
  </si>
  <si>
    <t>HBJ02a3bc35/150</t>
  </si>
  <si>
    <t>CRS317-1G-16S</t>
  </si>
  <si>
    <t>D7EB0E284/EF/12452</t>
  </si>
  <si>
    <t>HP Switch</t>
  </si>
  <si>
    <t>D-link Switch</t>
  </si>
  <si>
    <t>C1V4113/252N</t>
  </si>
  <si>
    <t>57P2HK2</t>
  </si>
  <si>
    <t>57P4HK2</t>
  </si>
  <si>
    <t>Supermicro 2 node</t>
  </si>
  <si>
    <t>CSN80FF1OM30028</t>
  </si>
  <si>
    <t>C822001315M50208</t>
  </si>
  <si>
    <t>Supermicro 4 node</t>
  </si>
  <si>
    <t>C2170AE301V9017</t>
  </si>
  <si>
    <t>Dell Poweredge C6420</t>
  </si>
  <si>
    <t>12387H2</t>
  </si>
  <si>
    <t>Switch ARISTA 7050SX-64</t>
  </si>
  <si>
    <t>JPE15063036</t>
  </si>
  <si>
    <t>Dell C6420</t>
  </si>
  <si>
    <r>
      <rPr>
        <rFont val="Calibri"/>
        <color rgb="FF000000"/>
        <sz val="11.0"/>
      </rPr>
      <t xml:space="preserve">Rack 33 </t>
    </r>
    <r>
      <rPr>
        <rFont val="Calibri"/>
        <b/>
        <color rgb="FF000000"/>
        <sz val="11.0"/>
      </rPr>
      <t>PT. PUSAKA KREASI MANDIRI (KUMARA) (20 U)</t>
    </r>
    <r>
      <rPr>
        <rFont val="Calibri"/>
        <color rgb="FF000000"/>
        <sz val="11.0"/>
      </rPr>
      <t xml:space="preserve"> / PT. WIRELESS INDO ( 20 U )</t>
    </r>
  </si>
  <si>
    <t>Server Huawei RH1288</t>
  </si>
  <si>
    <t>2102311GGN10H9000965</t>
  </si>
  <si>
    <t>Terpasang(KUMARA)</t>
  </si>
  <si>
    <t>Mikrotik CCR1036-8G-2s+</t>
  </si>
  <si>
    <t>D8370DCC3CE0/046/r3</t>
  </si>
  <si>
    <t>(KUMARA)/keluar 28 Mei 2024</t>
  </si>
  <si>
    <t>HFJ098YWDXZ/351/r2</t>
  </si>
  <si>
    <t>keluar 21 Mei 2025</t>
  </si>
  <si>
    <t>HF0092WHNWH/333/r2</t>
  </si>
  <si>
    <t>F1990FED0058/151</t>
  </si>
  <si>
    <t>good-out 14/11/25</t>
  </si>
  <si>
    <t>4NQSRK2</t>
  </si>
  <si>
    <t>TERPASANG (KUMARA)</t>
  </si>
  <si>
    <t>AD990FED0432/144</t>
  </si>
  <si>
    <t>Mikrotik CCR2004</t>
  </si>
  <si>
    <t>GH99982831J11/112</t>
  </si>
  <si>
    <t>good-out</t>
  </si>
  <si>
    <t>Switch Huawei CE6851-48S6Q</t>
  </si>
  <si>
    <t>73CAY1A9TC2T0T5</t>
  </si>
  <si>
    <t>HGD09MGDM6Y/r2</t>
  </si>
  <si>
    <t>4NN1DF2</t>
  </si>
  <si>
    <t>DC4L2S2</t>
  </si>
  <si>
    <r>
      <rPr>
        <rFont val="Calibri"/>
        <color rgb="FF000000"/>
        <sz val="11.0"/>
      </rPr>
      <t xml:space="preserve">Rack 33 PT. PUSAKA KREASI MANDIRI (KUMARA) (20 U) / </t>
    </r>
    <r>
      <rPr>
        <rFont val="Calibri"/>
        <b/>
        <color rgb="FF000000"/>
        <sz val="11.0"/>
      </rPr>
      <t>PT. WIRELESS INDO ( 20 U )</t>
    </r>
  </si>
  <si>
    <t>HGC09SRX66R</t>
  </si>
  <si>
    <t>RG-CS83-24GT4XS-PD</t>
  </si>
  <si>
    <t>G1S938C001221</t>
  </si>
  <si>
    <t>HFD09C14JTV/351/r2</t>
  </si>
  <si>
    <t>Dell PowerEdge-R630</t>
  </si>
  <si>
    <t>7WM7LN2</t>
  </si>
  <si>
    <t>BF59WK2</t>
  </si>
  <si>
    <t>INTEL R1208GZ4GC</t>
  </si>
  <si>
    <t>FHBU4371011</t>
  </si>
  <si>
    <t xml:space="preserve">Rack 34 PT TELSAR JAYA NETWORK 21U </t>
  </si>
  <si>
    <t>HP dl 360 p</t>
  </si>
  <si>
    <t>SGH408CN61</t>
  </si>
  <si>
    <t>PT.TESLAR JAYA NETWORK TECHNOLOGY</t>
  </si>
  <si>
    <t>CQLJH 32272968150</t>
  </si>
  <si>
    <t>dell e10s002</t>
  </si>
  <si>
    <t>CN-077FRW-70821-235-1069-A01</t>
  </si>
  <si>
    <t>PT.TESLAR JAYA NETWORK TECHNOLOGY out 17/9/2024</t>
  </si>
  <si>
    <t>Juniper MX 204</t>
  </si>
  <si>
    <t>GC248</t>
  </si>
  <si>
    <t>pindah ke rack 96 PT.GOPAL</t>
  </si>
  <si>
    <t>Huawei ATN910</t>
  </si>
  <si>
    <t>PC Rackmount</t>
  </si>
  <si>
    <t>3744114662313437430</t>
  </si>
  <si>
    <t>HE308H83SH6/303</t>
  </si>
  <si>
    <t>HEY09ECS5H7/330</t>
  </si>
  <si>
    <t>7NNRLR2</t>
  </si>
  <si>
    <t>DELL EMC 29100-ON</t>
  </si>
  <si>
    <t>APM00193914548</t>
  </si>
  <si>
    <t>PT MOLINDO MEDIA PERSADA ( GOOD IN )</t>
  </si>
  <si>
    <t>CRS 317</t>
  </si>
  <si>
    <t>RACK 35 PUTRA LEBAK BANTEN ( PLB )</t>
  </si>
  <si>
    <t>Bitbox Tera E1200-8G-4S+</t>
  </si>
  <si>
    <t>8G4S20210416002</t>
  </si>
  <si>
    <t>2102350SBQ10J4000010</t>
  </si>
  <si>
    <t>power suply / rectie</t>
  </si>
  <si>
    <t>JUNIPER MX204-HWBASE-AC-FS</t>
  </si>
  <si>
    <t>FQ112</t>
  </si>
  <si>
    <t>CCR2004-16S-2S+</t>
  </si>
  <si>
    <t>HGG09HDPV3A/r2</t>
  </si>
  <si>
    <t>Cisco Catalyst 4948E</t>
  </si>
  <si>
    <t>CAT1652S2C1</t>
  </si>
  <si>
    <t>HJH0AH0GKJR</t>
  </si>
  <si>
    <t>DWDM VISPACE 1000</t>
  </si>
  <si>
    <t>D25070088059</t>
  </si>
  <si>
    <t>JUNIPER QFX5200-32C</t>
  </si>
  <si>
    <t>WH02185132</t>
  </si>
  <si>
    <t>Server Dell R7615-AC</t>
  </si>
  <si>
    <t>J7GR0D4</t>
  </si>
  <si>
    <t>B6GR0D4</t>
  </si>
  <si>
    <t>Switch-Dell-Sonic S5232-A</t>
  </si>
  <si>
    <t>9WFHSR3</t>
  </si>
  <si>
    <t>HG309N6JPM8/r2</t>
  </si>
  <si>
    <t>HUAWEI ETP48100-B1</t>
  </si>
  <si>
    <t>WD2MR4850G00</t>
  </si>
  <si>
    <t>terpasaNG</t>
  </si>
  <si>
    <t>HJP0AM6NXD8</t>
  </si>
  <si>
    <t>Rack 36 PT. Air Lintas Komunikasi (Airlink)</t>
  </si>
  <si>
    <t>CISCO NEXUS 3000</t>
  </si>
  <si>
    <t>F0C2035R242</t>
  </si>
  <si>
    <t>TERPASANG(OUT KE LT1 APJI)</t>
  </si>
  <si>
    <t>07/05/2024 OUT 18/10/2024</t>
  </si>
  <si>
    <t>F7WCH62</t>
  </si>
  <si>
    <t>HCA07YY7BV/210</t>
  </si>
  <si>
    <t>PINDAHAN DARI RACK 43 P1</t>
  </si>
  <si>
    <t>07/05/2024 out 18/10/2024</t>
  </si>
  <si>
    <t>Server HP DL360e Gen 8</t>
  </si>
  <si>
    <t>CZJ34401MY</t>
  </si>
  <si>
    <t>CZJ4070010</t>
  </si>
  <si>
    <t>Huawei Rh2288 V3</t>
  </si>
  <si>
    <t>98RHP3169038N-001</t>
  </si>
  <si>
    <t>17/05/2024 out 22/08/2024</t>
  </si>
  <si>
    <t>HD7081B1EDV</t>
  </si>
  <si>
    <t>DELL Poweredge R630</t>
  </si>
  <si>
    <t xml:space="preserve"> 8LX2WN2</t>
  </si>
  <si>
    <r>
      <rPr>
        <rFont val="Calibri"/>
        <color rgb="FF000000"/>
        <sz val="12.0"/>
      </rPr>
      <t>JJ9YVL2</t>
    </r>
  </si>
  <si>
    <r>
      <rPr>
        <rFont val="Calibri"/>
        <color rgb="FF000000"/>
        <sz val="12.0"/>
      </rPr>
      <t>3J1DO2H</t>
    </r>
  </si>
  <si>
    <r>
      <rPr>
        <rFont val="Calibri"/>
        <color rgb="FF000000"/>
        <sz val="12.0"/>
      </rPr>
      <t>2LMF642</t>
    </r>
  </si>
  <si>
    <t>CN-OXNJH2-LOGOO-81I-01F1-A00</t>
  </si>
  <si>
    <t>Switch Arista dcs 7050 QX-32s</t>
  </si>
  <si>
    <t>JPE15322976</t>
  </si>
  <si>
    <t>CN-OXNJH2-LOGOO-79N-01HQ-A00</t>
  </si>
  <si>
    <t>OUT 18/10/2024</t>
  </si>
  <si>
    <t>CN-0XNJH2-LOG00-874-00R6-A00</t>
  </si>
  <si>
    <t>4C2RWM2</t>
  </si>
  <si>
    <t>SERVER HP PROLIANT GEN 8</t>
  </si>
  <si>
    <t>USE414WC55</t>
  </si>
  <si>
    <t>CN-0XNJH2-LOG00-874-00T1-A00</t>
  </si>
  <si>
    <t>Huawei CE6851-48S6Q</t>
  </si>
  <si>
    <t>2102350JAR6TH7000603</t>
  </si>
  <si>
    <t>HUAWEI CE 6855</t>
  </si>
  <si>
    <t>2102350SRQ6TH5000042</t>
  </si>
  <si>
    <t>5G4IN</t>
  </si>
  <si>
    <t>HUAWEI ATN 910C</t>
  </si>
  <si>
    <t>2102351HLB10K7000026</t>
  </si>
  <si>
    <r>
      <rPr>
        <rFont val="Calibri"/>
        <color rgb="FF000000"/>
        <sz val="11.0"/>
      </rPr>
      <t xml:space="preserve">RACK 37 </t>
    </r>
    <r>
      <rPr>
        <rFont val="Calibri"/>
        <b/>
        <color rgb="FF000000"/>
        <sz val="11.0"/>
      </rPr>
      <t>PT GLOBALNET MULTI DATA</t>
    </r>
    <r>
      <rPr>
        <rFont val="Calibri"/>
        <color rgb="FF000000"/>
        <sz val="11.0"/>
      </rPr>
      <t xml:space="preserve">/ </t>
    </r>
    <r>
      <rPr>
        <rFont val="Calibri"/>
        <i/>
        <strike/>
        <color rgb="FF000000"/>
        <sz val="11.0"/>
      </rPr>
      <t>PT ELGA YASA MEDIA</t>
    </r>
  </si>
  <si>
    <t>Terpasang ( GLOBAL NET )</t>
  </si>
  <si>
    <t>Huawei CE 5800</t>
  </si>
  <si>
    <t>CE5850-48T4S2Q-HI</t>
  </si>
  <si>
    <t>HP DL380 G7</t>
  </si>
  <si>
    <t>SGH144XDDA</t>
  </si>
  <si>
    <t>HP DL360P G8</t>
  </si>
  <si>
    <t>SGH424JTVN</t>
  </si>
  <si>
    <t>HP DL380P G8</t>
  </si>
  <si>
    <t>SGH3468AD1</t>
  </si>
  <si>
    <t>23/04/2024 (out 17/2/25)</t>
  </si>
  <si>
    <t>ASUS Server RS100-E9-PI2</t>
  </si>
  <si>
    <t>Tower PC Dazumba</t>
  </si>
  <si>
    <t>Mikrotik CCR1036 8G-2S+</t>
  </si>
  <si>
    <t>SWITCH HUAWEI CLOUD</t>
  </si>
  <si>
    <t>CE6850-48S6Q-HI</t>
  </si>
  <si>
    <t>CCR 1016</t>
  </si>
  <si>
    <t>912A0B7D170/003/R2</t>
  </si>
  <si>
    <t>MXQ7310066</t>
  </si>
  <si>
    <t>Proliant DL360 Gen9</t>
  </si>
  <si>
    <t>MXQ64501K6</t>
  </si>
  <si>
    <t>CCR 1072-1G-8S+</t>
  </si>
  <si>
    <t>8A340BB2512B/936</t>
  </si>
  <si>
    <t>Proliant DL360 Gnen9 1U</t>
  </si>
  <si>
    <t>MXQ53106SJ</t>
  </si>
  <si>
    <t>MXQ53106SP</t>
  </si>
  <si>
    <t>DELL PowerEdge R640</t>
  </si>
  <si>
    <t>20, Kg.</t>
  </si>
  <si>
    <t>2  U</t>
  </si>
  <si>
    <t>Terpasang (GLOBALNET)</t>
  </si>
  <si>
    <r>
      <rPr>
        <rFont val="Calibri"/>
        <color rgb="FF000000"/>
        <sz val="11.0"/>
      </rPr>
      <t xml:space="preserve">RACK 37 </t>
    </r>
    <r>
      <rPr>
        <rFont val="Calibri"/>
        <i/>
        <strike/>
        <color rgb="FF000000"/>
        <sz val="11.0"/>
      </rPr>
      <t>PT GLOBALNET MULTI DATA</t>
    </r>
    <r>
      <rPr>
        <rFont val="Calibri"/>
        <color rgb="FF000000"/>
        <sz val="11.0"/>
      </rPr>
      <t xml:space="preserve">/ </t>
    </r>
    <r>
      <rPr>
        <rFont val="Calibri"/>
        <b/>
        <color rgb="FF000000"/>
        <sz val="11.0"/>
      </rPr>
      <t>PT ELGA YASA MEDIA</t>
    </r>
  </si>
  <si>
    <t>CCR 1036-12G-4S</t>
  </si>
  <si>
    <t>HCH0865J81W</t>
  </si>
  <si>
    <t>Terpasang ( Elga Yasa Media )</t>
  </si>
  <si>
    <t>916809ECFB86</t>
  </si>
  <si>
    <t>5AAA05EC158B</t>
  </si>
  <si>
    <t>NEXUS N3K-3048TP</t>
  </si>
  <si>
    <t>FOC1823R23Z</t>
  </si>
  <si>
    <t>RACK 38 RACK BERSAMA  PER 8U</t>
  </si>
  <si>
    <t>D8370D4CACAD</t>
  </si>
  <si>
    <t>Terpasang (PT.AJI RAFASHA)</t>
  </si>
  <si>
    <t>HCS088NYHMA</t>
  </si>
  <si>
    <t>DL 360 GEN9</t>
  </si>
  <si>
    <t>SGH723YRPN</t>
  </si>
  <si>
    <t>Terpasang (PT.AJI RAFASHA) keluar 2/8/24</t>
  </si>
  <si>
    <t>RUIJIE RG S6210</t>
  </si>
  <si>
    <t>G1QC26P00050A</t>
  </si>
  <si>
    <t>H670QX</t>
  </si>
  <si>
    <t>Terpasang ( PT AJI RAFASYA )</t>
  </si>
  <si>
    <t>Terpasang (PT. GOPAL NETWORK) PINDAH KE RACK 34</t>
  </si>
  <si>
    <t>GW719</t>
  </si>
  <si>
    <t>Switch Huawei CE6855-48s6q-HI</t>
  </si>
  <si>
    <t>2102350RTC6TJ6000634</t>
  </si>
  <si>
    <t>Terpasang ( PT AJI RAFASYA ) keluar 31/07/2025</t>
  </si>
  <si>
    <t>Switch Huawei CE6851-48s6q-HI</t>
  </si>
  <si>
    <t>2102350JAR10F7000107</t>
  </si>
  <si>
    <t>Terpasang ( PT AJI RAFASYA ) keluar 31/07/2026</t>
  </si>
  <si>
    <t>Huawei CE6865E</t>
  </si>
  <si>
    <t>Mikrotik CCR1016-12S-1S+</t>
  </si>
  <si>
    <t>6EFD08FE041B/750</t>
  </si>
  <si>
    <t>Terpasang ( PT Multi Media Access )</t>
  </si>
  <si>
    <t>Mikrotik RB3011UIAS-RM</t>
  </si>
  <si>
    <t>HF209AFA2MC/334/r2</t>
  </si>
  <si>
    <t xml:space="preserve">Dell PowerEdge R710 </t>
  </si>
  <si>
    <t>GFWDB2S</t>
  </si>
  <si>
    <t xml:space="preserve">HPE ProLiant DL20 Gen10 </t>
  </si>
  <si>
    <t>CN79391KZG</t>
  </si>
  <si>
    <t>Sunfire X4170</t>
  </si>
  <si>
    <t>0949XF5229</t>
  </si>
  <si>
    <t xml:space="preserve">CCR 1016 </t>
  </si>
  <si>
    <t>HUAWEI ATN910</t>
  </si>
  <si>
    <t>Terpasang PT.ANDROMEGA (PINDAH KE RACK 41)</t>
  </si>
  <si>
    <t>27/05/2025 PINDAH RACK 41 11/8/25</t>
  </si>
  <si>
    <t>HUAWEI CE 6851</t>
  </si>
  <si>
    <t>Supermicro 813M-3</t>
  </si>
  <si>
    <t>SYS-5019S-M</t>
  </si>
  <si>
    <t xml:space="preserve">27/05/2025 ( pindahan dari 48 ) </t>
  </si>
  <si>
    <t xml:space="preserve">Bitbox </t>
  </si>
  <si>
    <t>8G4S20240709005</t>
  </si>
  <si>
    <t>27/05/2025 ( pindahan dari RACK 48 )</t>
  </si>
  <si>
    <t>31/07/2025 PINDAH RACK 41) 11/8/25</t>
  </si>
  <si>
    <t>Huawei CE6855</t>
  </si>
  <si>
    <t>1TP7T40CX4CA159</t>
  </si>
  <si>
    <t>Server HPE DL120 Gen 9</t>
  </si>
  <si>
    <t>SGH638YX4B</t>
  </si>
  <si>
    <t>8G4S20250408003</t>
  </si>
  <si>
    <t>12/08/2025 PINDAH RACK 41) 13/8/25</t>
  </si>
  <si>
    <t>Switch Huawei CE6855</t>
  </si>
  <si>
    <t>2102350RTB6THA000095</t>
  </si>
  <si>
    <t xml:space="preserve">TERPASANG PT.INOVASI NETWORK </t>
  </si>
  <si>
    <t>Mikrotik ccr 246</t>
  </si>
  <si>
    <t>HRMY252</t>
  </si>
  <si>
    <t>CCR2116-12G-4S+ SN</t>
  </si>
  <si>
    <t>HK70AM413PB</t>
  </si>
  <si>
    <t>TERPASANG PT.ADIDAYA ( OUT 29/1/26 )</t>
  </si>
  <si>
    <t>HK70AQZWM3C</t>
  </si>
  <si>
    <t>PC SERVER</t>
  </si>
  <si>
    <t>ACIF6B72F1B5</t>
  </si>
  <si>
    <t>PINDAH KE RACK 101 (ALFA OMEGA)</t>
  </si>
  <si>
    <t>D8370D37AE29</t>
  </si>
  <si>
    <t>TERPASANG PT.ADIDAYA</t>
  </si>
  <si>
    <t>Catalyst WS3650</t>
  </si>
  <si>
    <t>FDD2232Q130</t>
  </si>
  <si>
    <t>2YCQG03</t>
  </si>
  <si>
    <t>BELUM MASUK ( INOVASI NETWORK )</t>
  </si>
  <si>
    <t>RACK 39 PT.JOYO KABUL</t>
  </si>
  <si>
    <t>CRS326-24s=2Q=RM</t>
  </si>
  <si>
    <t>HFC091C1PEF/345/r3</t>
  </si>
  <si>
    <t>HP DL380 GEN9</t>
  </si>
  <si>
    <t>SGH802X9H5</t>
  </si>
  <si>
    <t>X86 MIKROTIK</t>
  </si>
  <si>
    <t>SMU13K3G4Q</t>
  </si>
  <si>
    <t>Terpasang dari lt4</t>
  </si>
  <si>
    <t>Huawei CE6865</t>
  </si>
  <si>
    <t>2102351RFEDML4001072</t>
  </si>
  <si>
    <t xml:space="preserve">Rack 40 PT.KAMPUNG DUA NET </t>
  </si>
  <si>
    <t>Huawei CE6851-HI</t>
  </si>
  <si>
    <t>2102350JAS10FB000073</t>
  </si>
  <si>
    <t>Poweredge R620</t>
  </si>
  <si>
    <t>483NG32</t>
  </si>
  <si>
    <t>Poweredge R630</t>
  </si>
  <si>
    <t>CXW10J2</t>
  </si>
  <si>
    <t>4V4B172</t>
  </si>
  <si>
    <t>13/08/2024 (25/1/25 OUT)</t>
  </si>
  <si>
    <t>7SVBT92</t>
  </si>
  <si>
    <t>Rack 41 PT.PRATAMA HASTA  Terminate</t>
  </si>
  <si>
    <t>PSU 1U EPS30-4815AF</t>
  </si>
  <si>
    <t>GY16122401EB1656</t>
  </si>
  <si>
    <t>OUT 21/07/2025</t>
  </si>
  <si>
    <r>
      <rPr>
        <rFont val="Calibri"/>
        <color rgb="FF000000"/>
        <sz val="11.0"/>
      </rPr>
      <t>SWITCH ATN 910D-A</t>
    </r>
  </si>
  <si>
    <t>Rack 41 PT ANDROMEGA</t>
  </si>
  <si>
    <t>OUT ( 24/10/25 )</t>
  </si>
  <si>
    <t xml:space="preserve">Dell Poweredge R760 </t>
  </si>
  <si>
    <t>J83G874</t>
  </si>
  <si>
    <t>HZ443</t>
  </si>
  <si>
    <t>98ATN0085028A-30</t>
  </si>
  <si>
    <t>CN026KFFIP10014700J4A06</t>
  </si>
  <si>
    <t>CN026KFFIP10014G006VA06</t>
  </si>
  <si>
    <t>MIKROTIK CCR211-12G-4S+</t>
  </si>
  <si>
    <t>HK60AZ767N2/R2</t>
  </si>
  <si>
    <t>Rack 42 PT.DIHOSTINGIN (IKADA)</t>
  </si>
  <si>
    <t>TP-Link Switch</t>
  </si>
  <si>
    <t>222A338000421</t>
  </si>
  <si>
    <t>GOOD OUT ( 2/5/2025 )</t>
  </si>
  <si>
    <t>2MKB642</t>
  </si>
  <si>
    <t>Mikrotik Cloud Switch Series</t>
  </si>
  <si>
    <t>HG309V8795K/r2</t>
  </si>
  <si>
    <t>2FPF642</t>
  </si>
  <si>
    <t>GOOD OUT PINDAH LANTAI KE 10 ( 4 Mei 2025 )</t>
  </si>
  <si>
    <t xml:space="preserve">Switch 3COM </t>
  </si>
  <si>
    <t>CA/9N3QFO0410979</t>
  </si>
  <si>
    <t>HP DL380P</t>
  </si>
  <si>
    <t>MXQ04213W1</t>
  </si>
  <si>
    <t>OUT PINDAH LANTAI KE 10 ( 29/11/25 )</t>
  </si>
  <si>
    <t>FSFD9X1</t>
  </si>
  <si>
    <t>HP PROLIANT DL360P G8</t>
  </si>
  <si>
    <t>SGH547X3L2</t>
  </si>
  <si>
    <t>HP PROLIANT DL380P G8</t>
  </si>
  <si>
    <t>SGH242E8A4</t>
  </si>
  <si>
    <t>HCNF642</t>
  </si>
  <si>
    <t>SERVER DELL R440</t>
  </si>
  <si>
    <t>BLCSG53</t>
  </si>
  <si>
    <t>HP DL360p gen9</t>
  </si>
  <si>
    <t>SGH525WMAK</t>
  </si>
  <si>
    <t>J2HHHJ2</t>
  </si>
  <si>
    <t>GOOD OUT PINDAH LANTAI KE 10 ( 4 September 2025 )</t>
  </si>
  <si>
    <t>G4ZH6Q2</t>
  </si>
  <si>
    <t>1KMFDW2</t>
  </si>
  <si>
    <t>DXJL7N2</t>
  </si>
  <si>
    <t>2RK45W1</t>
  </si>
  <si>
    <t>25/02/2025 (out )</t>
  </si>
  <si>
    <t>243C232</t>
  </si>
  <si>
    <t>3PQCF2S</t>
  </si>
  <si>
    <t>12/03/2025 OUT (10/4/2025)</t>
  </si>
  <si>
    <t>Dell R750</t>
  </si>
  <si>
    <t>1HXHNM3</t>
  </si>
  <si>
    <t>PINDAH LANTAI 04/05/2025</t>
  </si>
  <si>
    <t>6KMF642</t>
  </si>
  <si>
    <t>HXP5VG2</t>
  </si>
  <si>
    <t>67VJ642</t>
  </si>
  <si>
    <t>808FS62</t>
  </si>
  <si>
    <t>1QKB642</t>
  </si>
  <si>
    <t>Terpasang (PINDAH KE LT 10)</t>
  </si>
  <si>
    <t>16/05/2025 OUT 2/825</t>
  </si>
  <si>
    <t>Switch Mellanox SX6036</t>
  </si>
  <si>
    <t>IL223604S8</t>
  </si>
  <si>
    <t>Terpasang (OUT 19/5/2025)</t>
  </si>
  <si>
    <t>Arista 7050QX-32S</t>
  </si>
  <si>
    <t>JPE15330799</t>
  </si>
  <si>
    <t>9HSJ642</t>
  </si>
  <si>
    <t>PINDAH KE LT 10</t>
  </si>
  <si>
    <t>19/05/2025 OUT 8/2/25</t>
  </si>
  <si>
    <t>AMD CUBE GAMING</t>
  </si>
  <si>
    <t>STV001-2024009</t>
  </si>
  <si>
    <t>DELL R650</t>
  </si>
  <si>
    <t>3GBW6Q3</t>
  </si>
  <si>
    <t>GL27HD2</t>
  </si>
  <si>
    <t>Cube Gaming</t>
  </si>
  <si>
    <t>UTY6BW9Q1</t>
  </si>
  <si>
    <t>Rack 43 PT.PHATRIA INTI</t>
  </si>
  <si>
    <t>TERPASANG DARI LT4</t>
  </si>
  <si>
    <t>switch huawei atn90d</t>
  </si>
  <si>
    <t>Mikrotik RB 4011</t>
  </si>
  <si>
    <t>Mikrotik ccr1009</t>
  </si>
  <si>
    <t>server dell  R630</t>
  </si>
  <si>
    <t>Server HP</t>
  </si>
  <si>
    <t>9XKPB03</t>
  </si>
  <si>
    <t>27/03/2025 out 21/4/25</t>
  </si>
  <si>
    <t>HG609Z4FWF9/r2</t>
  </si>
  <si>
    <t>HG409PCAFG3/r2</t>
  </si>
  <si>
    <t>HZ163</t>
  </si>
  <si>
    <t>Rack 44 PT.DELTA BARU (BITNIAGA) 42U</t>
  </si>
  <si>
    <t>MIKROTIK CCR2216</t>
  </si>
  <si>
    <t>HG509KGR5M7</t>
  </si>
  <si>
    <t>31 Januari 2025 ( GOOD OUT )</t>
  </si>
  <si>
    <t>MIKROTIK CCR2004</t>
  </si>
  <si>
    <r>
      <rPr>
        <rFont val="Calibri"/>
        <color rgb="FF000000"/>
        <sz val="11.0"/>
      </rPr>
      <t>HG409PCAFG3/r2</t>
    </r>
  </si>
  <si>
    <r>
      <rPr>
        <rFont val="Calibri"/>
        <color rgb="FF000000"/>
        <sz val="11.0"/>
      </rPr>
      <t>USE733DA7Y</t>
    </r>
  </si>
  <si>
    <t>pindah rack 88 ( 31/10/25 )</t>
  </si>
  <si>
    <t xml:space="preserve">Switch Cisco </t>
  </si>
  <si>
    <r>
      <rPr>
        <rFont val="Calibri"/>
        <color rgb="FF000000"/>
        <sz val="11.0"/>
      </rPr>
      <t>Switch Cisco N3K-C3172PQ-10GE V02</t>
    </r>
  </si>
  <si>
    <r>
      <rPr>
        <rFont val="Calibri"/>
        <color rgb="FF000000"/>
        <sz val="11.0"/>
      </rPr>
      <t>FOC2409R1MU</t>
    </r>
  </si>
  <si>
    <t>28/08/2024 ( out 19/2/26 )</t>
  </si>
  <si>
    <t>G4WK6Q2</t>
  </si>
  <si>
    <t>02/10/2024 (OUT 14/4/25)</t>
  </si>
  <si>
    <t>4V18172</t>
  </si>
  <si>
    <t>02/10/2024 out 11/6/2025</t>
  </si>
  <si>
    <t>Switch Hub TP-Link</t>
  </si>
  <si>
    <t>22274M9001057</t>
  </si>
  <si>
    <t>BKF8172</t>
  </si>
  <si>
    <t>out 29/04/2025</t>
  </si>
  <si>
    <t>Juniper JNP204/MX204</t>
  </si>
  <si>
    <t>HF008</t>
  </si>
  <si>
    <t>CCR2116-1G-12XS-2XQ+</t>
  </si>
  <si>
    <t>HG509TS9PEZ</t>
  </si>
  <si>
    <t>21/11/2024 ( OUT 7/10/25 )</t>
  </si>
  <si>
    <t>HL370</t>
  </si>
  <si>
    <t>HP Proliant DL360p</t>
  </si>
  <si>
    <t>CN74240H8T</t>
  </si>
  <si>
    <t>Juniper Network EX2300 JUNOS</t>
  </si>
  <si>
    <t>JZ2622220340</t>
  </si>
  <si>
    <t>12/12/2024 (OUT 11/5/25)</t>
  </si>
  <si>
    <t>HG609Z4FW9/r2</t>
  </si>
  <si>
    <t>8CLTD2S</t>
  </si>
  <si>
    <t>Server IBM System x3550 m4</t>
  </si>
  <si>
    <t>06TCRA1</t>
  </si>
  <si>
    <t>MIKROTIK CRS 326-24S+2Q+RM</t>
  </si>
  <si>
    <t>D84E0C96A/033/r2</t>
  </si>
  <si>
    <t>21/12/2024 out 26/05/2025</t>
  </si>
  <si>
    <t xml:space="preserve"> D56A0C1F2CEC/040/r2</t>
  </si>
  <si>
    <t>HHE0A4T731Z/r2</t>
  </si>
  <si>
    <t>09/03/2025 out 28/5/25</t>
  </si>
  <si>
    <t>CRS504-4XQ-IN</t>
  </si>
  <si>
    <t>HGZ0A6TQR25/r3</t>
  </si>
  <si>
    <t>CRS 520-4XS-16XQ</t>
  </si>
  <si>
    <t>HH30ACWGPMJ</t>
  </si>
  <si>
    <t>HG609QNFT7Y/r2</t>
  </si>
  <si>
    <t>Rack 45 PT INDO TEKNOLOGI LOGISTIC ( ITL )</t>
  </si>
  <si>
    <t>Server Dl360 G6</t>
  </si>
  <si>
    <t>P3WEKUKC</t>
  </si>
  <si>
    <t>Huawei Switch S5700-2</t>
  </si>
  <si>
    <t xml:space="preserve">A160506572
</t>
  </si>
  <si>
    <t>Huawei Switch CLoud Engine 5850-48T-4S2Q-HI</t>
  </si>
  <si>
    <t xml:space="preserve">Server HP </t>
  </si>
  <si>
    <t>5GH247FMVL</t>
  </si>
  <si>
    <t>10/09/2024 (OUT 18/2/25)</t>
  </si>
  <si>
    <t>switch Maipo NSS 5810 26XF</t>
  </si>
  <si>
    <t>DIGIGATE SERVER MACAN</t>
  </si>
  <si>
    <t>DG202502002</t>
  </si>
  <si>
    <t>SERVER HP DL360E GEN 8</t>
  </si>
  <si>
    <t>SGH247FMVL</t>
  </si>
  <si>
    <t>Rack 46 PT.ACCESS PRIMA NUSANTARA (aprin)</t>
  </si>
  <si>
    <t>HBY50J2</t>
  </si>
  <si>
    <t>HM367</t>
  </si>
  <si>
    <t>ZKB642</t>
  </si>
  <si>
    <t>r620</t>
  </si>
  <si>
    <t>4NQCF2S</t>
  </si>
  <si>
    <t>DWDM SINTAI OTNS8600 II</t>
  </si>
  <si>
    <t>BN202408280363</t>
  </si>
  <si>
    <t>R610</t>
  </si>
  <si>
    <t>S6735</t>
  </si>
  <si>
    <t>HF340J2</t>
  </si>
  <si>
    <t>CCR 2004-16G-2S+</t>
  </si>
  <si>
    <t>HD00852AA8V</t>
  </si>
  <si>
    <t>SERVER HP DL580 G9</t>
  </si>
  <si>
    <t>SGH736WVPL</t>
  </si>
  <si>
    <t>SGH736WVR1</t>
  </si>
  <si>
    <t xml:space="preserve">Rack 47 KARYA ANEKA </t>
  </si>
  <si>
    <t>Switch Dell N4032</t>
  </si>
  <si>
    <t>426 136 284 02</t>
  </si>
  <si>
    <t>HH80AF47MAG</t>
  </si>
  <si>
    <t>(out 11/12/24)</t>
  </si>
  <si>
    <t>SERVER R740</t>
  </si>
  <si>
    <t>2G13R33</t>
  </si>
  <si>
    <t>D8370DFEA356/043/r3</t>
  </si>
  <si>
    <t>MikroTik CCR2004-16G-2S+</t>
  </si>
  <si>
    <t>MikroTik RB1100AHx4</t>
  </si>
  <si>
    <t>HCA083C91G8</t>
  </si>
  <si>
    <t>ouut 17/10/2025</t>
  </si>
  <si>
    <t>Switch FS S3900-48T6S-R</t>
  </si>
  <si>
    <t>CG2108180280N00012</t>
  </si>
  <si>
    <t>Switch DELL EMC S4148F-ON</t>
  </si>
  <si>
    <t xml:space="preserve">2N8GPK2 </t>
  </si>
  <si>
    <t xml:space="preserve">MIKTORIK X86  </t>
  </si>
  <si>
    <t>P4M2501024</t>
  </si>
  <si>
    <t>Rack 48 - RACK BERSAMA</t>
  </si>
  <si>
    <t>CCR 2116 - 12 G - 4 S+</t>
  </si>
  <si>
    <t>HEW09CTV8XJ/329</t>
  </si>
  <si>
    <t>PT. TRISNA MEGA ABADI</t>
  </si>
  <si>
    <t>22/01/2024 ( out 7/3/26 )</t>
  </si>
  <si>
    <t>HPE DL360 G9</t>
  </si>
  <si>
    <t>SGH632XE21</t>
  </si>
  <si>
    <t>PT.KARYA HASTA</t>
  </si>
  <si>
    <t>02/04/2024 PINDAH KE RACK 8 P2</t>
  </si>
  <si>
    <t>PT.TESLAR JAYA NETWORK TECHNOLOGY PINDAH 21U</t>
  </si>
  <si>
    <t>02/05/2024 (out)</t>
  </si>
  <si>
    <t>C24TG52</t>
  </si>
  <si>
    <t>INDOTEL 3U (PT.TIGA MEDIA SOLUSI)</t>
  </si>
  <si>
    <t>06/05/2024 OUT 24/12/2024</t>
  </si>
  <si>
    <t>12-A277-154567</t>
  </si>
  <si>
    <t>CNK6YC2</t>
  </si>
  <si>
    <t>INDOTEL 4U (PT.TOMIHONK NETWORK)</t>
  </si>
  <si>
    <t>08/05/2024 out 18/11/2025</t>
  </si>
  <si>
    <t>7SNJ642</t>
  </si>
  <si>
    <t>INDOTEL 4U (PT.KUNING MEDIA NUSANTARA)</t>
  </si>
  <si>
    <t>143BJK2</t>
  </si>
  <si>
    <t xml:space="preserve">FLASHNET </t>
  </si>
  <si>
    <t>02/07/2024 out 08/10/2025</t>
  </si>
  <si>
    <t>APCI (OUT 23/9/2024)</t>
  </si>
  <si>
    <t>DELL R730</t>
  </si>
  <si>
    <t>19JR7C2</t>
  </si>
  <si>
    <t>INTELLEGENCE NATIONAL(OUT 1/8/2024)</t>
  </si>
  <si>
    <t>3CECEFE7E427</t>
  </si>
  <si>
    <t>GFRJ642</t>
  </si>
  <si>
    <t>PT. SARANA TELEMEDIA NUSANTARA</t>
  </si>
  <si>
    <t>JUNIPER MX204 (PINJAMAN HSP)</t>
  </si>
  <si>
    <t>PT.ANDROMEGA</t>
  </si>
  <si>
    <t>02/10/2024 ( pindah e 38 27/5/2025 )</t>
  </si>
  <si>
    <t xml:space="preserve"> HEQ09CQDBFK/324</t>
  </si>
  <si>
    <t>PT.CROSSNET NETWORK INDONESIA</t>
  </si>
  <si>
    <t>HCC086QG116</t>
  </si>
  <si>
    <t>CRS 309</t>
  </si>
  <si>
    <t>HEM08TM6SCY</t>
  </si>
  <si>
    <t>CCR</t>
  </si>
  <si>
    <t xml:space="preserve"> D8370F9A3DA4/202/r3</t>
  </si>
  <si>
    <t>05/11/2024 out</t>
  </si>
  <si>
    <t>Dell Poweredge 630</t>
  </si>
  <si>
    <t>6VH1352</t>
  </si>
  <si>
    <t>Jetstream</t>
  </si>
  <si>
    <t>26/12/2024 ( Pindah ke 38 27/5/2025 )</t>
  </si>
  <si>
    <t>RUIJIE RG-S6220-48XS6QXS-H</t>
  </si>
  <si>
    <t>G1PT1YD10384B</t>
  </si>
  <si>
    <t>HE708Z3YD2X/307</t>
  </si>
  <si>
    <t>Java Digital Nusantarana(JDN)</t>
  </si>
  <si>
    <t>DX-3610 SERIUES</t>
  </si>
  <si>
    <t>UH05137000004</t>
  </si>
  <si>
    <t>PT. ERA BANGUN CELIX</t>
  </si>
  <si>
    <t xml:space="preserve">ce5850 </t>
  </si>
  <si>
    <t>21023692466TG7000388</t>
  </si>
  <si>
    <t>PT.BERDIKARI(REDI)</t>
  </si>
  <si>
    <t xml:space="preserve">CCR 2116 </t>
  </si>
  <si>
    <t>HXB0B212GRP</t>
  </si>
  <si>
    <t>MEDIA CLOUD</t>
  </si>
  <si>
    <t>31/01/2025 (out 19/2/25)</t>
  </si>
  <si>
    <t>F0710F4F2867F</t>
  </si>
  <si>
    <t>2102353KMX10N61006960</t>
  </si>
  <si>
    <t>04/02/2025 ( out 22/12/25 )</t>
  </si>
  <si>
    <t>CRS328-4C-20S-4S+RM</t>
  </si>
  <si>
    <t>HEP08Y0HS0Q</t>
  </si>
  <si>
    <t>HHE0AAZ4SD1</t>
  </si>
  <si>
    <t>KAYONG MUARA</t>
  </si>
  <si>
    <t>Server Dell R630 1U</t>
  </si>
  <si>
    <t>710S4J2</t>
  </si>
  <si>
    <t>KarangMukti</t>
  </si>
  <si>
    <t>DELL 630</t>
  </si>
  <si>
    <t>BJX5ZQ2</t>
  </si>
  <si>
    <t>Agung barokah</t>
  </si>
  <si>
    <t>640M6H2</t>
  </si>
  <si>
    <t>PC X88</t>
  </si>
  <si>
    <t xml:space="preserve">CCR2004-1G-12S+2XS
</t>
  </si>
  <si>
    <t>HEH08NMBRET/317</t>
  </si>
  <si>
    <t>kala hotama</t>
  </si>
  <si>
    <t>CRS-326</t>
  </si>
  <si>
    <t>F5F60FAAF3D2/204</t>
  </si>
  <si>
    <t>Flasthnet</t>
  </si>
  <si>
    <t>Ccr 2004</t>
  </si>
  <si>
    <t>HHD0AB13V5G</t>
  </si>
  <si>
    <t>RIVA SOLO</t>
  </si>
  <si>
    <t>CCR2004-1G-12G+2XS</t>
  </si>
  <si>
    <t>HJA0A52NGCD/R4</t>
  </si>
  <si>
    <t>17/11/2025 (OUT 2/3/26)</t>
  </si>
  <si>
    <t>18/11/2025 (OUT)</t>
  </si>
  <si>
    <t>ATN910D</t>
  </si>
  <si>
    <t>98ATN0082121A</t>
  </si>
  <si>
    <t>HGG09G9RKD7/R2</t>
  </si>
  <si>
    <t>HK10AW9QXCT/r2</t>
  </si>
  <si>
    <t>Rack 49  PT INDOTEL</t>
  </si>
  <si>
    <t>Terpasang ( dari rack 23 )</t>
  </si>
  <si>
    <t>S6730</t>
  </si>
  <si>
    <t>Terpasang ( dari rack 24 )</t>
  </si>
  <si>
    <t>BCFP1648</t>
  </si>
  <si>
    <t>RAX 721</t>
  </si>
  <si>
    <t>103002039702A2A31A0052G</t>
  </si>
  <si>
    <t>Huawei NetEngine 8000</t>
  </si>
  <si>
    <t>2102353A</t>
  </si>
  <si>
    <t>Dismantle 11/11/25</t>
  </si>
  <si>
    <t>WH0218190334</t>
  </si>
  <si>
    <t>HPE DL325 Gen10</t>
  </si>
  <si>
    <t>CN793204CC</t>
  </si>
  <si>
    <t>2102353ABJ10M4000282</t>
  </si>
  <si>
    <t>Rectifier Huawei 48400</t>
  </si>
  <si>
    <t>BN2381014555</t>
  </si>
  <si>
    <t>P02170002540</t>
  </si>
  <si>
    <t>MIKROTIK X86</t>
  </si>
  <si>
    <t>489089M+1309P32TBP</t>
  </si>
  <si>
    <t>Rack 50 BOOK HSP</t>
  </si>
  <si>
    <t>Rack 51 YETOYA</t>
  </si>
  <si>
    <t>F</t>
  </si>
  <si>
    <t>H3C S12500R-48C6D</t>
  </si>
  <si>
    <t>210235A4FUH2580H0005</t>
  </si>
  <si>
    <t>Rack 52 BOOK HSP</t>
  </si>
  <si>
    <t>H3C</t>
  </si>
  <si>
    <t>Rack 53 BOOK HSP</t>
  </si>
  <si>
    <t xml:space="preserve">dell powerswitch s5232f </t>
  </si>
  <si>
    <t>dell r7615</t>
  </si>
  <si>
    <t>Rack 54 BOOK HSP</t>
  </si>
  <si>
    <t>Rack 55 BOOK HSP</t>
  </si>
  <si>
    <t>PTX 10008</t>
  </si>
  <si>
    <t>Rack 56 BOOK HSP</t>
  </si>
  <si>
    <t>TERPASANG (Pindah ke P1 R23)</t>
  </si>
  <si>
    <t>modul line card h3c</t>
  </si>
  <si>
    <t>Rack 57 BOOK HSP</t>
  </si>
  <si>
    <t>RB 5009</t>
  </si>
  <si>
    <t>JUNIPER MX1K4</t>
  </si>
  <si>
    <t>Rack 58 HSP</t>
  </si>
  <si>
    <t>BCFW1374</t>
  </si>
  <si>
    <t>OUT 25/3/2026 (pindah ke rack 7 p1 rst)</t>
  </si>
  <si>
    <t>ITN8600-A-DC</t>
  </si>
  <si>
    <t>103003021820A25118A0</t>
  </si>
  <si>
    <t>Huawei Rectifier 48200</t>
  </si>
  <si>
    <t>BN2381021437</t>
  </si>
  <si>
    <t>Module Line Card PTX 10008</t>
  </si>
  <si>
    <t>BCHA1056</t>
  </si>
  <si>
    <t>Rack 59 HSP</t>
  </si>
  <si>
    <t/>
  </si>
  <si>
    <t>JUNIPER MX10K4</t>
  </si>
  <si>
    <t>BCDP6839</t>
  </si>
  <si>
    <t>7X9X2A291877047</t>
  </si>
  <si>
    <t>MX10K3</t>
  </si>
  <si>
    <t>HUAWEI CE8850</t>
  </si>
  <si>
    <t>Rack 60 Kementrian kelautan dan perikanan (KKP)</t>
  </si>
  <si>
    <t>Hyper-converged Node-DP2210</t>
  </si>
  <si>
    <t>2102314UUCP0Q9100260</t>
  </si>
  <si>
    <t>2102314UUCP0Q9100261</t>
  </si>
  <si>
    <t>2102314UUCP0Q9100262</t>
  </si>
  <si>
    <t>2102314UUCP0Q9100263</t>
  </si>
  <si>
    <t>2102314UUCP0Q9100264</t>
  </si>
  <si>
    <t>CE6881-48S6CQ-B switch</t>
  </si>
  <si>
    <t>Rack 61 Diskominfo Banten / PT Desible Eradata Komunikasi</t>
  </si>
  <si>
    <t>Juniper MX480</t>
  </si>
  <si>
    <t>JN1272189AFB</t>
  </si>
  <si>
    <t>Terpasang (PINDAH KE RACK 65 PER 9/02/2025)</t>
  </si>
  <si>
    <t>Cisco Nexus 93180YC-FX3</t>
  </si>
  <si>
    <t>FDO28450W7N</t>
  </si>
  <si>
    <t>Lenovo System X3850 X6</t>
  </si>
  <si>
    <t>00FN656</t>
  </si>
  <si>
    <t>Dell PowerEdge R930</t>
  </si>
  <si>
    <t>3JXXCK2</t>
  </si>
  <si>
    <t>Dell PowerEdge R750</t>
  </si>
  <si>
    <t>49JBBV3</t>
  </si>
  <si>
    <t>Storage Dell Unity XT</t>
  </si>
  <si>
    <t>BDFKXM3</t>
  </si>
  <si>
    <t>FDFKXM3</t>
  </si>
  <si>
    <t>Dell EMC PowerEdge R750</t>
  </si>
  <si>
    <t>FYX4KN3</t>
  </si>
  <si>
    <t>GYX4KN3</t>
  </si>
  <si>
    <t>CCR1036-8G-2S+EM</t>
  </si>
  <si>
    <t>91A808223F2F</t>
  </si>
  <si>
    <t>SAN SWITCH DS-6610B</t>
  </si>
  <si>
    <t>BRCEZL1929S0EV</t>
  </si>
  <si>
    <t>Ruckus Switch ICX7150-24P</t>
  </si>
  <si>
    <t>FEA3224U00J</t>
  </si>
  <si>
    <t>Fortigate-1500D</t>
  </si>
  <si>
    <t>FG1K5DT919801048</t>
  </si>
  <si>
    <t>DELL XE7740</t>
  </si>
  <si>
    <t>FPQ96G4</t>
  </si>
  <si>
    <t>5MQ96G4</t>
  </si>
  <si>
    <t>Rack 61 KKP</t>
  </si>
  <si>
    <t>DELL SWITCH 4032 POWER CONNECT 8132</t>
  </si>
  <si>
    <t>J3Y0DK2</t>
  </si>
  <si>
    <t>DELL Server Power Edge R94</t>
  </si>
  <si>
    <t>BLQS9P2</t>
  </si>
  <si>
    <t>SW DELL 4032 POWER CONNECT 8132</t>
  </si>
  <si>
    <t>5J6DXC2</t>
  </si>
  <si>
    <t>DELL POWER SWITCH Z94432F-ON</t>
  </si>
  <si>
    <t>2V06BV3</t>
  </si>
  <si>
    <t>Rack 62 BOOK KKP</t>
  </si>
  <si>
    <t>Rack 63   Graha telekomunikasi indonesia (GTI)</t>
  </si>
  <si>
    <t>MIKROTIK Core 1072</t>
  </si>
  <si>
    <t>MRK-001</t>
  </si>
  <si>
    <t>MIKROTIK DMZ 1072</t>
  </si>
  <si>
    <t>MRK-253</t>
  </si>
  <si>
    <t>MIKROTIK RB450GX4</t>
  </si>
  <si>
    <t>MRK450</t>
  </si>
  <si>
    <t>SWITCH LINKSYS LGS124S</t>
  </si>
  <si>
    <t>SWC-002</t>
  </si>
  <si>
    <t>LENOVO SR550</t>
  </si>
  <si>
    <t>SVR-112</t>
  </si>
  <si>
    <t>SVR-113</t>
  </si>
  <si>
    <t>SVR-114</t>
  </si>
  <si>
    <t>SVR-223</t>
  </si>
  <si>
    <t>NAS DS923</t>
  </si>
  <si>
    <t>NAS-998</t>
  </si>
  <si>
    <t>MONITOR LG 19''</t>
  </si>
  <si>
    <t>MNTR-599</t>
  </si>
  <si>
    <t>SWITCH LINKSYS LGS326</t>
  </si>
  <si>
    <t>NGSF SANGFOR FIREWALL</t>
  </si>
  <si>
    <t>J3005P3B</t>
  </si>
  <si>
    <t>J3005P39</t>
  </si>
  <si>
    <t>Rack 64 IKUBARU INDONESIA</t>
  </si>
  <si>
    <t xml:space="preserve">Nettrix R620 G30 </t>
  </si>
  <si>
    <t>610129 9901575160</t>
  </si>
  <si>
    <t>610129 9901618380</t>
  </si>
  <si>
    <t>dig</t>
  </si>
  <si>
    <t>6101299 901552086</t>
  </si>
  <si>
    <t>Rakitan</t>
  </si>
  <si>
    <t>PT8253H28JN2075</t>
  </si>
  <si>
    <t>Dell R7515</t>
  </si>
  <si>
    <t>44PXHD2</t>
  </si>
  <si>
    <t>Dell R730XD</t>
  </si>
  <si>
    <t>G2B3ZQ2</t>
  </si>
  <si>
    <t>01/05/2025 (out2/5/25)</t>
  </si>
  <si>
    <t>Roycom /Rakitan mobo gigabyte</t>
  </si>
  <si>
    <t>RD-BIJ-000-05782</t>
  </si>
  <si>
    <t xml:space="preserve">Rakitan Mobo Asus </t>
  </si>
  <si>
    <t>PT8253131JT0795</t>
  </si>
  <si>
    <t xml:space="preserve">switch Arista 7048T-A </t>
  </si>
  <si>
    <t>JPE12481189</t>
  </si>
  <si>
    <t>GIGABYTE ( Epyc 7302, 2x32GB ram)</t>
  </si>
  <si>
    <t>GKHSNA321A0024</t>
  </si>
  <si>
    <t>01/05/2025 (out 2/5/25)</t>
  </si>
  <si>
    <t>SWITCH ARISTA 40G</t>
  </si>
  <si>
    <t>JPE15371342</t>
  </si>
  <si>
    <t>Dell R7515 (Epyc 7513, 1024GB ram)</t>
  </si>
  <si>
    <t>30YKH53</t>
  </si>
  <si>
    <t>inspur SA5112M5,</t>
  </si>
  <si>
    <t>DELL R630,</t>
  </si>
  <si>
    <t>4J0QLP2</t>
  </si>
  <si>
    <t>Server rakitan Roycom</t>
  </si>
  <si>
    <t>RD-BIL-000-06240</t>
  </si>
  <si>
    <t>Rack 65 Diskominfo Banten / PT Desible Eradata Komunikasi</t>
  </si>
  <si>
    <t>Terpasang (PINDAHAN DARI RACK 61 PER 9/2/25)</t>
  </si>
  <si>
    <t>MIKROTIK CCR2116-12G-4S+</t>
  </si>
  <si>
    <t>HG509PKP2DH</t>
  </si>
  <si>
    <t>Rack 66 INDONUSA SYTEM INTEGRATOR ( BERDIKARI TBK )</t>
  </si>
  <si>
    <t>Switch Cisco</t>
  </si>
  <si>
    <t>CAT1039NHHT</t>
  </si>
  <si>
    <t>Terpasang dari APji</t>
  </si>
  <si>
    <t>Proliant DL 360 Gen 10</t>
  </si>
  <si>
    <t>SGH915SX7J</t>
  </si>
  <si>
    <t>Proliant DL 380 Gen 10</t>
  </si>
  <si>
    <t>SGH115SVNH</t>
  </si>
  <si>
    <t>SGH915SX7H</t>
  </si>
  <si>
    <t>rujiie RG-NBS3100-24</t>
  </si>
  <si>
    <t>ZAS92TU00986A</t>
  </si>
  <si>
    <t>RB 110Hx2</t>
  </si>
  <si>
    <t>3E6A02D52224/243</t>
  </si>
  <si>
    <t>Laptop KVM AP5816</t>
  </si>
  <si>
    <t>AP5816</t>
  </si>
  <si>
    <t>RB1100AHx4</t>
  </si>
  <si>
    <t>HED08RJD3P8</t>
  </si>
  <si>
    <t>TERPASANG Dari LT 10</t>
  </si>
  <si>
    <t>CATALYST 2970 SERIES</t>
  </si>
  <si>
    <t>FD01151X1R6</t>
  </si>
  <si>
    <t>TERPASANG DARI RACK ** ( GOOD OUT KE LT.10 9/4/25 )</t>
  </si>
  <si>
    <t>JUNIPER EX4200 SERIES</t>
  </si>
  <si>
    <t>BM0212459018</t>
  </si>
  <si>
    <t>TERPASANG ( GOOD OUT KE LT.10 9/4/25 )</t>
  </si>
  <si>
    <t>DL 360 GEN 10</t>
  </si>
  <si>
    <t>SGH915SX7Z</t>
  </si>
  <si>
    <t>HJ5OAF7</t>
  </si>
  <si>
    <t>HPE 2 PORT</t>
  </si>
  <si>
    <t>CN956VK0D4</t>
  </si>
  <si>
    <t>DL 360 GEN 11</t>
  </si>
  <si>
    <t>CNXD1P00B9</t>
  </si>
  <si>
    <t>07/08/2025`</t>
  </si>
  <si>
    <t>SYNOLOGI RS3621XS</t>
  </si>
  <si>
    <t>Rack 67 MEDIA CEPAT INDONESIA (RAPIDNET)</t>
  </si>
  <si>
    <t>H3C S6800-54QT</t>
  </si>
  <si>
    <t xml:space="preserve"> 210235A2C4H2430H000N</t>
  </si>
  <si>
    <t>11/04/2025 (out 1/5/25)</t>
  </si>
  <si>
    <t>ACCE-OPC4E-T2X4C20</t>
  </si>
  <si>
    <t>795250BZGN100F3</t>
  </si>
  <si>
    <t>ACCE-OPC4E-T2X4C8</t>
  </si>
  <si>
    <t>795250BZGN10010</t>
  </si>
  <si>
    <t>ACCE-OPC4E-BLANK</t>
  </si>
  <si>
    <t>795250BZGN1009</t>
  </si>
  <si>
    <t>ACCE-OPC4E-BLANK C</t>
  </si>
  <si>
    <t>795250BZGN100a</t>
  </si>
  <si>
    <t>ACCE-OPC4-CMU</t>
  </si>
  <si>
    <t>795250BZGN1568</t>
  </si>
  <si>
    <t>IIVI-OPC4-CU(3Y/7*24*4)</t>
  </si>
  <si>
    <t>S04658280</t>
  </si>
  <si>
    <t>IIVI-OPC4-OA-SWG(3Y/7*24*4)</t>
  </si>
  <si>
    <t>S05616870</t>
  </si>
  <si>
    <t>IIVI-OPC4-CMUX-64(3Y/7*24*4)</t>
  </si>
  <si>
    <t>S12606810</t>
  </si>
  <si>
    <t>IIVI-OPC4(3Y/7*24*4)</t>
  </si>
  <si>
    <t>LS5636050</t>
  </si>
  <si>
    <t>IOPC4</t>
  </si>
  <si>
    <t>LS5636210</t>
  </si>
  <si>
    <t>Rack 68 DISKOMINFO RPTRA 20U /  GLOBAL TEKNOLOGI TERAINDO 20U</t>
  </si>
  <si>
    <t>HIKVISION NVR</t>
  </si>
  <si>
    <t>AY8407409</t>
  </si>
  <si>
    <t>TERPASANG ( Diskominfo DKI )</t>
  </si>
  <si>
    <t>AF8098937</t>
  </si>
  <si>
    <t>AW6801437</t>
  </si>
  <si>
    <t>FB1685511</t>
  </si>
  <si>
    <t>AY8407389</t>
  </si>
  <si>
    <t>MJ50A3RFTKH</t>
  </si>
  <si>
    <t>s</t>
  </si>
  <si>
    <t>Juniper EX3400-48P</t>
  </si>
  <si>
    <t>NY0217020196</t>
  </si>
  <si>
    <t>TERPASANG PINDAHAN DARI LT 6 ( GLOBAL TERAINDO )</t>
  </si>
  <si>
    <t>08/04/2025 (OUT KE RACK 83)</t>
  </si>
  <si>
    <t>DELL 730XD</t>
  </si>
  <si>
    <t>1X0XPM2</t>
  </si>
  <si>
    <t>BELUM MASUK LG DI SETTING DI LT6 ( GTT )</t>
  </si>
  <si>
    <t>3Q303W2</t>
  </si>
  <si>
    <t>TERPASANG ( GTT )</t>
  </si>
  <si>
    <t>DELL R340</t>
  </si>
  <si>
    <t>CQ68R42</t>
  </si>
  <si>
    <t>R430</t>
  </si>
  <si>
    <t>6JZ7R42</t>
  </si>
  <si>
    <t>TERPASANG DARI LANTAI 6 ( GTT )</t>
  </si>
  <si>
    <t>server ibm X3250 M3</t>
  </si>
  <si>
    <t>JW3623224525</t>
  </si>
  <si>
    <t>TERPASANG (GTT)</t>
  </si>
  <si>
    <t>14/04/2025 (out 7/7/25)</t>
  </si>
  <si>
    <t>Juniper EX3200</t>
  </si>
  <si>
    <t>69Y10111Y114UN07B1T4</t>
  </si>
  <si>
    <t>HRRHRH42</t>
  </si>
  <si>
    <t>CRS316</t>
  </si>
  <si>
    <t>HF30930120M</t>
  </si>
  <si>
    <t>Rack 69 BOOK CLOUD</t>
  </si>
  <si>
    <t>9P5FSR3</t>
  </si>
  <si>
    <t>DGVCDF4</t>
  </si>
  <si>
    <t>4GVCDF4</t>
  </si>
  <si>
    <t>8FVCDF4</t>
  </si>
  <si>
    <t>8GVCDF4</t>
  </si>
  <si>
    <t>HGVCDF4</t>
  </si>
  <si>
    <t>4VXCDF4</t>
  </si>
  <si>
    <t>FTXCDF4</t>
  </si>
  <si>
    <t>JSXCDF4</t>
  </si>
  <si>
    <t>16YCDF4</t>
  </si>
  <si>
    <t>HTXCDF4</t>
  </si>
  <si>
    <t>C5V1YF4</t>
  </si>
  <si>
    <t>B5V1YF4</t>
  </si>
  <si>
    <t>99V1YF4</t>
  </si>
  <si>
    <t>G5V1YF4</t>
  </si>
  <si>
    <t>Rack 70 SDC / CLOUD</t>
  </si>
  <si>
    <t xml:space="preserve">xfungsion 2258 V7 </t>
  </si>
  <si>
    <t>210619DXGFX2QC000003</t>
  </si>
  <si>
    <t>out 3/3/2025</t>
  </si>
  <si>
    <t>210619DXGFX2QC000002</t>
  </si>
  <si>
    <t xml:space="preserve">out </t>
  </si>
  <si>
    <t>14/01/2025 (( out 19/3/25))</t>
  </si>
  <si>
    <t>210619DXGFX2QC000001</t>
  </si>
  <si>
    <t>xfungsion 1158 V7</t>
  </si>
  <si>
    <t>210619DXGEX3QC000003</t>
  </si>
  <si>
    <t>210619DXGEX3QC000002</t>
  </si>
  <si>
    <t>210619DXGEX3QC000001</t>
  </si>
  <si>
    <t>RAX 721 C 6C48 DC/D</t>
  </si>
  <si>
    <t>103002039701A24711A00236</t>
  </si>
  <si>
    <t>SERVER LENOVO SR645</t>
  </si>
  <si>
    <t>J9013E31</t>
  </si>
  <si>
    <t>J9013Z9Y</t>
  </si>
  <si>
    <t>03/03/2025 (( out 19/3/25))</t>
  </si>
  <si>
    <t>ISCOM3048XF -4Q-F-AC/D</t>
  </si>
  <si>
    <t>101709001902S18B07S0001G</t>
  </si>
  <si>
    <t>07/03/2025 (OUT19/3/25)</t>
  </si>
  <si>
    <t>Raisecom S6600 48KC</t>
  </si>
  <si>
    <t>104104001800A25313A0018G</t>
  </si>
  <si>
    <t>ISCOM S5600-28C-EI-AC/S</t>
  </si>
  <si>
    <t>104101002100S21B26S0028G</t>
  </si>
  <si>
    <t>Rack 71 VALIDASI RUANG TEKNOLOGI ( VALIDATECH)</t>
  </si>
  <si>
    <t>BCGA0392</t>
  </si>
  <si>
    <t>HH70AAH0BW1/r2</t>
  </si>
  <si>
    <t>RAISECOM S6600-48K8C</t>
  </si>
  <si>
    <t>104104001800A25313A0021G</t>
  </si>
  <si>
    <t>OUT 10 April 2026</t>
  </si>
  <si>
    <t>104104001800A25313A0017G</t>
  </si>
  <si>
    <t xml:space="preserve">Rack 72  JAVA MEDIA </t>
  </si>
  <si>
    <t>HP Proliant DL380P Gen8</t>
  </si>
  <si>
    <t>SGH318V17P</t>
  </si>
  <si>
    <t>USE733DA3V</t>
  </si>
  <si>
    <t>IN4HJ00ERH</t>
  </si>
  <si>
    <t>Huawei ATN-910D</t>
  </si>
  <si>
    <t>0678821-103257</t>
  </si>
  <si>
    <t xml:space="preserve"> Server HP Proliant DL380P
</t>
  </si>
  <si>
    <t>Server HP DL360G7</t>
  </si>
  <si>
    <t>ATN 910D-A</t>
  </si>
  <si>
    <t>98ATN0058920A-001</t>
  </si>
  <si>
    <t>PC X86</t>
  </si>
  <si>
    <t>6,5 Kg.</t>
  </si>
  <si>
    <t>J3M0B122885</t>
  </si>
  <si>
    <t>HX798</t>
  </si>
  <si>
    <t>Proliant DL570 G9</t>
  </si>
  <si>
    <t>SGH535X5PX</t>
  </si>
  <si>
    <t>SW ZTE</t>
  </si>
  <si>
    <t>3G2350008749 Y</t>
  </si>
  <si>
    <t>Switching Power Supply</t>
  </si>
  <si>
    <t>X35813171101009RAV0.0A</t>
  </si>
  <si>
    <t>Switch Arista DCS-7060CX-32S</t>
  </si>
  <si>
    <t>JPE20272566</t>
  </si>
  <si>
    <t>Rack 73 UNSIKA</t>
  </si>
  <si>
    <t>Rainer EVR-2S316R2E8SL4-H0S80R</t>
  </si>
  <si>
    <t>IMV250325010022001</t>
  </si>
  <si>
    <t>HPE DL380G10</t>
  </si>
  <si>
    <t>SGH245WY9S</t>
  </si>
  <si>
    <t>lenovo sr650 mt m 7x06</t>
  </si>
  <si>
    <t>J301VEDP</t>
  </si>
  <si>
    <t>Dell EMC R740 Poweredge</t>
  </si>
  <si>
    <t>BKF7R33</t>
  </si>
  <si>
    <t>Rainer</t>
  </si>
  <si>
    <t>Rack 74 - PT PARSAORAN GLOBAL DATATRANS ( GGC )</t>
  </si>
  <si>
    <t>Dell EMC S5232F-ON Switch</t>
  </si>
  <si>
    <t>4FBGSR3</t>
  </si>
  <si>
    <t>4S9FSR3</t>
  </si>
  <si>
    <t>Dell Poweredge R7615</t>
  </si>
  <si>
    <t>7LD9B74</t>
  </si>
  <si>
    <t>BQD9B74</t>
  </si>
  <si>
    <t>2MD9B74</t>
  </si>
  <si>
    <t>3DR6L94</t>
  </si>
  <si>
    <t>FCS6L94</t>
  </si>
  <si>
    <t>BFR6L94</t>
  </si>
  <si>
    <t>2SXCDF4</t>
  </si>
  <si>
    <t>3TXCDF4</t>
  </si>
  <si>
    <t>9nbhsr3</t>
  </si>
  <si>
    <t>Rack 75 - PT YETOYA SOLUSI INDONESIA ( GGC )</t>
  </si>
  <si>
    <t>4L6GSR3</t>
  </si>
  <si>
    <t>2FR6L94</t>
  </si>
  <si>
    <t>JDR6L94</t>
  </si>
  <si>
    <t>BQRVCH4</t>
  </si>
  <si>
    <t>JRRVCH4</t>
  </si>
  <si>
    <t>9YFF3R3</t>
  </si>
  <si>
    <t>Rack 76 - MEDIA CEPAT INDONESIA / RAPIDNET</t>
  </si>
  <si>
    <t>Huawei CE8861-4C-EI</t>
  </si>
  <si>
    <t>SPU-D21182</t>
  </si>
  <si>
    <t>SPU-D21194</t>
  </si>
  <si>
    <t>HUAWEI_CE6851-48S6Q-HI</t>
  </si>
  <si>
    <t>AIS-215448</t>
  </si>
  <si>
    <t>CISCO_WS-C3560E-48TD-S</t>
  </si>
  <si>
    <t>CC-26676</t>
  </si>
  <si>
    <t>Inspur_SA5112M5&lt;1U10&gt;</t>
  </si>
  <si>
    <t>IIP-A15259</t>
  </si>
  <si>
    <t>IIP-A15264</t>
  </si>
  <si>
    <t>CSP-136553</t>
  </si>
  <si>
    <t>CSP-139187</t>
  </si>
  <si>
    <t>XFUSION_1288H_V6&lt;1U10_4NVME&gt;</t>
  </si>
  <si>
    <t>12E153989</t>
  </si>
  <si>
    <t>12E153990</t>
  </si>
  <si>
    <t>12E153988</t>
  </si>
  <si>
    <t>12E153987</t>
  </si>
  <si>
    <t>12E153986</t>
  </si>
  <si>
    <t>12E153985</t>
  </si>
  <si>
    <t>12E153984</t>
  </si>
  <si>
    <t>12E153983</t>
  </si>
  <si>
    <t>Rack 77 - MEDIA CEPAT INDONESIA / RAPIDNET</t>
  </si>
  <si>
    <t>HUAWEI_CE6865E-48S8CQ</t>
  </si>
  <si>
    <t>SPU-E21426</t>
  </si>
  <si>
    <t>CC-26617</t>
  </si>
  <si>
    <t>EIC-144242</t>
  </si>
  <si>
    <t>IIP-A15262</t>
  </si>
  <si>
    <t>IIP-A15266</t>
  </si>
  <si>
    <t>EIC-144283</t>
  </si>
  <si>
    <t>CSP-135898</t>
  </si>
  <si>
    <t>CSP-136395</t>
  </si>
  <si>
    <t>CSP-136583</t>
  </si>
  <si>
    <t>CSP-139376</t>
  </si>
  <si>
    <t>IIP-A15258</t>
  </si>
  <si>
    <t>CSP-139280</t>
  </si>
  <si>
    <t>CSP-139094</t>
  </si>
  <si>
    <t>CSP-139116</t>
  </si>
  <si>
    <t>CSP-A15459</t>
  </si>
  <si>
    <t>Rack 78 - MEDIA CEPAT INDONESIA / RAPIDNET</t>
  </si>
  <si>
    <t>SPU-E21425</t>
  </si>
  <si>
    <t>CC-26659</t>
  </si>
  <si>
    <t>IIP-A15263</t>
  </si>
  <si>
    <t>IIP-A15177</t>
  </si>
  <si>
    <t>CSP-139150</t>
  </si>
  <si>
    <t>CSP-139553</t>
  </si>
  <si>
    <t>CSP-139726</t>
  </si>
  <si>
    <t>CSP-A14934</t>
  </si>
  <si>
    <t>CSP-136466</t>
  </si>
  <si>
    <t>LC-123005</t>
  </si>
  <si>
    <t>Rack 79 - MEDIA CEPAT INDONESIA / RAPIDNET</t>
  </si>
  <si>
    <t>SPU-E21424</t>
  </si>
  <si>
    <t>OC-201973</t>
  </si>
  <si>
    <t>IIP-A15300</t>
  </si>
  <si>
    <t>IIP-A15083</t>
  </si>
  <si>
    <t>CSP-136436</t>
  </si>
  <si>
    <t>LC-122983</t>
  </si>
  <si>
    <t>SPU-C30704</t>
  </si>
  <si>
    <t>SPU-C31513</t>
  </si>
  <si>
    <t>CSP-136421</t>
  </si>
  <si>
    <t>CSP-139285</t>
  </si>
  <si>
    <t>12C150013</t>
  </si>
  <si>
    <t>SPU-C30697</t>
  </si>
  <si>
    <t>12C150012</t>
  </si>
  <si>
    <t>Rack 80 MaXCloud book</t>
  </si>
  <si>
    <t xml:space="preserve">R730 </t>
  </si>
  <si>
    <t>C21RZL2</t>
  </si>
  <si>
    <t>cisco 3650</t>
  </si>
  <si>
    <t>CAT1034NLQ2</t>
  </si>
  <si>
    <t>Cisco 3064</t>
  </si>
  <si>
    <t>FOC1712R21T</t>
  </si>
  <si>
    <t>6Q259D3</t>
  </si>
  <si>
    <t>2R059D3</t>
  </si>
  <si>
    <t>F99Q9D3</t>
  </si>
  <si>
    <t>Switch 3164Q / 3132</t>
  </si>
  <si>
    <t>SAL2039V8WQ</t>
  </si>
  <si>
    <t>SAL2039V8ZY</t>
  </si>
  <si>
    <t>R740</t>
  </si>
  <si>
    <t>1PKD9V2</t>
  </si>
  <si>
    <t>26/06/2025 (out 9/7/25)</t>
  </si>
  <si>
    <t>DELL R740 XD</t>
  </si>
  <si>
    <t>C7T0PR2</t>
  </si>
  <si>
    <t>Rack 81 MaXCloud book</t>
  </si>
  <si>
    <t>Rack 82 GLOBAL TEKNOLOGI TERAINDO</t>
  </si>
  <si>
    <t>Switch Hub HPE 1420</t>
  </si>
  <si>
    <t>CN0AGXW0FJ</t>
  </si>
  <si>
    <t>CN0AGXW0FK</t>
  </si>
  <si>
    <t>Mikrotik CCR 1009</t>
  </si>
  <si>
    <t>914F09E470FF/830</t>
  </si>
  <si>
    <t>HP ProLiant DL380 Gen7</t>
  </si>
  <si>
    <t>SGH042XFPJ</t>
  </si>
  <si>
    <t>SGH038X6XM</t>
  </si>
  <si>
    <t>SGH132XWS7</t>
  </si>
  <si>
    <t>SGH038X6XE</t>
  </si>
  <si>
    <t>SGH038X6XA</t>
  </si>
  <si>
    <t>SGH042XFPL</t>
  </si>
  <si>
    <t>SGH038X6XC</t>
  </si>
  <si>
    <t>SGH042XFPN</t>
  </si>
  <si>
    <t>SGH038X6X4</t>
  </si>
  <si>
    <t>SGH042XFPR</t>
  </si>
  <si>
    <t>Server IBM X3650 M4</t>
  </si>
  <si>
    <t>7945D2A-06NB363</t>
  </si>
  <si>
    <t>Fortigate 81F</t>
  </si>
  <si>
    <t>FGT81FTK21006684</t>
  </si>
  <si>
    <t>85930H2</t>
  </si>
  <si>
    <t>Rack 83 GLOBAL TEKNOLOGI TERAINDO</t>
  </si>
  <si>
    <t>CAS 317</t>
  </si>
  <si>
    <t>Rack 84 - BIG NETWORK INDONESIA</t>
  </si>
  <si>
    <t>MIKROTIK CRS 520-4XS-16X</t>
  </si>
  <si>
    <t>HP PC SERVER</t>
  </si>
  <si>
    <t>Rack 85 Desible Eradata</t>
  </si>
  <si>
    <t>cisco sg95-16</t>
  </si>
  <si>
    <t>ce6851</t>
  </si>
  <si>
    <t>s5720</t>
  </si>
  <si>
    <t>F29PW22</t>
  </si>
  <si>
    <t>3FD4ZC2</t>
  </si>
  <si>
    <t>4D3K742</t>
  </si>
  <si>
    <t>7MC5V72</t>
  </si>
  <si>
    <t>HP DL160 Gen 9</t>
  </si>
  <si>
    <t>SGH613XRL7</t>
  </si>
  <si>
    <t>CISCO NEXUS 9396PX</t>
  </si>
  <si>
    <t>SAL1951VHSR</t>
  </si>
  <si>
    <t>FORTIGATE 1000C</t>
  </si>
  <si>
    <t>TErpasang</t>
  </si>
  <si>
    <t>10FWLD2</t>
  </si>
  <si>
    <t>4KFDR42</t>
  </si>
  <si>
    <t>CF538</t>
  </si>
  <si>
    <t>CFQV9M2</t>
  </si>
  <si>
    <t xml:space="preserve">Rack 86 - Ilham Wifi Solution </t>
  </si>
  <si>
    <t>ATN 910</t>
  </si>
  <si>
    <t>mikrotik rb 3011</t>
  </si>
  <si>
    <t>8EED0A456AFE/908</t>
  </si>
  <si>
    <t>SOCKET POWER pdu 6PORT</t>
  </si>
  <si>
    <t>pindah dari RACK 17</t>
  </si>
  <si>
    <t>J2R8J92</t>
  </si>
  <si>
    <t>HZF4X72</t>
  </si>
  <si>
    <t xml:space="preserve">Rack 86 - </t>
  </si>
  <si>
    <t>Rack 87 - TELKOM</t>
  </si>
  <si>
    <t>Modul Ciena</t>
  </si>
  <si>
    <t>NNTMRT1HO1K4</t>
  </si>
  <si>
    <t>PO.O52/24</t>
  </si>
  <si>
    <t>NNTMRT1GWXT1</t>
  </si>
  <si>
    <t xml:space="preserve"> NNTMRT1GXMDT</t>
  </si>
  <si>
    <t>NNTMRT1G95E7</t>
  </si>
  <si>
    <t>Bracket shelf/ railkit</t>
  </si>
  <si>
    <t>23/09/2025 out 26/11/25</t>
  </si>
  <si>
    <t>Waveserver AI</t>
  </si>
  <si>
    <t>M99B7033</t>
  </si>
  <si>
    <t>Waveserver 5</t>
  </si>
  <si>
    <t>M98C2883</t>
  </si>
  <si>
    <t>OTB Client 10G 48C</t>
  </si>
  <si>
    <t>Rack 88 - LINTAS NETWORK SOLUSI (LNS)</t>
  </si>
  <si>
    <t>PINDAH KE RACK 89</t>
  </si>
  <si>
    <t>Juniper MX204 HW-BASE</t>
  </si>
  <si>
    <t>HN379</t>
  </si>
  <si>
    <t>Switch ZTE ZXCTn 6120H-S</t>
  </si>
  <si>
    <t>Mikrotik RB 4011iGS</t>
  </si>
  <si>
    <t>HGR0A8FDQMT</t>
  </si>
  <si>
    <t>96WH082</t>
  </si>
  <si>
    <t>2102311LBE10J5000036</t>
  </si>
  <si>
    <t>H52M -03</t>
  </si>
  <si>
    <t>2102311JHX10GA000293</t>
  </si>
  <si>
    <t>1`</t>
  </si>
  <si>
    <t>63JGGL2</t>
  </si>
  <si>
    <t>MIKROTIK CRS 204</t>
  </si>
  <si>
    <t>HG609MPDRMD/r2</t>
  </si>
  <si>
    <t>TERPASANG ( PINDAHAN RACK 44 )</t>
  </si>
  <si>
    <t>HP Proliant DL380</t>
  </si>
  <si>
    <t>USE733DA7Y</t>
  </si>
  <si>
    <t xml:space="preserve"> Dell EMC Power Edge R630 </t>
  </si>
  <si>
    <t>JF8L7N2</t>
  </si>
  <si>
    <t>HG209Z034T8</t>
  </si>
  <si>
    <t>ARISTA 7060</t>
  </si>
  <si>
    <t>JPE20315044</t>
  </si>
  <si>
    <t>DBSGJK2</t>
  </si>
  <si>
    <t>Huawei ATN 910D-B</t>
  </si>
  <si>
    <t>98ATN009DE43A-065</t>
  </si>
  <si>
    <t>JG249</t>
  </si>
  <si>
    <t>X86</t>
  </si>
  <si>
    <t>0J3R049-00779 80-MXBK40-A1D02</t>
  </si>
  <si>
    <t>TERPASANG ( PINDAHAN RACK 89 )</t>
  </si>
  <si>
    <t>Juniper MX10003</t>
  </si>
  <si>
    <t>JN5E4A681JCB</t>
  </si>
  <si>
    <t>Rack 89 -  LINTAS NETWORK SOLUSI</t>
  </si>
  <si>
    <t>PINDAH KE RACK 88</t>
  </si>
  <si>
    <t>ZTE</t>
  </si>
  <si>
    <t>TERPASANG ( PINDAHAN RACK 88 )</t>
  </si>
  <si>
    <t>Rack 90 - DESIBLE ERADATA KOMUNIKASI, PT/Diskominfo Banten bookint</t>
  </si>
  <si>
    <t>Extreme Summit X670-G2-72X</t>
  </si>
  <si>
    <t>1530N-46064</t>
  </si>
  <si>
    <t>DELL R7625</t>
  </si>
  <si>
    <t>BQJ97G4</t>
  </si>
  <si>
    <t>Dell R7625</t>
  </si>
  <si>
    <t>BNJ97G4</t>
  </si>
  <si>
    <t>Cisco SecureFirewall 310series</t>
  </si>
  <si>
    <t>FJC29481D2Y</t>
  </si>
  <si>
    <t>Synology SA3410</t>
  </si>
  <si>
    <t>25A0X6R12EGV9</t>
  </si>
  <si>
    <t>Dell R430</t>
  </si>
  <si>
    <t>4NYM9M2</t>
  </si>
  <si>
    <t>Dell SC5020</t>
  </si>
  <si>
    <t>HRWW033</t>
  </si>
  <si>
    <t>Rack 91 - NAYANTAKA TRANSDATA</t>
  </si>
  <si>
    <t>DELL PowerEdge R730</t>
  </si>
  <si>
    <t>957B2K2</t>
  </si>
  <si>
    <t>958H2K2</t>
  </si>
  <si>
    <t>Huawei CloudEngine CE6855-48S6Q-HI</t>
  </si>
  <si>
    <t>F1319771</t>
  </si>
  <si>
    <t>Rack 92 - BERSAMA</t>
  </si>
  <si>
    <t>TERPASANG (PT. RADCOM)</t>
  </si>
  <si>
    <t>HJR0AT2C4QP</t>
  </si>
  <si>
    <t>TERPASANG( PT.BERKAT HIJAU MAKMUR )</t>
  </si>
  <si>
    <t>TERPASANG (PT CAKRA)</t>
  </si>
  <si>
    <t>server x86 rakitan</t>
  </si>
  <si>
    <t xml:space="preserve"> GOODS IN (INFO SEPTI BATAL COLO NAMUN BELUM KELUAR)</t>
  </si>
  <si>
    <t>TERPASANG (WIFI KCB)</t>
  </si>
  <si>
    <t>OUT 26/11</t>
  </si>
  <si>
    <t>Mikrotik CCR2116</t>
  </si>
  <si>
    <t>HK10AP751N9</t>
  </si>
  <si>
    <t>TERPASANG (PT ACS WINETO CIKUPA)</t>
  </si>
  <si>
    <t>3VMXGL2</t>
  </si>
  <si>
    <t>TERPASANG ( ALFA OMEGA ) PINDAH KE RACK 101</t>
  </si>
  <si>
    <t>PT FIQRAN SOLUSINDO</t>
  </si>
  <si>
    <t>OUT24/12/25</t>
  </si>
  <si>
    <t>Router x86 Rakitan</t>
  </si>
  <si>
    <t>Terpasang (PT. RYNDO)</t>
  </si>
  <si>
    <t>JF809</t>
  </si>
  <si>
    <t>TERPASANG ( NUSA JAYA PRASETYO )</t>
  </si>
  <si>
    <t>JG230</t>
  </si>
  <si>
    <t>TERPASANG ( EXA TELEKOMUNIKASI NUSANTARA )</t>
  </si>
  <si>
    <t>Mikrotik CRS 305</t>
  </si>
  <si>
    <t>HGE09PZFYW2</t>
  </si>
  <si>
    <t>TERPASANG ( PT JALA INFORMATIKA NUSANTARA )</t>
  </si>
  <si>
    <t>Rack 93 - PT.ADHELIN DATA SOLUTION (20)</t>
  </si>
  <si>
    <t>HFA09BYRAR2</t>
  </si>
  <si>
    <t>HFA099HS31Y</t>
  </si>
  <si>
    <t>HJV0AXJQ6NS</t>
  </si>
  <si>
    <t>CE-6855-48S6Q-HI</t>
  </si>
  <si>
    <t>2102350RTCDMK8001904</t>
  </si>
  <si>
    <t xml:space="preserve">Rack 94 -PT ASURANSI TAKAFUL KELUARGA </t>
  </si>
  <si>
    <t>HPE MSL 1/8 G2 0-drive Tape Autoloader</t>
  </si>
  <si>
    <t>DEC2290424</t>
  </si>
  <si>
    <t>HPE DL325 Gen10+ 12LFF CTO</t>
  </si>
  <si>
    <t>SGH236W785</t>
  </si>
  <si>
    <t>HPE SimpliVity 380 Gen10 SFF</t>
  </si>
  <si>
    <t>SGH236VYWC</t>
  </si>
  <si>
    <t>SGH236VYVG</t>
  </si>
  <si>
    <t>HPE DL380 Gen9 8SFF CTO</t>
  </si>
  <si>
    <t>SGH607WRBH</t>
  </si>
  <si>
    <t>HPE MSA 2050 SAN DC LFF</t>
  </si>
  <si>
    <t>2S6752B235</t>
  </si>
  <si>
    <t>HPE DL360 Gen9 E5-2630v4 1P 16G 8SFF</t>
  </si>
  <si>
    <t>CN781304PS</t>
  </si>
  <si>
    <t>SGH607WRBK</t>
  </si>
  <si>
    <t>Fortigate FG-121G</t>
  </si>
  <si>
    <t>FG121GTK24002409</t>
  </si>
  <si>
    <t>FG121GTK24002419</t>
  </si>
  <si>
    <t>Cisco SG200-50</t>
  </si>
  <si>
    <t>DNI220404KY</t>
  </si>
  <si>
    <t>DNI20120A21</t>
  </si>
  <si>
    <t>ARUBA HPE Switch CX-6200-24G</t>
  </si>
  <si>
    <t>CN55LLBOLD</t>
  </si>
  <si>
    <t>ARUBA HPE Switch CX-6200F-24G</t>
  </si>
  <si>
    <t>CN56LM600S</t>
  </si>
  <si>
    <t>HPE SimpliVity 380 Gen11 8SFF CTO No SVR</t>
  </si>
  <si>
    <t>SGHD3GKMDN</t>
  </si>
  <si>
    <t>SGHD3GKMDQ</t>
  </si>
  <si>
    <t>HPE DL320 Gen11 8SFF CTO Server</t>
  </si>
  <si>
    <t>SGHD3GKMFM</t>
  </si>
  <si>
    <t>HPE StoreOnce 3660 80TB Base System</t>
  </si>
  <si>
    <t xml:space="preserve">SGHD3GKMFV	</t>
  </si>
  <si>
    <t>HPE Networking Switch instant on 1960</t>
  </si>
  <si>
    <t>CN39KY41V3</t>
  </si>
  <si>
    <t>Rack 95 - PT. TEKNOLOGI AGUNG</t>
  </si>
  <si>
    <t>1020C0106258</t>
  </si>
  <si>
    <t>6R2410011918Y</t>
  </si>
  <si>
    <t>HJH0AS8TVNX</t>
  </si>
  <si>
    <t>HJH0AR43X2R</t>
  </si>
  <si>
    <t>37130H2</t>
  </si>
  <si>
    <t>B8HTPM2</t>
  </si>
  <si>
    <t>37MPG62</t>
  </si>
  <si>
    <t>HPE Proliant DL 380</t>
  </si>
  <si>
    <t>MXQ6360644</t>
  </si>
  <si>
    <t>SGH609YDMX</t>
  </si>
  <si>
    <t>SGH7315YD0</t>
  </si>
  <si>
    <t>Rack 96 GOPALNET</t>
  </si>
  <si>
    <t>SWITCH ARISTA</t>
  </si>
  <si>
    <t>JPN2447P2P2</t>
  </si>
  <si>
    <t>HPE PROLIANT DL 385 GEN 11</t>
  </si>
  <si>
    <t>3M1D2W12ZY</t>
  </si>
  <si>
    <t>3M1D2W12ZZ</t>
  </si>
  <si>
    <t>3M1D2W1300</t>
  </si>
  <si>
    <t>HPE PROLIANT DL 380 GEN 9</t>
  </si>
  <si>
    <t>CN754206WH</t>
  </si>
  <si>
    <t>SW UNMANAGE</t>
  </si>
  <si>
    <t>DRC2FF8002426</t>
  </si>
  <si>
    <t>CN754404NW</t>
  </si>
  <si>
    <t>CCR 2216</t>
  </si>
  <si>
    <t>HFA09DE2F4Q</t>
  </si>
  <si>
    <t>SWITCH DELL Sonic S5232-AC</t>
  </si>
  <si>
    <t>9PHHSR3</t>
  </si>
  <si>
    <t>PC SERVER DELL R7615-AC</t>
  </si>
  <si>
    <t>5TRVCH4</t>
  </si>
  <si>
    <t>8TRVCH4</t>
  </si>
  <si>
    <t>PC SERVER HPE PROLIANT</t>
  </si>
  <si>
    <t>6CU812C935</t>
  </si>
  <si>
    <t xml:space="preserve">Rack 97 PT. NAWAKARYA </t>
  </si>
  <si>
    <t>DL 360 G9</t>
  </si>
  <si>
    <t>MXQ55202K0</t>
  </si>
  <si>
    <t>J8Y7H21</t>
  </si>
  <si>
    <t>72JTS02</t>
  </si>
  <si>
    <t>73JTS02</t>
  </si>
  <si>
    <t>4QW4GY3</t>
  </si>
  <si>
    <t>2XPDNW1</t>
  </si>
  <si>
    <t>HPE DL 360</t>
  </si>
  <si>
    <t>SGH723YRW8</t>
  </si>
  <si>
    <t>SGH709YWXS</t>
  </si>
  <si>
    <t>SGH723YVX0</t>
  </si>
  <si>
    <t>SGH620VVNN</t>
  </si>
  <si>
    <t>DELL R540</t>
  </si>
  <si>
    <t>CFRZ8X2</t>
  </si>
  <si>
    <t>HP DL-360 Gen 9</t>
  </si>
  <si>
    <t>SGH723YRVA</t>
  </si>
  <si>
    <t>DELL R-440</t>
  </si>
  <si>
    <t>SGH709YWXT</t>
  </si>
  <si>
    <t>Rack 98 PT TERADATA BINTANG SELARAS 21U</t>
  </si>
  <si>
    <t>Huawei CE6860</t>
  </si>
  <si>
    <t>2102350SBQ10HA000071</t>
  </si>
  <si>
    <t>HZ436</t>
  </si>
  <si>
    <t>Huawei ATN910D</t>
  </si>
  <si>
    <t>GJL</t>
  </si>
  <si>
    <t>5S1YKF2</t>
  </si>
  <si>
    <t>Rack 99 PT SPEED NETWORK INDONESIA</t>
  </si>
  <si>
    <t>Switch ARISTA DCS-7060CX-32S</t>
  </si>
  <si>
    <t>JPE20272407</t>
  </si>
  <si>
    <t>BKY5S62</t>
  </si>
  <si>
    <t>HZ508</t>
  </si>
  <si>
    <t>ET2508-4S4M8</t>
  </si>
  <si>
    <t>f03555BA867</t>
  </si>
  <si>
    <t>Rack 100 PT.ANUGRAH MEDIA DATA NUSANTA (AMAN) ISP (20U)</t>
  </si>
  <si>
    <t>6CU73053HH</t>
  </si>
  <si>
    <t>Terpasang ( AMAN ISP )</t>
  </si>
  <si>
    <t>GQ768</t>
  </si>
  <si>
    <t>Switch Ruijie RG-S6250</t>
  </si>
  <si>
    <t>G1QH30U100145</t>
  </si>
  <si>
    <t>E3250EE099BA</t>
  </si>
  <si>
    <t>terpasang ( ARKANOVA )</t>
  </si>
  <si>
    <t>HJQ0ATMF1HF</t>
  </si>
  <si>
    <t>ARKN20X86</t>
  </si>
  <si>
    <t>Rack 101 RACK BERSAMA PER 8 U</t>
  </si>
  <si>
    <t>TERPASANG ( ALFA OMEGA ) PINDAH KE 101</t>
  </si>
  <si>
    <t>PC SERVER Supermicro</t>
  </si>
  <si>
    <t>HK50AHYXMRP/r3</t>
  </si>
  <si>
    <t xml:space="preserve">TERPASANG ( ALFA OMEGA ) </t>
  </si>
  <si>
    <t>Supermicro SYS-G-EXA4062_2000</t>
  </si>
  <si>
    <t>NNG00151110189</t>
  </si>
  <si>
    <t>TERPASANG ( ALFA OMEGA )</t>
  </si>
  <si>
    <t>ufipace</t>
  </si>
  <si>
    <t>we61A7VB00023</t>
  </si>
  <si>
    <t>HEA08GYWRH6</t>
  </si>
  <si>
    <t>TERPASANG (ASRI Global Investama)</t>
  </si>
  <si>
    <t>Mikrotik CCR 2116</t>
  </si>
  <si>
    <t>HGS0A13G4GM/r2</t>
  </si>
  <si>
    <t>Mikrotik CCR 1036</t>
  </si>
  <si>
    <t>HEA08KCPAY0/310/r3</t>
  </si>
  <si>
    <t>HFA094KX9DK/342/r2</t>
  </si>
  <si>
    <t>SWITCH H3C S6812-48X6C</t>
  </si>
  <si>
    <t>210235A2SQH2320C0016</t>
  </si>
  <si>
    <t>Server Dell Poweredge R450</t>
  </si>
  <si>
    <t>GLCXTY3</t>
  </si>
  <si>
    <t>Mikrotik CCR 2004 16G-2S+</t>
  </si>
  <si>
    <t xml:space="preserve">TERPASANG (PT DEVPRO TECHNOLOGY) </t>
  </si>
  <si>
    <t>Mikrotik Cloud Router Switch</t>
  </si>
  <si>
    <t>Mikrotik RB1100AHX4</t>
  </si>
  <si>
    <t xml:space="preserve">PC Server Mini 1 </t>
  </si>
  <si>
    <t>Rack 102 ARTA TELETAMA TEKNOLOGI</t>
  </si>
  <si>
    <t>Server Dell PowerEdge R740</t>
  </si>
  <si>
    <t>9QJ79R2</t>
  </si>
  <si>
    <t>6QD8BS2</t>
  </si>
  <si>
    <t>9QN19R2</t>
  </si>
  <si>
    <t>B7J39R2</t>
  </si>
  <si>
    <t>9QL29R2</t>
  </si>
  <si>
    <t>Arista DCS-7050QX-32S</t>
  </si>
  <si>
    <t>JPE15251374</t>
  </si>
  <si>
    <t>Terpasang ( dr lantai 1 )</t>
  </si>
  <si>
    <t>3Y0GKQ2</t>
  </si>
  <si>
    <t>C15BGL2</t>
  </si>
  <si>
    <t>GW37HP2</t>
  </si>
  <si>
    <t>2438H62</t>
  </si>
  <si>
    <t>CMTYCK2</t>
  </si>
  <si>
    <t>4BMNWM2</t>
  </si>
  <si>
    <t>HJ80ACM3Q6B</t>
  </si>
  <si>
    <t>HN513</t>
  </si>
  <si>
    <t>Switch Huawei CE6865-48S8CQ-EI</t>
  </si>
  <si>
    <t>2102351RFD10J9000265</t>
  </si>
  <si>
    <t>MikroTik CCR2116-12G-4S+</t>
  </si>
  <si>
    <t>HK10ASWRJ06</t>
  </si>
  <si>
    <t>26MBT92</t>
  </si>
  <si>
    <t>Terpasang ( dr rack airlink )</t>
  </si>
  <si>
    <t>9ZJ0KL2</t>
  </si>
  <si>
    <t>Rack 103 -PT ARTA TELETAMA TEKNOLOGI</t>
  </si>
  <si>
    <t>Huawei CE6810-48S4Q-LI</t>
  </si>
  <si>
    <t>2102350EWD10G400005</t>
  </si>
  <si>
    <t>H5MF973</t>
  </si>
  <si>
    <t>Huawei CE6865-48S8CQ</t>
  </si>
  <si>
    <t xml:space="preserve"> 2102351RFD10JB000312</t>
  </si>
  <si>
    <t>Cisco Nexus 3172PQ-XL</t>
  </si>
  <si>
    <t>F0C2150R0KR</t>
  </si>
  <si>
    <t>intel enlight</t>
  </si>
  <si>
    <t>FWCT80310079</t>
  </si>
  <si>
    <t>22/10/2025 out 5/11/25)</t>
  </si>
  <si>
    <t>CKLMLP2</t>
  </si>
  <si>
    <t>nexus n9k</t>
  </si>
  <si>
    <t>OUT ( 30/11/25 )</t>
  </si>
  <si>
    <t>Lenovo RD</t>
  </si>
  <si>
    <t>HJ90A8FZ1MD</t>
  </si>
  <si>
    <t>Server Dell PowerEdge R640</t>
  </si>
  <si>
    <t>HLYMCV2</t>
  </si>
  <si>
    <t>4GDC6W2</t>
  </si>
  <si>
    <t>H5QC5G3</t>
  </si>
  <si>
    <t>9QJ39R2</t>
  </si>
  <si>
    <t>9QK09R2</t>
  </si>
  <si>
    <t>9QM39R2</t>
  </si>
  <si>
    <t>NEXUS C3172PQ-XL</t>
  </si>
  <si>
    <t>FOC21504F9U</t>
  </si>
  <si>
    <t>huawei ce6855</t>
  </si>
  <si>
    <t>2102350rtb6tha000089</t>
  </si>
  <si>
    <t>OUT 20/11/25</t>
  </si>
  <si>
    <t>3F8XND2</t>
  </si>
  <si>
    <t>2102350RTB6TJ4000174</t>
  </si>
  <si>
    <t>Rack 104 - PT.  JARINGAN KELUARGA BERSAMA (JKB) #2</t>
  </si>
  <si>
    <t>R7615-AC</t>
  </si>
  <si>
    <t>F5V1YF5</t>
  </si>
  <si>
    <t>6VXCDF4</t>
  </si>
  <si>
    <t>6WXCDF4</t>
  </si>
  <si>
    <t>7VXCDF4</t>
  </si>
  <si>
    <t>9TXCDF4</t>
  </si>
  <si>
    <t>Dell Sonic S5232-AC</t>
  </si>
  <si>
    <t>26YCDF4</t>
  </si>
  <si>
    <t>Rack 105 BPR KARYA PRIMA SENTOSA 20U</t>
  </si>
  <si>
    <t>DELL 3620</t>
  </si>
  <si>
    <t>5V8GBD2</t>
  </si>
  <si>
    <t>9MQKDK2</t>
  </si>
  <si>
    <t>DELL R930</t>
  </si>
  <si>
    <t>C9RM43X</t>
  </si>
  <si>
    <t>9HWG43X</t>
  </si>
  <si>
    <t>CISCO 2900 SERIES ROUTER</t>
  </si>
  <si>
    <t>FGL1635132G</t>
  </si>
  <si>
    <t>CISCO ASA 5516-X FIREWALL</t>
  </si>
  <si>
    <t>JMX2224G1WS</t>
  </si>
  <si>
    <t>E580 -48XT4Q 10GBE SWITCH</t>
  </si>
  <si>
    <t>E22WQ198006</t>
  </si>
  <si>
    <t>Server IBM System x3250 M4</t>
  </si>
  <si>
    <t>06PYXZ0</t>
  </si>
  <si>
    <t>Rack 106 PT JUPITER JALA ARTA</t>
  </si>
  <si>
    <t>NEXUS N9K</t>
  </si>
  <si>
    <t>FDO23360CVM</t>
  </si>
  <si>
    <t>9QDQ8T2</t>
  </si>
  <si>
    <t>2WKZ8R2</t>
  </si>
  <si>
    <t>JPJFHJ2</t>
  </si>
  <si>
    <t>9RTM9M2</t>
  </si>
  <si>
    <t>OUT 1 April 2026</t>
  </si>
  <si>
    <t>9QFM8T2</t>
  </si>
  <si>
    <t>JPJBMP2</t>
  </si>
  <si>
    <t>OUT 30 Maret 2026</t>
  </si>
  <si>
    <t>9QDW8T2</t>
  </si>
  <si>
    <t>19K69R2</t>
  </si>
  <si>
    <t>23Z69R2</t>
  </si>
  <si>
    <t>CSS60T2</t>
  </si>
  <si>
    <t>CT5F0T2</t>
  </si>
  <si>
    <t>Server Inspur SA5112M5</t>
  </si>
  <si>
    <t>Rack 107 PT JUPITER JALA ARTA</t>
  </si>
  <si>
    <t>9KY60T2</t>
  </si>
  <si>
    <t>JPJF0T2</t>
  </si>
  <si>
    <t>19R29R2</t>
  </si>
  <si>
    <t>9RQS9M2</t>
  </si>
  <si>
    <t>19D59R2</t>
  </si>
  <si>
    <t>100S8X2</t>
  </si>
  <si>
    <t>CSYC0T2</t>
  </si>
  <si>
    <t>9QBW8T2</t>
  </si>
  <si>
    <t>9QGW8T2</t>
  </si>
  <si>
    <t>9QBQ8T2</t>
  </si>
  <si>
    <t>Switch Cisco Nexus N9K-C93180LC-EX</t>
  </si>
  <si>
    <t>FDO22100SV5</t>
  </si>
  <si>
    <t xml:space="preserve">FDO26160C68 </t>
  </si>
  <si>
    <t>CSPD0T2</t>
  </si>
  <si>
    <t>Rack 108 PT Superlink Supratama Lintasnusa</t>
  </si>
  <si>
    <t>CISCO NEXUS 3048TP</t>
  </si>
  <si>
    <t>CISCO NEXUS N9K-C9372PX</t>
  </si>
  <si>
    <t>DELL POWEREDGE R640</t>
  </si>
  <si>
    <t>4YXN8P2</t>
  </si>
  <si>
    <t>914CH3</t>
  </si>
  <si>
    <t>94TZCF2</t>
  </si>
  <si>
    <t>7Y6BWL2</t>
  </si>
  <si>
    <t xml:space="preserve">F758C52 </t>
  </si>
  <si>
    <t>DELL POWEREDGE R730xd</t>
  </si>
  <si>
    <t>GT95BC2</t>
  </si>
  <si>
    <t xml:space="preserve">B7LP7N2 </t>
  </si>
  <si>
    <t>1ZV1H62</t>
  </si>
  <si>
    <t>7CS2H62</t>
  </si>
  <si>
    <t>7CF1H62</t>
  </si>
  <si>
    <t>DLC3KL2</t>
  </si>
  <si>
    <t>38L3YM2</t>
  </si>
  <si>
    <t>DFT4KL2</t>
  </si>
  <si>
    <t>Rack 109</t>
  </si>
  <si>
    <t>Rack 110</t>
  </si>
  <si>
    <t>Rack 111 PT. BUSANO INTERNET KITA</t>
  </si>
  <si>
    <t>HJT0AH8NF0G</t>
  </si>
  <si>
    <t>HJT0ATJ6G49</t>
  </si>
  <si>
    <t>CRS309-1G-8S+IN</t>
  </si>
  <si>
    <t>TIHINKSERVER RD350X</t>
  </si>
  <si>
    <t>70L2000ACN P00890YN</t>
  </si>
  <si>
    <t>BITBOX E1276DP-8G-4S+</t>
  </si>
  <si>
    <t>8G4S20250408001</t>
  </si>
  <si>
    <t>Mikrotik CRS 309</t>
  </si>
  <si>
    <t>HDJ08WFZK2V/250/r2</t>
  </si>
  <si>
    <t>X86 Server 1U</t>
  </si>
  <si>
    <t>70L20000CN PC0A4DKT</t>
  </si>
  <si>
    <t>teRPASANG</t>
  </si>
  <si>
    <t>crs 326</t>
  </si>
  <si>
    <t>HKC0AHF5ZSS</t>
  </si>
  <si>
    <t>HDH08NEPAMP</t>
  </si>
  <si>
    <t>HGB09KHW7EM</t>
  </si>
  <si>
    <t>LENOVO RD 350X</t>
  </si>
  <si>
    <t>70T0006MCN</t>
  </si>
  <si>
    <t>Rack 112</t>
  </si>
  <si>
    <t>Rack 113</t>
  </si>
  <si>
    <t>Rack 114</t>
  </si>
  <si>
    <t xml:space="preserve">Rack 1 </t>
  </si>
  <si>
    <t xml:space="preserve">Rack 2 - </t>
  </si>
  <si>
    <t xml:space="preserve">Rack 3 </t>
  </si>
  <si>
    <t xml:space="preserve">Rack 4 </t>
  </si>
  <si>
    <t xml:space="preserve">Rack 5 </t>
  </si>
  <si>
    <t xml:space="preserve">Rack 6 </t>
  </si>
  <si>
    <t>Rack 7</t>
  </si>
  <si>
    <t xml:space="preserve">Rack 8 </t>
  </si>
  <si>
    <t xml:space="preserve">Rack 9 </t>
  </si>
  <si>
    <t xml:space="preserve">Rack 10 </t>
  </si>
  <si>
    <t xml:space="preserve">Rack 11  </t>
  </si>
  <si>
    <t xml:space="preserve">Rack 12 </t>
  </si>
  <si>
    <t xml:space="preserve">Rack 13 </t>
  </si>
  <si>
    <t xml:space="preserve">Rack 14 </t>
  </si>
  <si>
    <t xml:space="preserve">Rack 15 </t>
  </si>
  <si>
    <t xml:space="preserve">Rack 16 </t>
  </si>
  <si>
    <t>Rack 17</t>
  </si>
  <si>
    <t xml:space="preserve">Rack 18 </t>
  </si>
  <si>
    <t xml:space="preserve">Rack 19 </t>
  </si>
  <si>
    <t xml:space="preserve">Rack 20 </t>
  </si>
  <si>
    <t>Rack 21</t>
  </si>
  <si>
    <t xml:space="preserve">Rack 22 </t>
  </si>
  <si>
    <t xml:space="preserve">Rack 23 </t>
  </si>
  <si>
    <t xml:space="preserve">Rack 24  </t>
  </si>
  <si>
    <t>CONTAINMENT 2 HALL B</t>
  </si>
  <si>
    <t xml:space="preserve">Rack 25 </t>
  </si>
  <si>
    <t xml:space="preserve">Rack 26 - </t>
  </si>
  <si>
    <t xml:space="preserve">Rack 27 - </t>
  </si>
  <si>
    <t xml:space="preserve">Rack 28 </t>
  </si>
  <si>
    <t xml:space="preserve">Rack 29 </t>
  </si>
  <si>
    <t xml:space="preserve">Rack 30 </t>
  </si>
  <si>
    <t xml:space="preserve"> Rack 31 </t>
  </si>
  <si>
    <t xml:space="preserve">Rack 32- </t>
  </si>
  <si>
    <t xml:space="preserve">Rack 33 </t>
  </si>
  <si>
    <t>Rack 34</t>
  </si>
  <si>
    <t>Rack 35</t>
  </si>
  <si>
    <t>Rack 36</t>
  </si>
  <si>
    <t>Rack 37</t>
  </si>
  <si>
    <t>Rack 38</t>
  </si>
  <si>
    <t>Rack 39</t>
  </si>
  <si>
    <t>Rack 40</t>
  </si>
  <si>
    <t>Rack 42</t>
  </si>
  <si>
    <t>Rack 43 PT MEDIA CEPAT INDONESIA ( RAPID NET )</t>
  </si>
  <si>
    <t>Huawei 1288H V5</t>
  </si>
  <si>
    <t>PDU C13 24PORT</t>
  </si>
  <si>
    <t>Rack 44 PT MEDIA CEPAT INDONESIA</t>
  </si>
  <si>
    <t>Rack 45 PT MEDIA CEPAT INDONESIA ( RAPID NET )</t>
  </si>
  <si>
    <t xml:space="preserve">Inspur_SA5112M5 </t>
  </si>
  <si>
    <t>Rack 46 PT MEDIA CEPAT INDONESIA ( RAPID NET )</t>
  </si>
  <si>
    <t>Inspur SA5212M5</t>
  </si>
  <si>
    <t>XFUSION 1288H V6</t>
  </si>
  <si>
    <t>Rack 47 PT MEDIA CEPAT INDONESIA ( RAPID NET )</t>
  </si>
  <si>
    <t xml:space="preserve">Arista DCS-7280CR3K-32D4-F </t>
  </si>
  <si>
    <t>Cisco Catalyst WS-C3560E-48TD-S</t>
  </si>
  <si>
    <t>H3C S5500-52C-EI</t>
  </si>
  <si>
    <t>H3C S6850-56HF-H3</t>
  </si>
  <si>
    <t>Huawei CE6810-48S4Q-EI</t>
  </si>
  <si>
    <t>Huawei CE6865E-48S8CQ</t>
  </si>
  <si>
    <t>Rack 48 - PT MEDIA CEPAT INDONESIA ( RAPID NET )</t>
  </si>
  <si>
    <t>Inspur_SA5112M5</t>
  </si>
  <si>
    <t xml:space="preserve">Arista_DCS-7280CR3K-32D4-F </t>
  </si>
  <si>
    <t>H3C_S6850-56HF-H3</t>
  </si>
  <si>
    <t xml:space="preserve">cns4B92 </t>
  </si>
  <si>
    <t>OPEN RACK 6</t>
  </si>
  <si>
    <t>ISCOM S5600</t>
  </si>
  <si>
    <t>CISCO C3560</t>
  </si>
  <si>
    <t>TELINDO - dari rack 3</t>
  </si>
  <si>
    <t>ALCATEL OS6860E</t>
  </si>
  <si>
    <t>QUINSIS - Dari rack 6</t>
  </si>
  <si>
    <t>Rujie RG-S6220</t>
  </si>
  <si>
    <t>PINDAH KE P2 28/11/23</t>
  </si>
  <si>
    <t>OTB 288</t>
  </si>
  <si>
    <t>HSP SEMENTARA (BUAT KE APJII) SUDAH KELUAR</t>
  </si>
  <si>
    <t>Dell S4048-ON</t>
  </si>
  <si>
    <t>LTN PINDAH KE QUINSISS</t>
  </si>
  <si>
    <t>Huawei CE 6855</t>
  </si>
  <si>
    <t>2102350RTB6THC0004115</t>
  </si>
  <si>
    <t>LTN</t>
  </si>
  <si>
    <t>OPEN RACK 7</t>
  </si>
  <si>
    <t>CISCO 4948</t>
  </si>
  <si>
    <t>Telindo dari rack 3</t>
  </si>
  <si>
    <t>Cisco Nexus 9200</t>
  </si>
  <si>
    <t>HSP -pindah ke OR8</t>
  </si>
  <si>
    <t>Switch BDCOM S2928EF (power AC)</t>
  </si>
  <si>
    <t>icon</t>
  </si>
  <si>
    <t>CRS310-1G-5S-4S+</t>
  </si>
  <si>
    <t>HE108YF60RS</t>
  </si>
  <si>
    <t>RELABS</t>
  </si>
  <si>
    <t>CSS326-24G-2S+</t>
  </si>
  <si>
    <t>DA720D085E55/048/r2</t>
  </si>
  <si>
    <t>BINTANG INDO TEK</t>
  </si>
  <si>
    <t>10/04/2023 out</t>
  </si>
  <si>
    <t>SWITCH HUAWEI ATN910D</t>
  </si>
  <si>
    <t>2102353KMX10N1100366</t>
  </si>
  <si>
    <t>L2SW 10G FH S5800-28F-S AC</t>
  </si>
  <si>
    <t>NYUJWK400073</t>
  </si>
  <si>
    <t>SISINDOKOM</t>
  </si>
  <si>
    <t>INDOTEL (PINDAH KE RACK49 LT9)</t>
  </si>
  <si>
    <t>OPEN RACK 8</t>
  </si>
  <si>
    <t>HUAWEI S6720</t>
  </si>
  <si>
    <t>4803CX9P8Y2N5XP</t>
  </si>
  <si>
    <t>dari OR7</t>
  </si>
  <si>
    <t>CRS 326 24S+ 2Q+</t>
  </si>
  <si>
    <t>HCC084RVHNT/213/r2</t>
  </si>
  <si>
    <t>AULIA SENTRAL MULTIDATA, PT (OUT 17/3/2024)</t>
  </si>
  <si>
    <t>OUT 11/10/2023</t>
  </si>
  <si>
    <t>19/05/2023 (INTELMEDIA)</t>
  </si>
  <si>
    <t>HUAWEI NETENGINE M8000</t>
  </si>
  <si>
    <t>HEZ091XVVJ7</t>
  </si>
  <si>
    <t>AULIA SENTRAL MULTIDATA</t>
  </si>
  <si>
    <t>CCR2004-16-2S</t>
  </si>
  <si>
    <t>HH30A7Z3TF7/r3</t>
  </si>
  <si>
    <t>OPEN RACK 9</t>
  </si>
  <si>
    <t>OPEN RACK 10</t>
  </si>
  <si>
    <t>AY10NT71X898CA4</t>
  </si>
  <si>
    <t>RECTIFIER HUAWEI R4830G</t>
  </si>
  <si>
    <t>22/03/2022 (Out)</t>
  </si>
  <si>
    <t>dari rak rst</t>
  </si>
  <si>
    <t>D8500D45EDA8/104/r2</t>
  </si>
  <si>
    <t>01/02/2023 (out)</t>
  </si>
  <si>
    <t>14/06/2023 (out)</t>
  </si>
  <si>
    <t>HUAWEi S6720</t>
  </si>
  <si>
    <t>Hsp (pindah ke rack 57 lt9)</t>
  </si>
  <si>
    <t>dari rak 23 p1 (PINDAH KE RACK 49 INDOTEL P2)</t>
  </si>
  <si>
    <t>OPEN RACK 11</t>
  </si>
  <si>
    <t>E3200D175326</t>
  </si>
  <si>
    <t xml:space="preserve"> Traharja </t>
  </si>
  <si>
    <t>AMEERA Pindah ke rack 39</t>
  </si>
  <si>
    <t>MIKROTIK CCR 1036-8g-2s</t>
  </si>
  <si>
    <t>HDB08FFXJ92/244/R3</t>
  </si>
  <si>
    <t>Twins</t>
  </si>
  <si>
    <t xml:space="preserve">PT MULTI KARYA ATHIRA </t>
  </si>
  <si>
    <t>Mikrotik RB 1100AH4x</t>
  </si>
  <si>
    <t>7932072E26B1</t>
  </si>
  <si>
    <t>PT Karunia Sinergi (out)</t>
  </si>
  <si>
    <t>Mikrotik CCR 1009-7G-1C-</t>
  </si>
  <si>
    <t>HD708DDN6GG</t>
  </si>
  <si>
    <t>PT Karunia Sinergi</t>
  </si>
  <si>
    <t xml:space="preserve">MIKROTIK 4011 </t>
  </si>
  <si>
    <t>HDH08V71XMH/251/R2</t>
  </si>
  <si>
    <t xml:space="preserve"> PT. BAROKAH ABADI SUKSES TEKNOLOGI </t>
  </si>
  <si>
    <t>GOOD OUT 23/04/2024</t>
  </si>
  <si>
    <t>crs326-24s+2q+rm</t>
  </si>
  <si>
    <t>hcc0882pmk2/213/r2</t>
  </si>
  <si>
    <t>Router 3011</t>
  </si>
  <si>
    <t>internet rakyat</t>
  </si>
  <si>
    <t>08/07/2023 out 24/12/2024</t>
  </si>
  <si>
    <t>HE608HSAFKF/306/r3</t>
  </si>
  <si>
    <t>PT.AGUNG</t>
  </si>
  <si>
    <t>PT.JENIUS LINTAS NUSANTARA</t>
  </si>
  <si>
    <t>04/08/2023 (PINDAH KE RACK 39)</t>
  </si>
  <si>
    <t>CRS317</t>
  </si>
  <si>
    <t>HF0092W6W6N</t>
  </si>
  <si>
    <t>OUT 28/3/2024</t>
  </si>
  <si>
    <t>HE808KVTDVV</t>
  </si>
  <si>
    <t>PT.ZAMBILIS</t>
  </si>
  <si>
    <t>OUT DI TUKER PERANGKAT NYA</t>
  </si>
  <si>
    <t>HEH08J0ETTT/317</t>
  </si>
  <si>
    <t>PT. BAROKAH ABADI SUKSES TEKNOLOGI</t>
  </si>
  <si>
    <t xml:space="preserve"> GOOD OUT (23/04/2024)</t>
  </si>
  <si>
    <t>E3210F255699/147/r2</t>
  </si>
  <si>
    <t>PT. FIXY SINERGI NUSANTARA</t>
  </si>
  <si>
    <t>13/01/2024 (OUT 26/3/24)</t>
  </si>
  <si>
    <t>HEQ094Y4MVG</t>
  </si>
  <si>
    <t>27/03/2024 ( terminate )</t>
  </si>
  <si>
    <t>HG209RMR9N2/r2</t>
  </si>
  <si>
    <t>CCR2004-1U</t>
  </si>
  <si>
    <t>HEW094BK53G/328</t>
  </si>
  <si>
    <t>PT. Chiabinet Jaringan Multimedia</t>
  </si>
  <si>
    <t>30/05/2024 (out 6/7/25)</t>
  </si>
  <si>
    <t>HEP08575QXG</t>
  </si>
  <si>
    <t>ZAMBILIS</t>
  </si>
  <si>
    <t>HCC08E092DH</t>
  </si>
  <si>
    <t>PT ARTATEL</t>
  </si>
  <si>
    <t>Nama</t>
  </si>
  <si>
    <t>Jumlah</t>
  </si>
  <si>
    <t>Harga</t>
  </si>
  <si>
    <t>Pengharum Ruangan</t>
  </si>
  <si>
    <t>Mesin Pengharum Ruangan</t>
  </si>
  <si>
    <t>Kemoceng</t>
  </si>
  <si>
    <t>Alat pembersih Kaca</t>
  </si>
  <si>
    <t>Cairan Pembersih Kaca</t>
  </si>
  <si>
    <t>Kain lap Mikrofiber</t>
  </si>
  <si>
    <t>Gantungan Kunci</t>
  </si>
  <si>
    <t>Set Obeng Kecil</t>
  </si>
  <si>
    <t>Obeng besar</t>
  </si>
  <si>
    <t>Kain Lap Kanebo</t>
  </si>
  <si>
    <t>Tempat Sampah</t>
  </si>
  <si>
    <t>Plastik Sampah</t>
  </si>
  <si>
    <t>Velcro</t>
  </si>
  <si>
    <t>RACK</t>
  </si>
  <si>
    <t>A</t>
  </si>
  <si>
    <t>B</t>
  </si>
  <si>
    <t>RADNET</t>
  </si>
  <si>
    <t>MARVATEL</t>
  </si>
  <si>
    <t>DUA POWER</t>
  </si>
  <si>
    <t>Nomor Rack</t>
  </si>
  <si>
    <t>Power</t>
  </si>
  <si>
    <t>Client</t>
  </si>
  <si>
    <t>Power A</t>
  </si>
  <si>
    <t>PT GOLDEN</t>
  </si>
  <si>
    <t>Power B</t>
  </si>
  <si>
    <t>PT MY ARSYILA</t>
  </si>
  <si>
    <t>PT TELINDO</t>
  </si>
  <si>
    <t>PT QUINSIS</t>
  </si>
  <si>
    <t>PT SMART TEKNO</t>
  </si>
  <si>
    <t>PT GEMILANG</t>
  </si>
  <si>
    <t>PT KHALISTA</t>
  </si>
  <si>
    <t>VISSIE</t>
  </si>
  <si>
    <t xml:space="preserve">ANGKASA </t>
  </si>
  <si>
    <t>GLOBAL SARANA</t>
  </si>
  <si>
    <t>RIYAD NETWORK</t>
  </si>
  <si>
    <t>SSR DIGITAL</t>
  </si>
  <si>
    <t>SUMBER UTAMA</t>
  </si>
  <si>
    <t>JARING LAWAH</t>
  </si>
  <si>
    <t>PT RTIGA</t>
  </si>
  <si>
    <t>PT JKB</t>
  </si>
  <si>
    <t>PT JDP</t>
  </si>
  <si>
    <t>PT DMT</t>
  </si>
  <si>
    <t>SARANA MEDIA</t>
  </si>
  <si>
    <t>PT SOLUSI INDO</t>
  </si>
  <si>
    <t>PT DBN</t>
  </si>
  <si>
    <t>PT GIGA DIGITAL</t>
  </si>
  <si>
    <t>PT CIRCLECOM</t>
  </si>
  <si>
    <t>PT LNS</t>
  </si>
  <si>
    <t>PT JME</t>
  </si>
  <si>
    <t>PT BMKV</t>
  </si>
  <si>
    <t>PT JLA</t>
  </si>
  <si>
    <t>PT HELIUM</t>
  </si>
  <si>
    <t>PT CTN</t>
  </si>
  <si>
    <t>PT GMT</t>
  </si>
  <si>
    <t>INTERNET MADJU</t>
  </si>
  <si>
    <t>PT PASCAL SOLUSI</t>
  </si>
  <si>
    <t>OPEN RACK 1</t>
  </si>
  <si>
    <t xml:space="preserve">CLOSE RACK </t>
  </si>
  <si>
    <t>OTB 288 C</t>
  </si>
  <si>
    <t>OPEN RACK 2</t>
  </si>
  <si>
    <t>OTB 48 C</t>
  </si>
  <si>
    <t>OT B 48 C</t>
  </si>
  <si>
    <t>OPEN RACK 3</t>
  </si>
  <si>
    <t>OTB 288 CORE</t>
  </si>
  <si>
    <t>OTB 48 CORE</t>
  </si>
  <si>
    <t>288 CORE</t>
  </si>
  <si>
    <t>OPEN RACK 4</t>
  </si>
  <si>
    <t>OPEN RACK 5</t>
  </si>
  <si>
    <t>DATA KHUSUS PENGUNJUNG KKP</t>
  </si>
  <si>
    <t xml:space="preserve">NAMA </t>
  </si>
  <si>
    <t>KEPERLUAN</t>
  </si>
  <si>
    <t>TIME IN</t>
  </si>
  <si>
    <t>TIME OUT</t>
  </si>
  <si>
    <t>PARAF</t>
  </si>
  <si>
    <t>KARTU AKSES</t>
  </si>
  <si>
    <t>BARANG + MODEL</t>
  </si>
  <si>
    <t>SPEK</t>
  </si>
  <si>
    <t>TANGGAL DROP</t>
  </si>
  <si>
    <t>DI DROP OLEH</t>
  </si>
  <si>
    <t>TANGGAL TERPAKAI</t>
  </si>
  <si>
    <t>DI INSTALL OLEH</t>
  </si>
  <si>
    <t>QSFP 40G SR HUAWEI</t>
  </si>
  <si>
    <t>0.15KM-MM 850NM</t>
  </si>
  <si>
    <t>M5786B00244</t>
  </si>
  <si>
    <t>RINTO</t>
  </si>
  <si>
    <t>R3385009976</t>
  </si>
  <si>
    <t>BP202600091582</t>
  </si>
  <si>
    <t>ADIN</t>
  </si>
  <si>
    <t>RACK 26 MX480&lt;&gt;S6720</t>
  </si>
  <si>
    <t>JAUHARI</t>
  </si>
  <si>
    <t>BP202600091333</t>
  </si>
  <si>
    <t>S17A9A09249</t>
  </si>
  <si>
    <t>M579CB00252</t>
  </si>
  <si>
    <t>BP203500930475</t>
  </si>
  <si>
    <t>S17A9A09284</t>
  </si>
  <si>
    <t>SFP 10G 10KM ZTE</t>
  </si>
  <si>
    <t>SM-1310 DUPLEX</t>
  </si>
  <si>
    <t>H2277J03794</t>
  </si>
  <si>
    <t>PK4D150878</t>
  </si>
  <si>
    <t>xcon MIT&lt;&gt;HSP</t>
  </si>
  <si>
    <t>rian</t>
  </si>
  <si>
    <t>H2277J01948</t>
  </si>
  <si>
    <t>Apjii Rack A Cage D</t>
  </si>
  <si>
    <t>Adin</t>
  </si>
  <si>
    <t>H2277J04738</t>
  </si>
  <si>
    <t>xcon capung 3d</t>
  </si>
  <si>
    <t>EB164700141860</t>
  </si>
  <si>
    <t>xcon media sarana data</t>
  </si>
  <si>
    <t>kahfi</t>
  </si>
  <si>
    <t>UA48B002796</t>
  </si>
  <si>
    <t>EB165100051269</t>
  </si>
  <si>
    <t>Replace sfp jetnet di huawei rack 8 p1</t>
  </si>
  <si>
    <t>SFP 10G 10KM</t>
  </si>
  <si>
    <t>XT-097090140</t>
  </si>
  <si>
    <t>xcon NTT&lt;&gt;Hsp&lt;&gt;Sanders</t>
  </si>
  <si>
    <t>6C8190710006</t>
  </si>
  <si>
    <t>di mmr3 3D hsp #46</t>
  </si>
  <si>
    <t>MB20200361227</t>
  </si>
  <si>
    <t>di mmr3 3d hsp #43</t>
  </si>
  <si>
    <t>SFP 10G 1.4KM HUAWEI</t>
  </si>
  <si>
    <t>XCON MASTERSTAR mmr3 3d hsp #42</t>
  </si>
  <si>
    <t>di mmr3 3d hsp #41</t>
  </si>
  <si>
    <t>GB18035410004</t>
  </si>
  <si>
    <t>xcon hsp&lt;&gt;siapnet</t>
  </si>
  <si>
    <t>MA18035930213</t>
  </si>
  <si>
    <t>HSPIX 3 rack 24</t>
  </si>
  <si>
    <t>xcon HSP&lt;&gt;GIGA NET</t>
  </si>
  <si>
    <t>GB18035920187</t>
  </si>
  <si>
    <t>xcon IPT&lt;&gt;Rack 27</t>
  </si>
  <si>
    <t>EA185100050098</t>
  </si>
  <si>
    <t>xcon Global&lt;&gt;Metro&lt;&gt;Hsp</t>
  </si>
  <si>
    <t>adin</t>
  </si>
  <si>
    <t>EA185100050086</t>
  </si>
  <si>
    <t>xcon Metro&lt;&gt;Rack 27</t>
  </si>
  <si>
    <t>GB18035410005</t>
  </si>
  <si>
    <t>PATHCORD MPO 2M</t>
  </si>
  <si>
    <t>BP203500930344</t>
  </si>
  <si>
    <t>s6720 rack26</t>
  </si>
  <si>
    <t>BP202600091326</t>
  </si>
  <si>
    <t>s6730 rack26</t>
  </si>
  <si>
    <t>s6730-s6720</t>
  </si>
  <si>
    <t>QSFP 100G HUAWEI</t>
  </si>
  <si>
    <t>1310NM - 10KM</t>
  </si>
  <si>
    <t>L3J2000307</t>
  </si>
  <si>
    <t>033RRY10M6102541</t>
  </si>
  <si>
    <t>033RRY10M6106763</t>
  </si>
  <si>
    <t>IAL2000733</t>
  </si>
  <si>
    <t>QSFP 100G ZTE</t>
  </si>
  <si>
    <t>SM-10KM</t>
  </si>
  <si>
    <t>QLBT290493</t>
  </si>
  <si>
    <t>QFX 64 SP119 3D</t>
  </si>
  <si>
    <t>QLBT291168</t>
  </si>
  <si>
    <t>QFX 64C/S6720 R24</t>
  </si>
  <si>
    <t>Rian</t>
  </si>
  <si>
    <t>SFP 1,25G  HUAWEI</t>
  </si>
  <si>
    <t>1310NM -10KM</t>
  </si>
  <si>
    <t>xcon HSP&lt;&gt;Relabs Net</t>
  </si>
  <si>
    <t>Kurnia</t>
  </si>
  <si>
    <t>QSFP 100G SR</t>
  </si>
  <si>
    <t>1310nm-10KM</t>
  </si>
  <si>
    <t>033UYJ10LB003396</t>
  </si>
  <si>
    <t>033XTW10LB003206</t>
  </si>
  <si>
    <t>MA19030191426</t>
  </si>
  <si>
    <t>s6720 Rack 8</t>
  </si>
  <si>
    <t>003RRY10M6104935</t>
  </si>
  <si>
    <t>RACK 24</t>
  </si>
  <si>
    <t>ADIN &amp; PAK HENDRA</t>
  </si>
  <si>
    <t>003RRY10M6104832</t>
  </si>
  <si>
    <t>U57BBK</t>
  </si>
  <si>
    <t>003LVR10L2000383</t>
  </si>
  <si>
    <t>URFB4001707</t>
  </si>
  <si>
    <t>SEI 92T908200069</t>
  </si>
  <si>
    <t>SEI 8ZT908200093</t>
  </si>
  <si>
    <t>SEI 91T908200827</t>
  </si>
  <si>
    <t>SEI 8ZT908200099</t>
  </si>
  <si>
    <t>033TWE10L9001545</t>
  </si>
  <si>
    <t>QL8T290891</t>
  </si>
  <si>
    <t>QL8T290498</t>
  </si>
  <si>
    <t>QL8T290844</t>
  </si>
  <si>
    <t>QSFP 100G INNO LIGHT</t>
  </si>
  <si>
    <t>1310nm</t>
  </si>
  <si>
    <t>INKBT7200123</t>
  </si>
  <si>
    <t>INKBN7010516</t>
  </si>
  <si>
    <t>QSFP 100G JUNIPER</t>
  </si>
  <si>
    <t>1G3CQAA6250XH</t>
  </si>
  <si>
    <t>1DJQA30406T</t>
  </si>
  <si>
    <t>SM-10KM-1310NM</t>
  </si>
  <si>
    <t>PL5R282661</t>
  </si>
  <si>
    <t>XCON SANDERS</t>
  </si>
  <si>
    <t>PL5R282662</t>
  </si>
  <si>
    <t>REPLACE SFP DANOS INTELMEDIA RACK 9</t>
  </si>
  <si>
    <t>KAHFI</t>
  </si>
  <si>
    <t>PL5R282663</t>
  </si>
  <si>
    <t>PL5R282664</t>
  </si>
  <si>
    <t>PL5R282665</t>
  </si>
  <si>
    <t>XCON Kingpolah Meteor</t>
  </si>
  <si>
    <t>Jauharuddien</t>
  </si>
  <si>
    <t>PL5R282666</t>
  </si>
  <si>
    <t>PL5R282667</t>
  </si>
  <si>
    <t>PL5R282668</t>
  </si>
  <si>
    <t xml:space="preserve">Xcon Giga Yasmin </t>
  </si>
  <si>
    <t>PL5R282669</t>
  </si>
  <si>
    <t>OIXP APJII KS</t>
  </si>
  <si>
    <t>PL5R282670</t>
  </si>
  <si>
    <t>MMR 3D</t>
  </si>
  <si>
    <t>PATHCORD LC-CL 10M</t>
  </si>
  <si>
    <t>10M</t>
  </si>
  <si>
    <t>XCON GSE CBN</t>
  </si>
  <si>
    <t>XCON Kingpolah</t>
  </si>
  <si>
    <t>XCON Pascal</t>
  </si>
  <si>
    <t>PATHCORD LC-CL 15M</t>
  </si>
  <si>
    <t>15M</t>
  </si>
  <si>
    <t>XCON R26 R8</t>
  </si>
  <si>
    <t>QSFP</t>
  </si>
  <si>
    <t>100G-10KM</t>
  </si>
  <si>
    <t>033TXW10LA001567</t>
  </si>
  <si>
    <t>QFX 64C R24 #33</t>
  </si>
  <si>
    <t>033RRY10M6106806</t>
  </si>
  <si>
    <t>HUAWEI S6720 R8 #1</t>
  </si>
  <si>
    <t>MA18501510472</t>
  </si>
  <si>
    <t>HUSWEI MPLS ALCEN PORT1</t>
  </si>
  <si>
    <t xml:space="preserve">SFP 10G 1,4 KM HUAWEI </t>
  </si>
  <si>
    <t>EB202700191927</t>
  </si>
  <si>
    <t>EROR UP DOWN</t>
  </si>
  <si>
    <t>1310NM -1,4KM</t>
  </si>
  <si>
    <t>MA19230512130</t>
  </si>
  <si>
    <t>EB182000090221</t>
  </si>
  <si>
    <t>MA19250200536</t>
  </si>
  <si>
    <t>MA19241140538</t>
  </si>
  <si>
    <t>HSP-Kitanet</t>
  </si>
  <si>
    <t xml:space="preserve">SFP 10G 10 KM HUAWEI </t>
  </si>
  <si>
    <t>MA20473190415</t>
  </si>
  <si>
    <t>DARI GUDANG</t>
  </si>
  <si>
    <t>MA19320050441</t>
  </si>
  <si>
    <t>HSP-789 NET</t>
  </si>
  <si>
    <t>Kahfi</t>
  </si>
  <si>
    <t>EM201900031705</t>
  </si>
  <si>
    <t>MA20201071161</t>
  </si>
  <si>
    <t>MB20201051647</t>
  </si>
  <si>
    <t>UAMC3J0184H</t>
  </si>
  <si>
    <t>SFP 10G 10 KM HUAWEI BIDI</t>
  </si>
  <si>
    <t>P17C5009480</t>
  </si>
  <si>
    <t>JUNAIDI</t>
  </si>
  <si>
    <t>XCON HSP&lt;&gt;DMT</t>
  </si>
  <si>
    <t>HM213600282003</t>
  </si>
  <si>
    <t>SFP 10G 40 KM HUAWEI BIDI</t>
  </si>
  <si>
    <t>TX1330/RX1270NM 40KM</t>
  </si>
  <si>
    <t>S99B8000390</t>
  </si>
  <si>
    <t>TX1330/RX1270NM 10KM</t>
  </si>
  <si>
    <t>P17C5009255</t>
  </si>
  <si>
    <t>1270TX/1330RX 10KM</t>
  </si>
  <si>
    <t xml:space="preserve">HM213600282001  </t>
  </si>
  <si>
    <t>MA20442641285</t>
  </si>
  <si>
    <t>MA20442850709</t>
  </si>
  <si>
    <t>interkoneksi HSP&lt;&gt;LAXO di APJII H2</t>
  </si>
  <si>
    <t>MA20442851251</t>
  </si>
  <si>
    <t>EB181700092864</t>
  </si>
  <si>
    <t>EM200200013312</t>
  </si>
  <si>
    <t>EXISTING HUAWEI H2 APJII</t>
  </si>
  <si>
    <t>Dijual ke Jetnet</t>
  </si>
  <si>
    <t>SFP 1,25G 10 KM HUAWEI BIDI</t>
  </si>
  <si>
    <t>1310 TX - 10 KM</t>
  </si>
  <si>
    <t>QTA220429008</t>
  </si>
  <si>
    <t>DISMENTAL HUAWEI ALCEN</t>
  </si>
  <si>
    <t>MA20031201112</t>
  </si>
  <si>
    <t>12 Okto 2022</t>
  </si>
  <si>
    <t>Huawei 3D MMR3</t>
  </si>
  <si>
    <t>L017B000952</t>
  </si>
  <si>
    <t>Dismental huawei MMR3 3D</t>
  </si>
  <si>
    <t>QSFP 100G 10KM HUAWEI</t>
  </si>
  <si>
    <t>033LVR10L2000356</t>
  </si>
  <si>
    <t xml:space="preserve">HUAWEI APJI KS TO QFX RACK 26 </t>
  </si>
  <si>
    <t>033GDA10LC000139</t>
  </si>
  <si>
    <t>HUAWEI APJI KS TO QFX RACK 27</t>
  </si>
  <si>
    <t>IAL2000729</t>
  </si>
  <si>
    <t>HUAWEI APJI KS TO QFX RACK 28</t>
  </si>
  <si>
    <t>K3S2001163</t>
  </si>
  <si>
    <t>HUAWEI APJI KS TO QFX RACK 29</t>
  </si>
  <si>
    <t>SFP 10G 10KM RTXM228-401</t>
  </si>
  <si>
    <t>1310NM-10KM</t>
  </si>
  <si>
    <t>EC215200201582</t>
  </si>
  <si>
    <t xml:space="preserve">ADIN </t>
  </si>
  <si>
    <t>EC215200201583</t>
  </si>
  <si>
    <t>EC215200201584</t>
  </si>
  <si>
    <t>EC215200201585</t>
  </si>
  <si>
    <t>EC212105012411</t>
  </si>
  <si>
    <t>3D</t>
  </si>
  <si>
    <t>EC212105012415</t>
  </si>
  <si>
    <t>EC212105012417</t>
  </si>
  <si>
    <t>EC212105012419</t>
  </si>
  <si>
    <t>EC192203312253</t>
  </si>
  <si>
    <t>EC190200510118</t>
  </si>
  <si>
    <t xml:space="preserve">PATHCORD LC-LC </t>
  </si>
  <si>
    <t>5 M</t>
  </si>
  <si>
    <t>2 M</t>
  </si>
  <si>
    <t>SFP 10G 10 KM Finisar</t>
  </si>
  <si>
    <t>1310NM</t>
  </si>
  <si>
    <t>N3GC4U</t>
  </si>
  <si>
    <t>Dijual ke Traharja</t>
  </si>
  <si>
    <t>Nama Client</t>
  </si>
  <si>
    <t>Email</t>
  </si>
  <si>
    <t>Status</t>
  </si>
  <si>
    <t>Kirim RCA</t>
  </si>
  <si>
    <t>PT. PARSAORAN GLOBAL DATATRANS</t>
  </si>
  <si>
    <t>system@ticketsystem.my.id</t>
  </si>
  <si>
    <t>Sudah</t>
  </si>
  <si>
    <t>user_global_datatrans@vims.my.id</t>
  </si>
  <si>
    <t>PT. SMART TEKNOLOGI UTAMA</t>
  </si>
  <si>
    <t>telindo@vims.my.id</t>
  </si>
  <si>
    <t>daya.gagas2020@gmail.com</t>
  </si>
  <si>
    <t>Done</t>
  </si>
  <si>
    <t>gemilang@test.com</t>
  </si>
  <si>
    <t>PT. TELINDO NUSANTARA</t>
  </si>
  <si>
    <t>noc@telindo.id</t>
  </si>
  <si>
    <t>NOT Found anddres</t>
  </si>
  <si>
    <t>telindo1@telindo.net.id</t>
  </si>
  <si>
    <t>PT. GOLDEN NETWORK NUSANTARA</t>
  </si>
  <si>
    <t>noc@golden.id</t>
  </si>
  <si>
    <t>Error</t>
  </si>
  <si>
    <t>PT. MYARSYILA INDONESIA INTERKONEKSI</t>
  </si>
  <si>
    <t>admin@myarsyilaindonesia.co.id</t>
  </si>
  <si>
    <t>PT. QUINSIS LINTAS MITRA</t>
  </si>
  <si>
    <t>farhan@quinsis.co.id</t>
  </si>
  <si>
    <t>PT.SARANAINDO MITRA BERSAMA</t>
  </si>
  <si>
    <t>dika.f@internal.saranaindo.com</t>
  </si>
  <si>
    <t>PT. DIAZA LINTAS DATA</t>
  </si>
  <si>
    <t>noc@diaza.id</t>
  </si>
  <si>
    <t>PT. INDOSOFT DIGITAL ENIGMA</t>
  </si>
  <si>
    <t>operations@idenigma.co.id</t>
  </si>
  <si>
    <t>PT. RADNET DIGITAL INDONESIA</t>
  </si>
  <si>
    <t>mantus@rad.net.id</t>
  </si>
  <si>
    <t>PT. KARUNIA SINERGI</t>
  </si>
  <si>
    <t>daniel@ksinergi.co.id</t>
  </si>
  <si>
    <t>PT. KINGPOLAH NETWORK SOLUTIONS</t>
  </si>
  <si>
    <t>noc@kingpolahnetwork.co.id</t>
  </si>
  <si>
    <t>PT ALTECH SISTEM INDONESIA</t>
  </si>
  <si>
    <t>cvkhalistagroup@gmail.com</t>
  </si>
  <si>
    <t>noc@myarsyilaindonesia.co.id</t>
  </si>
  <si>
    <t>hariri.noc@miix.net.id</t>
  </si>
  <si>
    <t>dhimas.noc@miix.net.id</t>
  </si>
  <si>
    <t>raihan.noc@miix.net.id</t>
  </si>
  <si>
    <t>aldika.noc@miix.net.id</t>
  </si>
  <si>
    <t>PT. MITRACOM SOLUSI TEKNOLOGI</t>
  </si>
  <si>
    <t>sultan@mitracom.id</t>
  </si>
  <si>
    <t>PT. VISSIE CYBER DATA</t>
  </si>
  <si>
    <t>arifvissie@gmail.com</t>
  </si>
  <si>
    <t>PT.ANGKASA PURA SUPORT</t>
  </si>
  <si>
    <t>denny.djaman@apsupports.com</t>
  </si>
  <si>
    <t>PT. GLOBAL SARANA ELEKTRONIKA</t>
  </si>
  <si>
    <t>admin@g-fiber.co.id</t>
  </si>
  <si>
    <t>PT. SSR DIGITAL INFORMATIKA</t>
  </si>
  <si>
    <t>sutadi@ssrdi.co.id</t>
  </si>
  <si>
    <t>noc@rtiga.net.id</t>
  </si>
  <si>
    <t>PT. MITRA MEDIA DATA</t>
  </si>
  <si>
    <t>firman.riyadhi@mmd.net.id</t>
  </si>
  <si>
    <t>PT. JARINGAN KELUARGA BERSAMA</t>
  </si>
  <si>
    <t>safar@i-seven.net</t>
  </si>
  <si>
    <t>noc@mmd.net.id</t>
  </si>
  <si>
    <t>PT. JEMBATAN DATA PANGRANGO</t>
  </si>
  <si>
    <t>rio@jembatandata.com</t>
  </si>
  <si>
    <t>PT. DIGITAL MEDIA TELEMATIKA</t>
  </si>
  <si>
    <t>contact@dmtnet.id</t>
  </si>
  <si>
    <t>PT. SARANA MEDIA CEMERLANG</t>
  </si>
  <si>
    <t>noc@jagonet.co.id</t>
  </si>
  <si>
    <t>PT. SOLUSINDO BINTANG PRATAMA</t>
  </si>
  <si>
    <t>andrian@sbp.net.id</t>
  </si>
  <si>
    <t>PT. DATA BUANA NUSANTARA</t>
  </si>
  <si>
    <t>admin@dbn.net.id</t>
  </si>
  <si>
    <t>PT. GIGA DIGITAL NUSANTARA</t>
  </si>
  <si>
    <t>admin@giganet.co.id</t>
  </si>
  <si>
    <t>PT. LINTAS TEKNOLOGI SOLUSINDO</t>
  </si>
  <si>
    <t>abud.susanto@linteksolusindo.com</t>
  </si>
  <si>
    <t>PT. ANUGRAH CIMANUK RAYA</t>
  </si>
  <si>
    <t>nauranaku2@gmail.com</t>
  </si>
  <si>
    <t>PT. LINTAS NETWORK SOLUSI</t>
  </si>
  <si>
    <t>lintasnetworksolusi@gmail.com</t>
  </si>
  <si>
    <t>PT. JAYA MEDIA EXPRESS</t>
  </si>
  <si>
    <t>kholilexpress@gmail.com</t>
  </si>
  <si>
    <t>PT. BERKAH MEDIA KUSUMA VISION</t>
  </si>
  <si>
    <t>kusumavision@gmail.com</t>
  </si>
  <si>
    <t>PT. JARINGAN LINTAS ARTHA</t>
  </si>
  <si>
    <t>info@jaringanlintasartha.com</t>
  </si>
  <si>
    <t>PT. HELIUM SINERGI TELEKOMUNIKASI</t>
  </si>
  <si>
    <t>noc@helium.net.id</t>
  </si>
  <si>
    <t>PT. MEDIA AKSES DATA</t>
  </si>
  <si>
    <t>noc@mediaaksesdata.id</t>
  </si>
  <si>
    <t>PT. GARUDA MEDIA TELEMATIKA</t>
  </si>
  <si>
    <t>support@garuda.net.id</t>
  </si>
  <si>
    <t>PT. PASCAL SOLUSI NUSANTARA</t>
  </si>
  <si>
    <t>deni@pascal.net.id</t>
  </si>
  <si>
    <t>PT.ENERGY TRANSPORTER INDONESIA</t>
  </si>
  <si>
    <t>indarko@energy-transporter.com</t>
  </si>
  <si>
    <t>PT.BUMI MANUSIA NETWORK</t>
  </si>
  <si>
    <t>noc@bumimanusia.net.id</t>
  </si>
  <si>
    <t>PT.JASA MARGA TOLLROAD OPERATOR (JMTO)</t>
  </si>
  <si>
    <t>makurniansyah@jmto.co.id</t>
  </si>
  <si>
    <t>PT. AROZAK BIMA YUDHO SANGKARA</t>
  </si>
  <si>
    <t>sumali.alpha@abys.net.id</t>
  </si>
  <si>
    <t>PT. PUSAKA KREASI MANDIRI</t>
  </si>
  <si>
    <t>susiyanto@kumara-hotspot.net</t>
  </si>
  <si>
    <t>PT.CEPAT MULTI DATA</t>
  </si>
  <si>
    <t>support@cepatmultidata.id</t>
  </si>
  <si>
    <t>PT.KATAJI NUKAMI INDONESIA</t>
  </si>
  <si>
    <t>support@sayaginet.co.id</t>
  </si>
  <si>
    <t>SMKN 1 SUBANG</t>
  </si>
  <si>
    <t>tki.smkn1subang@gmail.com</t>
  </si>
  <si>
    <t>PT. JENIUS LINTAS NUSANTARA</t>
  </si>
  <si>
    <t>info@jelintasnusantara.id</t>
  </si>
  <si>
    <t>PT. SERAYU MULTI CONNECTION</t>
  </si>
  <si>
    <t>serayumc@gmail.com</t>
  </si>
  <si>
    <t>PT. PANDAWA LINTAS MEDIA</t>
  </si>
  <si>
    <t>noc@plm.net.id</t>
  </si>
  <si>
    <t>PT. NESTA INDO MEDIA</t>
  </si>
  <si>
    <t>office@nimnet.id</t>
  </si>
  <si>
    <t>PT. MERAK LINTAS NUSANTARA</t>
  </si>
  <si>
    <t>support@mymerak.id</t>
  </si>
  <si>
    <t>PT. DENTA SEJAHTERA GROUP</t>
  </si>
  <si>
    <t>admin@dentanet.id</t>
  </si>
  <si>
    <t>PT. LINTAS TELEMATIKA NUSANTARA</t>
  </si>
  <si>
    <t>shofari@ltn.net.id</t>
  </si>
  <si>
    <t>dimas.permana@len-telko.co.id</t>
  </si>
  <si>
    <t>PT. DIGITAL AKSES NUSANTARA</t>
  </si>
  <si>
    <t>santo@digta.net</t>
  </si>
  <si>
    <t>PT. GLOBAL MEDIA PRATAMA SOLUSINDO</t>
  </si>
  <si>
    <t>andre@glosindo.net.id</t>
  </si>
  <si>
    <t>PT. SAKTI WIJAYA NETWORK</t>
  </si>
  <si>
    <t>noc@swnetwork.id</t>
  </si>
  <si>
    <t>PT.COMMUNICATIONS SOLUTION</t>
  </si>
  <si>
    <t>noc2@commsol.co.id</t>
  </si>
  <si>
    <t>noc@ldt.co.id</t>
  </si>
  <si>
    <t>PT.LOVEIKA HOST INDONESIA</t>
  </si>
  <si>
    <t>zulva@lhost.net.id</t>
  </si>
  <si>
    <t>PT.INFRASTRUKTUR DIGITAL INDONESIA</t>
  </si>
  <si>
    <t>adi.sulistiyo@infrastruktur-digital.id</t>
  </si>
  <si>
    <t>hasan@siber.net.id</t>
  </si>
  <si>
    <t>KEMENTERIAN KELAUTAN DAN PERIKANAN REPUBLIK INDONESIA</t>
  </si>
  <si>
    <t>dennyfortrantoro@kkp.go.id</t>
  </si>
  <si>
    <t>PT. SISTEM INTERKONEKSI DATA</t>
  </si>
  <si>
    <t>itsupport@sidnet.co.id</t>
  </si>
  <si>
    <t>PT. MAGNA NETWORK</t>
  </si>
  <si>
    <t>johan.hartono@magna-net.com</t>
  </si>
  <si>
    <t>PT.CLOUD MEDIA TEKNOLOGI</t>
  </si>
  <si>
    <t>eka@cloudmediateknologi.co.id</t>
  </si>
  <si>
    <t>PT. AKM LINK NET</t>
  </si>
  <si>
    <t>noc@akmlink.co.id</t>
  </si>
  <si>
    <t>PT. DHARMA SARANA SOLUSINDO</t>
  </si>
  <si>
    <t>ahot@pandawa.net.id</t>
  </si>
  <si>
    <t>SG.GS Pte Ltd</t>
  </si>
  <si>
    <t>hc.tan@sg.gs</t>
  </si>
  <si>
    <t>PT.JARINGAN TIANG INDONESIA</t>
  </si>
  <si>
    <t>irvan@tiangbersama.com</t>
  </si>
  <si>
    <t>DONE</t>
  </si>
  <si>
    <t>PT. RUMAHNET INTERNUSA</t>
  </si>
  <si>
    <t>lucky@rumahhosting.com</t>
  </si>
  <si>
    <t>PT. TELSAR JAYA NETWORK TEKNOLOGY</t>
  </si>
  <si>
    <t>banjarmasin@telsarjayanetworkteknology.com</t>
  </si>
  <si>
    <t>PT. PUTRA LEBAK BANTEN</t>
  </si>
  <si>
    <t>fajar@plb.net.id</t>
  </si>
  <si>
    <t>PT. AIR LINTAS KOMUNIKASI</t>
  </si>
  <si>
    <t>izin@airlink.co.id</t>
  </si>
  <si>
    <t>PT. GLOBALNET MULTI DATA</t>
  </si>
  <si>
    <t>ace@gnet.net.id</t>
  </si>
  <si>
    <t>PT. AJI RAFASYA ROSO ANTENG BERKAH</t>
  </si>
  <si>
    <t>noc@arrab.id</t>
  </si>
  <si>
    <t>PT. JOYO KABUL GROUP</t>
  </si>
  <si>
    <t>info@bconn.id</t>
  </si>
  <si>
    <t>PT. INDUSTRI KREATIF DIGITAL</t>
  </si>
  <si>
    <t>technical@ikada.co.id</t>
  </si>
  <si>
    <t>PT.PHATRIA INTI PERSADA</t>
  </si>
  <si>
    <t>husni@phatria.net.id</t>
  </si>
  <si>
    <t>PT.DELTA BARU MEDIA</t>
  </si>
  <si>
    <t>noc@bitniaga.net.id</t>
  </si>
  <si>
    <t>pt.trisnamegaabadi@gmail.com</t>
  </si>
  <si>
    <t>PT. SAMUDRA DIGITAL NETWORK</t>
  </si>
  <si>
    <t>tarip@samudranet.com</t>
  </si>
  <si>
    <t>PT. KARYA HASTA JAYA</t>
  </si>
  <si>
    <t>idrus@kahaja.co.id</t>
  </si>
  <si>
    <t>PT TIGA MEDIA SOLUSI</t>
  </si>
  <si>
    <t>wawan@tigamediasolusi.co.id</t>
  </si>
  <si>
    <t>PT KUNING MEDIA NUSANTARA</t>
  </si>
  <si>
    <t>prayogaap888@gmail.com</t>
  </si>
  <si>
    <t>ERROR</t>
  </si>
  <si>
    <t>PT TOMIHONK NETWORK NUSANTARA</t>
  </si>
  <si>
    <t>tomihonknetwork@gmail.com</t>
  </si>
  <si>
    <t>PT. FLASHNET INOVASI TEKNOLOGI</t>
  </si>
  <si>
    <t>arman@artawise.com</t>
  </si>
  <si>
    <t>PT.APCI NETWORK SOLUTIONS</t>
  </si>
  <si>
    <t>bambang@apcinet.co.id</t>
  </si>
  <si>
    <t>BAKTI KOMINFO PT. LEN TELEKOMUNIKASI INDONESIA</t>
  </si>
  <si>
    <t>divisi.infrastrukturbackbone@baktikominfo.id</t>
  </si>
  <si>
    <t>BAKTI KOMINFO PT. PALAPA RING TIMUR</t>
  </si>
  <si>
    <t>pramudya@ptt.net.id</t>
  </si>
  <si>
    <t>BAKTI KOMINFO PT. PALAPA RING BARAT</t>
  </si>
  <si>
    <t>info@pmupalaparing.com</t>
  </si>
  <si>
    <t>kurniadhp04@gmail.com</t>
  </si>
  <si>
    <t>PT.KAMPUNG DUA NET</t>
  </si>
  <si>
    <t>bisnis@kampungduanet.id</t>
  </si>
  <si>
    <t>noc@rst.net.id</t>
  </si>
  <si>
    <t>andreas.sugiharto@telindo.net.id</t>
  </si>
  <si>
    <t>dodyputranto@gnetwork.id</t>
  </si>
  <si>
    <t>zaduna@diaza.id</t>
  </si>
  <si>
    <t>noc@nasatel.id</t>
  </si>
  <si>
    <t>noc@smi.net.id</t>
  </si>
  <si>
    <t>farhan@ltn.net.id</t>
  </si>
  <si>
    <t>PT MAXLINK DATA PRIMA INDONESIA</t>
  </si>
  <si>
    <t>agushr@maxlinkdataprima.com</t>
  </si>
  <si>
    <t>noc@hsp.net.id</t>
  </si>
  <si>
    <t>bhektisu@gmail.com</t>
  </si>
  <si>
    <t>done</t>
  </si>
  <si>
    <t>PT INDO TEKNOLOGI LOGISTIC</t>
  </si>
  <si>
    <t>fahrul@indoteknologistic.net</t>
  </si>
  <si>
    <t>PT.PRATAMA HASTA</t>
  </si>
  <si>
    <t>pratama.pas78@gmail.com</t>
  </si>
  <si>
    <t>nocandromega@gmail.com</t>
  </si>
  <si>
    <t>PT KARYA ANEKA PERSADA</t>
  </si>
  <si>
    <t>jenal@hajinet.com</t>
  </si>
  <si>
    <t>admin@cirebonkab.go.id</t>
  </si>
  <si>
    <t>noc@kumara-hotspot.net</t>
  </si>
  <si>
    <t>noc@telindo.net.id</t>
  </si>
  <si>
    <t>PT. ILHAM WIFI SOLUTION</t>
  </si>
  <si>
    <t>imanrosandi@iwsnet.id</t>
  </si>
  <si>
    <t>STOK BARANG P1 YANG TERPAKAI</t>
  </si>
  <si>
    <t>NAMA BARANG</t>
  </si>
  <si>
    <t>TERPAKAI UNTUK</t>
  </si>
  <si>
    <t>RACK 26 JUNIPER MX480 &lt;&gt; HUAWEI S6720</t>
  </si>
  <si>
    <t>HUAWEI S6730 RACK 26 P1</t>
  </si>
  <si>
    <t>YB00221440026</t>
  </si>
  <si>
    <t>RACK 24 P1</t>
  </si>
  <si>
    <t>RACK 26 P1</t>
  </si>
  <si>
    <t xml:space="preserve">komputer server </t>
  </si>
  <si>
    <t>XCON HSP-SIAPNET</t>
  </si>
  <si>
    <t xml:space="preserve"> mikrotik RB 5009 </t>
  </si>
  <si>
    <t>SFP 1,25G 10KM  HUAWEI</t>
  </si>
  <si>
    <t xml:space="preserve"> mikrotik GX4</t>
  </si>
  <si>
    <t>SFP 10G 1,4 KM HUAWEI</t>
  </si>
  <si>
    <t>GB180354100005</t>
  </si>
  <si>
    <t>HSP&lt;&gt;Aldm di APJII Rack h2</t>
  </si>
  <si>
    <t xml:space="preserve"> mikrotik GX3</t>
  </si>
  <si>
    <t>Global sarana &lt;&gt;Metro</t>
  </si>
  <si>
    <t>Global sarana &lt;&gt;Metro&lt;&gt;Hsp</t>
  </si>
  <si>
    <t>MA18620760960</t>
  </si>
  <si>
    <t>Indosat &lt;&gt; Hsp</t>
  </si>
  <si>
    <t>H2277J03/94</t>
  </si>
  <si>
    <t>HSPIX APJI</t>
  </si>
  <si>
    <t>JC62010461</t>
  </si>
  <si>
    <t xml:space="preserve">RACK 24 HSP&lt;&gt;ALCEN </t>
  </si>
  <si>
    <t>Metro&lt;&gt;rack 27</t>
  </si>
  <si>
    <t>IPT&lt;&gt;rack 27</t>
  </si>
  <si>
    <t>SFP 10G 0,3KM HUAWEI</t>
  </si>
  <si>
    <t>HA20030431005</t>
  </si>
  <si>
    <t>REPLACE HSPIX PORT 07</t>
  </si>
  <si>
    <t>SFP 10G 10KM DUPLEX</t>
  </si>
  <si>
    <t>XCON CAPUNG 3D</t>
  </si>
  <si>
    <t>SFP 10G 10KM ZTE Duplex</t>
  </si>
  <si>
    <t xml:space="preserve">SFP 10G 10KM </t>
  </si>
  <si>
    <t>Di mmr 3D</t>
  </si>
  <si>
    <t>RACK 8</t>
  </si>
  <si>
    <t>mmr cage I xcon HSP&lt;&gt;GIGA NET</t>
  </si>
  <si>
    <t>PATHCORD MPO 30M</t>
  </si>
  <si>
    <t>xcon Pascal&lt;&gt;HSP</t>
  </si>
  <si>
    <t>xcon Giga&lt;&gt;Yasmin</t>
  </si>
  <si>
    <t>iPT HSP&lt;&gt;ANGKASA</t>
  </si>
  <si>
    <t>PATHCORD 35M LC-LC</t>
  </si>
  <si>
    <t>xcon HSP&lt;&gt;PADI INTERNET</t>
  </si>
  <si>
    <t>HSP-MMR3-RACK30-DR3-ME02 3D</t>
  </si>
  <si>
    <t>HSPIX-03 RACK 24</t>
  </si>
  <si>
    <t>MA20442850662</t>
  </si>
  <si>
    <t>SBP-MMR METRO</t>
  </si>
  <si>
    <t>HSP&lt;&gt;SWJ</t>
  </si>
  <si>
    <t>HSP&lt;&gt;PC24</t>
  </si>
  <si>
    <t xml:space="preserve">PATHCORD 10M LC-LC </t>
  </si>
  <si>
    <t>HSP&lt;&gt;BITNET</t>
  </si>
  <si>
    <t>PATHCORD 5M LC-LC</t>
  </si>
  <si>
    <t>HSP&lt;&gt;MVPNET</t>
  </si>
  <si>
    <t>PATHCORD 2M LC-LC</t>
  </si>
  <si>
    <t>003TXW10LB0022252</t>
  </si>
  <si>
    <t>HSP&lt;&gt;YETOYA HUAWEI MMR</t>
  </si>
  <si>
    <t>003RRY10M6106764</t>
  </si>
  <si>
    <t>003RRY10M6102403</t>
  </si>
  <si>
    <t>QFX HSP&lt;&gt;YETOYA</t>
  </si>
  <si>
    <t>003RRY10M610542</t>
  </si>
  <si>
    <t>SFP 10G HUAWEI</t>
  </si>
  <si>
    <t>MA20161210636</t>
  </si>
  <si>
    <t>iINDOTRANS&lt;&gt;YETOYA</t>
  </si>
  <si>
    <t>033RRY10M6101528</t>
  </si>
  <si>
    <t>ACX&lt;&gt;HUAWEI MPLS 4</t>
  </si>
  <si>
    <t>3 pcs</t>
  </si>
  <si>
    <t>Dijual ke JKB</t>
  </si>
  <si>
    <t xml:space="preserve">1 pcs </t>
  </si>
  <si>
    <t>1 pcs</t>
  </si>
  <si>
    <t>Dijual ke JetNet</t>
  </si>
  <si>
    <t>PATHCORD 20M LC-LC</t>
  </si>
  <si>
    <t>XCON HSP-MEGA DATA</t>
  </si>
  <si>
    <t>J235B046936</t>
  </si>
  <si>
    <t>XCON HSP-CITRA JELAJAH</t>
  </si>
  <si>
    <t>PATHCORD 40M LC-LC</t>
  </si>
  <si>
    <t>XCON HSP-DBN</t>
  </si>
  <si>
    <t>PATHCORD LC-LC 2M</t>
  </si>
  <si>
    <t>2 PCS</t>
  </si>
  <si>
    <t>Server HSP Cyber ProDC</t>
  </si>
  <si>
    <t>DISK HSP Cyber ProDC</t>
  </si>
  <si>
    <t>SERVER HP DL380 Gen 10</t>
  </si>
  <si>
    <t>Gamora</t>
  </si>
  <si>
    <t>EXOS X16</t>
  </si>
  <si>
    <t>ZS515KJE</t>
  </si>
  <si>
    <t>ZS51FXNW</t>
  </si>
  <si>
    <t>Rocket</t>
  </si>
  <si>
    <t>ZS51FKZ5</t>
  </si>
  <si>
    <t>Nebula</t>
  </si>
  <si>
    <t>ZS51ESXA</t>
  </si>
  <si>
    <t>Hela</t>
  </si>
  <si>
    <t>ZS515KR9</t>
  </si>
  <si>
    <t>1LD5DP2</t>
  </si>
  <si>
    <t>Loki</t>
  </si>
  <si>
    <t>ZS51FL05</t>
  </si>
  <si>
    <t>Thor</t>
  </si>
  <si>
    <t>ZS515KFQ</t>
  </si>
  <si>
    <t>PowerEdge R740xd</t>
  </si>
  <si>
    <t>Node 01</t>
  </si>
  <si>
    <t>ZS51EQD7</t>
  </si>
  <si>
    <t>Node 02</t>
  </si>
  <si>
    <t>ZS515KTT</t>
  </si>
  <si>
    <t>SERVER HP DL360 Gen 10</t>
  </si>
  <si>
    <t>Node 03</t>
  </si>
  <si>
    <t>ZS51FDMN</t>
  </si>
  <si>
    <t>Node 04</t>
  </si>
  <si>
    <t>ZS51FXS5</t>
  </si>
  <si>
    <t>Node 05</t>
  </si>
  <si>
    <t>ZS51EM22</t>
  </si>
  <si>
    <t>Node FRW</t>
  </si>
  <si>
    <t>Valkyrie</t>
  </si>
  <si>
    <t>SERVER HP DL20 Gen 10</t>
  </si>
  <si>
    <t>CN70290V07</t>
  </si>
  <si>
    <t>PVE TEST</t>
  </si>
  <si>
    <t>RACK MMR O.R 01</t>
  </si>
  <si>
    <t>No Rack</t>
  </si>
  <si>
    <t xml:space="preserve">Type </t>
  </si>
  <si>
    <t>Tujuan Rack</t>
  </si>
  <si>
    <t>MMR O.R 01</t>
  </si>
  <si>
    <t>0TB 96 C</t>
  </si>
  <si>
    <t>Rack 13</t>
  </si>
  <si>
    <t>APJII</t>
  </si>
  <si>
    <t>Depan Gedung MTEN</t>
  </si>
  <si>
    <t>OTB 192 C</t>
  </si>
  <si>
    <t>buat apji</t>
  </si>
  <si>
    <t>OTB 96 C</t>
  </si>
  <si>
    <t>Lantai 9</t>
  </si>
  <si>
    <t>RACK MMR O.R 02</t>
  </si>
  <si>
    <t>MMR O.R 02</t>
  </si>
  <si>
    <t>Rack 01</t>
  </si>
  <si>
    <t>5,5Kg</t>
  </si>
  <si>
    <t>u1</t>
  </si>
  <si>
    <t>Rack 02</t>
  </si>
  <si>
    <t>u2</t>
  </si>
  <si>
    <t>Rack 03</t>
  </si>
  <si>
    <t>u3</t>
  </si>
  <si>
    <t>Rack 04</t>
  </si>
  <si>
    <t>u4</t>
  </si>
  <si>
    <t>Rack 05</t>
  </si>
  <si>
    <t>u5</t>
  </si>
  <si>
    <t>Rack 06</t>
  </si>
  <si>
    <t>u6</t>
  </si>
  <si>
    <t>Rack 07</t>
  </si>
  <si>
    <t>u7</t>
  </si>
  <si>
    <t>Rack 08</t>
  </si>
  <si>
    <t>u8</t>
  </si>
  <si>
    <t>Rack 09</t>
  </si>
  <si>
    <t>u9</t>
  </si>
  <si>
    <t>Rack 14</t>
  </si>
  <si>
    <t>u10</t>
  </si>
  <si>
    <t xml:space="preserve">OTB 96C </t>
  </si>
  <si>
    <t>Rack 24</t>
  </si>
  <si>
    <t>RACK MMR O.R 03</t>
  </si>
  <si>
    <t>MMR O.R 03</t>
  </si>
  <si>
    <t>Rack 15</t>
  </si>
  <si>
    <t>5,5kg</t>
  </si>
  <si>
    <t>U1</t>
  </si>
  <si>
    <t>Rack 16</t>
  </si>
  <si>
    <t>U2</t>
  </si>
  <si>
    <t>U3</t>
  </si>
  <si>
    <t>Rack 18</t>
  </si>
  <si>
    <t>U4</t>
  </si>
  <si>
    <t>Rack 19</t>
  </si>
  <si>
    <t>U5</t>
  </si>
  <si>
    <t>Rack 20</t>
  </si>
  <si>
    <t>U6</t>
  </si>
  <si>
    <t>U7</t>
  </si>
  <si>
    <t>Rack 22</t>
  </si>
  <si>
    <t>U8</t>
  </si>
  <si>
    <t>Rack 27</t>
  </si>
  <si>
    <t>U9</t>
  </si>
  <si>
    <t>Rack 28</t>
  </si>
  <si>
    <t>U10</t>
  </si>
  <si>
    <t>lt7</t>
  </si>
  <si>
    <t>RACK MMR O.R 04</t>
  </si>
  <si>
    <t>MMR O.R 04</t>
  </si>
  <si>
    <t>Rack 29</t>
  </si>
  <si>
    <t>Rack 30</t>
  </si>
  <si>
    <t>Rack 31</t>
  </si>
  <si>
    <t>Rack 32</t>
  </si>
  <si>
    <t>Rack 33</t>
  </si>
  <si>
    <t>LT 7</t>
  </si>
  <si>
    <t>Proses</t>
  </si>
  <si>
    <t>OTB 288C</t>
  </si>
  <si>
    <t>APJII Z6</t>
  </si>
  <si>
    <t>RACK MMR O.R 05</t>
  </si>
  <si>
    <t>MMR O.R 05</t>
  </si>
  <si>
    <t>RACK MMR O.R 06</t>
  </si>
  <si>
    <t>MMR O.R 06</t>
  </si>
  <si>
    <t>SW ISCOM</t>
  </si>
  <si>
    <t>S5600</t>
  </si>
  <si>
    <t>SW CISCO</t>
  </si>
  <si>
    <t>C3560</t>
  </si>
  <si>
    <t>SW ALCATEL</t>
  </si>
  <si>
    <t>OS6860E</t>
  </si>
  <si>
    <t>RACK MMR O.R 07</t>
  </si>
  <si>
    <t>MMR O.R 07</t>
  </si>
  <si>
    <t>SWITCH</t>
  </si>
  <si>
    <t>248G4</t>
  </si>
  <si>
    <t>EQNERUBI</t>
  </si>
  <si>
    <t>RACK MMR O.R 08</t>
  </si>
  <si>
    <t>MMR O.R 08</t>
  </si>
  <si>
    <t>RACK MMR O.R 09</t>
  </si>
  <si>
    <t>MMR O.R 09</t>
  </si>
  <si>
    <t>RACK MMR O.R 10</t>
  </si>
  <si>
    <t>MMR O.R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</si>
</sst>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d&quot; &quot;mmmm&quot; &quot;yyyy"/>
    <numFmt numFmtId="165" formatCode="d mmmm yyyy"/>
    <numFmt numFmtId="166" formatCode="d/m/yy"/>
    <numFmt numFmtId="167" formatCode="d/m/yyyy"/>
    <numFmt numFmtId="168" formatCode="dd/mm/yyyy"/>
    <numFmt numFmtId="169" formatCode="d.m.yy"/>
    <numFmt numFmtId="170" formatCode="dddd&quot;, &quot;dd&quot; &quot;mmmm&quot; &quot;yyyy&quot; &quot;hh&quot;:&quot;mm"/>
    <numFmt numFmtId="171" formatCode="#.## &quot;Kg.&quot;"/>
    <numFmt numFmtId="172" formatCode="###  U"/>
    <numFmt numFmtId="173" formatCode="dd-mmmm-yyyy"/>
    <numFmt numFmtId="174" formatCode="d mmmm"/>
    <numFmt numFmtId="175" formatCode="d mmm yyyy"/>
    <numFmt numFmtId="176" formatCode="dd-mmm-yyyy"/>
    <numFmt numFmtId="177" formatCode="d.m"/>
    <numFmt numFmtId="178" formatCode="0#.## &quot;Kg.&quot;"/>
    <numFmt numFmtId="179" formatCode="[$Rp-421]#,##0.00"/>
    <numFmt numFmtId="180" formatCode="dd&quot; &quot;mmmm&quot; &quot;yyyy"/>
    <numFmt numFmtId="181" formatCode="dd mmmm"/>
    <numFmt numFmtId="182" formatCode="ddmmmmyyyy"/>
    <numFmt numFmtId="183" formatCode="d/mmm/yyyy"/>
  </numFmts>
  <fonts count="67">
    <font>
      <sz val="11.0"/>
      <color theme="1"/>
      <name val="Calibri"/>
      <scheme val="minor"/>
    </font>
    <font>
      <sz val="12.0"/>
      <color theme="1"/>
      <name val="Calibri"/>
      <scheme val="minor"/>
    </font>
    <font/>
    <font>
      <color theme="1"/>
      <name val="Calibri"/>
      <scheme val="minor"/>
    </font>
    <font>
      <sz val="12.0"/>
      <color rgb="FF434343"/>
      <name val="Calibri"/>
      <scheme val="minor"/>
    </font>
    <font>
      <sz val="11.0"/>
      <color rgb="FF1F1F1F"/>
      <name val="Calibri"/>
    </font>
    <font>
      <sz val="12.0"/>
      <color rgb="FF000000"/>
      <name val="Calibri"/>
      <scheme val="minor"/>
    </font>
    <font>
      <u/>
      <sz val="12.0"/>
      <color rgb="FF0000FF"/>
    </font>
    <font>
      <sz val="12.0"/>
      <color theme="1"/>
      <name val="Calibri"/>
    </font>
    <font>
      <sz val="11.0"/>
      <color rgb="FF000000"/>
      <name val="&quot;Source Sans Pro&quot;"/>
    </font>
    <font>
      <sz val="12.0"/>
      <color rgb="FF000000"/>
      <name val="Arial"/>
    </font>
    <font>
      <sz val="11.0"/>
      <color rgb="FF000000"/>
      <name val="Calibri"/>
      <scheme val="minor"/>
    </font>
    <font>
      <sz val="11.0"/>
      <color rgb="FF222222"/>
      <name val="Calibri"/>
      <scheme val="minor"/>
    </font>
    <font>
      <color rgb="FF000000"/>
      <name val="Monospace"/>
    </font>
    <font>
      <color rgb="FF000000"/>
      <name val="Arial"/>
    </font>
    <font>
      <sz val="11.0"/>
      <color rgb="FF000000"/>
      <name val="Calibri"/>
    </font>
    <font>
      <sz val="12.0"/>
      <color rgb="FF000000"/>
      <name val="Calibri"/>
    </font>
    <font>
      <sz val="12.0"/>
      <color rgb="FF000000"/>
      <name val="Docs-Calibri"/>
    </font>
    <font>
      <b/>
      <sz val="12.0"/>
      <color rgb="FF000000"/>
      <name val="Calibri"/>
      <scheme val="minor"/>
    </font>
    <font>
      <b/>
      <sz val="12.0"/>
      <color rgb="FF000000"/>
      <name val="Calibri"/>
    </font>
    <font>
      <sz val="12.0"/>
      <color rgb="FF000000"/>
      <name val="Roboto"/>
    </font>
    <font>
      <sz val="12.0"/>
      <color rgb="FF000000"/>
      <name val="Monospace"/>
    </font>
    <font>
      <color rgb="FF000000"/>
      <name val="Calibri"/>
      <scheme val="minor"/>
    </font>
    <font>
      <sz val="11.0"/>
      <color theme="1"/>
      <name val="&quot;Source Sans Pro&quot;"/>
    </font>
    <font>
      <sz val="11.0"/>
      <color theme="1"/>
      <name val="Calibri"/>
    </font>
    <font>
      <sz val="12.0"/>
      <color rgb="FF000000"/>
      <name val="&quot;Source Sans Pro&quot;"/>
    </font>
    <font>
      <sz val="11.0"/>
      <color rgb="FF000000"/>
      <name val="Roboto"/>
    </font>
    <font>
      <i/>
      <sz val="12.0"/>
      <color rgb="FF000000"/>
      <name val="Calibri"/>
      <scheme val="minor"/>
    </font>
    <font>
      <sz val="12.0"/>
      <color rgb="FF000000"/>
      <name val="&quot;times new roman&quot;"/>
    </font>
    <font>
      <sz val="12.0"/>
      <color rgb="FF000000"/>
      <name val="&quot;Times New Roman&quot;"/>
    </font>
    <font>
      <sz val="12.0"/>
      <color rgb="FF000000"/>
      <name val="Verdana"/>
    </font>
    <font>
      <color rgb="FF000000"/>
      <name val="Verdana"/>
    </font>
    <font>
      <sz val="11.0"/>
      <color rgb="FF000000"/>
      <name val="Monospace"/>
    </font>
    <font>
      <sz val="11.0"/>
      <color rgb="FF000000"/>
      <name val="Arial"/>
    </font>
    <font>
      <sz val="11.0"/>
      <color rgb="FF333333"/>
      <name val="Monospace"/>
    </font>
    <font>
      <sz val="12.0"/>
      <color rgb="FF000000"/>
      <name val="Source Sans Pro"/>
    </font>
    <font>
      <sz val="12.0"/>
      <color rgb="FF000000"/>
      <name val="Helvetica"/>
    </font>
    <font>
      <b/>
      <sz val="11.0"/>
      <color rgb="FF000000"/>
      <name val="Calibri"/>
    </font>
    <font>
      <sz val="11.0"/>
      <color rgb="FF444444"/>
      <name val="&quot;Source Sans Pro&quot;"/>
    </font>
    <font>
      <b/>
      <sz val="13.0"/>
      <color rgb="FF000000"/>
      <name val="Calibri"/>
    </font>
    <font>
      <i/>
      <sz val="11.0"/>
      <color theme="1"/>
      <name val="Roboto"/>
    </font>
    <font>
      <color rgb="FF000000"/>
      <name val="Calibri"/>
    </font>
    <font>
      <sz val="9.0"/>
      <color rgb="FF000000"/>
      <name val="Calibri"/>
    </font>
    <font>
      <sz val="12.0"/>
      <color rgb="FF000000"/>
      <name val="Aptos"/>
    </font>
    <font>
      <color theme="1"/>
      <name val="Terminal"/>
    </font>
    <font>
      <sz val="11.0"/>
      <color rgb="FF2C363A"/>
      <name val="Roboto"/>
    </font>
    <font>
      <sz val="11.0"/>
      <color rgb="FF000000"/>
      <name val="&quot;courier new&quot;"/>
    </font>
    <font>
      <sz val="12.0"/>
      <color rgb="FF000000"/>
      <name val="&quot;courier new&quot;"/>
    </font>
    <font>
      <b/>
      <sz val="11.0"/>
      <color rgb="FF000000"/>
      <name val="Lato"/>
    </font>
    <font>
      <sz val="12.0"/>
      <color theme="1"/>
      <name val="Aptos"/>
    </font>
    <font>
      <sz val="12.0"/>
      <color theme="1"/>
      <name val="Arial"/>
    </font>
    <font>
      <color theme="1"/>
      <name val="Calibri"/>
    </font>
    <font>
      <color theme="1"/>
      <name val="Monospace"/>
    </font>
    <font>
      <sz val="12.0"/>
      <color rgb="FF333333"/>
      <name val="Calibri"/>
    </font>
    <font>
      <sz val="11.0"/>
      <color rgb="FF000000"/>
      <name val="&quot;Lucida Grande&quot;"/>
    </font>
    <font>
      <color rgb="FF2C363A"/>
      <name val="Monospace"/>
    </font>
    <font>
      <sz val="11.0"/>
      <color theme="1"/>
      <name val="&quot;Lucida Grande&quot;"/>
    </font>
    <font>
      <sz val="11.0"/>
      <color theme="1"/>
      <name val="Monospace"/>
    </font>
    <font>
      <sz val="10.0"/>
      <color theme="1"/>
      <name val="Monospace"/>
    </font>
    <font>
      <sz val="11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2.0"/>
      <color theme="1"/>
      <name val="Docs-Calibri"/>
    </font>
    <font>
      <color theme="1"/>
      <name val="Arial"/>
    </font>
    <font>
      <b/>
      <sz val="15.0"/>
      <color theme="1"/>
      <name val="Calibri"/>
    </font>
    <font>
      <sz val="18.0"/>
      <color theme="1"/>
      <name val="Calibri"/>
      <scheme val="minor"/>
    </font>
    <font>
      <sz val="11.0"/>
      <color rgb="FF333333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8FFFC"/>
        <bgColor rgb="FFF8FFFC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5B9BD5"/>
        <bgColor rgb="FF5B9BD5"/>
      </patternFill>
    </fill>
    <fill>
      <patternFill patternType="solid">
        <fgColor rgb="FFFFFDFB"/>
        <bgColor rgb="FFFFFDFB"/>
      </patternFill>
    </fill>
    <fill>
      <patternFill patternType="solid">
        <fgColor rgb="FFA4C2F4"/>
        <bgColor rgb="FFA4C2F4"/>
      </patternFill>
    </fill>
    <fill>
      <patternFill patternType="solid">
        <fgColor rgb="FF3D85C6"/>
        <bgColor rgb="FF3D85C6"/>
      </patternFill>
    </fill>
    <fill>
      <patternFill patternType="solid">
        <fgColor rgb="FF980000"/>
        <bgColor rgb="FF980000"/>
      </patternFill>
    </fill>
    <fill>
      <patternFill patternType="solid">
        <fgColor rgb="FFF6F6F6"/>
        <bgColor rgb="FFF6F6F6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AFAFA"/>
        <bgColor rgb="FFFAFAFA"/>
      </patternFill>
    </fill>
    <fill>
      <patternFill patternType="solid">
        <fgColor rgb="FFFBFDFF"/>
        <bgColor rgb="FFFBFDFF"/>
      </patternFill>
    </fill>
    <fill>
      <patternFill patternType="solid">
        <fgColor rgb="FFF1F3F4"/>
        <bgColor rgb="FFF1F3F4"/>
      </patternFill>
    </fill>
    <fill>
      <patternFill patternType="solid">
        <fgColor rgb="FFA64D79"/>
        <bgColor rgb="FFA64D79"/>
      </patternFill>
    </fill>
    <fill>
      <patternFill patternType="solid">
        <fgColor rgb="FF5B95F9"/>
        <bgColor rgb="FF5B95F9"/>
      </patternFill>
    </fill>
    <fill>
      <patternFill patternType="solid">
        <fgColor rgb="FF78909C"/>
        <bgColor rgb="FF78909C"/>
      </patternFill>
    </fill>
    <fill>
      <patternFill patternType="solid">
        <fgColor rgb="FFD5A6BD"/>
        <bgColor rgb="FFD5A6BD"/>
      </patternFill>
    </fill>
    <fill>
      <patternFill patternType="solid">
        <fgColor rgb="FFE91D63"/>
        <bgColor rgb="FFE91D63"/>
      </patternFill>
    </fill>
    <fill>
      <patternFill patternType="solid">
        <fgColor rgb="FFF7CB4D"/>
        <bgColor rgb="FFF7CB4D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4F4F4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readingOrder="0"/>
    </xf>
    <xf borderId="4" fillId="3" fontId="4" numFmtId="49" xfId="0" applyAlignment="1" applyBorder="1" applyFill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1" numFmtId="164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/>
    </xf>
    <xf borderId="4" fillId="0" fontId="1" numFmtId="49" xfId="0" applyAlignment="1" applyBorder="1" applyFont="1" applyNumberFormat="1">
      <alignment horizontal="center" vertical="bottom"/>
    </xf>
    <xf borderId="4" fillId="3" fontId="1" numFmtId="49" xfId="0" applyAlignment="1" applyBorder="1" applyFont="1" applyNumberFormat="1">
      <alignment horizontal="center" vertical="bottom"/>
    </xf>
    <xf borderId="4" fillId="3" fontId="1" numFmtId="0" xfId="0" applyAlignment="1" applyBorder="1" applyFont="1">
      <alignment horizontal="center" vertical="bottom"/>
    </xf>
    <xf borderId="4" fillId="3" fontId="1" numFmtId="164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3" fontId="1" numFmtId="0" xfId="0" applyAlignment="1" applyBorder="1" applyFont="1">
      <alignment horizontal="center" readingOrder="0" vertical="bottom"/>
    </xf>
    <xf borderId="4" fillId="3" fontId="1" numFmtId="164" xfId="0" applyAlignment="1" applyBorder="1" applyFont="1" applyNumberFormat="1">
      <alignment horizontal="center" readingOrder="0" vertical="bottom"/>
    </xf>
    <xf borderId="4" fillId="0" fontId="1" numFmtId="164" xfId="0" applyAlignment="1" applyBorder="1" applyFont="1" applyNumberFormat="1">
      <alignment horizontal="center" readingOrder="0" vertical="bottom"/>
    </xf>
    <xf borderId="4" fillId="0" fontId="1" numFmtId="165" xfId="0" applyAlignment="1" applyBorder="1" applyFont="1" applyNumberFormat="1">
      <alignment horizontal="center" readingOrder="0" vertical="bottom"/>
    </xf>
    <xf borderId="4" fillId="2" fontId="1" numFmtId="49" xfId="0" applyAlignment="1" applyBorder="1" applyFont="1" applyNumberFormat="1">
      <alignment horizontal="center" vertical="bottom"/>
    </xf>
    <xf borderId="4" fillId="2" fontId="1" numFmtId="164" xfId="0" applyAlignment="1" applyBorder="1" applyFont="1" applyNumberFormat="1">
      <alignment horizontal="center" readingOrder="0" vertical="bottom"/>
    </xf>
    <xf borderId="4" fillId="3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4" fillId="0" fontId="1" numFmtId="49" xfId="0" applyAlignment="1" applyBorder="1" applyFont="1" applyNumberFormat="1">
      <alignment horizontal="center" readingOrder="0" vertical="bottom"/>
    </xf>
    <xf borderId="4" fillId="0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vertical="bottom"/>
    </xf>
    <xf borderId="4" fillId="0" fontId="1" numFmtId="166" xfId="0" applyAlignment="1" applyBorder="1" applyFont="1" applyNumberFormat="1">
      <alignment horizontal="center" readingOrder="0"/>
    </xf>
    <xf borderId="4" fillId="0" fontId="1" numFmtId="167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 readingOrder="0" vertical="bottom"/>
    </xf>
    <xf borderId="4" fillId="3" fontId="9" numFmtId="0" xfId="0" applyAlignment="1" applyBorder="1" applyFont="1">
      <alignment horizontal="center" readingOrder="0"/>
    </xf>
    <xf borderId="4" fillId="0" fontId="1" numFmtId="168" xfId="0" applyAlignment="1" applyBorder="1" applyFont="1" applyNumberFormat="1">
      <alignment horizontal="center" readingOrder="0"/>
    </xf>
    <xf borderId="0" fillId="3" fontId="10" numFmtId="0" xfId="0" applyAlignment="1" applyFont="1">
      <alignment readingOrder="0"/>
    </xf>
    <xf borderId="4" fillId="0" fontId="1" numFmtId="169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readingOrder="0" vertical="bottom"/>
    </xf>
    <xf borderId="5" fillId="3" fontId="4" numFmtId="49" xfId="0" applyAlignment="1" applyBorder="1" applyFont="1" applyNumberFormat="1">
      <alignment horizontal="center" vertical="bottom"/>
    </xf>
    <xf borderId="6" fillId="3" fontId="1" numFmtId="0" xfId="0" applyAlignment="1" applyBorder="1" applyFont="1">
      <alignment horizontal="center" vertical="bottom"/>
    </xf>
    <xf borderId="6" fillId="3" fontId="1" numFmtId="164" xfId="0" applyAlignment="1" applyBorder="1" applyFont="1" applyNumberFormat="1">
      <alignment horizontal="center" vertical="bottom"/>
    </xf>
    <xf borderId="6" fillId="0" fontId="1" numFmtId="164" xfId="0" applyAlignment="1" applyBorder="1" applyFont="1" applyNumberFormat="1">
      <alignment horizontal="center" vertical="bottom"/>
    </xf>
    <xf borderId="5" fillId="3" fontId="1" numFmtId="49" xfId="0" applyAlignment="1" applyBorder="1" applyFont="1" applyNumberFormat="1">
      <alignment horizontal="center" vertical="bottom"/>
    </xf>
    <xf borderId="6" fillId="3" fontId="1" numFmtId="0" xfId="0" applyAlignment="1" applyBorder="1" applyFont="1">
      <alignment horizontal="center" readingOrder="0" vertical="bottom"/>
    </xf>
    <xf borderId="6" fillId="3" fontId="1" numFmtId="164" xfId="0" applyAlignment="1" applyBorder="1" applyFont="1" applyNumberFormat="1">
      <alignment horizontal="center" readingOrder="0" vertical="bottom"/>
    </xf>
    <xf borderId="6" fillId="3" fontId="1" numFmtId="165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4" fillId="0" fontId="3" numFmtId="170" xfId="0" applyAlignment="1" applyBorder="1" applyFont="1" applyNumberFormat="1">
      <alignment horizontal="center" readingOrder="0"/>
    </xf>
    <xf borderId="4" fillId="4" fontId="3" numFmtId="0" xfId="0" applyAlignment="1" applyBorder="1" applyFill="1" applyFont="1">
      <alignment horizontal="center" readingOrder="0"/>
    </xf>
    <xf borderId="4" fillId="0" fontId="3" numFmtId="170" xfId="0" applyBorder="1" applyFont="1" applyNumberFormat="1"/>
    <xf borderId="4" fillId="0" fontId="3" numFmtId="170" xfId="0" applyAlignment="1" applyBorder="1" applyFont="1" applyNumberFormat="1">
      <alignment horizontal="center"/>
    </xf>
    <xf borderId="4" fillId="0" fontId="3" numFmtId="168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170" xfId="0" applyAlignment="1" applyFont="1" applyNumberFormat="1">
      <alignment horizontal="center"/>
    </xf>
    <xf borderId="0" fillId="0" fontId="3" numFmtId="170" xfId="0" applyFont="1" applyNumberFormat="1"/>
    <xf borderId="0" fillId="0" fontId="3" numFmtId="0" xfId="0" applyAlignment="1" applyFont="1">
      <alignment horizontal="center" readingOrder="0"/>
    </xf>
    <xf borderId="1" fillId="5" fontId="0" numFmtId="0" xfId="0" applyAlignment="1" applyBorder="1" applyFill="1" applyFont="1">
      <alignment horizontal="center" readingOrder="0" vertical="center"/>
    </xf>
    <xf borderId="4" fillId="5" fontId="0" numFmtId="0" xfId="0" applyAlignment="1" applyBorder="1" applyFont="1">
      <alignment horizontal="center" readingOrder="0" vertical="center"/>
    </xf>
    <xf borderId="4" fillId="5" fontId="0" numFmtId="0" xfId="0" applyAlignment="1" applyBorder="1" applyFont="1">
      <alignment horizontal="center" vertical="center"/>
    </xf>
    <xf borderId="4" fillId="5" fontId="0" numFmtId="171" xfId="0" applyAlignment="1" applyBorder="1" applyFont="1" applyNumberFormat="1">
      <alignment horizontal="center" vertical="center"/>
    </xf>
    <xf borderId="4" fillId="5" fontId="0" numFmtId="172" xfId="0" applyAlignment="1" applyBorder="1" applyFont="1" applyNumberFormat="1">
      <alignment horizontal="center" readingOrder="0" vertical="center"/>
    </xf>
    <xf borderId="4" fillId="5" fontId="0" numFmtId="164" xfId="0" applyAlignment="1" applyBorder="1" applyFont="1" applyNumberFormat="1">
      <alignment horizontal="center" vertical="center"/>
    </xf>
    <xf borderId="4" fillId="0" fontId="0" numFmtId="0" xfId="0" applyAlignment="1" applyBorder="1" applyFont="1">
      <alignment horizontal="center" readingOrder="0" vertical="center"/>
    </xf>
    <xf borderId="4" fillId="0" fontId="0" numFmtId="171" xfId="0" applyAlignment="1" applyBorder="1" applyFont="1" applyNumberFormat="1">
      <alignment horizontal="center" readingOrder="0" vertical="center"/>
    </xf>
    <xf borderId="4" fillId="0" fontId="0" numFmtId="172" xfId="0" applyAlignment="1" applyBorder="1" applyFont="1" applyNumberFormat="1">
      <alignment horizontal="center" readingOrder="0" vertical="center"/>
    </xf>
    <xf borderId="4" fillId="0" fontId="0" numFmtId="0" xfId="0" applyAlignment="1" applyBorder="1" applyFont="1">
      <alignment horizontal="center" vertical="center"/>
    </xf>
    <xf borderId="4" fillId="0" fontId="0" numFmtId="164" xfId="0" applyAlignment="1" applyBorder="1" applyFont="1" applyNumberFormat="1">
      <alignment horizontal="center" readingOrder="0" vertical="center"/>
    </xf>
    <xf borderId="4" fillId="0" fontId="0" numFmtId="173" xfId="0" applyAlignment="1" applyBorder="1" applyFont="1" applyNumberFormat="1">
      <alignment horizontal="center" readingOrder="0" vertical="center"/>
    </xf>
    <xf borderId="4" fillId="6" fontId="0" numFmtId="0" xfId="0" applyAlignment="1" applyBorder="1" applyFill="1" applyFont="1">
      <alignment horizontal="center" readingOrder="0" vertical="center"/>
    </xf>
    <xf borderId="4" fillId="6" fontId="0" numFmtId="171" xfId="0" applyAlignment="1" applyBorder="1" applyFont="1" applyNumberFormat="1">
      <alignment horizontal="center" readingOrder="0" vertical="center"/>
    </xf>
    <xf borderId="4" fillId="0" fontId="0" numFmtId="0" xfId="0" applyAlignment="1" applyBorder="1" applyFont="1">
      <alignment horizontal="center" vertical="center"/>
    </xf>
    <xf borderId="4" fillId="0" fontId="0" numFmtId="164" xfId="0" applyAlignment="1" applyBorder="1" applyFont="1" applyNumberFormat="1">
      <alignment horizontal="center" vertical="center"/>
    </xf>
    <xf borderId="4" fillId="7" fontId="0" numFmtId="0" xfId="0" applyAlignment="1" applyBorder="1" applyFill="1" applyFont="1">
      <alignment horizontal="center" readingOrder="0" vertical="center"/>
    </xf>
    <xf borderId="4" fillId="7" fontId="0" numFmtId="171" xfId="0" applyAlignment="1" applyBorder="1" applyFont="1" applyNumberFormat="1">
      <alignment horizontal="center" readingOrder="0" vertical="center"/>
    </xf>
    <xf borderId="4" fillId="7" fontId="0" numFmtId="172" xfId="0" applyAlignment="1" applyBorder="1" applyFont="1" applyNumberFormat="1">
      <alignment horizontal="center" readingOrder="0" vertical="center"/>
    </xf>
    <xf borderId="4" fillId="7" fontId="0" numFmtId="164" xfId="0" applyAlignment="1" applyBorder="1" applyFont="1" applyNumberFormat="1">
      <alignment horizontal="center" readingOrder="0" vertical="center"/>
    </xf>
    <xf borderId="4" fillId="7" fontId="0" numFmtId="0" xfId="0" applyAlignment="1" applyBorder="1" applyFont="1">
      <alignment horizontal="center" readingOrder="0" shrinkToFit="0" vertical="center" wrapText="1"/>
    </xf>
    <xf borderId="4" fillId="7" fontId="11" numFmtId="172" xfId="0" applyAlignment="1" applyBorder="1" applyFont="1" applyNumberFormat="1">
      <alignment horizontal="center" readingOrder="0" vertical="center"/>
    </xf>
    <xf borderId="4" fillId="7" fontId="0" numFmtId="165" xfId="0" applyAlignment="1" applyBorder="1" applyFont="1" applyNumberFormat="1">
      <alignment horizontal="center" readingOrder="0" vertical="center"/>
    </xf>
    <xf borderId="4" fillId="7" fontId="0" numFmtId="0" xfId="0" applyAlignment="1" applyBorder="1" applyFont="1">
      <alignment horizontal="center" vertical="center"/>
    </xf>
    <xf borderId="4" fillId="7" fontId="11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7" fontId="12" numFmtId="0" xfId="0" applyAlignment="1" applyBorder="1" applyFont="1">
      <alignment horizontal="center" readingOrder="0" vertical="center"/>
    </xf>
    <xf borderId="4" fillId="7" fontId="0" numFmtId="173" xfId="0" applyAlignment="1" applyBorder="1" applyFont="1" applyNumberFormat="1">
      <alignment horizontal="center" readingOrder="0" vertical="center"/>
    </xf>
    <xf borderId="0" fillId="7" fontId="11" numFmtId="0" xfId="0" applyAlignment="1" applyFont="1">
      <alignment horizontal="center" readingOrder="0" shrinkToFit="0" vertical="center" wrapText="0"/>
    </xf>
    <xf borderId="4" fillId="6" fontId="11" numFmtId="0" xfId="0" applyAlignment="1" applyBorder="1" applyFont="1">
      <alignment horizontal="center" readingOrder="0" vertical="center"/>
    </xf>
    <xf borderId="4" fillId="6" fontId="0" numFmtId="172" xfId="0" applyAlignment="1" applyBorder="1" applyFont="1" applyNumberFormat="1">
      <alignment horizontal="center" readingOrder="0" vertical="center"/>
    </xf>
    <xf borderId="4" fillId="6" fontId="0" numFmtId="164" xfId="0" applyAlignment="1" applyBorder="1" applyFont="1" applyNumberFormat="1">
      <alignment horizontal="center" readingOrder="0" vertical="center"/>
    </xf>
    <xf borderId="4" fillId="3" fontId="0" numFmtId="0" xfId="0" applyAlignment="1" applyBorder="1" applyFont="1">
      <alignment horizontal="center" readingOrder="0" vertical="center"/>
    </xf>
    <xf borderId="4" fillId="3" fontId="0" numFmtId="171" xfId="0" applyAlignment="1" applyBorder="1" applyFont="1" applyNumberFormat="1">
      <alignment horizontal="center" readingOrder="0" vertical="center"/>
    </xf>
    <xf borderId="4" fillId="3" fontId="0" numFmtId="172" xfId="0" applyAlignment="1" applyBorder="1" applyFont="1" applyNumberFormat="1">
      <alignment horizontal="center" readingOrder="0" vertical="center"/>
    </xf>
    <xf borderId="4" fillId="3" fontId="11" numFmtId="0" xfId="0" applyAlignment="1" applyBorder="1" applyFont="1">
      <alignment horizontal="center" readingOrder="0" vertical="center"/>
    </xf>
    <xf borderId="4" fillId="3" fontId="0" numFmtId="164" xfId="0" applyAlignment="1" applyBorder="1" applyFont="1" applyNumberFormat="1">
      <alignment horizontal="center" readingOrder="0" vertical="center"/>
    </xf>
    <xf borderId="0" fillId="7" fontId="0" numFmtId="0" xfId="0" applyAlignment="1" applyFont="1">
      <alignment horizontal="center" readingOrder="0" vertical="center"/>
    </xf>
    <xf borderId="3" fillId="7" fontId="0" numFmtId="0" xfId="0" applyAlignment="1" applyBorder="1" applyFont="1">
      <alignment horizontal="center" readingOrder="0" vertical="center"/>
    </xf>
    <xf borderId="3" fillId="7" fontId="0" numFmtId="171" xfId="0" applyAlignment="1" applyBorder="1" applyFont="1" applyNumberFormat="1">
      <alignment horizontal="center" readingOrder="0" vertical="center"/>
    </xf>
    <xf borderId="3" fillId="0" fontId="0" numFmtId="0" xfId="0" applyAlignment="1" applyBorder="1" applyFont="1">
      <alignment horizontal="center" readingOrder="0" vertical="center"/>
    </xf>
    <xf borderId="3" fillId="0" fontId="0" numFmtId="171" xfId="0" applyAlignment="1" applyBorder="1" applyFont="1" applyNumberFormat="1">
      <alignment horizontal="center" readingOrder="0" vertical="center"/>
    </xf>
    <xf borderId="3" fillId="3" fontId="0" numFmtId="0" xfId="0" applyAlignment="1" applyBorder="1" applyFont="1">
      <alignment horizontal="center" readingOrder="0" vertical="center"/>
    </xf>
    <xf borderId="3" fillId="3" fontId="0" numFmtId="171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4" fillId="0" fontId="0" numFmtId="166" xfId="0" applyAlignment="1" applyBorder="1" applyFont="1" applyNumberForma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171" xfId="0" applyAlignment="1" applyFont="1" applyNumberFormat="1">
      <alignment horizontal="center"/>
    </xf>
    <xf borderId="0" fillId="0" fontId="8" numFmtId="172" xfId="0" applyAlignment="1" applyFont="1" applyNumberForma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vertical="center"/>
    </xf>
    <xf borderId="4" fillId="5" fontId="1" numFmtId="171" xfId="0" applyAlignment="1" applyBorder="1" applyFont="1" applyNumberFormat="1">
      <alignment horizontal="center" vertical="center"/>
    </xf>
    <xf borderId="4" fillId="5" fontId="1" numFmtId="172" xfId="0" applyAlignment="1" applyBorder="1" applyFont="1" applyNumberFormat="1">
      <alignment horizontal="center" vertical="center"/>
    </xf>
    <xf borderId="4" fillId="5" fontId="1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171" xfId="0" applyAlignment="1" applyBorder="1" applyFont="1" applyNumberFormat="1">
      <alignment horizontal="center" readingOrder="0" vertical="center"/>
    </xf>
    <xf borderId="4" fillId="0" fontId="1" numFmtId="17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readingOrder="0" vertical="center"/>
    </xf>
    <xf borderId="4" fillId="0" fontId="1" numFmtId="173" xfId="0" applyAlignment="1" applyBorder="1" applyFont="1" applyNumberFormat="1">
      <alignment horizontal="center" readingOrder="0" vertical="center"/>
    </xf>
    <xf borderId="4" fillId="0" fontId="1" numFmtId="172" xfId="0" applyAlignment="1" applyBorder="1" applyFont="1" applyNumberForma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4" fillId="7" fontId="1" numFmtId="171" xfId="0" applyAlignment="1" applyBorder="1" applyFont="1" applyNumberFormat="1">
      <alignment horizontal="center" readingOrder="0" vertical="center"/>
    </xf>
    <xf borderId="4" fillId="7" fontId="1" numFmtId="172" xfId="0" applyAlignment="1" applyBorder="1" applyFont="1" applyNumberFormat="1">
      <alignment horizontal="center" readingOrder="0" vertical="center"/>
    </xf>
    <xf borderId="4" fillId="7" fontId="1" numFmtId="164" xfId="0" applyAlignment="1" applyBorder="1" applyFont="1" applyNumberFormat="1">
      <alignment horizontal="center" readingOrder="0" vertical="center"/>
    </xf>
    <xf borderId="4" fillId="6" fontId="1" numFmtId="0" xfId="0" applyAlignment="1" applyBorder="1" applyFont="1">
      <alignment horizontal="center" readingOrder="0" vertical="center"/>
    </xf>
    <xf borderId="4" fillId="6" fontId="1" numFmtId="171" xfId="0" applyAlignment="1" applyBorder="1" applyFont="1" applyNumberFormat="1">
      <alignment horizontal="center" readingOrder="0" vertical="center"/>
    </xf>
    <xf borderId="4" fillId="6" fontId="1" numFmtId="172" xfId="0" applyAlignment="1" applyBorder="1" applyFont="1" applyNumberFormat="1">
      <alignment horizontal="center" readingOrder="0" vertical="center"/>
    </xf>
    <xf borderId="4" fillId="6" fontId="1" numFmtId="164" xfId="0" applyAlignment="1" applyBorder="1" applyFont="1" applyNumberForma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3" fontId="1" numFmtId="171" xfId="0" applyAlignment="1" applyBorder="1" applyFont="1" applyNumberFormat="1">
      <alignment horizontal="center" readingOrder="0" vertical="center"/>
    </xf>
    <xf borderId="4" fillId="8" fontId="1" numFmtId="0" xfId="0" applyAlignment="1" applyBorder="1" applyFill="1" applyFont="1">
      <alignment horizontal="center" readingOrder="0" vertical="center"/>
    </xf>
    <xf borderId="4" fillId="6" fontId="1" numFmtId="174" xfId="0" applyAlignment="1" applyBorder="1" applyFont="1" applyNumberFormat="1">
      <alignment horizontal="center" readingOrder="0" vertical="center"/>
    </xf>
    <xf borderId="4" fillId="6" fontId="1" numFmtId="17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8" numFmtId="171" xfId="0" applyAlignment="1" applyFont="1" applyNumberFormat="1">
      <alignment horizontal="center" vertical="center"/>
    </xf>
    <xf borderId="0" fillId="0" fontId="8" numFmtId="172" xfId="0" applyAlignment="1" applyFont="1" applyNumberFormat="1">
      <alignment horizontal="center" vertical="center"/>
    </xf>
    <xf borderId="0" fillId="0" fontId="8" numFmtId="173" xfId="0" applyAlignment="1" applyFont="1" applyNumberFormat="1">
      <alignment horizontal="center" readingOrder="0" vertical="center"/>
    </xf>
    <xf borderId="1" fillId="5" fontId="8" numFmtId="0" xfId="0" applyAlignment="1" applyBorder="1" applyFont="1">
      <alignment horizontal="center" readingOrder="0" vertical="center"/>
    </xf>
    <xf borderId="4" fillId="5" fontId="8" numFmtId="0" xfId="0" applyAlignment="1" applyBorder="1" applyFont="1">
      <alignment horizontal="center" readingOrder="0" vertical="center"/>
    </xf>
    <xf borderId="4" fillId="5" fontId="8" numFmtId="0" xfId="0" applyAlignment="1" applyBorder="1" applyFont="1">
      <alignment horizontal="center" vertical="center"/>
    </xf>
    <xf borderId="4" fillId="5" fontId="8" numFmtId="171" xfId="0" applyAlignment="1" applyBorder="1" applyFont="1" applyNumberFormat="1">
      <alignment horizontal="center" vertical="center"/>
    </xf>
    <xf borderId="4" fillId="5" fontId="8" numFmtId="172" xfId="0" applyAlignment="1" applyBorder="1" applyFont="1" applyNumberFormat="1">
      <alignment horizontal="center" vertical="center"/>
    </xf>
    <xf borderId="4" fillId="5" fontId="8" numFmtId="164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4" fillId="0" fontId="8" numFmtId="171" xfId="0" applyAlignment="1" applyBorder="1" applyFont="1" applyNumberFormat="1">
      <alignment horizontal="center" readingOrder="0" vertical="center"/>
    </xf>
    <xf borderId="4" fillId="0" fontId="8" numFmtId="172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8" numFmtId="164" xfId="0" applyAlignment="1" applyBorder="1" applyFont="1" applyNumberFormat="1">
      <alignment horizontal="center" readingOrder="0" vertical="center"/>
    </xf>
    <xf borderId="4" fillId="0" fontId="8" numFmtId="173" xfId="0" applyAlignment="1" applyBorder="1" applyFont="1" applyNumberFormat="1">
      <alignment horizontal="center" readingOrder="0" vertical="center"/>
    </xf>
    <xf borderId="4" fillId="0" fontId="8" numFmtId="172" xfId="0" applyAlignment="1" applyBorder="1" applyFont="1" applyNumberFormat="1">
      <alignment horizontal="center" readingOrder="0" vertical="center"/>
    </xf>
    <xf borderId="4" fillId="6" fontId="8" numFmtId="171" xfId="0" applyAlignment="1" applyBorder="1" applyFont="1" applyNumberFormat="1">
      <alignment horizontal="center" readingOrder="0" vertical="center"/>
    </xf>
    <xf borderId="4" fillId="3" fontId="8" numFmtId="0" xfId="0" applyAlignment="1" applyBorder="1" applyFont="1">
      <alignment horizontal="center" readingOrder="0" vertical="bottom"/>
    </xf>
    <xf borderId="4" fillId="6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4" fillId="7" fontId="8" numFmtId="0" xfId="0" applyAlignment="1" applyBorder="1" applyFont="1">
      <alignment horizontal="center" readingOrder="0" vertical="center"/>
    </xf>
    <xf borderId="4" fillId="7" fontId="8" numFmtId="171" xfId="0" applyAlignment="1" applyBorder="1" applyFont="1" applyNumberFormat="1">
      <alignment horizontal="center" readingOrder="0" vertical="center"/>
    </xf>
    <xf borderId="4" fillId="7" fontId="8" numFmtId="164" xfId="0" applyAlignment="1" applyBorder="1" applyFont="1" applyNumberFormat="1">
      <alignment horizontal="center" readingOrder="0" vertical="center"/>
    </xf>
    <xf borderId="4" fillId="7" fontId="8" numFmtId="0" xfId="0" applyAlignment="1" applyBorder="1" applyFont="1">
      <alignment horizontal="center" readingOrder="0" vertical="bottom"/>
    </xf>
    <xf borderId="5" fillId="3" fontId="8" numFmtId="0" xfId="0" applyAlignment="1" applyBorder="1" applyFont="1">
      <alignment horizontal="center" readingOrder="0" vertical="bottom"/>
    </xf>
    <xf borderId="4" fillId="7" fontId="8" numFmtId="172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readingOrder="0"/>
    </xf>
    <xf borderId="4" fillId="0" fontId="8" numFmtId="0" xfId="0" applyAlignment="1" applyBorder="1" applyFont="1">
      <alignment horizontal="center" vertical="bottom"/>
    </xf>
    <xf borderId="4" fillId="0" fontId="8" numFmtId="171" xfId="0" applyAlignment="1" applyBorder="1" applyFont="1" applyNumberFormat="1">
      <alignment horizontal="center" vertical="bottom"/>
    </xf>
    <xf borderId="4" fillId="0" fontId="8" numFmtId="172" xfId="0" applyAlignment="1" applyBorder="1" applyFont="1" applyNumberFormat="1">
      <alignment horizontal="center" vertical="bottom"/>
    </xf>
    <xf borderId="4" fillId="0" fontId="8" numFmtId="0" xfId="0" applyAlignment="1" applyBorder="1" applyFont="1">
      <alignment horizontal="center" vertical="bottom"/>
    </xf>
    <xf borderId="4" fillId="0" fontId="8" numFmtId="166" xfId="0" applyAlignment="1" applyBorder="1" applyFont="1" applyNumberFormat="1">
      <alignment horizontal="center" vertical="bottom"/>
    </xf>
    <xf borderId="0" fillId="0" fontId="8" numFmtId="171" xfId="0" applyAlignment="1" applyFont="1" applyNumberFormat="1">
      <alignment horizontal="center" readingOrder="0" vertical="center"/>
    </xf>
    <xf borderId="1" fillId="9" fontId="8" numFmtId="0" xfId="0" applyAlignment="1" applyBorder="1" applyFill="1" applyFont="1">
      <alignment horizontal="center" readingOrder="0" vertical="center"/>
    </xf>
    <xf borderId="4" fillId="9" fontId="8" numFmtId="0" xfId="0" applyAlignment="1" applyBorder="1" applyFont="1">
      <alignment horizontal="center" readingOrder="0" vertical="center"/>
    </xf>
    <xf borderId="4" fillId="9" fontId="8" numFmtId="0" xfId="0" applyAlignment="1" applyBorder="1" applyFont="1">
      <alignment horizontal="center" vertical="center"/>
    </xf>
    <xf borderId="4" fillId="9" fontId="8" numFmtId="171" xfId="0" applyAlignment="1" applyBorder="1" applyFont="1" applyNumberFormat="1">
      <alignment horizontal="center" readingOrder="0" vertical="center"/>
    </xf>
    <xf borderId="4" fillId="9" fontId="8" numFmtId="172" xfId="0" applyAlignment="1" applyBorder="1" applyFont="1" applyNumberFormat="1">
      <alignment horizontal="center" readingOrder="0" vertical="center"/>
    </xf>
    <xf borderId="4" fillId="9" fontId="8" numFmtId="164" xfId="0" applyAlignment="1" applyBorder="1" applyFont="1" applyNumberFormat="1">
      <alignment horizontal="center" vertical="center"/>
    </xf>
    <xf borderId="4" fillId="7" fontId="8" numFmtId="172" xfId="0" applyAlignment="1" applyBorder="1" applyFont="1" applyNumberFormat="1">
      <alignment horizontal="center" vertical="center"/>
    </xf>
    <xf borderId="7" fillId="7" fontId="8" numFmtId="164" xfId="0" applyAlignment="1" applyBorder="1" applyFont="1" applyNumberFormat="1">
      <alignment horizontal="center" readingOrder="0" vertical="center"/>
    </xf>
    <xf borderId="5" fillId="0" fontId="2" numFmtId="0" xfId="0" applyBorder="1" applyFont="1"/>
    <xf borderId="8" fillId="0" fontId="2" numFmtId="0" xfId="0" applyBorder="1" applyFont="1"/>
    <xf borderId="4" fillId="2" fontId="15" numFmtId="0" xfId="0" applyAlignment="1" applyBorder="1" applyFont="1">
      <alignment horizontal="center" readingOrder="0" vertical="center"/>
    </xf>
    <xf borderId="4" fillId="2" fontId="15" numFmtId="171" xfId="0" applyAlignment="1" applyBorder="1" applyFont="1" applyNumberFormat="1">
      <alignment horizontal="center" readingOrder="0" vertical="center"/>
    </xf>
    <xf borderId="4" fillId="2" fontId="15" numFmtId="172" xfId="0" applyAlignment="1" applyBorder="1" applyFont="1" applyNumberFormat="1">
      <alignment horizontal="center" readingOrder="0" vertical="center"/>
    </xf>
    <xf borderId="4" fillId="2" fontId="15" numFmtId="165" xfId="0" applyAlignment="1" applyBorder="1" applyFont="1" applyNumberFormat="1">
      <alignment horizontal="center" readingOrder="0" vertical="center"/>
    </xf>
    <xf borderId="4" fillId="9" fontId="8" numFmtId="171" xfId="0" applyAlignment="1" applyBorder="1" applyFont="1" applyNumberFormat="1">
      <alignment horizontal="center" vertical="center"/>
    </xf>
    <xf borderId="4" fillId="9" fontId="8" numFmtId="172" xfId="0" applyAlignment="1" applyBorder="1" applyFont="1" applyNumberFormat="1">
      <alignment horizontal="center" vertical="center"/>
    </xf>
    <xf borderId="4" fillId="7" fontId="8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4" fillId="7" fontId="8" numFmtId="164" xfId="0" applyAlignment="1" applyBorder="1" applyFont="1" applyNumberFormat="1">
      <alignment horizontal="center" vertical="center"/>
    </xf>
    <xf borderId="4" fillId="7" fontId="8" numFmtId="165" xfId="0" applyAlignment="1" applyBorder="1" applyFont="1" applyNumberFormat="1">
      <alignment horizontal="center" readingOrder="0" vertical="center"/>
    </xf>
    <xf borderId="4" fillId="6" fontId="8" numFmtId="172" xfId="0" applyAlignment="1" applyBorder="1" applyFont="1" applyNumberFormat="1">
      <alignment horizontal="center" readingOrder="0" vertical="center"/>
    </xf>
    <xf borderId="4" fillId="6" fontId="8" numFmtId="164" xfId="0" applyAlignment="1" applyBorder="1" applyFont="1" applyNumberFormat="1">
      <alignment horizontal="center" readingOrder="0" vertical="center"/>
    </xf>
    <xf borderId="4" fillId="7" fontId="8" numFmtId="0" xfId="0" applyAlignment="1" applyBorder="1" applyFont="1">
      <alignment horizontal="center" readingOrder="0" shrinkToFit="0" vertical="center" wrapText="1"/>
    </xf>
    <xf borderId="4" fillId="6" fontId="16" numFmtId="0" xfId="0" applyAlignment="1" applyBorder="1" applyFont="1">
      <alignment horizontal="center" readingOrder="0"/>
    </xf>
    <xf borderId="3" fillId="6" fontId="8" numFmtId="0" xfId="0" applyAlignment="1" applyBorder="1" applyFont="1">
      <alignment horizontal="center" readingOrder="0"/>
    </xf>
    <xf borderId="3" fillId="0" fontId="8" numFmtId="171" xfId="0" applyAlignment="1" applyBorder="1" applyFont="1" applyNumberFormat="1">
      <alignment horizontal="center" readingOrder="0"/>
    </xf>
    <xf borderId="3" fillId="0" fontId="8" numFmtId="172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horizontal="center" readingOrder="0"/>
    </xf>
    <xf borderId="3" fillId="0" fontId="8" numFmtId="164" xfId="0" applyAlignment="1" applyBorder="1" applyFont="1" applyNumberFormat="1">
      <alignment horizontal="center" readingOrder="0"/>
    </xf>
    <xf borderId="4" fillId="7" fontId="6" numFmtId="0" xfId="0" applyAlignment="1" applyBorder="1" applyFont="1">
      <alignment horizontal="center" readingOrder="0"/>
    </xf>
    <xf borderId="4" fillId="7" fontId="1" numFmtId="0" xfId="0" applyAlignment="1" applyBorder="1" applyFont="1">
      <alignment horizontal="center" readingOrder="0"/>
    </xf>
    <xf borderId="4" fillId="3" fontId="8" numFmtId="164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readingOrder="0"/>
    </xf>
    <xf borderId="3" fillId="0" fontId="8" numFmtId="0" xfId="0" applyBorder="1" applyFont="1"/>
    <xf borderId="4" fillId="3" fontId="8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/>
    </xf>
    <xf borderId="3" fillId="0" fontId="8" numFmtId="172" xfId="0" applyAlignment="1" applyBorder="1" applyFont="1" applyNumberFormat="1">
      <alignment horizontal="center"/>
    </xf>
    <xf borderId="4" fillId="2" fontId="8" numFmtId="0" xfId="0" applyAlignment="1" applyBorder="1" applyFont="1">
      <alignment horizontal="center" readingOrder="0" vertical="center"/>
    </xf>
    <xf borderId="4" fillId="2" fontId="8" numFmtId="171" xfId="0" applyAlignment="1" applyBorder="1" applyFont="1" applyNumberFormat="1">
      <alignment horizontal="center" readingOrder="0" vertical="center"/>
    </xf>
    <xf borderId="4" fillId="2" fontId="8" numFmtId="172" xfId="0" applyAlignment="1" applyBorder="1" applyFont="1" applyNumberFormat="1">
      <alignment horizontal="center" readingOrder="0" vertical="center"/>
    </xf>
    <xf borderId="4" fillId="2" fontId="8" numFmtId="164" xfId="0" applyAlignment="1" applyBorder="1" applyFont="1" applyNumberFormat="1">
      <alignment horizontal="center" readingOrder="0" vertical="center"/>
    </xf>
    <xf borderId="1" fillId="10" fontId="8" numFmtId="0" xfId="0" applyAlignment="1" applyBorder="1" applyFill="1" applyFont="1">
      <alignment horizontal="center" readingOrder="0" vertical="center"/>
    </xf>
    <xf borderId="4" fillId="10" fontId="8" numFmtId="0" xfId="0" applyAlignment="1" applyBorder="1" applyFont="1">
      <alignment horizontal="center" readingOrder="0" vertical="center"/>
    </xf>
    <xf borderId="4" fillId="10" fontId="8" numFmtId="0" xfId="0" applyAlignment="1" applyBorder="1" applyFont="1">
      <alignment horizontal="center" vertical="center"/>
    </xf>
    <xf borderId="4" fillId="10" fontId="8" numFmtId="171" xfId="0" applyAlignment="1" applyBorder="1" applyFont="1" applyNumberFormat="1">
      <alignment horizontal="center" vertical="center"/>
    </xf>
    <xf borderId="4" fillId="10" fontId="8" numFmtId="172" xfId="0" applyAlignment="1" applyBorder="1" applyFont="1" applyNumberFormat="1">
      <alignment horizontal="center" vertical="center"/>
    </xf>
    <xf borderId="4" fillId="10" fontId="8" numFmtId="164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vertical="center"/>
    </xf>
    <xf borderId="3" fillId="0" fontId="8" numFmtId="171" xfId="0" applyAlignment="1" applyBorder="1" applyFont="1" applyNumberFormat="1">
      <alignment horizontal="center" readingOrder="0" vertical="center"/>
    </xf>
    <xf borderId="3" fillId="0" fontId="8" numFmtId="172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/>
    </xf>
    <xf borderId="3" fillId="0" fontId="8" numFmtId="164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3" fillId="0" fontId="8" numFmtId="172" xfId="0" applyAlignment="1" applyBorder="1" applyFont="1" applyNumberFormat="1">
      <alignment horizontal="center" readingOrder="0" vertical="center"/>
    </xf>
    <xf borderId="3" fillId="0" fontId="8" numFmtId="0" xfId="0" applyAlignment="1" applyBorder="1" applyFont="1">
      <alignment horizontal="center" vertical="center"/>
    </xf>
    <xf borderId="3" fillId="0" fontId="8" numFmtId="164" xfId="0" applyAlignment="1" applyBorder="1" applyFont="1" applyNumberFormat="1">
      <alignment horizontal="center" readingOrder="0" vertical="center"/>
    </xf>
    <xf borderId="7" fillId="7" fontId="8" numFmtId="0" xfId="0" applyAlignment="1" applyBorder="1" applyFont="1">
      <alignment horizontal="center" readingOrder="0" vertical="center"/>
    </xf>
    <xf borderId="3" fillId="7" fontId="8" numFmtId="0" xfId="0" applyAlignment="1" applyBorder="1" applyFont="1">
      <alignment horizontal="center" readingOrder="0"/>
    </xf>
    <xf borderId="3" fillId="7" fontId="8" numFmtId="172" xfId="0" applyAlignment="1" applyBorder="1" applyFont="1" applyNumberFormat="1">
      <alignment horizontal="center" vertical="center"/>
    </xf>
    <xf borderId="3" fillId="7" fontId="8" numFmtId="0" xfId="0" applyAlignment="1" applyBorder="1" applyFont="1">
      <alignment horizontal="center"/>
    </xf>
    <xf borderId="3" fillId="7" fontId="8" numFmtId="164" xfId="0" applyAlignment="1" applyBorder="1" applyFont="1" applyNumberFormat="1">
      <alignment horizontal="center" readingOrder="0"/>
    </xf>
    <xf borderId="4" fillId="7" fontId="16" numFmtId="0" xfId="0" applyAlignment="1" applyBorder="1" applyFont="1">
      <alignment horizontal="center" readingOrder="0"/>
    </xf>
    <xf borderId="3" fillId="7" fontId="8" numFmtId="171" xfId="0" applyAlignment="1" applyBorder="1" applyFont="1" applyNumberFormat="1">
      <alignment horizontal="center" readingOrder="0"/>
    </xf>
    <xf borderId="3" fillId="7" fontId="8" numFmtId="172" xfId="0" applyAlignment="1" applyBorder="1" applyFont="1" applyNumberFormat="1">
      <alignment horizontal="center" readingOrder="0"/>
    </xf>
    <xf borderId="6" fillId="7" fontId="8" numFmtId="0" xfId="0" applyAlignment="1" applyBorder="1" applyFont="1">
      <alignment horizontal="center" readingOrder="0" vertical="center"/>
    </xf>
    <xf borderId="9" fillId="7" fontId="8" numFmtId="0" xfId="0" applyAlignment="1" applyBorder="1" applyFont="1">
      <alignment horizontal="center" readingOrder="0" vertical="center"/>
    </xf>
    <xf borderId="6" fillId="7" fontId="8" numFmtId="164" xfId="0" applyAlignment="1" applyBorder="1" applyFont="1" applyNumberFormat="1">
      <alignment horizontal="center" readingOrder="0" vertical="center"/>
    </xf>
    <xf borderId="4" fillId="7" fontId="17" numFmtId="171" xfId="0" applyAlignment="1" applyBorder="1" applyFont="1" applyNumberFormat="1">
      <alignment horizontal="center" readingOrder="0"/>
    </xf>
    <xf borderId="9" fillId="0" fontId="2" numFmtId="0" xfId="0" applyBorder="1" applyFont="1"/>
    <xf borderId="6" fillId="7" fontId="8" numFmtId="171" xfId="0" applyAlignment="1" applyBorder="1" applyFont="1" applyNumberFormat="1">
      <alignment horizontal="center" readingOrder="0" vertical="center"/>
    </xf>
    <xf borderId="7" fillId="3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center"/>
    </xf>
    <xf borderId="6" fillId="3" fontId="8" numFmtId="171" xfId="0" applyAlignment="1" applyBorder="1" applyFont="1" applyNumberFormat="1">
      <alignment horizontal="center" readingOrder="0" vertical="center"/>
    </xf>
    <xf borderId="4" fillId="3" fontId="8" numFmtId="172" xfId="0" applyAlignment="1" applyBorder="1" applyFont="1" applyNumberFormat="1">
      <alignment horizontal="center" readingOrder="0" vertical="center"/>
    </xf>
    <xf borderId="0" fillId="3" fontId="16" numFmtId="0" xfId="0" applyAlignment="1" applyFont="1">
      <alignment horizontal="center" readingOrder="0"/>
    </xf>
    <xf borderId="0" fillId="7" fontId="16" numFmtId="0" xfId="0" applyAlignment="1" applyFont="1">
      <alignment horizontal="center" readingOrder="0"/>
    </xf>
    <xf borderId="4" fillId="0" fontId="8" numFmtId="165" xfId="0" applyAlignment="1" applyBorder="1" applyFont="1" applyNumberFormat="1">
      <alignment horizontal="center" readingOrder="0" vertical="center"/>
    </xf>
    <xf borderId="4" fillId="7" fontId="8" numFmtId="166" xfId="0" applyAlignment="1" applyBorder="1" applyFont="1" applyNumberFormat="1">
      <alignment horizontal="center" readingOrder="0" vertical="center"/>
    </xf>
    <xf borderId="4" fillId="0" fontId="8" numFmtId="166" xfId="0" applyAlignment="1" applyBorder="1" applyFont="1" applyNumberFormat="1">
      <alignment horizontal="center" readingOrder="0" vertical="center"/>
    </xf>
    <xf borderId="4" fillId="7" fontId="8" numFmtId="173" xfId="0" applyAlignment="1" applyBorder="1" applyFont="1" applyNumberFormat="1">
      <alignment horizontal="center" readingOrder="0" vertical="center"/>
    </xf>
    <xf borderId="4" fillId="7" fontId="16" numFmtId="0" xfId="0" applyAlignment="1" applyBorder="1" applyFont="1">
      <alignment horizontal="center" readingOrder="0" vertical="center"/>
    </xf>
    <xf borderId="4" fillId="3" fontId="8" numFmtId="171" xfId="0" applyAlignment="1" applyBorder="1" applyFont="1" applyNumberFormat="1">
      <alignment horizontal="center" readingOrder="0" vertical="center"/>
    </xf>
    <xf borderId="4" fillId="7" fontId="8" numFmtId="0" xfId="0" applyAlignment="1" applyBorder="1" applyFont="1">
      <alignment horizontal="center" readingOrder="0"/>
    </xf>
    <xf borderId="4" fillId="7" fontId="8" numFmtId="0" xfId="0" applyAlignment="1" applyBorder="1" applyFont="1">
      <alignment horizontal="center"/>
    </xf>
    <xf borderId="4" fillId="7" fontId="8" numFmtId="171" xfId="0" applyAlignment="1" applyBorder="1" applyFont="1" applyNumberFormat="1">
      <alignment horizontal="center"/>
    </xf>
    <xf borderId="4" fillId="7" fontId="8" numFmtId="172" xfId="0" applyAlignment="1" applyBorder="1" applyFont="1" applyNumberFormat="1">
      <alignment horizontal="center"/>
    </xf>
    <xf borderId="4" fillId="7" fontId="8" numFmtId="166" xfId="0" applyAlignment="1" applyBorder="1" applyFont="1" applyNumberFormat="1">
      <alignment horizontal="center"/>
    </xf>
    <xf borderId="4" fillId="3" fontId="8" numFmtId="0" xfId="0" applyAlignment="1" applyBorder="1" applyFont="1">
      <alignment horizontal="center"/>
    </xf>
    <xf borderId="4" fillId="3" fontId="8" numFmtId="171" xfId="0" applyAlignment="1" applyBorder="1" applyFont="1" applyNumberFormat="1">
      <alignment horizontal="center"/>
    </xf>
    <xf borderId="4" fillId="3" fontId="8" numFmtId="172" xfId="0" applyAlignment="1" applyBorder="1" applyFont="1" applyNumberFormat="1">
      <alignment horizontal="center"/>
    </xf>
    <xf borderId="4" fillId="3" fontId="8" numFmtId="164" xfId="0" applyAlignment="1" applyBorder="1" applyFont="1" applyNumberFormat="1">
      <alignment horizontal="center"/>
    </xf>
    <xf borderId="4" fillId="3" fontId="8" numFmtId="0" xfId="0" applyAlignment="1" applyBorder="1" applyFont="1">
      <alignment horizontal="center" readingOrder="0"/>
    </xf>
    <xf borderId="10" fillId="11" fontId="8" numFmtId="0" xfId="0" applyAlignment="1" applyBorder="1" applyFill="1" applyFont="1">
      <alignment horizontal="center" readingOrder="0" shrinkToFit="0" vertical="center" wrapText="1"/>
    </xf>
    <xf borderId="0" fillId="11" fontId="8" numFmtId="0" xfId="0" applyAlignment="1" applyFont="1">
      <alignment horizontal="center" readingOrder="0" shrinkToFit="0" vertical="center" wrapText="1"/>
    </xf>
    <xf borderId="7" fillId="11" fontId="8" numFmtId="0" xfId="0" applyAlignment="1" applyBorder="1" applyFont="1">
      <alignment horizontal="center" readingOrder="0" vertical="center"/>
    </xf>
    <xf borderId="7" fillId="11" fontId="8" numFmtId="0" xfId="0" applyAlignment="1" applyBorder="1" applyFont="1">
      <alignment horizontal="center" vertical="center"/>
    </xf>
    <xf borderId="7" fillId="11" fontId="8" numFmtId="171" xfId="0" applyAlignment="1" applyBorder="1" applyFont="1" applyNumberFormat="1">
      <alignment horizontal="center" vertical="center"/>
    </xf>
    <xf borderId="7" fillId="11" fontId="8" numFmtId="172" xfId="0" applyAlignment="1" applyBorder="1" applyFont="1" applyNumberFormat="1">
      <alignment horizontal="center" vertical="center"/>
    </xf>
    <xf borderId="7" fillId="11" fontId="8" numFmtId="164" xfId="0" applyAlignment="1" applyBorder="1" applyFont="1" applyNumberFormat="1">
      <alignment horizontal="center" vertical="center"/>
    </xf>
    <xf borderId="0" fillId="11" fontId="8" numFmtId="0" xfId="0" applyAlignment="1" applyFont="1">
      <alignment horizontal="center" vertical="center"/>
    </xf>
    <xf borderId="4" fillId="0" fontId="8" numFmtId="171" xfId="0" applyAlignment="1" applyBorder="1" applyFont="1" applyNumberFormat="1">
      <alignment horizontal="center" vertical="center"/>
    </xf>
    <xf borderId="0" fillId="0" fontId="8" numFmtId="168" xfId="0" applyAlignment="1" applyFont="1" applyNumberFormat="1">
      <alignment horizontal="center" readingOrder="0" vertical="center"/>
    </xf>
    <xf borderId="0" fillId="0" fontId="8" numFmtId="176" xfId="0" applyAlignment="1" applyFont="1" applyNumberFormat="1">
      <alignment horizontal="center" readingOrder="0" vertical="center"/>
    </xf>
    <xf borderId="0" fillId="0" fontId="8" numFmtId="164" xfId="0" applyAlignment="1" applyFont="1" applyNumberFormat="1">
      <alignment horizontal="center" vertical="center"/>
    </xf>
    <xf borderId="0" fillId="6" fontId="11" numFmtId="0" xfId="0" applyAlignment="1" applyFont="1">
      <alignment horizontal="left" readingOrder="0" vertical="center"/>
    </xf>
    <xf borderId="0" fillId="0" fontId="0" numFmtId="0" xfId="0" applyAlignment="1" applyFont="1">
      <alignment horizontal="center" readingOrder="0" vertical="center"/>
    </xf>
    <xf borderId="0" fillId="0" fontId="0" numFmtId="0" xfId="0" applyFont="1"/>
    <xf borderId="0" fillId="0" fontId="11" numFmtId="0" xfId="0" applyAlignment="1" applyFont="1">
      <alignment horizontal="left" readingOrder="0" vertical="center"/>
    </xf>
    <xf borderId="0" fillId="0" fontId="11" numFmtId="164" xfId="0" applyAlignment="1" applyFont="1" applyNumberFormat="1">
      <alignment horizontal="center" readingOrder="0" vertical="bottom"/>
    </xf>
    <xf borderId="0" fillId="0" fontId="0" numFmtId="167" xfId="0" applyAlignment="1" applyFont="1" applyNumberFormat="1">
      <alignment horizontal="center" readingOrder="0"/>
    </xf>
    <xf borderId="11" fillId="5" fontId="6" numFmtId="0" xfId="0" applyAlignment="1" applyBorder="1" applyFont="1">
      <alignment horizontal="center" readingOrder="0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6" fillId="0" fontId="2" numFmtId="0" xfId="0" applyBorder="1" applyFont="1"/>
    <xf borderId="4" fillId="5" fontId="6" numFmtId="0" xfId="0" applyAlignment="1" applyBorder="1" applyFont="1">
      <alignment horizontal="center" readingOrder="0" vertical="center"/>
    </xf>
    <xf borderId="4" fillId="5" fontId="6" numFmtId="0" xfId="0" applyAlignment="1" applyBorder="1" applyFont="1">
      <alignment horizontal="center" vertical="center"/>
    </xf>
    <xf borderId="4" fillId="5" fontId="6" numFmtId="171" xfId="0" applyAlignment="1" applyBorder="1" applyFont="1" applyNumberFormat="1">
      <alignment horizontal="center" vertical="center"/>
    </xf>
    <xf borderId="4" fillId="5" fontId="6" numFmtId="164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171" xfId="0" applyAlignment="1" applyBorder="1" applyFont="1" applyNumberFormat="1">
      <alignment horizontal="center" readingOrder="0" vertical="center"/>
    </xf>
    <xf borderId="4" fillId="0" fontId="6" numFmtId="164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readingOrder="0"/>
    </xf>
    <xf borderId="4" fillId="7" fontId="6" numFmtId="0" xfId="0" applyAlignment="1" applyBorder="1" applyFont="1">
      <alignment horizontal="center" readingOrder="0" vertical="center"/>
    </xf>
    <xf borderId="4" fillId="7" fontId="6" numFmtId="171" xfId="0" applyAlignment="1" applyBorder="1" applyFont="1" applyNumberFormat="1">
      <alignment horizontal="center" readingOrder="0" vertical="center"/>
    </xf>
    <xf borderId="4" fillId="7" fontId="6" numFmtId="164" xfId="0" applyAlignment="1" applyBorder="1" applyFont="1" applyNumberForma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4" fillId="6" fontId="6" numFmtId="171" xfId="0" applyAlignment="1" applyBorder="1" applyFont="1" applyNumberFormat="1">
      <alignment horizontal="center" readingOrder="0" vertical="center"/>
    </xf>
    <xf borderId="4" fillId="3" fontId="6" numFmtId="0" xfId="0" applyAlignment="1" applyBorder="1" applyFont="1">
      <alignment horizontal="center" readingOrder="0" vertical="center"/>
    </xf>
    <xf borderId="4" fillId="3" fontId="16" numFmtId="0" xfId="0" applyAlignment="1" applyBorder="1" applyFont="1">
      <alignment horizontal="center"/>
    </xf>
    <xf borderId="4" fillId="0" fontId="16" numFmtId="0" xfId="0" applyAlignment="1" applyBorder="1" applyFont="1">
      <alignment horizontal="center"/>
    </xf>
    <xf borderId="4" fillId="0" fontId="16" numFmtId="171" xfId="0" applyAlignment="1" applyBorder="1" applyFont="1" applyNumberFormat="1">
      <alignment horizontal="center"/>
    </xf>
    <xf borderId="4" fillId="0" fontId="16" numFmtId="0" xfId="0" applyAlignment="1" applyBorder="1" applyFont="1">
      <alignment horizontal="center" readingOrder="0"/>
    </xf>
    <xf borderId="4" fillId="0" fontId="16" numFmtId="164" xfId="0" applyAlignment="1" applyBorder="1" applyFont="1" applyNumberFormat="1">
      <alignment horizontal="center" readingOrder="0"/>
    </xf>
    <xf borderId="4" fillId="3" fontId="6" numFmtId="171" xfId="0" applyAlignment="1" applyBorder="1" applyFont="1" applyNumberFormat="1">
      <alignment horizontal="center" readingOrder="0" vertical="center"/>
    </xf>
    <xf borderId="4" fillId="3" fontId="6" numFmtId="164" xfId="0" applyAlignment="1" applyBorder="1" applyFont="1" applyNumberForma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4" fillId="2" fontId="16" numFmtId="0" xfId="0" applyAlignment="1" applyBorder="1" applyFont="1">
      <alignment horizontal="center" readingOrder="0"/>
    </xf>
    <xf borderId="4" fillId="2" fontId="6" numFmtId="171" xfId="0" applyAlignment="1" applyBorder="1" applyFont="1" applyNumberFormat="1">
      <alignment horizontal="center" readingOrder="0" vertical="center"/>
    </xf>
    <xf borderId="4" fillId="2" fontId="16" numFmtId="171" xfId="0" applyAlignment="1" applyBorder="1" applyFont="1" applyNumberFormat="1">
      <alignment horizontal="center"/>
    </xf>
    <xf borderId="4" fillId="2" fontId="6" numFmtId="164" xfId="0" applyAlignment="1" applyBorder="1" applyFont="1" applyNumberFormat="1">
      <alignment horizontal="center" readingOrder="0" vertical="center"/>
    </xf>
    <xf borderId="0" fillId="0" fontId="3" numFmtId="167" xfId="0" applyAlignment="1" applyFont="1" applyNumberFormat="1">
      <alignment horizontal="center" readingOrder="0"/>
    </xf>
    <xf borderId="1" fillId="7" fontId="6" numFmtId="0" xfId="0" applyAlignment="1" applyBorder="1" applyFont="1">
      <alignment horizontal="center" readingOrder="0" vertical="center"/>
    </xf>
    <xf borderId="4" fillId="7" fontId="6" numFmtId="0" xfId="0" applyAlignment="1" applyBorder="1" applyFont="1">
      <alignment horizontal="center" vertical="center"/>
    </xf>
    <xf borderId="4" fillId="7" fontId="6" numFmtId="171" xfId="0" applyAlignment="1" applyBorder="1" applyFont="1" applyNumberFormat="1">
      <alignment horizontal="center" vertical="center"/>
    </xf>
    <xf borderId="4" fillId="7" fontId="6" numFmtId="172" xfId="0" applyAlignment="1" applyBorder="1" applyFont="1" applyNumberFormat="1">
      <alignment horizontal="center" vertical="center"/>
    </xf>
    <xf borderId="4" fillId="7" fontId="6" numFmtId="164" xfId="0" applyAlignment="1" applyBorder="1" applyFont="1" applyNumberFormat="1">
      <alignment horizontal="center" vertical="center"/>
    </xf>
    <xf borderId="4" fillId="7" fontId="6" numFmtId="172" xfId="0" applyAlignment="1" applyBorder="1" applyFont="1" applyNumberFormat="1">
      <alignment horizontal="center" readingOrder="0" vertical="center"/>
    </xf>
    <xf borderId="4" fillId="7" fontId="6" numFmtId="165" xfId="0" applyAlignment="1" applyBorder="1" applyFont="1" applyNumberFormat="1">
      <alignment horizontal="center" readingOrder="0" vertical="center"/>
    </xf>
    <xf borderId="4" fillId="7" fontId="6" numFmtId="0" xfId="0" applyAlignment="1" applyBorder="1" applyFont="1">
      <alignment horizontal="center" vertical="center"/>
    </xf>
    <xf borderId="1" fillId="7" fontId="18" numFmtId="0" xfId="0" applyAlignment="1" applyBorder="1" applyFont="1">
      <alignment horizontal="center" readingOrder="0" vertical="center"/>
    </xf>
    <xf borderId="4" fillId="0" fontId="6" numFmtId="172" xfId="0" applyAlignment="1" applyBorder="1" applyFont="1" applyNumberFormat="1">
      <alignment horizontal="center" readingOrder="0" vertical="center"/>
    </xf>
    <xf borderId="1" fillId="12" fontId="16" numFmtId="0" xfId="0" applyAlignment="1" applyBorder="1" applyFill="1" applyFont="1">
      <alignment horizontal="center" readingOrder="0"/>
    </xf>
    <xf borderId="4" fillId="12" fontId="16" numFmtId="0" xfId="0" applyAlignment="1" applyBorder="1" applyFont="1">
      <alignment horizontal="center"/>
    </xf>
    <xf borderId="4" fillId="12" fontId="16" numFmtId="171" xfId="0" applyAlignment="1" applyBorder="1" applyFont="1" applyNumberFormat="1">
      <alignment horizontal="center"/>
    </xf>
    <xf borderId="4" fillId="12" fontId="16" numFmtId="172" xfId="0" applyAlignment="1" applyBorder="1" applyFont="1" applyNumberFormat="1">
      <alignment horizontal="center"/>
    </xf>
    <xf borderId="4" fillId="12" fontId="16" numFmtId="164" xfId="0" applyAlignment="1" applyBorder="1" applyFont="1" applyNumberFormat="1">
      <alignment horizontal="center"/>
    </xf>
    <xf borderId="4" fillId="3" fontId="15" numFmtId="172" xfId="0" applyAlignment="1" applyBorder="1" applyFont="1" applyNumberFormat="1">
      <alignment horizontal="center"/>
    </xf>
    <xf borderId="4" fillId="3" fontId="15" numFmtId="164" xfId="0" applyAlignment="1" applyBorder="1" applyFont="1" applyNumberFormat="1">
      <alignment horizontal="center"/>
    </xf>
    <xf borderId="4" fillId="3" fontId="16" numFmtId="164" xfId="0" applyAlignment="1" applyBorder="1" applyFont="1" applyNumberFormat="1">
      <alignment horizontal="center"/>
    </xf>
    <xf borderId="4" fillId="0" fontId="15" numFmtId="0" xfId="0" applyAlignment="1" applyBorder="1" applyFont="1">
      <alignment horizontal="center" readingOrder="0"/>
    </xf>
    <xf borderId="4" fillId="0" fontId="15" numFmtId="171" xfId="0" applyAlignment="1" applyBorder="1" applyFont="1" applyNumberFormat="1">
      <alignment horizontal="center" readingOrder="0"/>
    </xf>
    <xf borderId="4" fillId="0" fontId="15" numFmtId="172" xfId="0" applyAlignment="1" applyBorder="1" applyFont="1" applyNumberFormat="1">
      <alignment horizontal="center" readingOrder="0"/>
    </xf>
    <xf borderId="4" fillId="0" fontId="16" numFmtId="165" xfId="0" applyAlignment="1" applyBorder="1" applyFont="1" applyNumberFormat="1">
      <alignment horizontal="center" readingOrder="0"/>
    </xf>
    <xf borderId="4" fillId="3" fontId="16" numFmtId="0" xfId="0" applyAlignment="1" applyBorder="1" applyFont="1">
      <alignment horizontal="center" readingOrder="0"/>
    </xf>
    <xf borderId="4" fillId="3" fontId="15" numFmtId="0" xfId="0" applyAlignment="1" applyBorder="1" applyFont="1">
      <alignment horizontal="center" readingOrder="0"/>
    </xf>
    <xf borderId="4" fillId="3" fontId="15" numFmtId="171" xfId="0" applyAlignment="1" applyBorder="1" applyFont="1" applyNumberFormat="1">
      <alignment horizontal="center"/>
    </xf>
    <xf borderId="4" fillId="3" fontId="15" numFmtId="172" xfId="0" applyAlignment="1" applyBorder="1" applyFont="1" applyNumberFormat="1">
      <alignment horizontal="center" readingOrder="0"/>
    </xf>
    <xf borderId="4" fillId="2" fontId="16" numFmtId="0" xfId="0" applyAlignment="1" applyBorder="1" applyFont="1">
      <alignment horizontal="center"/>
    </xf>
    <xf borderId="4" fillId="2" fontId="15" numFmtId="0" xfId="0" applyAlignment="1" applyBorder="1" applyFont="1">
      <alignment horizontal="center" readingOrder="0"/>
    </xf>
    <xf borderId="4" fillId="2" fontId="15" numFmtId="172" xfId="0" applyAlignment="1" applyBorder="1" applyFont="1" applyNumberFormat="1">
      <alignment horizontal="center"/>
    </xf>
    <xf borderId="4" fillId="2" fontId="16" numFmtId="165" xfId="0" applyAlignment="1" applyBorder="1" applyFont="1" applyNumberFormat="1">
      <alignment horizontal="center" readingOrder="0"/>
    </xf>
    <xf borderId="4" fillId="3" fontId="15" numFmtId="0" xfId="0" applyAlignment="1" applyBorder="1" applyFont="1">
      <alignment horizontal="center"/>
    </xf>
    <xf borderId="4" fillId="3" fontId="16" numFmtId="165" xfId="0" applyAlignment="1" applyBorder="1" applyFont="1" applyNumberFormat="1">
      <alignment horizontal="center"/>
    </xf>
    <xf borderId="1" fillId="3" fontId="19" numFmtId="0" xfId="0" applyAlignment="1" applyBorder="1" applyFont="1">
      <alignment horizontal="center"/>
    </xf>
    <xf borderId="4" fillId="3" fontId="16" numFmtId="171" xfId="0" applyAlignment="1" applyBorder="1" applyFont="1" applyNumberFormat="1">
      <alignment horizontal="center"/>
    </xf>
    <xf borderId="4" fillId="3" fontId="16" numFmtId="172" xfId="0" applyAlignment="1" applyBorder="1" applyFont="1" applyNumberFormat="1">
      <alignment horizontal="center"/>
    </xf>
    <xf borderId="1" fillId="3" fontId="15" numFmtId="0" xfId="0" applyAlignment="1" applyBorder="1" applyFont="1">
      <alignment horizontal="center"/>
    </xf>
    <xf borderId="1" fillId="5" fontId="6" numFmtId="0" xfId="0" applyAlignment="1" applyBorder="1" applyFont="1">
      <alignment horizontal="center" readingOrder="0" vertical="center"/>
    </xf>
    <xf borderId="4" fillId="5" fontId="6" numFmtId="172" xfId="0" applyAlignment="1" applyBorder="1" applyFont="1" applyNumberFormat="1">
      <alignment horizontal="center" vertical="center"/>
    </xf>
    <xf borderId="4" fillId="0" fontId="6" numFmtId="172" xfId="0" applyAlignment="1" applyBorder="1" applyFont="1" applyNumberFormat="1">
      <alignment horizontal="center" vertical="center"/>
    </xf>
    <xf borderId="4" fillId="0" fontId="6" numFmtId="165" xfId="0" applyAlignment="1" applyBorder="1" applyFont="1" applyNumberFormat="1">
      <alignment horizontal="center" readingOrder="0" vertical="center"/>
    </xf>
    <xf borderId="4" fillId="7" fontId="6" numFmtId="171" xfId="0" applyAlignment="1" applyBorder="1" applyFont="1" applyNumberFormat="1">
      <alignment horizontal="center" readingOrder="0" shrinkToFit="0" vertical="center" wrapText="0"/>
    </xf>
    <xf borderId="4" fillId="0" fontId="6" numFmtId="171" xfId="0" applyAlignment="1" applyBorder="1" applyFont="1" applyNumberFormat="1">
      <alignment horizontal="center" readingOrder="0" shrinkToFit="0" vertical="center" wrapText="0"/>
    </xf>
    <xf borderId="4" fillId="0" fontId="6" numFmtId="0" xfId="0" applyAlignment="1" applyBorder="1" applyFont="1">
      <alignment horizontal="center" vertical="center"/>
    </xf>
    <xf borderId="4" fillId="3" fontId="6" numFmtId="172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4" fillId="13" fontId="6" numFmtId="0" xfId="0" applyAlignment="1" applyBorder="1" applyFill="1" applyFont="1">
      <alignment horizontal="center" readingOrder="0" vertical="center"/>
    </xf>
    <xf borderId="1" fillId="14" fontId="6" numFmtId="0" xfId="0" applyAlignment="1" applyBorder="1" applyFill="1" applyFont="1">
      <alignment horizontal="center" readingOrder="0" vertical="center"/>
    </xf>
    <xf borderId="4" fillId="14" fontId="6" numFmtId="0" xfId="0" applyAlignment="1" applyBorder="1" applyFont="1">
      <alignment horizontal="center" readingOrder="0" vertical="center"/>
    </xf>
    <xf borderId="4" fillId="14" fontId="6" numFmtId="0" xfId="0" applyAlignment="1" applyBorder="1" applyFont="1">
      <alignment horizontal="center" vertical="center"/>
    </xf>
    <xf borderId="4" fillId="14" fontId="6" numFmtId="171" xfId="0" applyAlignment="1" applyBorder="1" applyFont="1" applyNumberFormat="1">
      <alignment horizontal="center" vertical="center"/>
    </xf>
    <xf borderId="4" fillId="14" fontId="6" numFmtId="172" xfId="0" applyAlignment="1" applyBorder="1" applyFont="1" applyNumberFormat="1">
      <alignment horizontal="center" vertical="center"/>
    </xf>
    <xf borderId="4" fillId="14" fontId="6" numFmtId="164" xfId="0" applyAlignment="1" applyBorder="1" applyFont="1" applyNumberFormat="1">
      <alignment horizontal="center" vertical="center"/>
    </xf>
    <xf borderId="4" fillId="7" fontId="16" numFmtId="0" xfId="0" applyAlignment="1" applyBorder="1" applyFont="1">
      <alignment horizontal="center" readingOrder="0"/>
    </xf>
    <xf borderId="4" fillId="7" fontId="20" numFmtId="0" xfId="0" applyAlignment="1" applyBorder="1" applyFont="1">
      <alignment horizontal="center" readingOrder="0"/>
    </xf>
    <xf borderId="4" fillId="7" fontId="16" numFmtId="164" xfId="0" applyAlignment="1" applyBorder="1" applyFont="1" applyNumberFormat="1">
      <alignment horizontal="center" readingOrder="0"/>
    </xf>
    <xf borderId="4" fillId="0" fontId="16" numFmtId="172" xfId="0" applyAlignment="1" applyBorder="1" applyFont="1" applyNumberFormat="1">
      <alignment horizontal="center"/>
    </xf>
    <xf borderId="4" fillId="0" fontId="16" numFmtId="164" xfId="0" applyAlignment="1" applyBorder="1" applyFont="1" applyNumberFormat="1">
      <alignment horizontal="center"/>
    </xf>
    <xf borderId="4" fillId="6" fontId="6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7" fontId="16" numFmtId="0" xfId="0" applyAlignment="1" applyBorder="1" applyFont="1">
      <alignment horizontal="center"/>
    </xf>
    <xf borderId="4" fillId="7" fontId="16" numFmtId="171" xfId="0" applyAlignment="1" applyBorder="1" applyFont="1" applyNumberFormat="1">
      <alignment horizontal="center" readingOrder="0"/>
    </xf>
    <xf borderId="4" fillId="7" fontId="16" numFmtId="172" xfId="0" applyAlignment="1" applyBorder="1" applyFont="1" applyNumberFormat="1">
      <alignment horizontal="center" readingOrder="0"/>
    </xf>
    <xf borderId="4" fillId="7" fontId="21" numFmtId="0" xfId="0" applyAlignment="1" applyBorder="1" applyFont="1">
      <alignment horizontal="center" readingOrder="0"/>
    </xf>
    <xf borderId="4" fillId="0" fontId="21" numFmtId="0" xfId="0" applyAlignment="1" applyBorder="1" applyFont="1">
      <alignment horizontal="center" readingOrder="0"/>
    </xf>
    <xf borderId="4" fillId="0" fontId="16" numFmtId="171" xfId="0" applyAlignment="1" applyBorder="1" applyFont="1" applyNumberFormat="1">
      <alignment horizontal="center" readingOrder="0"/>
    </xf>
    <xf borderId="4" fillId="0" fontId="16" numFmtId="172" xfId="0" applyAlignment="1" applyBorder="1" applyFont="1" applyNumberFormat="1">
      <alignment horizontal="center" readingOrder="0"/>
    </xf>
    <xf borderId="4" fillId="7" fontId="10" numFmtId="0" xfId="0" applyAlignment="1" applyBorder="1" applyFont="1">
      <alignment horizontal="center" readingOrder="0"/>
    </xf>
    <xf borderId="0" fillId="7" fontId="22" numFmtId="0" xfId="0" applyAlignment="1" applyFont="1">
      <alignment horizontal="center" readingOrder="0"/>
    </xf>
    <xf borderId="4" fillId="3" fontId="10" numFmtId="0" xfId="0" applyAlignment="1" applyBorder="1" applyFont="1">
      <alignment horizontal="center" readingOrder="0"/>
    </xf>
    <xf borderId="4" fillId="3" fontId="16" numFmtId="171" xfId="0" applyAlignment="1" applyBorder="1" applyFont="1" applyNumberFormat="1">
      <alignment horizontal="center" readingOrder="0"/>
    </xf>
    <xf borderId="0" fillId="3" fontId="22" numFmtId="0" xfId="0" applyAlignment="1" applyFont="1">
      <alignment horizontal="center" readingOrder="0"/>
    </xf>
    <xf borderId="4" fillId="3" fontId="16" numFmtId="164" xfId="0" applyAlignment="1" applyBorder="1" applyFont="1" applyNumberFormat="1">
      <alignment horizontal="center" readingOrder="0"/>
    </xf>
    <xf borderId="4" fillId="3" fontId="16" numFmtId="177" xfId="0" applyAlignment="1" applyBorder="1" applyFont="1" applyNumberFormat="1">
      <alignment horizontal="center" readingOrder="0"/>
    </xf>
    <xf borderId="4" fillId="5" fontId="6" numFmtId="171" xfId="0" applyAlignment="1" applyBorder="1" applyFont="1" applyNumberFormat="1">
      <alignment horizontal="center" readingOrder="0" vertical="center"/>
    </xf>
    <xf borderId="4" fillId="0" fontId="6" numFmtId="171" xfId="0" applyAlignment="1" applyBorder="1" applyFont="1" applyNumberFormat="1">
      <alignment horizontal="center" readingOrder="0" vertical="center"/>
    </xf>
    <xf borderId="4" fillId="0" fontId="6" numFmtId="171" xfId="0" applyAlignment="1" applyBorder="1" applyFont="1" applyNumberFormat="1">
      <alignment horizontal="center" readingOrder="0" shrinkToFit="0" vertical="center" wrapText="0"/>
    </xf>
    <xf borderId="4" fillId="7" fontId="6" numFmtId="0" xfId="0" applyAlignment="1" applyBorder="1" applyFont="1">
      <alignment horizontal="center" readingOrder="0" shrinkToFit="0" vertical="center" wrapText="0"/>
    </xf>
    <xf borderId="4" fillId="7" fontId="6" numFmtId="171" xfId="0" applyAlignment="1" applyBorder="1" applyFont="1" applyNumberFormat="1">
      <alignment horizontal="center" readingOrder="0" shrinkToFit="0" vertical="center" wrapText="0"/>
    </xf>
    <xf borderId="4" fillId="3" fontId="20" numFmtId="0" xfId="0" applyAlignment="1" applyBorder="1" applyFont="1">
      <alignment horizontal="center" readingOrder="0"/>
    </xf>
    <xf borderId="4" fillId="7" fontId="22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center" readingOrder="0" shrinkToFit="0" vertical="center" wrapText="0"/>
    </xf>
    <xf borderId="4" fillId="3" fontId="6" numFmtId="171" xfId="0" applyAlignment="1" applyBorder="1" applyFont="1" applyNumberFormat="1">
      <alignment horizontal="center" readingOrder="0" shrinkToFit="0" vertical="center" wrapText="0"/>
    </xf>
    <xf borderId="4" fillId="0" fontId="13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0"/>
    </xf>
    <xf borderId="4" fillId="7" fontId="8" numFmtId="0" xfId="0" applyAlignment="1" applyBorder="1" applyFont="1">
      <alignment horizontal="center" readingOrder="0" shrinkToFit="0" vertical="center" wrapText="0"/>
    </xf>
    <xf borderId="4" fillId="7" fontId="8" numFmtId="171" xfId="0" applyAlignment="1" applyBorder="1" applyFont="1" applyNumberFormat="1">
      <alignment horizontal="center"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0"/>
    </xf>
    <xf borderId="4" fillId="0" fontId="8" numFmtId="171" xfId="0" applyAlignment="1" applyBorder="1" applyFont="1" applyNumberFormat="1">
      <alignment horizontal="center" readingOrder="0" shrinkToFit="0" vertical="center" wrapText="0"/>
    </xf>
    <xf borderId="4" fillId="7" fontId="23" numFmtId="0" xfId="0" applyAlignment="1" applyBorder="1" applyFont="1">
      <alignment horizontal="center" readingOrder="0"/>
    </xf>
    <xf borderId="4" fillId="7" fontId="8" numFmtId="171" xfId="0" applyAlignment="1" applyBorder="1" applyFont="1" applyNumberFormat="1">
      <alignment horizontal="center" readingOrder="0"/>
    </xf>
    <xf borderId="4" fillId="7" fontId="8" numFmtId="172" xfId="0" applyAlignment="1" applyBorder="1" applyFont="1" applyNumberFormat="1">
      <alignment horizontal="center" readingOrder="0"/>
    </xf>
    <xf borderId="4" fillId="0" fontId="8" numFmtId="171" xfId="0" applyAlignment="1" applyBorder="1" applyFont="1" applyNumberFormat="1">
      <alignment horizontal="center" readingOrder="0"/>
    </xf>
    <xf borderId="4" fillId="0" fontId="8" numFmtId="172" xfId="0" applyAlignment="1" applyBorder="1" applyFont="1" applyNumberFormat="1">
      <alignment horizontal="center" readingOrder="0"/>
    </xf>
    <xf borderId="4" fillId="0" fontId="8" numFmtId="164" xfId="0" applyAlignment="1" applyBorder="1" applyFont="1" applyNumberFormat="1">
      <alignment horizontal="center" readingOrder="0"/>
    </xf>
    <xf borderId="4" fillId="7" fontId="8" numFmtId="168" xfId="0" applyAlignment="1" applyBorder="1" applyFont="1" applyNumberFormat="1">
      <alignment horizontal="center" readingOrder="0" vertical="center"/>
    </xf>
    <xf borderId="4" fillId="3" fontId="8" numFmtId="168" xfId="0" applyAlignment="1" applyBorder="1" applyFont="1" applyNumberFormat="1">
      <alignment horizontal="center" readingOrder="0" vertical="center"/>
    </xf>
    <xf borderId="4" fillId="3" fontId="23" numFmtId="0" xfId="0" applyAlignment="1" applyBorder="1" applyFont="1">
      <alignment horizontal="center" readingOrder="0"/>
    </xf>
    <xf borderId="1" fillId="12" fontId="6" numFmtId="0" xfId="0" applyAlignment="1" applyBorder="1" applyFont="1">
      <alignment horizontal="center" readingOrder="0" vertical="center"/>
    </xf>
    <xf borderId="4" fillId="12" fontId="6" numFmtId="0" xfId="0" applyAlignment="1" applyBorder="1" applyFont="1">
      <alignment horizontal="center" vertical="center"/>
    </xf>
    <xf borderId="4" fillId="12" fontId="6" numFmtId="171" xfId="0" applyAlignment="1" applyBorder="1" applyFont="1" applyNumberFormat="1">
      <alignment horizontal="center" vertical="center"/>
    </xf>
    <xf borderId="4" fillId="12" fontId="6" numFmtId="172" xfId="0" applyAlignment="1" applyBorder="1" applyFont="1" applyNumberFormat="1">
      <alignment horizontal="center" vertical="center"/>
    </xf>
    <xf borderId="4" fillId="12" fontId="6" numFmtId="0" xfId="0" applyAlignment="1" applyBorder="1" applyFont="1">
      <alignment horizontal="center" readingOrder="0" vertical="center"/>
    </xf>
    <xf borderId="4" fillId="12" fontId="6" numFmtId="164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6" numFmtId="171" xfId="0" applyAlignment="1" applyBorder="1" applyFont="1" applyNumberForma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4" fillId="7" fontId="6" numFmtId="0" xfId="0" applyAlignment="1" applyBorder="1" applyFont="1">
      <alignment horizontal="center" vertical="center"/>
    </xf>
    <xf borderId="4" fillId="7" fontId="24" numFmtId="0" xfId="0" applyBorder="1" applyFont="1"/>
    <xf borderId="4" fillId="7" fontId="6" numFmtId="168" xfId="0" applyAlignment="1" applyBorder="1" applyFont="1" applyNumberFormat="1">
      <alignment horizontal="center" readingOrder="0" vertical="center"/>
    </xf>
    <xf borderId="4" fillId="0" fontId="25" numFmtId="0" xfId="0" applyAlignment="1" applyBorder="1" applyFont="1">
      <alignment horizontal="center" readingOrder="0"/>
    </xf>
    <xf borderId="4" fillId="0" fontId="6" numFmtId="166" xfId="0" applyAlignment="1" applyBorder="1" applyFont="1" applyNumberFormat="1">
      <alignment horizontal="center" readingOrder="0" vertical="center"/>
    </xf>
    <xf borderId="4" fillId="7" fontId="25" numFmtId="0" xfId="0" applyAlignment="1" applyBorder="1" applyFont="1">
      <alignment horizontal="center" readingOrder="0"/>
    </xf>
    <xf borderId="4" fillId="0" fontId="22" numFmtId="0" xfId="0" applyAlignment="1" applyBorder="1" applyFont="1">
      <alignment horizontal="center" readingOrder="0"/>
    </xf>
    <xf borderId="4" fillId="3" fontId="6" numFmtId="166" xfId="0" applyAlignment="1" applyBorder="1" applyFont="1" applyNumberFormat="1">
      <alignment horizontal="center" readingOrder="0" vertical="center"/>
    </xf>
    <xf borderId="4" fillId="3" fontId="26" numFmtId="0" xfId="0" applyAlignment="1" applyBorder="1" applyFont="1">
      <alignment horizontal="center" readingOrder="0"/>
    </xf>
    <xf borderId="4" fillId="7" fontId="11" numFmtId="171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1" fillId="9" fontId="6" numFmtId="0" xfId="0" applyAlignment="1" applyBorder="1" applyFont="1">
      <alignment horizontal="center" readingOrder="0" vertical="center"/>
    </xf>
    <xf borderId="4" fillId="9" fontId="6" numFmtId="0" xfId="0" applyAlignment="1" applyBorder="1" applyFont="1">
      <alignment horizontal="center" readingOrder="0" vertical="center"/>
    </xf>
    <xf borderId="4" fillId="9" fontId="6" numFmtId="0" xfId="0" applyAlignment="1" applyBorder="1" applyFont="1">
      <alignment horizontal="center" vertical="center"/>
    </xf>
    <xf borderId="4" fillId="9" fontId="6" numFmtId="171" xfId="0" applyAlignment="1" applyBorder="1" applyFont="1" applyNumberFormat="1">
      <alignment horizontal="center" vertical="center"/>
    </xf>
    <xf borderId="4" fillId="9" fontId="6" numFmtId="172" xfId="0" applyAlignment="1" applyBorder="1" applyFont="1" applyNumberFormat="1">
      <alignment horizontal="center" vertical="center"/>
    </xf>
    <xf borderId="4" fillId="9" fontId="6" numFmtId="164" xfId="0" applyAlignment="1" applyBorder="1" applyFont="1" applyNumberFormat="1">
      <alignment horizontal="center" vertical="center"/>
    </xf>
    <xf borderId="4" fillId="6" fontId="6" numFmtId="172" xfId="0" applyAlignment="1" applyBorder="1" applyFont="1" applyNumberFormat="1">
      <alignment horizontal="center" readingOrder="0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6" numFmtId="0" xfId="0" applyAlignment="1" applyBorder="1" applyFont="1">
      <alignment horizontal="center" vertical="center"/>
    </xf>
    <xf borderId="4" fillId="0" fontId="27" numFmtId="172" xfId="0" applyAlignment="1" applyBorder="1" applyFont="1" applyNumberFormat="1">
      <alignment horizontal="center" readingOrder="0" vertical="center"/>
    </xf>
    <xf borderId="1" fillId="15" fontId="6" numFmtId="0" xfId="0" applyAlignment="1" applyBorder="1" applyFill="1" applyFont="1">
      <alignment horizontal="center" readingOrder="0" vertical="center"/>
    </xf>
    <xf borderId="4" fillId="15" fontId="6" numFmtId="0" xfId="0" applyAlignment="1" applyBorder="1" applyFont="1">
      <alignment horizontal="center" readingOrder="0" vertical="center"/>
    </xf>
    <xf borderId="4" fillId="15" fontId="6" numFmtId="0" xfId="0" applyAlignment="1" applyBorder="1" applyFont="1">
      <alignment horizontal="center" vertical="center"/>
    </xf>
    <xf borderId="4" fillId="15" fontId="6" numFmtId="171" xfId="0" applyAlignment="1" applyBorder="1" applyFont="1" applyNumberFormat="1">
      <alignment horizontal="center" vertical="center"/>
    </xf>
    <xf borderId="4" fillId="15" fontId="6" numFmtId="172" xfId="0" applyAlignment="1" applyBorder="1" applyFont="1" applyNumberFormat="1">
      <alignment horizontal="center" vertical="center"/>
    </xf>
    <xf borderId="4" fillId="15" fontId="6" numFmtId="164" xfId="0" applyAlignment="1" applyBorder="1" applyFont="1" applyNumberFormat="1">
      <alignment horizontal="center" vertical="center"/>
    </xf>
    <xf borderId="4" fillId="3" fontId="6" numFmtId="0" xfId="0" applyAlignment="1" applyBorder="1" applyFont="1">
      <alignment horizontal="center" vertical="center"/>
    </xf>
    <xf borderId="4" fillId="3" fontId="6" numFmtId="172" xfId="0" applyAlignment="1" applyBorder="1" applyFont="1" applyNumberFormat="1">
      <alignment horizontal="center" vertical="center"/>
    </xf>
    <xf borderId="4" fillId="16" fontId="6" numFmtId="0" xfId="0" applyAlignment="1" applyBorder="1" applyFill="1" applyFont="1">
      <alignment horizontal="center" readingOrder="0" vertical="center"/>
    </xf>
    <xf borderId="4" fillId="16" fontId="6" numFmtId="171" xfId="0" applyAlignment="1" applyBorder="1" applyFont="1" applyNumberFormat="1">
      <alignment horizontal="center" readingOrder="0" vertical="center"/>
    </xf>
    <xf borderId="4" fillId="16" fontId="6" numFmtId="172" xfId="0" applyAlignment="1" applyBorder="1" applyFont="1" applyNumberFormat="1">
      <alignment horizontal="center" readingOrder="0" vertical="center"/>
    </xf>
    <xf borderId="4" fillId="16" fontId="6" numFmtId="164" xfId="0" applyAlignment="1" applyBorder="1" applyFont="1" applyNumberFormat="1">
      <alignment horizontal="center" readingOrder="0" vertical="center"/>
    </xf>
    <xf borderId="4" fillId="3" fontId="25" numFmtId="0" xfId="0" applyAlignment="1" applyBorder="1" applyFont="1">
      <alignment horizontal="center" readingOrder="0"/>
    </xf>
    <xf borderId="4" fillId="12" fontId="6" numFmtId="172" xfId="0" applyAlignment="1" applyBorder="1" applyFont="1" applyNumberFormat="1">
      <alignment horizontal="center" readingOrder="0" vertical="center"/>
    </xf>
    <xf borderId="4" fillId="3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4" fillId="3" fontId="6" numFmtId="171" xfId="0" applyAlignment="1" applyBorder="1" applyFont="1" applyNumberFormat="1">
      <alignment horizontal="center" vertical="center"/>
    </xf>
    <xf borderId="4" fillId="3" fontId="6" numFmtId="165" xfId="0" applyAlignment="1" applyBorder="1" applyFont="1" applyNumberFormat="1">
      <alignment horizontal="center" vertical="center"/>
    </xf>
    <xf borderId="4" fillId="3" fontId="6" numFmtId="165" xfId="0" applyAlignment="1" applyBorder="1" applyFont="1" applyNumberFormat="1">
      <alignment horizontal="center" readingOrder="0" vertical="center"/>
    </xf>
    <xf borderId="4" fillId="0" fontId="20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center" readingOrder="0" vertical="bottom"/>
    </xf>
    <xf borderId="4" fillId="0" fontId="15" numFmtId="171" xfId="0" applyAlignment="1" applyBorder="1" applyFont="1" applyNumberFormat="1">
      <alignment horizontal="center" readingOrder="0" vertical="bottom"/>
    </xf>
    <xf borderId="4" fillId="0" fontId="15" numFmtId="172" xfId="0" applyAlignment="1" applyBorder="1" applyFont="1" applyNumberFormat="1">
      <alignment horizontal="center" readingOrder="0" vertical="bottom"/>
    </xf>
    <xf borderId="4" fillId="7" fontId="6" numFmtId="166" xfId="0" applyAlignment="1" applyBorder="1" applyFont="1" applyNumberFormat="1">
      <alignment horizontal="center" readingOrder="0" vertical="center"/>
    </xf>
    <xf borderId="4" fillId="6" fontId="6" numFmtId="171" xfId="0" applyAlignment="1" applyBorder="1" applyFont="1" applyNumberFormat="1">
      <alignment horizontal="center" readingOrder="0" shrinkToFit="0" vertical="center" wrapText="0"/>
    </xf>
    <xf borderId="4" fillId="6" fontId="6" numFmtId="178" xfId="0" applyAlignment="1" applyBorder="1" applyFont="1" applyNumberFormat="1">
      <alignment horizontal="center" readingOrder="0" shrinkToFit="0" vertical="center" wrapText="0"/>
    </xf>
    <xf borderId="4" fillId="3" fontId="6" numFmtId="178" xfId="0" applyAlignment="1" applyBorder="1" applyFont="1" applyNumberFormat="1">
      <alignment horizontal="center" readingOrder="0" vertical="center"/>
    </xf>
    <xf borderId="11" fillId="7" fontId="6" numFmtId="0" xfId="0" applyAlignment="1" applyBorder="1" applyFont="1">
      <alignment horizontal="center" readingOrder="0" vertical="center"/>
    </xf>
    <xf borderId="11" fillId="12" fontId="6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horizontal="center" vertical="center"/>
    </xf>
    <xf borderId="4" fillId="6" fontId="6" numFmtId="171" xfId="0" applyAlignment="1" applyBorder="1" applyFont="1" applyNumberFormat="1">
      <alignment horizontal="center" vertical="center"/>
    </xf>
    <xf borderId="4" fillId="6" fontId="6" numFmtId="17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17" fontId="6" numFmtId="0" xfId="0" applyAlignment="1" applyBorder="1" applyFill="1" applyFont="1">
      <alignment horizontal="center" vertical="center"/>
    </xf>
    <xf borderId="4" fillId="3" fontId="6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171" xfId="0" applyAlignment="1" applyFont="1" applyNumberFormat="1">
      <alignment horizontal="center" readingOrder="0" vertical="center"/>
    </xf>
    <xf borderId="0" fillId="0" fontId="6" numFmtId="172" xfId="0" applyAlignment="1" applyFont="1" applyNumberForma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4" fillId="12" fontId="6" numFmtId="0" xfId="0" applyAlignment="1" applyBorder="1" applyFont="1">
      <alignment horizontal="center" readingOrder="0" vertical="center"/>
    </xf>
    <xf borderId="15" fillId="12" fontId="6" numFmtId="0" xfId="0" applyAlignment="1" applyBorder="1" applyFont="1">
      <alignment horizontal="center" readingOrder="0" vertical="center"/>
    </xf>
    <xf borderId="6" fillId="12" fontId="6" numFmtId="0" xfId="0" applyAlignment="1" applyBorder="1" applyFont="1">
      <alignment horizontal="center" readingOrder="0" vertical="center"/>
    </xf>
    <xf borderId="4" fillId="18" fontId="6" numFmtId="0" xfId="0" applyAlignment="1" applyBorder="1" applyFill="1" applyFont="1">
      <alignment horizontal="center" readingOrder="0" vertical="center"/>
    </xf>
    <xf borderId="4" fillId="18" fontId="6" numFmtId="171" xfId="0" applyAlignment="1" applyBorder="1" applyFont="1" applyNumberFormat="1">
      <alignment horizontal="center" readingOrder="0" vertical="center"/>
    </xf>
    <xf borderId="4" fillId="18" fontId="6" numFmtId="172" xfId="0" applyAlignment="1" applyBorder="1" applyFont="1" applyNumberFormat="1">
      <alignment horizontal="center" readingOrder="0" vertical="center"/>
    </xf>
    <xf borderId="4" fillId="18" fontId="6" numFmtId="168" xfId="0" applyAlignment="1" applyBorder="1" applyFont="1" applyNumberFormat="1">
      <alignment horizontal="center" readingOrder="0" vertical="center"/>
    </xf>
    <xf borderId="4" fillId="18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4" fillId="3" fontId="6" numFmtId="179" xfId="0" applyAlignment="1" applyBorder="1" applyFont="1" applyNumberFormat="1">
      <alignment horizontal="center" readingOrder="0" vertical="center"/>
    </xf>
    <xf borderId="4" fillId="3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11" fillId="19" fontId="6" numFmtId="0" xfId="0" applyAlignment="1" applyBorder="1" applyFill="1" applyFont="1">
      <alignment horizontal="center" readingOrder="0" vertical="center"/>
    </xf>
    <xf borderId="4" fillId="19" fontId="6" numFmtId="0" xfId="0" applyAlignment="1" applyBorder="1" applyFont="1">
      <alignment horizontal="center" readingOrder="0" vertical="center"/>
    </xf>
    <xf borderId="4" fillId="19" fontId="6" numFmtId="0" xfId="0" applyAlignment="1" applyBorder="1" applyFont="1">
      <alignment horizontal="center" vertical="center"/>
    </xf>
    <xf borderId="4" fillId="19" fontId="6" numFmtId="171" xfId="0" applyAlignment="1" applyBorder="1" applyFont="1" applyNumberFormat="1">
      <alignment horizontal="center" vertical="center"/>
    </xf>
    <xf borderId="4" fillId="19" fontId="6" numFmtId="172" xfId="0" applyAlignment="1" applyBorder="1" applyFont="1" applyNumberFormat="1">
      <alignment horizontal="center" vertical="center"/>
    </xf>
    <xf borderId="4" fillId="3" fontId="17" numFmtId="0" xfId="0" applyAlignment="1" applyBorder="1" applyFont="1">
      <alignment horizontal="center" readingOrder="0"/>
    </xf>
    <xf borderId="4" fillId="7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12" fontId="6" numFmtId="0" xfId="0" applyAlignment="1" applyBorder="1" applyFont="1">
      <alignment horizontal="center" vertical="center"/>
    </xf>
    <xf borderId="4" fillId="18" fontId="6" numFmtId="0" xfId="0" applyAlignment="1" applyBorder="1" applyFont="1">
      <alignment horizontal="center" vertical="center"/>
    </xf>
    <xf borderId="4" fillId="18" fontId="6" numFmtId="172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173" xfId="0" applyAlignment="1" applyBorder="1" applyFont="1" applyNumberFormat="1">
      <alignment horizontal="center" readingOrder="0" vertical="center"/>
    </xf>
    <xf borderId="4" fillId="17" fontId="6" numFmtId="0" xfId="0" applyAlignment="1" applyBorder="1" applyFont="1">
      <alignment horizontal="center" readingOrder="0" shrinkToFit="0" vertical="center" wrapText="0"/>
    </xf>
    <xf borderId="4" fillId="7" fontId="6" numFmtId="172" xfId="0" applyAlignment="1" applyBorder="1" applyFont="1" applyNumberFormat="1">
      <alignment horizontal="center" readingOrder="0"/>
    </xf>
    <xf borderId="4" fillId="7" fontId="10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 vertical="center"/>
    </xf>
    <xf borderId="4" fillId="0" fontId="16" numFmtId="171" xfId="0" applyAlignment="1" applyBorder="1" applyFont="1" applyNumberFormat="1">
      <alignment horizontal="center" readingOrder="0" vertical="center"/>
    </xf>
    <xf borderId="4" fillId="0" fontId="16" numFmtId="172" xfId="0" applyAlignment="1" applyBorder="1" applyFont="1" applyNumberFormat="1">
      <alignment horizontal="center" readingOrder="0" vertical="center"/>
    </xf>
    <xf borderId="4" fillId="0" fontId="16" numFmtId="164" xfId="0" applyAlignment="1" applyBorder="1" applyFont="1" applyNumberFormat="1">
      <alignment horizontal="center" readingOrder="0" vertical="center"/>
    </xf>
    <xf borderId="4" fillId="7" fontId="10" numFmtId="0" xfId="0" applyAlignment="1" applyBorder="1" applyFont="1">
      <alignment horizontal="center" readingOrder="0"/>
    </xf>
    <xf borderId="4" fillId="7" fontId="16" numFmtId="171" xfId="0" applyAlignment="1" applyBorder="1" applyFont="1" applyNumberFormat="1">
      <alignment horizontal="center" readingOrder="0" vertical="center"/>
    </xf>
    <xf borderId="4" fillId="7" fontId="16" numFmtId="172" xfId="0" applyAlignment="1" applyBorder="1" applyFont="1" applyNumberFormat="1">
      <alignment horizontal="center" readingOrder="0" vertical="center"/>
    </xf>
    <xf borderId="4" fillId="7" fontId="16" numFmtId="164" xfId="0" applyAlignment="1" applyBorder="1" applyFont="1" applyNumberFormat="1">
      <alignment horizontal="center" readingOrder="0" vertical="center"/>
    </xf>
    <xf borderId="4" fillId="3" fontId="10" numFmtId="0" xfId="0" applyAlignment="1" applyBorder="1" applyFont="1">
      <alignment horizontal="center" readingOrder="0"/>
    </xf>
    <xf borderId="11" fillId="12" fontId="6" numFmtId="0" xfId="0" applyAlignment="1" applyBorder="1" applyFont="1">
      <alignment horizontal="center" vertical="center"/>
    </xf>
    <xf borderId="0" fillId="7" fontId="28" numFmtId="0" xfId="0" applyAlignment="1" applyFont="1">
      <alignment horizontal="center" readingOrder="0"/>
    </xf>
    <xf borderId="4" fillId="7" fontId="20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horizontal="center" readingOrder="0" vertical="center"/>
    </xf>
    <xf borderId="4" fillId="7" fontId="29" numFmtId="0" xfId="0" applyAlignment="1" applyBorder="1" applyFont="1">
      <alignment horizontal="center" readingOrder="0"/>
    </xf>
    <xf borderId="4" fillId="3" fontId="29" numFmtId="0" xfId="0" applyAlignment="1" applyBorder="1" applyFont="1">
      <alignment horizontal="center" readingOrder="0"/>
    </xf>
    <xf borderId="4" fillId="3" fontId="27" numFmtId="0" xfId="0" applyAlignment="1" applyBorder="1" applyFont="1">
      <alignment horizontal="center" readingOrder="0" vertical="center"/>
    </xf>
    <xf borderId="4" fillId="3" fontId="6" numFmtId="171" xfId="0" applyAlignment="1" applyBorder="1" applyFont="1" applyNumberFormat="1">
      <alignment horizontal="center" readingOrder="0"/>
    </xf>
    <xf borderId="4" fillId="3" fontId="16" numFmtId="0" xfId="0" applyAlignment="1" applyBorder="1" applyFont="1">
      <alignment horizontal="center" readingOrder="0" vertical="center"/>
    </xf>
    <xf borderId="4" fillId="3" fontId="16" numFmtId="171" xfId="0" applyAlignment="1" applyBorder="1" applyFont="1" applyNumberFormat="1">
      <alignment horizontal="center" readingOrder="0" vertical="center"/>
    </xf>
    <xf borderId="4" fillId="3" fontId="16" numFmtId="172" xfId="0" applyAlignment="1" applyBorder="1" applyFont="1" applyNumberFormat="1">
      <alignment horizontal="center" readingOrder="0" vertical="center"/>
    </xf>
    <xf borderId="0" fillId="3" fontId="9" numFmtId="0" xfId="0" applyAlignment="1" applyFont="1">
      <alignment horizontal="center" readingOrder="0"/>
    </xf>
    <xf borderId="4" fillId="3" fontId="16" numFmtId="164" xfId="0" applyAlignment="1" applyBorder="1" applyFont="1" applyNumberFormat="1">
      <alignment horizontal="center" readingOrder="0" vertical="center"/>
    </xf>
    <xf borderId="7" fillId="7" fontId="6" numFmtId="0" xfId="0" applyAlignment="1" applyBorder="1" applyFont="1">
      <alignment horizontal="center" readingOrder="0" vertical="center"/>
    </xf>
    <xf borderId="4" fillId="7" fontId="6" numFmtId="165" xfId="0" applyAlignment="1" applyBorder="1" applyFont="1" applyNumberFormat="1">
      <alignment horizontal="center" vertical="center"/>
    </xf>
    <xf borderId="4" fillId="2" fontId="15" numFmtId="0" xfId="0" applyAlignment="1" applyBorder="1" applyFont="1">
      <alignment horizontal="center"/>
    </xf>
    <xf borderId="4" fillId="2" fontId="15" numFmtId="171" xfId="0" applyAlignment="1" applyBorder="1" applyFont="1" applyNumberFormat="1">
      <alignment horizontal="center"/>
    </xf>
    <xf borderId="4" fillId="2" fontId="15" numFmtId="165" xfId="0" applyAlignment="1" applyBorder="1" applyFont="1" applyNumberFormat="1">
      <alignment horizontal="center" readingOrder="0"/>
    </xf>
    <xf borderId="4" fillId="6" fontId="6" numFmtId="0" xfId="0" applyAlignment="1" applyBorder="1" applyFont="1">
      <alignment horizontal="center" vertical="center"/>
    </xf>
    <xf borderId="4" fillId="6" fontId="6" numFmtId="168" xfId="0" applyAlignment="1" applyBorder="1" applyFont="1" applyNumberFormat="1">
      <alignment horizontal="center" readingOrder="0" vertical="center"/>
    </xf>
    <xf borderId="1" fillId="6" fontId="6" numFmtId="0" xfId="0" applyAlignment="1" applyBorder="1" applyFont="1">
      <alignment horizontal="center" vertical="center"/>
    </xf>
    <xf borderId="4" fillId="6" fontId="6" numFmtId="164" xfId="0" applyAlignment="1" applyBorder="1" applyFont="1" applyNumberFormat="1">
      <alignment horizontal="center" vertical="center"/>
    </xf>
    <xf borderId="4" fillId="7" fontId="6" numFmtId="178" xfId="0" applyAlignment="1" applyBorder="1" applyFont="1" applyNumberFormat="1">
      <alignment horizontal="center" readingOrder="0" vertical="center"/>
    </xf>
    <xf borderId="4" fillId="17" fontId="6" numFmtId="0" xfId="0" applyAlignment="1" applyBorder="1" applyFont="1">
      <alignment horizontal="center" readingOrder="0" vertical="center"/>
    </xf>
    <xf borderId="4" fillId="6" fontId="6" numFmtId="166" xfId="0" applyAlignment="1" applyBorder="1" applyFont="1" applyNumberFormat="1">
      <alignment horizontal="center" readingOrder="0" vertical="center"/>
    </xf>
    <xf borderId="4" fillId="7" fontId="6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4" fillId="6" fontId="6" numFmtId="173" xfId="0" applyAlignment="1" applyBorder="1" applyFont="1" applyNumberFormat="1">
      <alignment horizontal="center" readingOrder="0" vertical="center"/>
    </xf>
    <xf borderId="1" fillId="7" fontId="6" numFmtId="0" xfId="0" applyAlignment="1" applyBorder="1" applyFont="1">
      <alignment horizontal="center" vertical="center"/>
    </xf>
    <xf borderId="4" fillId="0" fontId="6" numFmtId="180" xfId="0" applyAlignment="1" applyBorder="1" applyFont="1" applyNumberFormat="1">
      <alignment horizontal="center" readingOrder="0" vertical="center"/>
    </xf>
    <xf borderId="4" fillId="7" fontId="6" numFmtId="180" xfId="0" applyAlignment="1" applyBorder="1" applyFont="1" applyNumberFormat="1">
      <alignment horizontal="center" readingOrder="0" vertical="center"/>
    </xf>
    <xf borderId="4" fillId="0" fontId="6" numFmtId="180" xfId="0" applyAlignment="1" applyBorder="1" applyFont="1" applyNumberFormat="1">
      <alignment horizontal="center" vertical="center"/>
    </xf>
    <xf borderId="4" fillId="7" fontId="6" numFmtId="180" xfId="0" applyAlignment="1" applyBorder="1" applyFont="1" applyNumberFormat="1">
      <alignment horizontal="center" vertical="center"/>
    </xf>
    <xf borderId="1" fillId="20" fontId="6" numFmtId="0" xfId="0" applyAlignment="1" applyBorder="1" applyFill="1" applyFont="1">
      <alignment horizontal="center" vertical="center"/>
    </xf>
    <xf borderId="4" fillId="20" fontId="6" numFmtId="0" xfId="0" applyAlignment="1" applyBorder="1" applyFont="1">
      <alignment horizontal="center" vertical="center"/>
    </xf>
    <xf borderId="4" fillId="20" fontId="6" numFmtId="171" xfId="0" applyAlignment="1" applyBorder="1" applyFont="1" applyNumberFormat="1">
      <alignment horizontal="center" vertical="center"/>
    </xf>
    <xf borderId="4" fillId="20" fontId="6" numFmtId="172" xfId="0" applyAlignment="1" applyBorder="1" applyFont="1" applyNumberFormat="1">
      <alignment horizontal="center" vertical="center"/>
    </xf>
    <xf borderId="4" fillId="20" fontId="6" numFmtId="164" xfId="0" applyAlignment="1" applyBorder="1" applyFont="1" applyNumberFormat="1">
      <alignment horizontal="center" vertical="center"/>
    </xf>
    <xf borderId="11" fillId="12" fontId="16" numFmtId="0" xfId="0" applyAlignment="1" applyBorder="1" applyFont="1">
      <alignment horizontal="center" readingOrder="0" vertical="center"/>
    </xf>
    <xf borderId="4" fillId="12" fontId="16" numFmtId="0" xfId="0" applyAlignment="1" applyBorder="1" applyFont="1">
      <alignment horizontal="center" vertical="center"/>
    </xf>
    <xf borderId="4" fillId="12" fontId="16" numFmtId="171" xfId="0" applyAlignment="1" applyBorder="1" applyFont="1" applyNumberFormat="1">
      <alignment horizontal="center" vertical="center"/>
    </xf>
    <xf borderId="4" fillId="12" fontId="16" numFmtId="172" xfId="0" applyAlignment="1" applyBorder="1" applyFont="1" applyNumberFormat="1">
      <alignment horizontal="center" vertical="center"/>
    </xf>
    <xf borderId="4" fillId="12" fontId="16" numFmtId="164" xfId="0" applyAlignment="1" applyBorder="1" applyFont="1" applyNumberForma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0" fontId="16" numFmtId="172" xfId="0" applyAlignment="1" applyBorder="1" applyFont="1" applyNumberFormat="1">
      <alignment horizontal="center" vertical="center"/>
    </xf>
    <xf borderId="4" fillId="0" fontId="16" numFmtId="164" xfId="0" applyAlignment="1" applyBorder="1" applyFont="1" applyNumberFormat="1">
      <alignment horizontal="center" vertical="center"/>
    </xf>
    <xf borderId="4" fillId="0" fontId="16" numFmtId="171" xfId="0" applyAlignment="1" applyBorder="1" applyFont="1" applyNumberFormat="1">
      <alignment horizontal="center" vertical="center"/>
    </xf>
    <xf borderId="4" fillId="7" fontId="16" numFmtId="0" xfId="0" applyAlignment="1" applyBorder="1" applyFont="1">
      <alignment horizontal="center" vertical="center"/>
    </xf>
    <xf borderId="0" fillId="7" fontId="9" numFmtId="0" xfId="0" applyAlignment="1" applyFont="1">
      <alignment horizontal="center" readingOrder="0"/>
    </xf>
    <xf borderId="1" fillId="0" fontId="16" numFmtId="0" xfId="0" applyAlignment="1" applyBorder="1" applyFont="1">
      <alignment horizontal="center" vertical="center"/>
    </xf>
    <xf borderId="0" fillId="3" fontId="6" numFmtId="0" xfId="0" applyAlignment="1" applyFont="1">
      <alignment horizontal="center" readingOrder="0" vertical="center"/>
    </xf>
    <xf borderId="4" fillId="7" fontId="30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/>
    </xf>
    <xf borderId="4" fillId="3" fontId="30" numFmtId="0" xfId="0" applyAlignment="1" applyBorder="1" applyFont="1">
      <alignment horizontal="center" readingOrder="0"/>
    </xf>
    <xf borderId="4" fillId="3" fontId="31" numFmtId="0" xfId="0" applyAlignment="1" applyBorder="1" applyFont="1">
      <alignment horizontal="center" readingOrder="0"/>
    </xf>
    <xf borderId="0" fillId="3" fontId="31" numFmtId="0" xfId="0" applyAlignment="1" applyFont="1">
      <alignment horizontal="center" readingOrder="0"/>
    </xf>
    <xf borderId="0" fillId="7" fontId="31" numFmtId="0" xfId="0" applyAlignment="1" applyFont="1">
      <alignment horizontal="center" readingOrder="0"/>
    </xf>
    <xf borderId="4" fillId="7" fontId="31" numFmtId="0" xfId="0" applyAlignment="1" applyBorder="1" applyFont="1">
      <alignment horizontal="center" readingOrder="0"/>
    </xf>
    <xf borderId="4" fillId="3" fontId="30" numFmtId="0" xfId="0" applyAlignment="1" applyBorder="1" applyFont="1">
      <alignment horizontal="center"/>
    </xf>
    <xf borderId="4" fillId="6" fontId="6" numFmtId="165" xfId="0" applyAlignment="1" applyBorder="1" applyFont="1" applyNumberFormat="1">
      <alignment horizontal="center" readingOrder="0" vertical="center"/>
    </xf>
    <xf borderId="4" fillId="0" fontId="6" numFmtId="181" xfId="0" applyAlignment="1" applyBorder="1" applyFont="1" applyNumberFormat="1">
      <alignment horizontal="center" readingOrder="0" vertical="center"/>
    </xf>
    <xf borderId="11" fillId="5" fontId="6" numFmtId="0" xfId="0" applyAlignment="1" applyBorder="1" applyFont="1">
      <alignment horizontal="center" readingOrder="0" shrinkToFit="0" textRotation="0" vertical="center" wrapText="0"/>
    </xf>
    <xf borderId="0" fillId="0" fontId="6" numFmtId="0" xfId="0" applyAlignment="1" applyFont="1">
      <alignment horizontal="center" vertical="center"/>
    </xf>
    <xf borderId="0" fillId="0" fontId="6" numFmtId="171" xfId="0" applyAlignment="1" applyFont="1" applyNumberFormat="1">
      <alignment horizontal="center" vertical="center"/>
    </xf>
    <xf borderId="0" fillId="0" fontId="6" numFmtId="172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1" fillId="5" fontId="16" numFmtId="0" xfId="0" applyAlignment="1" applyBorder="1" applyFont="1">
      <alignment horizontal="center" readingOrder="0" vertical="center"/>
    </xf>
    <xf borderId="4" fillId="5" fontId="16" numFmtId="0" xfId="0" applyAlignment="1" applyBorder="1" applyFont="1">
      <alignment horizontal="center" readingOrder="0" vertical="center"/>
    </xf>
    <xf borderId="4" fillId="5" fontId="16" numFmtId="0" xfId="0" applyAlignment="1" applyBorder="1" applyFont="1">
      <alignment horizontal="center" vertical="center"/>
    </xf>
    <xf borderId="4" fillId="5" fontId="16" numFmtId="171" xfId="0" applyAlignment="1" applyBorder="1" applyFont="1" applyNumberFormat="1">
      <alignment horizontal="center" vertical="center"/>
    </xf>
    <xf borderId="4" fillId="5" fontId="16" numFmtId="172" xfId="0" applyAlignment="1" applyBorder="1" applyFont="1" applyNumberFormat="1">
      <alignment horizontal="center" vertical="center"/>
    </xf>
    <xf borderId="4" fillId="5" fontId="16" numFmtId="164" xfId="0" applyAlignment="1" applyBorder="1" applyFont="1" applyNumberForma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0" fontId="16" numFmtId="173" xfId="0" applyAlignment="1" applyBorder="1" applyFont="1" applyNumberFormat="1">
      <alignment horizontal="center" readingOrder="0" vertical="center"/>
    </xf>
    <xf borderId="4" fillId="3" fontId="16" numFmtId="172" xfId="0" applyAlignment="1" applyBorder="1" applyFont="1" applyNumberFormat="1">
      <alignment horizontal="center" vertical="center"/>
    </xf>
    <xf borderId="4" fillId="3" fontId="16" numFmtId="0" xfId="0" applyAlignment="1" applyBorder="1" applyFont="1">
      <alignment horizontal="center" readingOrder="0" shrinkToFit="0" vertical="center" wrapText="0"/>
    </xf>
    <xf borderId="4" fillId="7" fontId="16" numFmtId="172" xfId="0" applyAlignment="1" applyBorder="1" applyFont="1" applyNumberFormat="1">
      <alignment horizontal="center" vertical="center"/>
    </xf>
    <xf borderId="4" fillId="7" fontId="16" numFmtId="0" xfId="0" applyAlignment="1" applyBorder="1" applyFont="1">
      <alignment horizontal="center" readingOrder="0" shrinkToFit="0" vertical="center" wrapText="0"/>
    </xf>
    <xf borderId="4" fillId="7" fontId="16" numFmtId="173" xfId="0" applyAlignment="1" applyBorder="1" applyFont="1" applyNumberFormat="1">
      <alignment horizontal="center" readingOrder="0" vertical="center"/>
    </xf>
    <xf borderId="4" fillId="6" fontId="16" numFmtId="0" xfId="0" applyAlignment="1" applyBorder="1" applyFont="1">
      <alignment horizontal="center" readingOrder="0" vertical="center"/>
    </xf>
    <xf borderId="4" fillId="17" fontId="16" numFmtId="0" xfId="0" applyAlignment="1" applyBorder="1" applyFont="1">
      <alignment horizontal="center" readingOrder="0" shrinkToFit="0" vertical="center" wrapText="0"/>
    </xf>
    <xf borderId="4" fillId="3" fontId="32" numFmtId="0" xfId="0" applyAlignment="1" applyBorder="1" applyFont="1">
      <alignment horizontal="center" readingOrder="0"/>
    </xf>
    <xf borderId="4" fillId="3" fontId="33" numFmtId="0" xfId="0" applyAlignment="1" applyBorder="1" applyFont="1">
      <alignment horizontal="center" readingOrder="0"/>
    </xf>
    <xf borderId="4" fillId="7" fontId="33" numFmtId="0" xfId="0" applyAlignment="1" applyBorder="1" applyFont="1">
      <alignment horizontal="center" readingOrder="0"/>
    </xf>
    <xf borderId="4" fillId="3" fontId="34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 vertical="center"/>
    </xf>
    <xf borderId="10" fillId="5" fontId="6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6" fontId="6" numFmtId="0" xfId="0" applyAlignment="1" applyFont="1">
      <alignment horizontal="center" vertical="center"/>
    </xf>
    <xf borderId="0" fillId="6" fontId="6" numFmtId="171" xfId="0" applyAlignment="1" applyFont="1" applyNumberFormat="1">
      <alignment horizontal="center" vertical="center"/>
    </xf>
    <xf borderId="0" fillId="6" fontId="6" numFmtId="172" xfId="0" applyAlignment="1" applyFont="1" applyNumberFormat="1">
      <alignment horizontal="center" vertical="center"/>
    </xf>
    <xf borderId="0" fillId="6" fontId="6" numFmtId="164" xfId="0" applyAlignment="1" applyFont="1" applyNumberFormat="1">
      <alignment horizontal="center" vertical="center"/>
    </xf>
    <xf borderId="4" fillId="3" fontId="20" numFmtId="0" xfId="0" applyAlignment="1" applyBorder="1" applyFont="1">
      <alignment horizontal="center" readingOrder="0" vertical="center"/>
    </xf>
    <xf borderId="4" fillId="0" fontId="25" numFmtId="0" xfId="0" applyAlignment="1" applyBorder="1" applyFont="1">
      <alignment horizontal="center" readingOrder="0" vertical="center"/>
    </xf>
    <xf borderId="4" fillId="7" fontId="25" numFmtId="0" xfId="0" applyAlignment="1" applyBorder="1" applyFont="1">
      <alignment horizontal="center" readingOrder="0" vertical="center"/>
    </xf>
    <xf borderId="4" fillId="7" fontId="9" numFmtId="0" xfId="0" applyAlignment="1" applyBorder="1" applyFont="1">
      <alignment horizontal="center" readingOrder="0"/>
    </xf>
    <xf borderId="4" fillId="0" fontId="35" numFmtId="0" xfId="0" applyAlignment="1" applyBorder="1" applyFont="1">
      <alignment horizontal="center" vertical="center"/>
    </xf>
    <xf borderId="4" fillId="0" fontId="35" numFmtId="0" xfId="0" applyAlignment="1" applyBorder="1" applyFont="1">
      <alignment horizontal="center" readingOrder="0" vertical="center"/>
    </xf>
    <xf borderId="4" fillId="3" fontId="36" numFmtId="0" xfId="0" applyAlignment="1" applyBorder="1" applyFont="1">
      <alignment horizontal="center" readingOrder="0"/>
    </xf>
    <xf borderId="4" fillId="0" fontId="36" numFmtId="0" xfId="0" applyAlignment="1" applyBorder="1" applyFont="1">
      <alignment horizontal="center" readingOrder="0"/>
    </xf>
    <xf borderId="4" fillId="0" fontId="22" numFmtId="166" xfId="0" applyAlignment="1" applyBorder="1" applyFont="1" applyNumberFormat="1">
      <alignment horizontal="center" readingOrder="0"/>
    </xf>
    <xf borderId="0" fillId="6" fontId="6" numFmtId="171" xfId="0" applyAlignment="1" applyFont="1" applyNumberFormat="1">
      <alignment horizontal="center" readingOrder="0" vertical="center"/>
    </xf>
    <xf borderId="0" fillId="3" fontId="25" numFmtId="0" xfId="0" applyAlignment="1" applyFont="1">
      <alignment horizontal="center"/>
    </xf>
    <xf borderId="4" fillId="7" fontId="13" numFmtId="0" xfId="0" applyAlignment="1" applyBorder="1" applyFont="1">
      <alignment horizontal="center" readingOrder="0"/>
    </xf>
    <xf borderId="10" fillId="7" fontId="6" numFmtId="0" xfId="0" applyAlignment="1" applyBorder="1" applyFont="1">
      <alignment horizontal="center" readingOrder="0" vertical="center"/>
    </xf>
    <xf borderId="4" fillId="7" fontId="6" numFmtId="173" xfId="0" applyAlignment="1" applyBorder="1" applyFont="1" applyNumberFormat="1">
      <alignment horizontal="center" readingOrder="0" vertical="center"/>
    </xf>
    <xf borderId="4" fillId="3" fontId="16" numFmtId="0" xfId="0" applyAlignment="1" applyBorder="1" applyFont="1">
      <alignment horizontal="center"/>
    </xf>
    <xf borderId="4" fillId="0" fontId="6" numFmtId="0" xfId="0" applyAlignment="1" applyBorder="1" applyFont="1">
      <alignment horizontal="center" readingOrder="0" vertical="center"/>
    </xf>
    <xf borderId="4" fillId="3" fontId="20" numFmtId="0" xfId="0" applyAlignment="1" applyBorder="1" applyFont="1">
      <alignment horizontal="center" readingOrder="0" vertical="center"/>
    </xf>
    <xf borderId="4" fillId="3" fontId="21" numFmtId="0" xfId="0" applyAlignment="1" applyBorder="1" applyFont="1">
      <alignment horizontal="center" readingOrder="0"/>
    </xf>
    <xf borderId="4" fillId="3" fontId="16" numFmtId="0" xfId="0" applyAlignment="1" applyBorder="1" applyFont="1">
      <alignment horizontal="center" readingOrder="0" vertical="bottom"/>
    </xf>
    <xf borderId="4" fillId="3" fontId="16" numFmtId="172" xfId="0" applyAlignment="1" applyBorder="1" applyFont="1" applyNumberFormat="1">
      <alignment horizontal="center" readingOrder="0"/>
    </xf>
    <xf borderId="4" fillId="7" fontId="16" numFmtId="0" xfId="0" applyAlignment="1" applyBorder="1" applyFont="1">
      <alignment horizontal="center" readingOrder="0" vertical="bottom"/>
    </xf>
    <xf borderId="1" fillId="21" fontId="15" numFmtId="0" xfId="0" applyAlignment="1" applyBorder="1" applyFill="1" applyFont="1">
      <alignment horizontal="center" readingOrder="0" vertical="center"/>
    </xf>
    <xf borderId="4" fillId="21" fontId="37" numFmtId="0" xfId="0" applyAlignment="1" applyBorder="1" applyFont="1">
      <alignment horizontal="center" readingOrder="0" vertical="center"/>
    </xf>
    <xf borderId="4" fillId="21" fontId="37" numFmtId="0" xfId="0" applyAlignment="1" applyBorder="1" applyFont="1">
      <alignment horizontal="center" vertical="center"/>
    </xf>
    <xf borderId="4" fillId="21" fontId="37" numFmtId="171" xfId="0" applyAlignment="1" applyBorder="1" applyFont="1" applyNumberFormat="1">
      <alignment horizontal="center" vertical="center"/>
    </xf>
    <xf borderId="4" fillId="21" fontId="37" numFmtId="172" xfId="0" applyAlignment="1" applyBorder="1" applyFont="1" applyNumberFormat="1">
      <alignment horizontal="center" vertical="center"/>
    </xf>
    <xf borderId="4" fillId="21" fontId="37" numFmtId="164" xfId="0" applyAlignment="1" applyBorder="1" applyFont="1" applyNumberFormat="1">
      <alignment horizontal="center" vertical="center"/>
    </xf>
    <xf borderId="4" fillId="3" fontId="15" numFmtId="0" xfId="0" applyAlignment="1" applyBorder="1" applyFont="1">
      <alignment horizontal="center" readingOrder="0" vertical="center"/>
    </xf>
    <xf borderId="4" fillId="3" fontId="15" numFmtId="171" xfId="0" applyAlignment="1" applyBorder="1" applyFont="1" applyNumberFormat="1">
      <alignment horizontal="center" readingOrder="0" vertical="center"/>
    </xf>
    <xf borderId="4" fillId="3" fontId="15" numFmtId="172" xfId="0" applyAlignment="1" applyBorder="1" applyFont="1" applyNumberForma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4" fillId="3" fontId="15" numFmtId="164" xfId="0" applyAlignment="1" applyBorder="1" applyFont="1" applyNumberFormat="1">
      <alignment horizontal="center" readingOrder="0" vertical="center"/>
    </xf>
    <xf borderId="4" fillId="3" fontId="15" numFmtId="172" xfId="0" applyAlignment="1" applyBorder="1" applyFont="1" applyNumberFormat="1">
      <alignment horizontal="center" vertical="center"/>
    </xf>
    <xf borderId="4" fillId="3" fontId="15" numFmtId="165" xfId="0" applyAlignment="1" applyBorder="1" applyFont="1" applyNumberFormat="1">
      <alignment horizontal="center" readingOrder="0" vertical="center"/>
    </xf>
    <xf borderId="4" fillId="7" fontId="15" numFmtId="0" xfId="0" applyAlignment="1" applyBorder="1" applyFont="1">
      <alignment horizontal="center" readingOrder="0" vertical="center"/>
    </xf>
    <xf borderId="4" fillId="7" fontId="15" numFmtId="0" xfId="0" applyAlignment="1" applyBorder="1" applyFont="1">
      <alignment horizontal="center" vertical="center"/>
    </xf>
    <xf borderId="4" fillId="7" fontId="15" numFmtId="171" xfId="0" applyAlignment="1" applyBorder="1" applyFont="1" applyNumberFormat="1">
      <alignment horizontal="center" vertical="center"/>
    </xf>
    <xf borderId="4" fillId="7" fontId="15" numFmtId="172" xfId="0" applyAlignment="1" applyBorder="1" applyFont="1" applyNumberFormat="1">
      <alignment horizontal="center" readingOrder="0" vertical="center"/>
    </xf>
    <xf borderId="4" fillId="7" fontId="15" numFmtId="165" xfId="0" applyAlignment="1" applyBorder="1" applyFont="1" applyNumberFormat="1">
      <alignment horizontal="center" vertical="center"/>
    </xf>
    <xf borderId="4" fillId="3" fontId="1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4" fillId="0" fontId="15" numFmtId="172" xfId="0" applyAlignment="1" applyBorder="1" applyFont="1" applyNumberFormat="1">
      <alignment horizontal="center" vertical="center"/>
    </xf>
    <xf borderId="4" fillId="0" fontId="15" numFmtId="165" xfId="0" applyAlignment="1" applyBorder="1" applyFont="1" applyNumberFormat="1">
      <alignment horizontal="center" vertical="center"/>
    </xf>
    <xf borderId="4" fillId="3" fontId="37" numFmtId="0" xfId="0" applyAlignment="1" applyBorder="1" applyFont="1">
      <alignment horizontal="center" readingOrder="0" vertical="center"/>
    </xf>
    <xf borderId="4" fillId="7" fontId="37" numFmtId="0" xfId="0" applyAlignment="1" applyBorder="1" applyFont="1">
      <alignment horizontal="center" readingOrder="0" vertical="center"/>
    </xf>
    <xf borderId="4" fillId="7" fontId="15" numFmtId="171" xfId="0" applyAlignment="1" applyBorder="1" applyFont="1" applyNumberFormat="1">
      <alignment horizontal="center" readingOrder="0" vertical="center"/>
    </xf>
    <xf borderId="4" fillId="7" fontId="15" numFmtId="182" xfId="0" applyAlignment="1" applyBorder="1" applyFont="1" applyNumberFormat="1">
      <alignment horizontal="center" readingOrder="0" vertical="center"/>
    </xf>
    <xf borderId="4" fillId="0" fontId="37" numFmtId="0" xfId="0" applyAlignment="1" applyBorder="1" applyFont="1">
      <alignment horizontal="center" readingOrder="0" vertical="center"/>
    </xf>
    <xf borderId="4" fillId="0" fontId="15" numFmtId="172" xfId="0" applyAlignment="1" applyBorder="1" applyFont="1" applyNumberFormat="1">
      <alignment horizontal="center" readingOrder="0" vertical="center"/>
    </xf>
    <xf borderId="4" fillId="0" fontId="15" numFmtId="182" xfId="0" applyAlignment="1" applyBorder="1" applyFont="1" applyNumberFormat="1">
      <alignment horizontal="center" readingOrder="0" vertical="center"/>
    </xf>
    <xf borderId="4" fillId="0" fontId="15" numFmtId="171" xfId="0" applyAlignment="1" applyBorder="1" applyFont="1" applyNumberFormat="1">
      <alignment horizontal="center" readingOrder="0" vertical="center"/>
    </xf>
    <xf borderId="4" fillId="0" fontId="15" numFmtId="164" xfId="0" applyAlignment="1" applyBorder="1" applyFont="1" applyNumberFormat="1">
      <alignment horizontal="center" readingOrder="0" vertical="center"/>
    </xf>
    <xf borderId="4" fillId="7" fontId="15" numFmtId="0" xfId="0" applyAlignment="1" applyBorder="1" applyFont="1">
      <alignment horizontal="center" readingOrder="0"/>
    </xf>
    <xf borderId="4" fillId="7" fontId="15" numFmtId="164" xfId="0" applyAlignment="1" applyBorder="1" applyFont="1" applyNumberFormat="1">
      <alignment horizontal="center" readingOrder="0" vertical="center"/>
    </xf>
    <xf borderId="7" fillId="0" fontId="15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/>
    </xf>
    <xf borderId="7" fillId="0" fontId="15" numFmtId="171" xfId="0" applyAlignment="1" applyBorder="1" applyFont="1" applyNumberFormat="1">
      <alignment horizontal="center" readingOrder="0" vertical="center"/>
    </xf>
    <xf borderId="7" fillId="0" fontId="15" numFmtId="172" xfId="0" applyAlignment="1" applyBorder="1" applyFont="1" applyNumberFormat="1">
      <alignment horizontal="center" readingOrder="0" vertical="center"/>
    </xf>
    <xf borderId="7" fillId="0" fontId="15" numFmtId="165" xfId="0" applyAlignment="1" applyBorder="1" applyFont="1" applyNumberFormat="1">
      <alignment horizontal="center" readingOrder="0" vertical="center"/>
    </xf>
    <xf borderId="11" fillId="0" fontId="15" numFmtId="0" xfId="0" applyAlignment="1" applyBorder="1" applyFont="1">
      <alignment horizontal="center" readingOrder="0" vertical="center"/>
    </xf>
    <xf borderId="7" fillId="0" fontId="15" numFmtId="164" xfId="0" applyAlignment="1" applyBorder="1" applyFont="1" applyNumberFormat="1">
      <alignment horizontal="center" readingOrder="0" vertical="center"/>
    </xf>
    <xf borderId="4" fillId="0" fontId="15" numFmtId="0" xfId="0" applyAlignment="1" applyBorder="1" applyFont="1">
      <alignment horizontal="center" vertical="center"/>
    </xf>
    <xf borderId="4" fillId="21" fontId="15" numFmtId="0" xfId="0" applyAlignment="1" applyBorder="1" applyFont="1">
      <alignment horizontal="center" vertical="center"/>
    </xf>
    <xf borderId="4" fillId="21" fontId="15" numFmtId="0" xfId="0" applyAlignment="1" applyBorder="1" applyFont="1">
      <alignment horizontal="center" readingOrder="0" vertical="center"/>
    </xf>
    <xf borderId="4" fillId="21" fontId="15" numFmtId="0" xfId="0" applyAlignment="1" applyBorder="1" applyFont="1">
      <alignment horizontal="center" vertical="center"/>
    </xf>
    <xf borderId="4" fillId="21" fontId="15" numFmtId="171" xfId="0" applyAlignment="1" applyBorder="1" applyFont="1" applyNumberFormat="1">
      <alignment horizontal="center" vertical="center"/>
    </xf>
    <xf borderId="4" fillId="21" fontId="15" numFmtId="172" xfId="0" applyAlignment="1" applyBorder="1" applyFont="1" applyNumberFormat="1">
      <alignment horizontal="center" vertical="center"/>
    </xf>
    <xf borderId="4" fillId="21" fontId="15" numFmtId="164" xfId="0" applyAlignment="1" applyBorder="1" applyFont="1" applyNumberFormat="1">
      <alignment horizontal="center" vertical="center"/>
    </xf>
    <xf borderId="4" fillId="0" fontId="15" numFmtId="165" xfId="0" applyAlignment="1" applyBorder="1" applyFont="1" applyNumberForma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4" fillId="7" fontId="15" numFmtId="165" xfId="0" applyAlignment="1" applyBorder="1" applyFont="1" applyNumberFormat="1">
      <alignment horizontal="center" readingOrder="0" vertical="center"/>
    </xf>
    <xf borderId="1" fillId="21" fontId="11" numFmtId="0" xfId="0" applyAlignment="1" applyBorder="1" applyFont="1">
      <alignment horizontal="center" readingOrder="0" vertical="center"/>
    </xf>
    <xf borderId="4" fillId="21" fontId="11" numFmtId="0" xfId="0" applyAlignment="1" applyBorder="1" applyFont="1">
      <alignment horizontal="center" readingOrder="0" vertical="center"/>
    </xf>
    <xf borderId="4" fillId="21" fontId="11" numFmtId="0" xfId="0" applyAlignment="1" applyBorder="1" applyFont="1">
      <alignment horizontal="center" vertical="center"/>
    </xf>
    <xf borderId="4" fillId="21" fontId="11" numFmtId="171" xfId="0" applyAlignment="1" applyBorder="1" applyFont="1" applyNumberFormat="1">
      <alignment horizontal="center" vertical="center"/>
    </xf>
    <xf borderId="4" fillId="21" fontId="11" numFmtId="172" xfId="0" applyAlignment="1" applyBorder="1" applyFont="1" applyNumberFormat="1">
      <alignment horizontal="center" vertical="center"/>
    </xf>
    <xf borderId="4" fillId="21" fontId="11" numFmtId="164" xfId="0" applyAlignment="1" applyBorder="1" applyFont="1" applyNumberFormat="1">
      <alignment horizontal="center" vertical="center"/>
    </xf>
    <xf borderId="4" fillId="0" fontId="11" numFmtId="171" xfId="0" applyAlignment="1" applyBorder="1" applyFont="1" applyNumberFormat="1">
      <alignment horizontal="center" readingOrder="0" vertical="center"/>
    </xf>
    <xf borderId="4" fillId="0" fontId="11" numFmtId="172" xfId="0" applyAlignment="1" applyBorder="1" applyFont="1" applyNumberFormat="1">
      <alignment horizontal="center" readingOrder="0" vertical="center"/>
    </xf>
    <xf borderId="4" fillId="0" fontId="11" numFmtId="164" xfId="0" applyAlignment="1" applyBorder="1" applyFont="1" applyNumberFormat="1">
      <alignment horizontal="center" readingOrder="0" vertical="center"/>
    </xf>
    <xf borderId="4" fillId="3" fontId="11" numFmtId="164" xfId="0" applyAlignment="1" applyBorder="1" applyFont="1" applyNumberFormat="1">
      <alignment horizontal="center" readingOrder="0" vertical="center"/>
    </xf>
    <xf borderId="4" fillId="0" fontId="11" numFmtId="172" xfId="0" applyAlignment="1" applyBorder="1" applyFont="1" applyNumberFormat="1">
      <alignment horizontal="center" vertical="center"/>
    </xf>
    <xf borderId="4" fillId="0" fontId="11" numFmtId="165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14" fillId="21" fontId="15" numFmtId="0" xfId="0" applyAlignment="1" applyBorder="1" applyFont="1">
      <alignment horizontal="center" readingOrder="0" vertical="center"/>
    </xf>
    <xf borderId="4" fillId="6" fontId="15" numFmtId="0" xfId="0" applyAlignment="1" applyBorder="1" applyFont="1">
      <alignment horizontal="center" readingOrder="0" vertical="center"/>
    </xf>
    <xf borderId="4" fillId="6" fontId="15" numFmtId="172" xfId="0" applyAlignment="1" applyBorder="1" applyFont="1" applyNumberFormat="1">
      <alignment horizontal="center" readingOrder="0" vertical="center"/>
    </xf>
    <xf borderId="4" fillId="6" fontId="15" numFmtId="164" xfId="0" applyAlignment="1" applyBorder="1" applyFont="1" applyNumberFormat="1">
      <alignment horizontal="center" readingOrder="0" vertical="center"/>
    </xf>
    <xf borderId="4" fillId="6" fontId="15" numFmtId="171" xfId="0" applyAlignment="1" applyBorder="1" applyFont="1" applyNumberFormat="1">
      <alignment horizontal="center" readingOrder="0" vertical="center"/>
    </xf>
    <xf borderId="4" fillId="7" fontId="15" numFmtId="168" xfId="0" applyAlignment="1" applyBorder="1" applyFont="1" applyNumberFormat="1">
      <alignment horizontal="center" readingOrder="0" vertical="center"/>
    </xf>
    <xf borderId="4" fillId="3" fontId="15" numFmtId="166" xfId="0" applyAlignment="1" applyBorder="1" applyFont="1" applyNumberFormat="1">
      <alignment horizontal="center" readingOrder="0" vertical="center"/>
    </xf>
    <xf borderId="4" fillId="0" fontId="24" numFmtId="0" xfId="0" applyAlignment="1" applyBorder="1" applyFont="1">
      <alignment horizontal="center" readingOrder="0" vertical="bottom"/>
    </xf>
    <xf borderId="4" fillId="0" fontId="15" numFmtId="171" xfId="0" applyAlignment="1" applyBorder="1" applyFont="1" applyNumberFormat="1">
      <alignment horizontal="center" vertical="center"/>
    </xf>
    <xf borderId="4" fillId="7" fontId="15" numFmtId="0" xfId="0" applyAlignment="1" applyBorder="1" applyFont="1">
      <alignment horizontal="center" vertical="center"/>
    </xf>
    <xf borderId="4" fillId="7" fontId="15" numFmtId="172" xfId="0" applyAlignment="1" applyBorder="1" applyFont="1" applyNumberFormat="1">
      <alignment horizontal="center" vertical="center"/>
    </xf>
    <xf borderId="4" fillId="7" fontId="15" numFmtId="164" xfId="0" applyAlignment="1" applyBorder="1" applyFont="1" applyNumberFormat="1">
      <alignment horizontal="center" vertical="center"/>
    </xf>
    <xf borderId="4" fillId="7" fontId="15" numFmtId="180" xfId="0" applyAlignment="1" applyBorder="1" applyFont="1" applyNumberFormat="1">
      <alignment horizontal="center" readingOrder="0" vertical="center"/>
    </xf>
    <xf borderId="4" fillId="7" fontId="15" numFmtId="0" xfId="0" applyAlignment="1" applyBorder="1" applyFont="1">
      <alignment horizontal="center" readingOrder="0" shrinkToFit="0" vertical="center" wrapText="0"/>
    </xf>
    <xf borderId="4" fillId="7" fontId="15" numFmtId="171" xfId="0" applyAlignment="1" applyBorder="1" applyFont="1" applyNumberFormat="1">
      <alignment horizontal="center" readingOrder="0" shrinkToFit="0" vertical="center" wrapText="0"/>
    </xf>
    <xf borderId="1" fillId="7" fontId="15" numFmtId="0" xfId="0" applyAlignment="1" applyBorder="1" applyFont="1">
      <alignment horizontal="center" readingOrder="0" vertical="center"/>
    </xf>
    <xf borderId="4" fillId="6" fontId="15" numFmtId="165" xfId="0" applyAlignment="1" applyBorder="1" applyFont="1" applyNumberFormat="1">
      <alignment horizontal="center" readingOrder="0" vertical="center"/>
    </xf>
    <xf borderId="4" fillId="3" fontId="15" numFmtId="0" xfId="0" applyAlignment="1" applyBorder="1" applyFont="1">
      <alignment horizontal="center" vertical="center"/>
    </xf>
    <xf borderId="4" fillId="0" fontId="15" numFmtId="164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vertical="center"/>
    </xf>
    <xf borderId="0" fillId="2" fontId="38" numFmtId="0" xfId="0" applyAlignment="1" applyFont="1">
      <alignment readingOrder="0"/>
    </xf>
    <xf borderId="0" fillId="2" fontId="38" numFmtId="0" xfId="0" applyAlignment="1" applyFont="1">
      <alignment horizontal="center" readingOrder="0"/>
    </xf>
    <xf borderId="4" fillId="2" fontId="15" numFmtId="167" xfId="0" applyAlignment="1" applyBorder="1" applyFont="1" applyNumberForma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1" fillId="7" fontId="15" numFmtId="0" xfId="0" applyAlignment="1" applyBorder="1" applyFont="1">
      <alignment horizontal="center" vertical="center"/>
    </xf>
    <xf borderId="4" fillId="21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1" numFmtId="171" xfId="0" applyAlignment="1" applyBorder="1" applyFont="1" applyNumberFormat="1">
      <alignment horizontal="center" vertical="center"/>
    </xf>
    <xf borderId="4" fillId="0" fontId="11" numFmtId="164" xfId="0" applyAlignment="1" applyBorder="1" applyFont="1" applyNumberFormat="1">
      <alignment horizontal="center" vertical="center"/>
    </xf>
    <xf borderId="4" fillId="3" fontId="11" numFmtId="171" xfId="0" applyAlignment="1" applyBorder="1" applyFont="1" applyNumberFormat="1">
      <alignment horizontal="center" readingOrder="0" vertical="center"/>
    </xf>
    <xf borderId="4" fillId="3" fontId="11" numFmtId="172" xfId="0" applyAlignment="1" applyBorder="1" applyFont="1" applyNumberFormat="1">
      <alignment horizontal="center" vertical="center"/>
    </xf>
    <xf borderId="4" fillId="7" fontId="11" numFmtId="166" xfId="0" applyAlignment="1" applyBorder="1" applyFont="1" applyNumberFormat="1">
      <alignment horizontal="center" readingOrder="0" vertical="center"/>
    </xf>
    <xf borderId="4" fillId="3" fontId="11" numFmtId="0" xfId="0" applyAlignment="1" applyBorder="1" applyFont="1">
      <alignment horizontal="center" readingOrder="0"/>
    </xf>
    <xf borderId="4" fillId="7" fontId="11" numFmtId="0" xfId="0" applyAlignment="1" applyBorder="1" applyFont="1">
      <alignment horizontal="center" readingOrder="0"/>
    </xf>
    <xf borderId="4" fillId="7" fontId="11" numFmtId="164" xfId="0" applyAlignment="1" applyBorder="1" applyFont="1" applyNumberFormat="1">
      <alignment horizontal="center" readingOrder="0" vertical="center"/>
    </xf>
    <xf borderId="4" fillId="3" fontId="11" numFmtId="172" xfId="0" applyAlignment="1" applyBorder="1" applyFont="1" applyNumberFormat="1">
      <alignment horizontal="center" readingOrder="0" vertical="center"/>
    </xf>
    <xf borderId="4" fillId="0" fontId="23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/>
    </xf>
    <xf borderId="4" fillId="0" fontId="15" numFmtId="171" xfId="0" applyAlignment="1" applyBorder="1" applyFont="1" applyNumberFormat="1">
      <alignment horizontal="center"/>
    </xf>
    <xf borderId="4" fillId="0" fontId="15" numFmtId="172" xfId="0" applyAlignment="1" applyBorder="1" applyFont="1" applyNumberFormat="1">
      <alignment horizontal="center"/>
    </xf>
    <xf borderId="4" fillId="0" fontId="15" numFmtId="166" xfId="0" applyAlignment="1" applyBorder="1" applyFont="1" applyNumberFormat="1">
      <alignment horizontal="center"/>
    </xf>
    <xf borderId="4" fillId="0" fontId="15" numFmtId="0" xfId="0" applyAlignment="1" applyBorder="1" applyFont="1">
      <alignment horizontal="center"/>
    </xf>
    <xf borderId="4" fillId="0" fontId="15" numFmtId="165" xfId="0" applyAlignment="1" applyBorder="1" applyFont="1" applyNumberFormat="1">
      <alignment horizontal="center"/>
    </xf>
    <xf borderId="4" fillId="3" fontId="15" numFmtId="171" xfId="0" applyAlignment="1" applyBorder="1" applyFont="1" applyNumberFormat="1">
      <alignment horizontal="center" readingOrder="0"/>
    </xf>
    <xf borderId="4" fillId="3" fontId="15" numFmtId="0" xfId="0" applyAlignment="1" applyBorder="1" applyFont="1">
      <alignment horizontal="center"/>
    </xf>
    <xf borderId="4" fillId="3" fontId="15" numFmtId="165" xfId="0" applyAlignment="1" applyBorder="1" applyFont="1" applyNumberFormat="1">
      <alignment horizontal="center" readingOrder="0"/>
    </xf>
    <xf borderId="1" fillId="12" fontId="39" numFmtId="0" xfId="0" applyAlignment="1" applyBorder="1" applyFont="1">
      <alignment horizontal="center" readingOrder="0" vertical="center"/>
    </xf>
    <xf borderId="1" fillId="21" fontId="16" numFmtId="0" xfId="0" applyAlignment="1" applyBorder="1" applyFont="1">
      <alignment horizontal="center" readingOrder="0" vertical="center"/>
    </xf>
    <xf borderId="4" fillId="21" fontId="16" numFmtId="0" xfId="0" applyAlignment="1" applyBorder="1" applyFont="1">
      <alignment horizontal="center" vertical="center"/>
    </xf>
    <xf borderId="4" fillId="21" fontId="16" numFmtId="171" xfId="0" applyAlignment="1" applyBorder="1" applyFont="1" applyNumberFormat="1">
      <alignment horizontal="center" vertical="center"/>
    </xf>
    <xf borderId="4" fillId="21" fontId="16" numFmtId="172" xfId="0" applyAlignment="1" applyBorder="1" applyFont="1" applyNumberFormat="1">
      <alignment horizontal="center" vertical="center"/>
    </xf>
    <xf borderId="4" fillId="21" fontId="16" numFmtId="164" xfId="0" applyAlignment="1" applyBorder="1" applyFont="1" applyNumberFormat="1">
      <alignment horizontal="center" vertical="center"/>
    </xf>
    <xf borderId="4" fillId="3" fontId="16" numFmtId="0" xfId="0" applyAlignment="1" applyBorder="1" applyFont="1">
      <alignment horizontal="center" vertical="center"/>
    </xf>
    <xf borderId="4" fillId="0" fontId="16" numFmtId="165" xfId="0" applyAlignment="1" applyBorder="1" applyFont="1" applyNumberFormat="1">
      <alignment horizontal="center" readingOrder="0" vertical="center"/>
    </xf>
    <xf borderId="4" fillId="7" fontId="16" numFmtId="165" xfId="0" applyAlignment="1" applyBorder="1" applyFont="1" applyNumberFormat="1">
      <alignment horizontal="center" readingOrder="0" vertical="center"/>
    </xf>
    <xf borderId="4" fillId="3" fontId="16" numFmtId="165" xfId="0" applyAlignment="1" applyBorder="1" applyFont="1" applyNumberFormat="1">
      <alignment horizontal="center" readingOrder="0" vertical="center"/>
    </xf>
    <xf borderId="0" fillId="3" fontId="10" numFmtId="0" xfId="0" applyAlignment="1" applyFont="1">
      <alignment horizontal="center" readingOrder="0"/>
    </xf>
    <xf borderId="1" fillId="21" fontId="0" numFmtId="0" xfId="0" applyAlignment="1" applyBorder="1" applyFont="1">
      <alignment horizontal="center" readingOrder="0" vertical="center"/>
    </xf>
    <xf borderId="4" fillId="21" fontId="0" numFmtId="0" xfId="0" applyAlignment="1" applyBorder="1" applyFont="1">
      <alignment horizontal="center" vertical="center"/>
    </xf>
    <xf borderId="4" fillId="21" fontId="0" numFmtId="171" xfId="0" applyAlignment="1" applyBorder="1" applyFont="1" applyNumberFormat="1">
      <alignment horizontal="center" vertical="center"/>
    </xf>
    <xf borderId="4" fillId="21" fontId="0" numFmtId="172" xfId="0" applyAlignment="1" applyBorder="1" applyFont="1" applyNumberFormat="1">
      <alignment horizontal="center" vertical="center"/>
    </xf>
    <xf borderId="4" fillId="21" fontId="0" numFmtId="164" xfId="0" applyAlignment="1" applyBorder="1" applyFont="1" applyNumberFormat="1">
      <alignment horizontal="center" vertical="center"/>
    </xf>
    <xf borderId="4" fillId="0" fontId="0" numFmtId="172" xfId="0" applyAlignment="1" applyBorder="1" applyFont="1" applyNumberFormat="1">
      <alignment horizontal="center" vertical="center"/>
    </xf>
    <xf borderId="4" fillId="0" fontId="0" numFmtId="171" xfId="0" applyAlignment="1" applyBorder="1" applyFont="1" applyNumberFormat="1">
      <alignment horizontal="center" vertical="center"/>
    </xf>
    <xf borderId="4" fillId="7" fontId="0" numFmtId="168" xfId="0" applyAlignment="1" applyBorder="1" applyFont="1" applyNumberFormat="1">
      <alignment horizontal="center" readingOrder="0" vertical="center"/>
    </xf>
    <xf borderId="7" fillId="7" fontId="0" numFmtId="0" xfId="0" applyAlignment="1" applyBorder="1" applyFont="1">
      <alignment horizontal="center" readingOrder="0" vertical="center"/>
    </xf>
    <xf borderId="7" fillId="7" fontId="0" numFmtId="171" xfId="0" applyAlignment="1" applyBorder="1" applyFont="1" applyNumberFormat="1">
      <alignment horizontal="center" readingOrder="0" vertical="center"/>
    </xf>
    <xf borderId="7" fillId="7" fontId="0" numFmtId="172" xfId="0" applyAlignment="1" applyBorder="1" applyFont="1" applyNumberFormat="1">
      <alignment horizontal="center" readingOrder="0" vertical="center"/>
    </xf>
    <xf borderId="7" fillId="7" fontId="0" numFmtId="164" xfId="0" applyAlignment="1" applyBorder="1" applyFont="1" applyNumberFormat="1">
      <alignment horizontal="center" readingOrder="0" vertical="center"/>
    </xf>
    <xf borderId="4" fillId="7" fontId="0" numFmtId="171" xfId="0" applyAlignment="1" applyBorder="1" applyFont="1" applyNumberFormat="1">
      <alignment horizontal="center" vertical="center"/>
    </xf>
    <xf borderId="0" fillId="0" fontId="0" numFmtId="0" xfId="0" applyAlignment="1" applyFont="1">
      <alignment horizontal="center" vertical="center"/>
    </xf>
    <xf borderId="1" fillId="0" fontId="0" numFmtId="0" xfId="0" applyAlignment="1" applyBorder="1" applyFont="1">
      <alignment horizontal="center" vertical="center"/>
    </xf>
    <xf borderId="5" fillId="21" fontId="15" numFmtId="0" xfId="0" applyAlignment="1" applyBorder="1" applyFont="1">
      <alignment horizontal="center" vertical="center"/>
    </xf>
    <xf borderId="5" fillId="21" fontId="15" numFmtId="171" xfId="0" applyAlignment="1" applyBorder="1" applyFont="1" applyNumberFormat="1">
      <alignment horizontal="center" vertical="center"/>
    </xf>
    <xf borderId="5" fillId="21" fontId="15" numFmtId="172" xfId="0" applyAlignment="1" applyBorder="1" applyFont="1" applyNumberFormat="1">
      <alignment horizontal="center" vertical="center"/>
    </xf>
    <xf borderId="5" fillId="21" fontId="15" numFmtId="164" xfId="0" applyAlignment="1" applyBorder="1" applyFont="1" applyNumberFormat="1">
      <alignment horizontal="center" vertical="center"/>
    </xf>
    <xf borderId="4" fillId="17" fontId="15" numFmtId="0" xfId="0" applyAlignment="1" applyBorder="1" applyFont="1">
      <alignment horizontal="center" vertical="center"/>
    </xf>
    <xf borderId="4" fillId="0" fontId="15" numFmtId="180" xfId="0" applyAlignment="1" applyBorder="1" applyFont="1" applyNumberFormat="1">
      <alignment horizontal="center" vertical="center"/>
    </xf>
    <xf borderId="4" fillId="7" fontId="15" numFmtId="180" xfId="0" applyAlignment="1" applyBorder="1" applyFont="1" applyNumberFormat="1">
      <alignment horizontal="center" vertical="center"/>
    </xf>
    <xf borderId="4" fillId="7" fontId="15" numFmtId="171" xfId="0" applyAlignment="1" applyBorder="1" applyFont="1" applyNumberFormat="1">
      <alignment horizontal="center" readingOrder="0" vertical="center"/>
    </xf>
    <xf borderId="4" fillId="0" fontId="15" numFmtId="171" xfId="0" applyAlignment="1" applyBorder="1" applyFont="1" applyNumberFormat="1">
      <alignment horizontal="center" vertical="center"/>
    </xf>
    <xf borderId="0" fillId="3" fontId="40" numFmtId="172" xfId="0" applyAlignment="1" applyFont="1" applyNumberFormat="1">
      <alignment horizontal="center" readingOrder="0"/>
    </xf>
    <xf borderId="7" fillId="3" fontId="15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 vertical="center"/>
    </xf>
    <xf borderId="7" fillId="0" fontId="15" numFmtId="171" xfId="0" applyAlignment="1" applyBorder="1" applyFont="1" applyNumberFormat="1">
      <alignment horizontal="center" vertical="center"/>
    </xf>
    <xf borderId="7" fillId="0" fontId="15" numFmtId="172" xfId="0" applyAlignment="1" applyBorder="1" applyFont="1" applyNumberFormat="1">
      <alignment horizontal="center" vertical="center"/>
    </xf>
    <xf borderId="7" fillId="0" fontId="15" numFmtId="165" xfId="0" applyAlignment="1" applyBorder="1" applyFont="1" applyNumberFormat="1">
      <alignment horizontal="center" vertical="center"/>
    </xf>
    <xf borderId="16" fillId="0" fontId="15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vertical="center"/>
    </xf>
    <xf borderId="7" fillId="3" fontId="15" numFmtId="0" xfId="0" applyAlignment="1" applyBorder="1" applyFont="1">
      <alignment horizontal="center" readingOrder="0" vertical="center"/>
    </xf>
    <xf borderId="4" fillId="0" fontId="15" numFmtId="166" xfId="0" applyAlignment="1" applyBorder="1" applyFont="1" applyNumberFormat="1">
      <alignment horizontal="center" readingOrder="0" vertical="center"/>
    </xf>
    <xf borderId="4" fillId="7" fontId="11" numFmtId="168" xfId="0" applyAlignment="1" applyBorder="1" applyFont="1" applyNumberFormat="1">
      <alignment horizontal="center" readingOrder="0" vertical="center"/>
    </xf>
    <xf borderId="4" fillId="3" fontId="13" numFmtId="0" xfId="0" applyAlignment="1" applyBorder="1" applyFont="1">
      <alignment horizontal="center" readingOrder="0"/>
    </xf>
    <xf borderId="4" fillId="3" fontId="14" numFmtId="0" xfId="0" applyAlignment="1" applyBorder="1" applyFont="1">
      <alignment horizontal="center" readingOrder="0"/>
    </xf>
    <xf borderId="0" fillId="0" fontId="15" numFmtId="171" xfId="0" applyAlignment="1" applyFont="1" applyNumberFormat="1">
      <alignment horizontal="center" vertical="center"/>
    </xf>
    <xf borderId="0" fillId="0" fontId="15" numFmtId="172" xfId="0" applyAlignment="1" applyFont="1" applyNumberFormat="1">
      <alignment horizontal="center" vertical="center"/>
    </xf>
    <xf borderId="0" fillId="0" fontId="15" numFmtId="164" xfId="0" applyAlignment="1" applyFont="1" applyNumberFormat="1">
      <alignment horizontal="center" vertical="center"/>
    </xf>
    <xf borderId="14" fillId="7" fontId="15" numFmtId="0" xfId="0" applyAlignment="1" applyBorder="1" applyFont="1">
      <alignment horizontal="center" readingOrder="0" vertical="center"/>
    </xf>
    <xf borderId="4" fillId="3" fontId="15" numFmtId="0" xfId="0" applyAlignment="1" applyBorder="1" applyFont="1">
      <alignment horizontal="center" readingOrder="0" shrinkToFit="0" vertical="center" wrapText="0"/>
    </xf>
    <xf borderId="4" fillId="0" fontId="15" numFmtId="180" xfId="0" applyAlignment="1" applyBorder="1" applyFont="1" applyNumberFormat="1">
      <alignment horizontal="center" readingOrder="0" vertical="center"/>
    </xf>
    <xf borderId="4" fillId="3" fontId="11" numFmtId="0" xfId="0" applyAlignment="1" applyBorder="1" applyFont="1">
      <alignment horizontal="center" vertical="center"/>
    </xf>
    <xf borderId="4" fillId="3" fontId="11" numFmtId="165" xfId="0" applyAlignment="1" applyBorder="1" applyFont="1" applyNumberFormat="1">
      <alignment horizontal="center" readingOrder="0" vertical="center"/>
    </xf>
    <xf borderId="4" fillId="7" fontId="11" numFmtId="0" xfId="0" applyAlignment="1" applyBorder="1" applyFont="1">
      <alignment horizontal="center" vertical="center"/>
    </xf>
    <xf borderId="4" fillId="7" fontId="11" numFmtId="165" xfId="0" applyAlignment="1" applyBorder="1" applyFont="1" applyNumberFormat="1">
      <alignment horizontal="center" readingOrder="0" vertical="center"/>
    </xf>
    <xf borderId="0" fillId="7" fontId="13" numFmtId="0" xfId="0" applyAlignment="1" applyFont="1">
      <alignment horizontal="center" readingOrder="0"/>
    </xf>
    <xf borderId="0" fillId="0" fontId="15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4" fillId="0" fontId="11" numFmtId="166" xfId="0" applyAlignment="1" applyBorder="1" applyFont="1" applyNumberFormat="1">
      <alignment horizontal="center" readingOrder="0" vertical="center"/>
    </xf>
    <xf borderId="14" fillId="21" fontId="16" numFmtId="0" xfId="0" applyAlignment="1" applyBorder="1" applyFont="1">
      <alignment horizontal="center" readingOrder="0" vertical="center"/>
    </xf>
    <xf borderId="4" fillId="6" fontId="16" numFmtId="171" xfId="0" applyAlignment="1" applyBorder="1" applyFont="1" applyNumberFormat="1">
      <alignment horizontal="center" readingOrder="0" vertical="center"/>
    </xf>
    <xf borderId="4" fillId="6" fontId="16" numFmtId="172" xfId="0" applyAlignment="1" applyBorder="1" applyFont="1" applyNumberFormat="1">
      <alignment horizontal="center" readingOrder="0" vertical="center"/>
    </xf>
    <xf borderId="4" fillId="3" fontId="41" numFmtId="0" xfId="0" applyAlignment="1" applyBorder="1" applyFont="1">
      <alignment horizontal="center" readingOrder="0" vertical="center"/>
    </xf>
    <xf borderId="3" fillId="3" fontId="15" numFmtId="0" xfId="0" applyAlignment="1" applyBorder="1" applyFont="1">
      <alignment horizontal="center" readingOrder="0"/>
    </xf>
    <xf borderId="3" fillId="3" fontId="15" numFmtId="0" xfId="0" applyAlignment="1" applyBorder="1" applyFont="1">
      <alignment horizontal="center" readingOrder="0" vertical="bottom"/>
    </xf>
    <xf borderId="3" fillId="3" fontId="15" numFmtId="165" xfId="0" applyAlignment="1" applyBorder="1" applyFont="1" applyNumberFormat="1">
      <alignment horizontal="center" readingOrder="0"/>
    </xf>
    <xf borderId="4" fillId="3" fontId="42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/>
    </xf>
    <xf borderId="4" fillId="7" fontId="16" numFmtId="171" xfId="0" applyAlignment="1" applyBorder="1" applyFont="1" applyNumberFormat="1">
      <alignment horizontal="center" vertical="center"/>
    </xf>
    <xf borderId="4" fillId="0" fontId="16" numFmtId="166" xfId="0" applyAlignment="1" applyBorder="1" applyFont="1" applyNumberFormat="1">
      <alignment horizontal="center" readingOrder="0" vertical="center"/>
    </xf>
    <xf borderId="4" fillId="7" fontId="16" numFmtId="167" xfId="0" applyAlignment="1" applyBorder="1" applyFont="1" applyNumberFormat="1">
      <alignment horizontal="center" readingOrder="0" vertical="center"/>
    </xf>
    <xf borderId="0" fillId="7" fontId="16" numFmtId="0" xfId="0" applyAlignment="1" applyFont="1">
      <alignment horizontal="center" readingOrder="0" vertical="center"/>
    </xf>
    <xf borderId="0" fillId="3" fontId="16" numFmtId="0" xfId="0" applyAlignment="1" applyFont="1">
      <alignment horizontal="center" readingOrder="0" vertical="center"/>
    </xf>
    <xf borderId="0" fillId="3" fontId="14" numFmtId="0" xfId="0" applyAlignment="1" applyFont="1">
      <alignment horizontal="center" readingOrder="0"/>
    </xf>
    <xf borderId="4" fillId="3" fontId="16" numFmtId="167" xfId="0" applyAlignment="1" applyBorder="1" applyFont="1" applyNumberFormat="1">
      <alignment horizontal="center" readingOrder="0" vertical="center"/>
    </xf>
    <xf borderId="4" fillId="3" fontId="41" numFmtId="0" xfId="0" applyAlignment="1" applyBorder="1" applyFont="1">
      <alignment horizontal="center" readingOrder="0"/>
    </xf>
    <xf borderId="1" fillId="21" fontId="6" numFmtId="0" xfId="0" applyAlignment="1" applyBorder="1" applyFont="1">
      <alignment horizontal="center" readingOrder="0" vertical="center"/>
    </xf>
    <xf borderId="4" fillId="21" fontId="6" numFmtId="0" xfId="0" applyAlignment="1" applyBorder="1" applyFont="1">
      <alignment horizontal="center" vertical="center"/>
    </xf>
    <xf borderId="4" fillId="21" fontId="6" numFmtId="171" xfId="0" applyAlignment="1" applyBorder="1" applyFont="1" applyNumberFormat="1">
      <alignment horizontal="center" vertical="center"/>
    </xf>
    <xf borderId="4" fillId="21" fontId="6" numFmtId="172" xfId="0" applyAlignment="1" applyBorder="1" applyFont="1" applyNumberFormat="1">
      <alignment horizontal="center" vertical="center"/>
    </xf>
    <xf borderId="4" fillId="21" fontId="6" numFmtId="164" xfId="0" applyAlignment="1" applyBorder="1" applyFont="1" applyNumberFormat="1">
      <alignment horizontal="center" vertical="center"/>
    </xf>
    <xf borderId="0" fillId="7" fontId="6" numFmtId="0" xfId="0" applyAlignment="1" applyFont="1">
      <alignment horizontal="center" readingOrder="0" vertical="center"/>
    </xf>
    <xf borderId="4" fillId="2" fontId="6" numFmtId="172" xfId="0" applyAlignment="1" applyBorder="1" applyFont="1" applyNumberFormat="1">
      <alignment horizontal="center" readingOrder="0" vertical="center"/>
    </xf>
    <xf borderId="4" fillId="2" fontId="13" numFmtId="0" xfId="0" applyAlignment="1" applyBorder="1" applyFont="1">
      <alignment horizontal="center" readingOrder="0"/>
    </xf>
    <xf borderId="4" fillId="0" fontId="41" numFmtId="0" xfId="0" applyAlignment="1" applyBorder="1" applyFont="1">
      <alignment horizontal="center" readingOrder="0"/>
    </xf>
    <xf borderId="4" fillId="7" fontId="43" numFmtId="0" xfId="0" applyAlignment="1" applyBorder="1" applyFont="1">
      <alignment horizontal="center" readingOrder="0"/>
    </xf>
    <xf borderId="4" fillId="3" fontId="43" numFmtId="0" xfId="0" applyAlignment="1" applyBorder="1" applyFont="1">
      <alignment horizontal="center" readingOrder="0"/>
    </xf>
    <xf borderId="4" fillId="7" fontId="41" numFmtId="0" xfId="0" applyAlignment="1" applyBorder="1" applyFont="1">
      <alignment horizontal="center" readingOrder="0"/>
    </xf>
    <xf borderId="4" fillId="7" fontId="41" numFmtId="0" xfId="0" applyAlignment="1" applyBorder="1" applyFont="1">
      <alignment horizontal="center" vertical="center"/>
    </xf>
    <xf borderId="4" fillId="22" fontId="15" numFmtId="172" xfId="0" applyAlignment="1" applyBorder="1" applyFill="1" applyFont="1" applyNumberFormat="1">
      <alignment horizontal="center" readingOrder="0" vertical="center"/>
    </xf>
    <xf borderId="4" fillId="7" fontId="41" numFmtId="0" xfId="0" applyAlignment="1" applyBorder="1" applyFont="1">
      <alignment horizontal="center" readingOrder="0" vertical="center"/>
    </xf>
    <xf borderId="4" fillId="0" fontId="41" numFmtId="0" xfId="0" applyAlignment="1" applyBorder="1" applyFont="1">
      <alignment horizontal="center" readingOrder="0" vertical="center"/>
    </xf>
    <xf borderId="4" fillId="22" fontId="41" numFmtId="0" xfId="0" applyAlignment="1" applyBorder="1" applyFont="1">
      <alignment horizontal="center" readingOrder="0" vertical="center"/>
    </xf>
    <xf borderId="4" fillId="3" fontId="15" numFmtId="167" xfId="0" applyAlignment="1" applyBorder="1" applyFont="1" applyNumberFormat="1">
      <alignment horizontal="center" readingOrder="0" vertical="center"/>
    </xf>
    <xf borderId="0" fillId="3" fontId="26" numFmtId="0" xfId="0" applyAlignment="1" applyFont="1">
      <alignment horizontal="center" readingOrder="0"/>
    </xf>
    <xf borderId="0" fillId="2" fontId="44" numFmtId="0" xfId="0" applyAlignment="1" applyFont="1">
      <alignment readingOrder="0"/>
    </xf>
    <xf borderId="4" fillId="2" fontId="8" numFmtId="173" xfId="0" applyAlignment="1" applyBorder="1" applyFont="1" applyNumberFormat="1">
      <alignment horizontal="center" readingOrder="0" vertical="center"/>
    </xf>
    <xf borderId="4" fillId="2" fontId="15" numFmtId="0" xfId="0" applyAlignment="1" applyBorder="1" applyFont="1">
      <alignment horizontal="center" vertical="center"/>
    </xf>
    <xf borderId="4" fillId="2" fontId="6" numFmtId="164" xfId="0" applyAlignment="1" applyBorder="1" applyFont="1" applyNumberFormat="1">
      <alignment horizontal="center" readingOrder="0" vertical="bottom"/>
    </xf>
    <xf quotePrefix="1" borderId="4" fillId="21" fontId="15" numFmtId="0" xfId="0" applyAlignment="1" applyBorder="1" applyFont="1">
      <alignment horizontal="center" readingOrder="0" vertical="center"/>
    </xf>
    <xf borderId="4" fillId="7" fontId="15" numFmtId="166" xfId="0" applyAlignment="1" applyBorder="1" applyFont="1" applyNumberFormat="1">
      <alignment horizontal="center" readingOrder="0" vertical="center"/>
    </xf>
    <xf borderId="0" fillId="3" fontId="1" numFmtId="0" xfId="0" applyAlignment="1" applyFont="1">
      <alignment horizontal="center" readingOrder="0"/>
    </xf>
    <xf borderId="4" fillId="3" fontId="15" numFmtId="0" xfId="0" applyAlignment="1" applyBorder="1" applyFont="1">
      <alignment horizontal="center" readingOrder="0" vertical="bottom"/>
    </xf>
    <xf borderId="4" fillId="3" fontId="15" numFmtId="171" xfId="0" applyAlignment="1" applyBorder="1" applyFont="1" applyNumberFormat="1">
      <alignment horizontal="center" readingOrder="0" vertical="bottom"/>
    </xf>
    <xf borderId="4" fillId="3" fontId="15" numFmtId="0" xfId="0" applyAlignment="1" applyBorder="1" applyFont="1">
      <alignment horizontal="center" vertical="bottom"/>
    </xf>
    <xf borderId="4" fillId="3" fontId="15" numFmtId="171" xfId="0" applyAlignment="1" applyBorder="1" applyFont="1" applyNumberFormat="1">
      <alignment horizontal="center" vertical="bottom"/>
    </xf>
    <xf borderId="4" fillId="7" fontId="15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shrinkToFit="0" vertical="bottom" wrapText="0"/>
    </xf>
    <xf borderId="4" fillId="2" fontId="15" numFmtId="0" xfId="0" applyAlignment="1" applyBorder="1" applyFont="1">
      <alignment horizontal="center" readingOrder="0" vertical="bottom"/>
    </xf>
    <xf borderId="4" fillId="2" fontId="16" numFmtId="0" xfId="0" applyAlignment="1" applyBorder="1" applyFont="1">
      <alignment horizontal="center"/>
    </xf>
    <xf borderId="4" fillId="2" fontId="16" numFmtId="171" xfId="0" applyAlignment="1" applyBorder="1" applyFont="1" applyNumberFormat="1">
      <alignment horizontal="center" readingOrder="0"/>
    </xf>
    <xf borderId="4" fillId="2" fontId="16" numFmtId="172" xfId="0" applyAlignment="1" applyBorder="1" applyFont="1" applyNumberFormat="1">
      <alignment horizontal="center"/>
    </xf>
    <xf borderId="4" fillId="0" fontId="16" numFmtId="0" xfId="0" applyAlignment="1" applyBorder="1" applyFont="1">
      <alignment horizontal="center" readingOrder="0" shrinkToFit="0" vertical="bottom" wrapText="0"/>
    </xf>
    <xf borderId="7" fillId="7" fontId="15" numFmtId="0" xfId="0" applyAlignment="1" applyBorder="1" applyFont="1">
      <alignment horizontal="center" readingOrder="0" vertical="center"/>
    </xf>
    <xf borderId="7" fillId="7" fontId="15" numFmtId="0" xfId="0" applyAlignment="1" applyBorder="1" applyFont="1">
      <alignment horizontal="center" readingOrder="0"/>
    </xf>
    <xf borderId="7" fillId="7" fontId="15" numFmtId="171" xfId="0" applyAlignment="1" applyBorder="1" applyFont="1" applyNumberFormat="1">
      <alignment horizontal="center" readingOrder="0" vertical="center"/>
    </xf>
    <xf borderId="7" fillId="7" fontId="15" numFmtId="172" xfId="0" applyAlignment="1" applyBorder="1" applyFont="1" applyNumberFormat="1">
      <alignment horizontal="center" readingOrder="0" vertical="center"/>
    </xf>
    <xf borderId="7" fillId="7" fontId="15" numFmtId="164" xfId="0" applyAlignment="1" applyBorder="1" applyFont="1" applyNumberFormat="1">
      <alignment horizontal="center" readingOrder="0" vertical="center"/>
    </xf>
    <xf borderId="7" fillId="0" fontId="15" numFmtId="164" xfId="0" applyAlignment="1" applyBorder="1" applyFont="1" applyNumberFormat="1">
      <alignment horizontal="center" vertical="center"/>
    </xf>
    <xf borderId="11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14" fillId="0" fontId="15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vertical="center"/>
    </xf>
    <xf borderId="0" fillId="3" fontId="13" numFmtId="0" xfId="0" applyAlignment="1" applyFont="1">
      <alignment horizontal="center" readingOrder="0"/>
    </xf>
    <xf borderId="0" fillId="7" fontId="14" numFmtId="0" xfId="0" applyAlignment="1" applyFont="1">
      <alignment horizontal="center" readingOrder="0"/>
    </xf>
    <xf borderId="4" fillId="7" fontId="15" numFmtId="171" xfId="0" applyAlignment="1" applyBorder="1" applyFont="1" applyNumberFormat="1">
      <alignment horizontal="center" readingOrder="0"/>
    </xf>
    <xf borderId="4" fillId="7" fontId="14" numFmtId="0" xfId="0" applyAlignment="1" applyBorder="1" applyFont="1">
      <alignment horizontal="center" readingOrder="0"/>
    </xf>
    <xf borderId="0" fillId="2" fontId="14" numFmtId="0" xfId="0" applyAlignment="1" applyFont="1">
      <alignment horizontal="center" readingOrder="0"/>
    </xf>
    <xf borderId="4" fillId="2" fontId="15" numFmtId="171" xfId="0" applyAlignment="1" applyBorder="1" applyFont="1" applyNumberFormat="1">
      <alignment horizontal="center" readingOrder="0"/>
    </xf>
    <xf borderId="4" fillId="2" fontId="14" numFmtId="0" xfId="0" applyAlignment="1" applyBorder="1" applyFont="1">
      <alignment horizontal="center" readingOrder="0"/>
    </xf>
    <xf borderId="4" fillId="2" fontId="15" numFmtId="164" xfId="0" applyAlignment="1" applyBorder="1" applyFont="1" applyNumberFormat="1">
      <alignment horizontal="center" readingOrder="0" vertical="center"/>
    </xf>
    <xf borderId="0" fillId="3" fontId="45" numFmtId="0" xfId="0" applyAlignment="1" applyFont="1">
      <alignment horizontal="center" readingOrder="0"/>
    </xf>
    <xf borderId="4" fillId="0" fontId="16" numFmtId="165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4" fillId="3" fontId="46" numFmtId="0" xfId="0" applyAlignment="1" applyBorder="1" applyFont="1">
      <alignment horizontal="center" readingOrder="0"/>
    </xf>
    <xf borderId="4" fillId="3" fontId="47" numFmtId="0" xfId="0" applyAlignment="1" applyBorder="1" applyFont="1">
      <alignment horizontal="center" readingOrder="0"/>
    </xf>
    <xf borderId="14" fillId="21" fontId="15" numFmtId="0" xfId="0" applyAlignment="1" applyBorder="1" applyFont="1">
      <alignment horizontal="center" readingOrder="0"/>
    </xf>
    <xf borderId="4" fillId="21" fontId="15" numFmtId="0" xfId="0" applyAlignment="1" applyBorder="1" applyFont="1">
      <alignment horizontal="center"/>
    </xf>
    <xf borderId="4" fillId="21" fontId="15" numFmtId="171" xfId="0" applyAlignment="1" applyBorder="1" applyFont="1" applyNumberFormat="1">
      <alignment horizontal="center"/>
    </xf>
    <xf borderId="4" fillId="21" fontId="15" numFmtId="172" xfId="0" applyAlignment="1" applyBorder="1" applyFont="1" applyNumberFormat="1">
      <alignment horizontal="center"/>
    </xf>
    <xf borderId="4" fillId="21" fontId="15" numFmtId="164" xfId="0" applyAlignment="1" applyBorder="1" applyFont="1" applyNumberFormat="1">
      <alignment horizontal="center"/>
    </xf>
    <xf borderId="4" fillId="0" fontId="15" numFmtId="164" xfId="0" applyAlignment="1" applyBorder="1" applyFont="1" applyNumberFormat="1">
      <alignment horizontal="center"/>
    </xf>
    <xf borderId="7" fillId="3" fontId="15" numFmtId="0" xfId="0" applyAlignment="1" applyBorder="1" applyFont="1">
      <alignment horizontal="center" readingOrder="0"/>
    </xf>
    <xf borderId="7" fillId="3" fontId="15" numFmtId="171" xfId="0" applyAlignment="1" applyBorder="1" applyFont="1" applyNumberFormat="1">
      <alignment horizontal="center" readingOrder="0" vertical="center"/>
    </xf>
    <xf borderId="7" fillId="3" fontId="15" numFmtId="172" xfId="0" applyAlignment="1" applyBorder="1" applyFont="1" applyNumberFormat="1">
      <alignment horizontal="center" readingOrder="0" vertical="center"/>
    </xf>
    <xf borderId="7" fillId="3" fontId="15" numFmtId="164" xfId="0" applyAlignment="1" applyBorder="1" applyFont="1" applyNumberFormat="1">
      <alignment horizontal="center" readingOrder="0" vertical="center"/>
    </xf>
    <xf borderId="1" fillId="0" fontId="15" numFmtId="0" xfId="0" applyAlignment="1" applyBorder="1" applyFont="1">
      <alignment horizontal="center"/>
    </xf>
    <xf borderId="1" fillId="21" fontId="15" numFmtId="0" xfId="0" applyAlignment="1" applyBorder="1" applyFont="1">
      <alignment horizontal="center" readingOrder="0"/>
    </xf>
    <xf borderId="4" fillId="0" fontId="15" numFmtId="164" xfId="0" applyAlignment="1" applyBorder="1" applyFont="1" applyNumberFormat="1">
      <alignment horizontal="center" readingOrder="0"/>
    </xf>
    <xf borderId="7" fillId="0" fontId="15" numFmtId="0" xfId="0" applyAlignment="1" applyBorder="1" applyFont="1">
      <alignment horizontal="center"/>
    </xf>
    <xf borderId="7" fillId="3" fontId="15" numFmtId="0" xfId="0" applyAlignment="1" applyBorder="1" applyFont="1">
      <alignment horizontal="center"/>
    </xf>
    <xf borderId="7" fillId="0" fontId="15" numFmtId="171" xfId="0" applyAlignment="1" applyBorder="1" applyFont="1" applyNumberFormat="1">
      <alignment horizontal="center"/>
    </xf>
    <xf borderId="7" fillId="0" fontId="15" numFmtId="172" xfId="0" applyAlignment="1" applyBorder="1" applyFont="1" applyNumberFormat="1">
      <alignment horizontal="center"/>
    </xf>
    <xf borderId="7" fillId="0" fontId="15" numFmtId="164" xfId="0" applyAlignment="1" applyBorder="1" applyFont="1" applyNumberFormat="1">
      <alignment horizontal="center"/>
    </xf>
    <xf borderId="1" fillId="21" fontId="1" numFmtId="0" xfId="0" applyAlignment="1" applyBorder="1" applyFont="1">
      <alignment horizontal="center" readingOrder="0" vertical="center"/>
    </xf>
    <xf borderId="4" fillId="21" fontId="1" numFmtId="0" xfId="0" applyAlignment="1" applyBorder="1" applyFont="1">
      <alignment horizontal="center" vertical="center"/>
    </xf>
    <xf borderId="4" fillId="21" fontId="1" numFmtId="171" xfId="0" applyAlignment="1" applyBorder="1" applyFont="1" applyNumberFormat="1">
      <alignment horizontal="center" vertical="center"/>
    </xf>
    <xf borderId="4" fillId="21" fontId="1" numFmtId="172" xfId="0" applyAlignment="1" applyBorder="1" applyFont="1" applyNumberFormat="1">
      <alignment horizontal="center" vertical="center"/>
    </xf>
    <xf borderId="4" fillId="21" fontId="1" numFmtId="164" xfId="0" applyAlignment="1" applyBorder="1" applyFont="1" applyNumberFormat="1">
      <alignment horizontal="center" vertical="center"/>
    </xf>
    <xf borderId="4" fillId="0" fontId="1" numFmtId="171" xfId="0" applyAlignment="1" applyBorder="1" applyFont="1" applyNumberForma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7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4" fillId="3" fontId="15" numFmtId="164" xfId="0" applyAlignment="1" applyBorder="1" applyFont="1" applyNumberFormat="1">
      <alignment horizontal="center" readingOrder="0"/>
    </xf>
    <xf borderId="16" fillId="0" fontId="15" numFmtId="171" xfId="0" applyAlignment="1" applyBorder="1" applyFont="1" applyNumberFormat="1">
      <alignment horizontal="center" vertical="center"/>
    </xf>
    <xf borderId="16" fillId="0" fontId="15" numFmtId="172" xfId="0" applyAlignment="1" applyBorder="1" applyFont="1" applyNumberFormat="1">
      <alignment horizontal="center" vertical="center"/>
    </xf>
    <xf borderId="16" fillId="0" fontId="15" numFmtId="164" xfId="0" applyAlignment="1" applyBorder="1" applyFont="1" applyNumberFormat="1">
      <alignment horizontal="center" vertical="center"/>
    </xf>
    <xf borderId="18" fillId="0" fontId="15" numFmtId="0" xfId="0" applyAlignment="1" applyBorder="1" applyFont="1">
      <alignment horizontal="center" vertical="center"/>
    </xf>
    <xf borderId="18" fillId="0" fontId="15" numFmtId="171" xfId="0" applyAlignment="1" applyBorder="1" applyFont="1" applyNumberFormat="1">
      <alignment horizontal="center" vertical="center"/>
    </xf>
    <xf borderId="18" fillId="0" fontId="15" numFmtId="172" xfId="0" applyAlignment="1" applyBorder="1" applyFont="1" applyNumberFormat="1">
      <alignment horizontal="center" vertical="center"/>
    </xf>
    <xf borderId="18" fillId="0" fontId="15" numFmtId="164" xfId="0" applyAlignment="1" applyBorder="1" applyFont="1" applyNumberFormat="1">
      <alignment horizontal="center" vertical="center"/>
    </xf>
    <xf borderId="14" fillId="21" fontId="15" numFmtId="0" xfId="0" applyAlignment="1" applyBorder="1" applyFont="1">
      <alignment horizontal="center"/>
    </xf>
    <xf borderId="1" fillId="0" fontId="15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vertical="bottom"/>
    </xf>
    <xf borderId="4" fillId="0" fontId="15" numFmtId="171" xfId="0" applyAlignment="1" applyBorder="1" applyFont="1" applyNumberFormat="1">
      <alignment horizontal="center" vertical="bottom"/>
    </xf>
    <xf borderId="4" fillId="0" fontId="15" numFmtId="172" xfId="0" applyAlignment="1" applyBorder="1" applyFont="1" applyNumberFormat="1">
      <alignment horizontal="center" vertical="bottom"/>
    </xf>
    <xf borderId="4" fillId="0" fontId="15" numFmtId="164" xfId="0" applyAlignment="1" applyBorder="1" applyFont="1" applyNumberFormat="1">
      <alignment horizontal="center" vertical="bottom"/>
    </xf>
    <xf borderId="1" fillId="21" fontId="6" numFmtId="0" xfId="0" applyAlignment="1" applyBorder="1" applyFont="1">
      <alignment horizontal="center" readingOrder="0"/>
    </xf>
    <xf borderId="4" fillId="21" fontId="6" numFmtId="0" xfId="0" applyAlignment="1" applyBorder="1" applyFont="1">
      <alignment horizontal="center"/>
    </xf>
    <xf borderId="4" fillId="21" fontId="6" numFmtId="171" xfId="0" applyAlignment="1" applyBorder="1" applyFont="1" applyNumberFormat="1">
      <alignment horizontal="center"/>
    </xf>
    <xf borderId="4" fillId="21" fontId="6" numFmtId="172" xfId="0" applyAlignment="1" applyBorder="1" applyFont="1" applyNumberFormat="1">
      <alignment horizontal="center"/>
    </xf>
    <xf borderId="4" fillId="21" fontId="6" numFmtId="164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/>
    </xf>
    <xf borderId="4" fillId="0" fontId="6" numFmtId="171" xfId="0" applyAlignment="1" applyBorder="1" applyFont="1" applyNumberFormat="1">
      <alignment horizontal="center"/>
    </xf>
    <xf borderId="4" fillId="0" fontId="6" numFmtId="172" xfId="0" applyAlignment="1" applyBorder="1" applyFont="1" applyNumberFormat="1">
      <alignment horizontal="center"/>
    </xf>
    <xf borderId="4" fillId="0" fontId="6" numFmtId="164" xfId="0" applyAlignment="1" applyBorder="1" applyFont="1" applyNumberFormat="1">
      <alignment horizontal="center"/>
    </xf>
    <xf borderId="4" fillId="0" fontId="6" numFmtId="171" xfId="0" applyAlignment="1" applyBorder="1" applyFont="1" applyNumberFormat="1">
      <alignment horizontal="center" readingOrder="0"/>
    </xf>
    <xf borderId="4" fillId="0" fontId="6" numFmtId="172" xfId="0" applyAlignment="1" applyBorder="1" applyFont="1" applyNumberFormat="1">
      <alignment horizontal="center" readingOrder="0"/>
    </xf>
    <xf borderId="4" fillId="0" fontId="6" numFmtId="164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center" readingOrder="0" vertical="bottom"/>
    </xf>
    <xf borderId="4" fillId="0" fontId="6" numFmtId="171" xfId="0" applyAlignment="1" applyBorder="1" applyFont="1" applyNumberFormat="1">
      <alignment horizontal="center" readingOrder="0" vertical="bottom"/>
    </xf>
    <xf borderId="4" fillId="0" fontId="6" numFmtId="172" xfId="0" applyAlignment="1" applyBorder="1" applyFont="1" applyNumberFormat="1">
      <alignment horizontal="center" readingOrder="0" vertical="bottom"/>
    </xf>
    <xf borderId="4" fillId="7" fontId="6" numFmtId="0" xfId="0" applyAlignment="1" applyBorder="1" applyFont="1">
      <alignment horizontal="center" readingOrder="0" vertical="bottom"/>
    </xf>
    <xf borderId="4" fillId="7" fontId="6" numFmtId="171" xfId="0" applyAlignment="1" applyBorder="1" applyFont="1" applyNumberFormat="1">
      <alignment horizontal="center" readingOrder="0" vertical="bottom"/>
    </xf>
    <xf borderId="4" fillId="7" fontId="6" numFmtId="172" xfId="0" applyAlignment="1" applyBorder="1" applyFont="1" applyNumberFormat="1">
      <alignment horizontal="center" readingOrder="0" vertical="bottom"/>
    </xf>
    <xf borderId="4" fillId="0" fontId="6" numFmtId="164" xfId="0" applyAlignment="1" applyBorder="1" applyFont="1" applyNumberFormat="1">
      <alignment horizontal="center" readingOrder="0" vertical="bottom"/>
    </xf>
    <xf borderId="4" fillId="3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4" fillId="0" fontId="6" numFmtId="171" xfId="0" applyAlignment="1" applyBorder="1" applyFont="1" applyNumberFormat="1">
      <alignment horizontal="center" vertical="bottom"/>
    </xf>
    <xf borderId="4" fillId="0" fontId="6" numFmtId="172" xfId="0" applyAlignment="1" applyBorder="1" applyFont="1" applyNumberFormat="1">
      <alignment horizontal="center" vertical="bottom"/>
    </xf>
    <xf borderId="1" fillId="21" fontId="1" numFmtId="0" xfId="0" applyAlignment="1" applyBorder="1" applyFont="1">
      <alignment horizontal="center" readingOrder="0"/>
    </xf>
    <xf borderId="4" fillId="21" fontId="1" numFmtId="0" xfId="0" applyAlignment="1" applyBorder="1" applyFont="1">
      <alignment horizontal="center"/>
    </xf>
    <xf borderId="4" fillId="21" fontId="1" numFmtId="171" xfId="0" applyAlignment="1" applyBorder="1" applyFont="1" applyNumberFormat="1">
      <alignment horizontal="center"/>
    </xf>
    <xf borderId="4" fillId="21" fontId="1" numFmtId="172" xfId="0" applyAlignment="1" applyBorder="1" applyFont="1" applyNumberFormat="1">
      <alignment horizontal="center"/>
    </xf>
    <xf borderId="4" fillId="21" fontId="1" numFmtId="164" xfId="0" applyAlignment="1" applyBorder="1" applyFont="1" applyNumberFormat="1">
      <alignment horizontal="center"/>
    </xf>
    <xf borderId="4" fillId="0" fontId="1" numFmtId="171" xfId="0" applyAlignment="1" applyBorder="1" applyFont="1" applyNumberFormat="1">
      <alignment horizontal="center"/>
    </xf>
    <xf borderId="4" fillId="0" fontId="1" numFmtId="172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/>
    </xf>
    <xf borderId="4" fillId="7" fontId="1" numFmtId="0" xfId="0" applyAlignment="1" applyBorder="1" applyFont="1">
      <alignment horizontal="center"/>
    </xf>
    <xf borderId="4" fillId="7" fontId="1" numFmtId="171" xfId="0" applyAlignment="1" applyBorder="1" applyFont="1" applyNumberFormat="1">
      <alignment horizontal="center" readingOrder="0"/>
    </xf>
    <xf borderId="4" fillId="7" fontId="1" numFmtId="172" xfId="0" applyAlignment="1" applyBorder="1" applyFont="1" applyNumberFormat="1">
      <alignment horizontal="center"/>
    </xf>
    <xf borderId="4" fillId="7" fontId="1" numFmtId="164" xfId="0" applyAlignment="1" applyBorder="1" applyFont="1" applyNumberFormat="1">
      <alignment horizontal="center" readingOrder="0"/>
    </xf>
    <xf borderId="4" fillId="3" fontId="1" numFmtId="0" xfId="0" applyAlignment="1" applyBorder="1" applyFont="1">
      <alignment horizontal="center" readingOrder="0"/>
    </xf>
    <xf borderId="4" fillId="0" fontId="1" numFmtId="171" xfId="0" applyAlignment="1" applyBorder="1" applyFont="1" applyNumberFormat="1">
      <alignment horizontal="center" readingOrder="0"/>
    </xf>
    <xf borderId="4" fillId="0" fontId="1" numFmtId="172" xfId="0" applyAlignment="1" applyBorder="1" applyFont="1" applyNumberForma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4" fillId="7" fontId="1" numFmtId="0" xfId="0" applyAlignment="1" applyBorder="1" applyFont="1">
      <alignment horizontal="center" readingOrder="0" vertical="bottom"/>
    </xf>
    <xf borderId="4" fillId="7" fontId="1" numFmtId="171" xfId="0" applyAlignment="1" applyBorder="1" applyFont="1" applyNumberFormat="1">
      <alignment horizontal="center" readingOrder="0" vertical="bottom"/>
    </xf>
    <xf borderId="4" fillId="7" fontId="1" numFmtId="172" xfId="0" applyAlignment="1" applyBorder="1" applyFont="1" applyNumberFormat="1">
      <alignment horizontal="center" readingOrder="0" vertical="bottom"/>
    </xf>
    <xf borderId="4" fillId="0" fontId="1" numFmtId="171" xfId="0" applyAlignment="1" applyBorder="1" applyFont="1" applyNumberFormat="1">
      <alignment horizontal="center" readingOrder="0" vertical="bottom"/>
    </xf>
    <xf borderId="4" fillId="0" fontId="1" numFmtId="172" xfId="0" applyAlignment="1" applyBorder="1" applyFont="1" applyNumberFormat="1">
      <alignment horizontal="center" readingOrder="0" vertical="bottom"/>
    </xf>
    <xf borderId="4" fillId="3" fontId="1" numFmtId="171" xfId="0" applyAlignment="1" applyBorder="1" applyFont="1" applyNumberFormat="1">
      <alignment horizontal="center" readingOrder="0" vertical="bottom"/>
    </xf>
    <xf borderId="4" fillId="3" fontId="1" numFmtId="172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4" fillId="0" fontId="1" numFmtId="171" xfId="0" applyAlignment="1" applyBorder="1" applyFont="1" applyNumberFormat="1">
      <alignment horizontal="center" vertical="bottom"/>
    </xf>
    <xf borderId="4" fillId="0" fontId="1" numFmtId="172" xfId="0" applyAlignment="1" applyBorder="1" applyFont="1" applyNumberFormat="1">
      <alignment horizontal="center" vertical="bottom"/>
    </xf>
    <xf borderId="14" fillId="21" fontId="6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/>
    </xf>
    <xf borderId="4" fillId="3" fontId="26" numFmtId="0" xfId="0" applyAlignment="1" applyBorder="1" applyFont="1">
      <alignment horizontal="center" readingOrder="0" vertical="center"/>
    </xf>
    <xf borderId="14" fillId="21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4" fillId="7" fontId="26" numFmtId="0" xfId="0" applyAlignment="1" applyBorder="1" applyFont="1">
      <alignment horizontal="center" readingOrder="0"/>
    </xf>
    <xf borderId="4" fillId="7" fontId="48" numFmtId="0" xfId="0" applyAlignment="1" applyBorder="1" applyFont="1">
      <alignment horizontal="center" readingOrder="0"/>
    </xf>
    <xf borderId="4" fillId="7" fontId="6" numFmtId="164" xfId="0" applyAlignment="1" applyBorder="1" applyFont="1" applyNumberFormat="1">
      <alignment horizontal="center" readingOrder="0" vertical="bottom"/>
    </xf>
    <xf borderId="4" fillId="23" fontId="48" numFmtId="0" xfId="0" applyAlignment="1" applyBorder="1" applyFill="1" applyFont="1">
      <alignment horizontal="center" readingOrder="0"/>
    </xf>
    <xf borderId="0" fillId="7" fontId="3" numFmtId="0" xfId="0" applyAlignment="1" applyFont="1">
      <alignment horizontal="center"/>
    </xf>
    <xf borderId="4" fillId="0" fontId="6" numFmtId="166" xfId="0" applyAlignment="1" applyBorder="1" applyFont="1" applyNumberFormat="1">
      <alignment horizontal="center" readingOrder="0" vertical="bottom"/>
    </xf>
    <xf borderId="1" fillId="21" fontId="15" numFmtId="0" xfId="0" applyAlignment="1" applyBorder="1" applyFont="1">
      <alignment horizontal="center" readingOrder="0" vertical="bottom"/>
    </xf>
    <xf borderId="0" fillId="0" fontId="15" numFmtId="0" xfId="0" applyAlignment="1" applyFont="1">
      <alignment horizontal="center" vertical="bottom"/>
    </xf>
    <xf borderId="3" fillId="0" fontId="15" numFmtId="0" xfId="0" applyAlignment="1" applyBorder="1" applyFont="1">
      <alignment horizontal="center" vertical="bottom"/>
    </xf>
    <xf borderId="4" fillId="3" fontId="15" numFmtId="166" xfId="0" applyAlignment="1" applyBorder="1" applyFont="1" applyNumberFormat="1">
      <alignment horizontal="center" readingOrder="0"/>
    </xf>
    <xf borderId="7" fillId="0" fontId="15" numFmtId="0" xfId="0" applyAlignment="1" applyBorder="1" applyFont="1">
      <alignment horizontal="center" readingOrder="0" vertical="bottom"/>
    </xf>
    <xf borderId="4" fillId="3" fontId="22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/>
    </xf>
    <xf borderId="4" fillId="0" fontId="11" numFmtId="171" xfId="0" applyAlignment="1" applyBorder="1" applyFont="1" applyNumberFormat="1">
      <alignment horizontal="center"/>
    </xf>
    <xf borderId="4" fillId="0" fontId="11" numFmtId="172" xfId="0" applyAlignment="1" applyBorder="1" applyFont="1" applyNumberFormat="1">
      <alignment horizontal="center"/>
    </xf>
    <xf borderId="4" fillId="0" fontId="11" numFmtId="164" xfId="0" applyAlignment="1" applyBorder="1" applyFont="1" applyNumberFormat="1">
      <alignment horizontal="center"/>
    </xf>
    <xf borderId="4" fillId="3" fontId="11" numFmtId="0" xfId="0" applyAlignment="1" applyBorder="1" applyFont="1">
      <alignment horizontal="center"/>
    </xf>
    <xf borderId="4" fillId="0" fontId="11" numFmtId="0" xfId="0" applyAlignment="1" applyBorder="1" applyFont="1">
      <alignment horizontal="center" readingOrder="0"/>
    </xf>
    <xf borderId="4" fillId="3" fontId="0" numFmtId="0" xfId="0" applyAlignment="1" applyBorder="1" applyFont="1">
      <alignment horizontal="center" readingOrder="0"/>
    </xf>
    <xf borderId="4" fillId="7" fontId="24" numFmtId="0" xfId="0" applyAlignment="1" applyBorder="1" applyFont="1">
      <alignment horizontal="center"/>
    </xf>
    <xf borderId="4" fillId="7" fontId="24" numFmtId="0" xfId="0" applyAlignment="1" applyBorder="1" applyFont="1">
      <alignment horizontal="center" readingOrder="0"/>
    </xf>
    <xf borderId="4" fillId="7" fontId="24" numFmtId="171" xfId="0" applyAlignment="1" applyBorder="1" applyFont="1" applyNumberFormat="1">
      <alignment horizontal="center" readingOrder="0"/>
    </xf>
    <xf borderId="4" fillId="7" fontId="24" numFmtId="172" xfId="0" applyAlignment="1" applyBorder="1" applyFont="1" applyNumberFormat="1">
      <alignment horizontal="center" readingOrder="0"/>
    </xf>
    <xf borderId="4" fillId="7" fontId="24" numFmtId="164" xfId="0" applyAlignment="1" applyBorder="1" applyFont="1" applyNumberFormat="1">
      <alignment horizontal="center" readingOrder="0"/>
    </xf>
    <xf borderId="4" fillId="21" fontId="0" numFmtId="171" xfId="0" applyAlignment="1" applyBorder="1" applyFont="1" applyNumberFormat="1">
      <alignment horizontal="center" readingOrder="0" vertical="center"/>
    </xf>
    <xf borderId="4" fillId="23" fontId="0" numFmtId="0" xfId="0" applyAlignment="1" applyBorder="1" applyFont="1">
      <alignment horizontal="center" readingOrder="0" vertical="center"/>
    </xf>
    <xf borderId="0" fillId="0" fontId="33" numFmtId="0" xfId="0" applyAlignment="1" applyFont="1">
      <alignment horizontal="center" readingOrder="0"/>
    </xf>
    <xf borderId="4" fillId="24" fontId="0" numFmtId="0" xfId="0" applyAlignment="1" applyBorder="1" applyFill="1" applyFont="1">
      <alignment horizontal="center" readingOrder="0" vertical="center"/>
    </xf>
    <xf borderId="4" fillId="7" fontId="15" numFmtId="172" xfId="0" applyAlignment="1" applyBorder="1" applyFont="1" applyNumberFormat="1">
      <alignment horizontal="center" readingOrder="0"/>
    </xf>
    <xf borderId="4" fillId="7" fontId="15" numFmtId="164" xfId="0" applyAlignment="1" applyBorder="1" applyFont="1" applyNumberFormat="1">
      <alignment horizontal="center" readingOrder="0"/>
    </xf>
    <xf borderId="4" fillId="3" fontId="15" numFmtId="164" xfId="0" applyAlignment="1" applyBorder="1" applyFont="1" applyNumberFormat="1">
      <alignment horizontal="center" readingOrder="0" vertical="bottom"/>
    </xf>
    <xf borderId="4" fillId="3" fontId="15" numFmtId="172" xfId="0" applyAlignment="1" applyBorder="1" applyFont="1" applyNumberFormat="1">
      <alignment horizontal="center" readingOrder="0" vertical="bottom"/>
    </xf>
    <xf borderId="4" fillId="2" fontId="15" numFmtId="172" xfId="0" applyAlignment="1" applyBorder="1" applyFont="1" applyNumberFormat="1">
      <alignment horizontal="center" readingOrder="0" vertical="bottom"/>
    </xf>
    <xf borderId="4" fillId="2" fontId="15" numFmtId="164" xfId="0" applyAlignment="1" applyBorder="1" applyFont="1" applyNumberFormat="1">
      <alignment horizontal="center" readingOrder="0" vertical="bottom"/>
    </xf>
    <xf borderId="4" fillId="0" fontId="15" numFmtId="164" xfId="0" applyAlignment="1" applyBorder="1" applyFont="1" applyNumberFormat="1">
      <alignment horizontal="center" readingOrder="0" vertical="bottom"/>
    </xf>
    <xf borderId="1" fillId="21" fontId="24" numFmtId="0" xfId="0" applyAlignment="1" applyBorder="1" applyFont="1">
      <alignment horizontal="center" readingOrder="0" vertical="bottom"/>
    </xf>
    <xf borderId="4" fillId="21" fontId="24" numFmtId="0" xfId="0" applyAlignment="1" applyBorder="1" applyFont="1">
      <alignment horizontal="center" vertical="bottom"/>
    </xf>
    <xf borderId="4" fillId="21" fontId="24" numFmtId="171" xfId="0" applyAlignment="1" applyBorder="1" applyFont="1" applyNumberFormat="1">
      <alignment horizontal="center" vertical="bottom"/>
    </xf>
    <xf borderId="4" fillId="21" fontId="24" numFmtId="172" xfId="0" applyAlignment="1" applyBorder="1" applyFont="1" applyNumberFormat="1">
      <alignment horizontal="center" vertical="bottom"/>
    </xf>
    <xf borderId="4" fillId="21" fontId="24" numFmtId="164" xfId="0" applyAlignment="1" applyBorder="1" applyFont="1" applyNumberFormat="1">
      <alignment horizontal="center" vertical="bottom"/>
    </xf>
    <xf borderId="4" fillId="0" fontId="24" numFmtId="0" xfId="0" applyAlignment="1" applyBorder="1" applyFont="1">
      <alignment horizontal="center" vertical="bottom"/>
    </xf>
    <xf borderId="4" fillId="0" fontId="24" numFmtId="171" xfId="0" applyAlignment="1" applyBorder="1" applyFont="1" applyNumberFormat="1">
      <alignment horizontal="center" vertical="bottom"/>
    </xf>
    <xf borderId="4" fillId="0" fontId="24" numFmtId="172" xfId="0" applyAlignment="1" applyBorder="1" applyFont="1" applyNumberFormat="1">
      <alignment vertical="bottom"/>
    </xf>
    <xf borderId="4" fillId="0" fontId="24" numFmtId="164" xfId="0" applyAlignment="1" applyBorder="1" applyFont="1" applyNumberFormat="1">
      <alignment horizontal="center" vertical="bottom"/>
    </xf>
    <xf borderId="4" fillId="0" fontId="24" numFmtId="172" xfId="0" applyAlignment="1" applyBorder="1" applyFont="1" applyNumberFormat="1">
      <alignment horizontal="center" vertical="bottom"/>
    </xf>
    <xf borderId="4" fillId="0" fontId="24" numFmtId="164" xfId="0" applyAlignment="1" applyBorder="1" applyFont="1" applyNumberFormat="1">
      <alignment vertical="bottom"/>
    </xf>
    <xf borderId="4" fillId="0" fontId="24" numFmtId="0" xfId="0" applyAlignment="1" applyBorder="1" applyFont="1">
      <alignment vertical="bottom"/>
    </xf>
    <xf borderId="4" fillId="0" fontId="24" numFmtId="171" xfId="0" applyAlignment="1" applyBorder="1" applyFont="1" applyNumberFormat="1">
      <alignment vertical="bottom"/>
    </xf>
    <xf borderId="1" fillId="0" fontId="24" numFmtId="0" xfId="0" applyAlignment="1" applyBorder="1" applyFont="1">
      <alignment horizontal="center" vertical="bottom"/>
    </xf>
    <xf borderId="4" fillId="0" fontId="24" numFmtId="164" xfId="0" applyAlignment="1" applyBorder="1" applyFont="1" applyNumberFormat="1">
      <alignment horizontal="center" readingOrder="0" vertical="bottom"/>
    </xf>
    <xf borderId="4" fillId="3" fontId="24" numFmtId="0" xfId="0" applyAlignment="1" applyBorder="1" applyFont="1">
      <alignment horizontal="center" readingOrder="0" vertical="bottom"/>
    </xf>
    <xf borderId="4" fillId="3" fontId="24" numFmtId="171" xfId="0" applyAlignment="1" applyBorder="1" applyFont="1" applyNumberFormat="1">
      <alignment horizontal="center" readingOrder="0" vertical="bottom"/>
    </xf>
    <xf borderId="4" fillId="3" fontId="24" numFmtId="172" xfId="0" applyAlignment="1" applyBorder="1" applyFont="1" applyNumberFormat="1">
      <alignment horizontal="center" vertical="bottom"/>
    </xf>
    <xf borderId="4" fillId="3" fontId="24" numFmtId="164" xfId="0" applyAlignment="1" applyBorder="1" applyFont="1" applyNumberFormat="1">
      <alignment horizontal="center" readingOrder="0" vertical="bottom"/>
    </xf>
    <xf borderId="4" fillId="3" fontId="3" numFmtId="0" xfId="0" applyAlignment="1" applyBorder="1" applyFont="1">
      <alignment horizontal="center"/>
    </xf>
    <xf borderId="4" fillId="0" fontId="24" numFmtId="171" xfId="0" applyAlignment="1" applyBorder="1" applyFont="1" applyNumberFormat="1">
      <alignment horizontal="center" readingOrder="0" vertical="bottom"/>
    </xf>
    <xf borderId="4" fillId="0" fontId="24" numFmtId="172" xfId="0" applyAlignment="1" applyBorder="1" applyFont="1" applyNumberFormat="1">
      <alignment horizontal="center" readingOrder="0" vertical="bottom"/>
    </xf>
    <xf borderId="4" fillId="3" fontId="24" numFmtId="172" xfId="0" applyAlignment="1" applyBorder="1" applyFont="1" applyNumberFormat="1">
      <alignment horizontal="center" readingOrder="0" vertical="bottom"/>
    </xf>
    <xf borderId="4" fillId="3" fontId="15" numFmtId="171" xfId="0" applyAlignment="1" applyBorder="1" applyFont="1" applyNumberFormat="1">
      <alignment horizontal="center" vertical="center"/>
    </xf>
    <xf borderId="4" fillId="3" fontId="15" numFmtId="165" xfId="0" applyAlignment="1" applyBorder="1" applyFont="1" applyNumberFormat="1">
      <alignment horizontal="center" vertical="center"/>
    </xf>
    <xf borderId="4" fillId="3" fontId="15" numFmtId="182" xfId="0" applyAlignment="1" applyBorder="1" applyFont="1" applyNumberFormat="1">
      <alignment horizontal="center" readingOrder="0" vertical="center"/>
    </xf>
    <xf borderId="7" fillId="3" fontId="15" numFmtId="165" xfId="0" applyAlignment="1" applyBorder="1" applyFont="1" applyNumberFormat="1">
      <alignment horizontal="center" readingOrder="0" vertical="center"/>
    </xf>
    <xf borderId="4" fillId="3" fontId="15" numFmtId="168" xfId="0" applyAlignment="1" applyBorder="1" applyFont="1" applyNumberFormat="1">
      <alignment horizontal="center" readingOrder="0" vertical="center"/>
    </xf>
    <xf borderId="4" fillId="3" fontId="15" numFmtId="164" xfId="0" applyAlignment="1" applyBorder="1" applyFont="1" applyNumberFormat="1">
      <alignment horizontal="center" vertical="center"/>
    </xf>
    <xf borderId="4" fillId="3" fontId="38" numFmtId="0" xfId="0" applyAlignment="1" applyBorder="1" applyFont="1">
      <alignment readingOrder="0"/>
    </xf>
    <xf borderId="4" fillId="3" fontId="11" numFmtId="166" xfId="0" applyAlignment="1" applyBorder="1" applyFont="1" applyNumberFormat="1">
      <alignment horizontal="center" readingOrder="0" vertical="center"/>
    </xf>
    <xf borderId="4" fillId="3" fontId="15" numFmtId="165" xfId="0" applyAlignment="1" applyBorder="1" applyFont="1" applyNumberFormat="1">
      <alignment horizontal="center"/>
    </xf>
    <xf borderId="4" fillId="0" fontId="24" numFmtId="0" xfId="0" applyAlignment="1" applyBorder="1" applyFont="1">
      <alignment horizontal="center" readingOrder="0" vertical="center"/>
    </xf>
    <xf borderId="4" fillId="0" fontId="24" numFmtId="172" xfId="0" applyAlignment="1" applyBorder="1" applyFont="1" applyNumberFormat="1">
      <alignment horizontal="center" readingOrder="0" vertical="center"/>
    </xf>
    <xf borderId="4" fillId="0" fontId="24" numFmtId="0" xfId="0" applyAlignment="1" applyBorder="1" applyFont="1">
      <alignment horizontal="center" vertical="center"/>
    </xf>
    <xf borderId="4" fillId="0" fontId="24" numFmtId="164" xfId="0" applyAlignment="1" applyBorder="1" applyFont="1" applyNumberFormat="1">
      <alignment horizontal="center" readingOrder="0" vertical="center"/>
    </xf>
    <xf borderId="4" fillId="0" fontId="24" numFmtId="0" xfId="0" applyAlignment="1" applyBorder="1" applyFont="1">
      <alignment horizontal="center"/>
    </xf>
    <xf borderId="4" fillId="3" fontId="24" numFmtId="0" xfId="0" applyAlignment="1" applyBorder="1" applyFont="1">
      <alignment horizontal="center"/>
    </xf>
    <xf borderId="4" fillId="3" fontId="24" numFmtId="0" xfId="0" applyAlignment="1" applyBorder="1" applyFont="1">
      <alignment horizontal="center"/>
    </xf>
    <xf borderId="4" fillId="3" fontId="24" numFmtId="171" xfId="0" applyAlignment="1" applyBorder="1" applyFont="1" applyNumberFormat="1">
      <alignment horizontal="center"/>
    </xf>
    <xf borderId="4" fillId="3" fontId="24" numFmtId="172" xfId="0" applyBorder="1" applyFont="1" applyNumberFormat="1"/>
    <xf borderId="4" fillId="3" fontId="24" numFmtId="0" xfId="0" applyBorder="1" applyFont="1"/>
    <xf borderId="4" fillId="3" fontId="24" numFmtId="164" xfId="0" applyAlignment="1" applyBorder="1" applyFont="1" applyNumberFormat="1">
      <alignment horizontal="center"/>
    </xf>
    <xf borderId="4" fillId="0" fontId="24" numFmtId="172" xfId="0" applyAlignment="1" applyBorder="1" applyFont="1" applyNumberFormat="1">
      <alignment horizontal="center" vertical="center"/>
    </xf>
    <xf borderId="4" fillId="0" fontId="24" numFmtId="0" xfId="0" applyAlignment="1" applyBorder="1" applyFont="1">
      <alignment horizontal="center" vertical="center"/>
    </xf>
    <xf borderId="4" fillId="0" fontId="49" numFmtId="0" xfId="0" applyAlignment="1" applyBorder="1" applyFont="1">
      <alignment horizontal="center" readingOrder="0"/>
    </xf>
    <xf borderId="4" fillId="0" fontId="50" numFmtId="0" xfId="0" applyAlignment="1" applyBorder="1" applyFont="1">
      <alignment horizontal="center" readingOrder="0"/>
    </xf>
    <xf borderId="4" fillId="0" fontId="24" numFmtId="171" xfId="0" applyAlignment="1" applyBorder="1" applyFont="1" applyNumberFormat="1">
      <alignment horizontal="center" readingOrder="0" vertical="center"/>
    </xf>
    <xf borderId="4" fillId="0" fontId="24" numFmtId="165" xfId="0" applyAlignment="1" applyBorder="1" applyFont="1" applyNumberFormat="1">
      <alignment horizontal="center" readingOrder="0" vertical="center"/>
    </xf>
    <xf borderId="4" fillId="3" fontId="24" numFmtId="0" xfId="0" applyBorder="1" applyFont="1"/>
    <xf borderId="4" fillId="0" fontId="24" numFmtId="0" xfId="0" applyAlignment="1" applyBorder="1" applyFont="1">
      <alignment horizontal="center" readingOrder="0"/>
    </xf>
    <xf borderId="4" fillId="0" fontId="24" numFmtId="171" xfId="0" applyAlignment="1" applyBorder="1" applyFont="1" applyNumberFormat="1">
      <alignment horizontal="center"/>
    </xf>
    <xf borderId="4" fillId="0" fontId="0" numFmtId="165" xfId="0" applyAlignment="1" applyBorder="1" applyFont="1" applyNumberFormat="1">
      <alignment horizontal="center" readingOrder="0" vertical="center"/>
    </xf>
    <xf borderId="4" fillId="0" fontId="0" numFmtId="0" xfId="0" applyAlignment="1" applyBorder="1" applyFont="1">
      <alignment horizontal="center" readingOrder="0"/>
    </xf>
    <xf borderId="0" fillId="0" fontId="51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51" numFmtId="0" xfId="0" applyFont="1"/>
    <xf borderId="0" fillId="0" fontId="16" numFmtId="0" xfId="0" applyAlignment="1" applyFont="1">
      <alignment horizontal="center"/>
    </xf>
    <xf borderId="4" fillId="21" fontId="8" numFmtId="0" xfId="0" applyAlignment="1" applyBorder="1" applyFont="1">
      <alignment horizontal="center" readingOrder="0" vertical="center"/>
    </xf>
    <xf borderId="4" fillId="21" fontId="8" numFmtId="171" xfId="0" applyAlignment="1" applyBorder="1" applyFont="1" applyNumberFormat="1">
      <alignment horizontal="center" readingOrder="0" vertical="center"/>
    </xf>
    <xf borderId="4" fillId="21" fontId="8" numFmtId="172" xfId="0" applyAlignment="1" applyBorder="1" applyFont="1" applyNumberFormat="1">
      <alignment horizontal="center" readingOrder="0" vertical="center"/>
    </xf>
    <xf borderId="4" fillId="21" fontId="16" numFmtId="0" xfId="0" applyAlignment="1" applyBorder="1" applyFont="1">
      <alignment horizontal="center" readingOrder="0" vertical="center"/>
    </xf>
    <xf borderId="4" fillId="21" fontId="8" numFmtId="173" xfId="0" applyAlignment="1" applyBorder="1" applyFont="1" applyNumberFormat="1">
      <alignment horizontal="center" readingOrder="0" vertical="center"/>
    </xf>
    <xf borderId="0" fillId="3" fontId="34" numFmtId="0" xfId="0" applyAlignment="1" applyFont="1">
      <alignment horizontal="center" readingOrder="0"/>
    </xf>
    <xf borderId="0" fillId="3" fontId="32" numFmtId="0" xfId="0" applyAlignment="1" applyFont="1">
      <alignment horizontal="center" readingOrder="0"/>
    </xf>
    <xf borderId="4" fillId="6" fontId="8" numFmtId="173" xfId="0" applyAlignment="1" applyBorder="1" applyFont="1" applyNumberFormat="1">
      <alignment horizontal="center" readingOrder="0" vertical="center"/>
    </xf>
    <xf borderId="6" fillId="0" fontId="1" numFmtId="171" xfId="0" applyAlignment="1" applyBorder="1" applyFont="1" applyNumberFormat="1">
      <alignment horizontal="center" readingOrder="0" vertical="center"/>
    </xf>
    <xf borderId="6" fillId="0" fontId="1" numFmtId="172" xfId="0" applyAlignment="1" applyBorder="1" applyFont="1" applyNumberFormat="1">
      <alignment horizontal="center" readingOrder="0" vertical="center"/>
    </xf>
    <xf borderId="4" fillId="3" fontId="1" numFmtId="164" xfId="0" applyAlignment="1" applyBorder="1" applyFont="1" applyNumberFormat="1">
      <alignment horizontal="center" readingOrder="0" vertical="center"/>
    </xf>
    <xf borderId="0" fillId="7" fontId="52" numFmtId="0" xfId="0" applyAlignment="1" applyFont="1">
      <alignment horizontal="left" readingOrder="0"/>
    </xf>
    <xf borderId="0" fillId="0" fontId="52" numFmtId="0" xfId="0" applyAlignment="1" applyFont="1">
      <alignment horizontal="left" readingOrder="0"/>
    </xf>
    <xf borderId="4" fillId="0" fontId="8" numFmtId="0" xfId="0" applyAlignment="1" applyBorder="1" applyFont="1">
      <alignment horizontal="left" readingOrder="0" vertical="center"/>
    </xf>
    <xf borderId="4" fillId="3" fontId="53" numFmtId="0" xfId="0" applyAlignment="1" applyBorder="1" applyFont="1">
      <alignment horizontal="center" readingOrder="0"/>
    </xf>
    <xf borderId="4" fillId="7" fontId="53" numFmtId="0" xfId="0" applyAlignment="1" applyBorder="1" applyFont="1">
      <alignment horizontal="center" readingOrder="0"/>
    </xf>
    <xf borderId="0" fillId="3" fontId="16" numFmtId="0" xfId="0" applyAlignment="1" applyFont="1">
      <alignment readingOrder="0"/>
    </xf>
    <xf borderId="0" fillId="3" fontId="10" numFmtId="0" xfId="0" applyAlignment="1" applyFont="1">
      <alignment horizontal="left"/>
    </xf>
    <xf borderId="3" fillId="7" fontId="8" numFmtId="0" xfId="0" applyAlignment="1" applyBorder="1" applyFont="1">
      <alignment horizontal="center" readingOrder="0" vertical="center"/>
    </xf>
    <xf borderId="3" fillId="7" fontId="8" numFmtId="171" xfId="0" applyAlignment="1" applyBorder="1" applyFont="1" applyNumberFormat="1">
      <alignment horizontal="center" readingOrder="0" vertical="center"/>
    </xf>
    <xf borderId="0" fillId="7" fontId="54" numFmtId="0" xfId="0" applyAlignment="1" applyFont="1">
      <alignment horizontal="center" readingOrder="0" vertical="center"/>
    </xf>
    <xf borderId="0" fillId="3" fontId="55" numFmtId="0" xfId="0" applyAlignment="1" applyFont="1">
      <alignment horizontal="center" readingOrder="0" vertical="center"/>
    </xf>
    <xf borderId="0" fillId="3" fontId="13" numFmtId="0" xfId="0" applyAlignment="1" applyFont="1">
      <alignment horizontal="center" readingOrder="0" vertical="center"/>
    </xf>
    <xf borderId="3" fillId="6" fontId="8" numFmtId="171" xfId="0" applyAlignment="1" applyBorder="1" applyFont="1" applyNumberFormat="1">
      <alignment horizontal="center" readingOrder="0"/>
    </xf>
    <xf borderId="4" fillId="6" fontId="16" numFmtId="0" xfId="0" applyAlignment="1" applyBorder="1" applyFont="1">
      <alignment horizontal="center" readingOrder="0" shrinkToFit="0" vertical="bottom" wrapText="0"/>
    </xf>
    <xf borderId="4" fillId="0" fontId="16" numFmtId="0" xfId="0" applyAlignment="1" applyBorder="1" applyFont="1">
      <alignment horizontal="center" readingOrder="0" shrinkToFit="0" wrapText="0"/>
    </xf>
    <xf borderId="4" fillId="0" fontId="16" numFmtId="171" xfId="0" applyAlignment="1" applyBorder="1" applyFont="1" applyNumberFormat="1">
      <alignment horizontal="center" readingOrder="0" shrinkToFit="0" vertical="bottom" wrapText="0"/>
    </xf>
    <xf borderId="4" fillId="0" fontId="8" numFmtId="171" xfId="0" applyAlignment="1" applyBorder="1" applyFont="1" applyNumberFormat="1">
      <alignment horizontal="center" readingOrder="0" shrinkToFit="0" vertical="bottom" wrapText="0"/>
    </xf>
    <xf borderId="4" fillId="0" fontId="8" numFmtId="180" xfId="0" applyAlignment="1" applyBorder="1" applyFont="1" applyNumberFormat="1">
      <alignment horizontal="center" readingOrder="0" vertical="center"/>
    </xf>
    <xf borderId="4" fillId="20" fontId="8" numFmtId="0" xfId="0" applyAlignment="1" applyBorder="1" applyFont="1">
      <alignment horizontal="center" readingOrder="0" vertical="center"/>
    </xf>
    <xf borderId="4" fillId="20" fontId="8" numFmtId="171" xfId="0" applyAlignment="1" applyBorder="1" applyFont="1" applyNumberFormat="1">
      <alignment horizontal="center" readingOrder="0" vertical="center"/>
    </xf>
    <xf borderId="4" fillId="20" fontId="8" numFmtId="172" xfId="0" applyAlignment="1" applyBorder="1" applyFont="1" applyNumberFormat="1">
      <alignment horizontal="center" readingOrder="0" vertical="center"/>
    </xf>
    <xf borderId="0" fillId="20" fontId="8" numFmtId="0" xfId="0" applyAlignment="1" applyFont="1">
      <alignment horizontal="center" readingOrder="0"/>
    </xf>
    <xf borderId="4" fillId="20" fontId="8" numFmtId="180" xfId="0" applyAlignment="1" applyBorder="1" applyFont="1" applyNumberFormat="1">
      <alignment horizontal="center" readingOrder="0" vertical="center"/>
    </xf>
    <xf borderId="4" fillId="3" fontId="8" numFmtId="180" xfId="0" applyAlignment="1" applyBorder="1" applyFont="1" applyNumberFormat="1">
      <alignment horizontal="center" readingOrder="0" vertical="center"/>
    </xf>
    <xf borderId="4" fillId="7" fontId="8" numFmtId="0" xfId="0" applyAlignment="1" applyBorder="1" applyFont="1">
      <alignment horizontal="center" readingOrder="0" shrinkToFit="0" wrapText="0"/>
    </xf>
    <xf borderId="4" fillId="7" fontId="24" numFmtId="0" xfId="0" applyAlignment="1" applyBorder="1" applyFont="1">
      <alignment horizontal="center" readingOrder="0" vertical="center"/>
    </xf>
    <xf borderId="4" fillId="7" fontId="8" numFmtId="180" xfId="0" applyAlignment="1" applyBorder="1" applyFont="1" applyNumberFormat="1">
      <alignment horizontal="center" readingOrder="0" vertical="center"/>
    </xf>
    <xf borderId="0" fillId="3" fontId="8" numFmtId="0" xfId="0" applyAlignment="1" applyFont="1">
      <alignment horizontal="center" readingOrder="0" shrinkToFit="0" wrapText="0"/>
    </xf>
    <xf borderId="4" fillId="17" fontId="8" numFmtId="0" xfId="0" applyAlignment="1" applyBorder="1" applyFont="1">
      <alignment horizontal="center" readingOrder="0" shrinkToFit="0" wrapText="0"/>
    </xf>
    <xf borderId="4" fillId="0" fontId="24" numFmtId="0" xfId="0" applyAlignment="1" applyBorder="1" applyFont="1">
      <alignment horizontal="center" readingOrder="0" shrinkToFit="0" wrapText="0"/>
    </xf>
    <xf borderId="0" fillId="3" fontId="56" numFmtId="0" xfId="0" applyAlignment="1" applyFont="1">
      <alignment horizontal="center" readingOrder="0"/>
    </xf>
    <xf borderId="4" fillId="3" fontId="56" numFmtId="0" xfId="0" applyAlignment="1" applyBorder="1" applyFont="1">
      <alignment horizontal="center" readingOrder="0"/>
    </xf>
    <xf borderId="4" fillId="3" fontId="57" numFmtId="0" xfId="0" applyAlignment="1" applyBorder="1" applyFont="1">
      <alignment horizontal="center" readingOrder="0"/>
    </xf>
    <xf borderId="4" fillId="3" fontId="58" numFmtId="0" xfId="0" applyAlignment="1" applyBorder="1" applyFont="1">
      <alignment horizontal="center" readingOrder="0"/>
    </xf>
    <xf borderId="4" fillId="7" fontId="59" numFmtId="0" xfId="0" applyAlignment="1" applyBorder="1" applyFont="1">
      <alignment horizontal="center" readingOrder="0"/>
    </xf>
    <xf borderId="4" fillId="7" fontId="60" numFmtId="0" xfId="0" applyAlignment="1" applyBorder="1" applyFont="1">
      <alignment horizontal="center" readingOrder="0"/>
    </xf>
    <xf borderId="4" fillId="7" fontId="16" numFmtId="0" xfId="0" applyAlignment="1" applyBorder="1" applyFont="1">
      <alignment horizontal="center" readingOrder="0" shrinkToFit="0" wrapText="0"/>
    </xf>
    <xf borderId="4" fillId="7" fontId="61" numFmtId="0" xfId="0" applyAlignment="1" applyBorder="1" applyFont="1">
      <alignment horizontal="center" readingOrder="0"/>
    </xf>
    <xf borderId="4" fillId="7" fontId="52" numFmtId="0" xfId="0" applyAlignment="1" applyBorder="1" applyFont="1">
      <alignment horizontal="center" readingOrder="0"/>
    </xf>
    <xf borderId="4" fillId="3" fontId="52" numFmtId="0" xfId="0" applyAlignment="1" applyBorder="1" applyFont="1">
      <alignment horizontal="center" readingOrder="0"/>
    </xf>
    <xf borderId="4" fillId="3" fontId="62" numFmtId="0" xfId="0" applyAlignment="1" applyBorder="1" applyFont="1">
      <alignment horizontal="center" readingOrder="0"/>
    </xf>
    <xf borderId="0" fillId="7" fontId="52" numFmtId="0" xfId="0" applyAlignment="1" applyFont="1">
      <alignment horizontal="center" readingOrder="0"/>
    </xf>
    <xf borderId="0" fillId="7" fontId="63" numFmtId="0" xfId="0" applyAlignment="1" applyFont="1">
      <alignment horizontal="center" readingOrder="0"/>
    </xf>
    <xf borderId="0" fillId="3" fontId="6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9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1" fillId="21" fontId="8" numFmtId="0" xfId="0" applyAlignment="1" applyBorder="1" applyFont="1">
      <alignment horizontal="center" readingOrder="0" vertical="center"/>
    </xf>
    <xf borderId="4" fillId="21" fontId="8" numFmtId="0" xfId="0" applyAlignment="1" applyBorder="1" applyFont="1">
      <alignment horizontal="center" vertical="center"/>
    </xf>
    <xf borderId="4" fillId="21" fontId="8" numFmtId="171" xfId="0" applyAlignment="1" applyBorder="1" applyFont="1" applyNumberFormat="1">
      <alignment horizontal="center" vertical="center"/>
    </xf>
    <xf borderId="4" fillId="21" fontId="8" numFmtId="172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readingOrder="0" vertical="center"/>
    </xf>
    <xf borderId="3" fillId="0" fontId="24" numFmtId="0" xfId="0" applyAlignment="1" applyBorder="1" applyFont="1">
      <alignment horizontal="center" readingOrder="0" vertical="bottom"/>
    </xf>
    <xf borderId="3" fillId="0" fontId="24" numFmtId="0" xfId="0" applyAlignment="1" applyBorder="1" applyFont="1">
      <alignment horizontal="center" vertical="bottom"/>
    </xf>
    <xf borderId="4" fillId="0" fontId="3" numFmtId="183" xfId="0" applyAlignment="1" applyBorder="1" applyFont="1" applyNumberFormat="1">
      <alignment horizontal="center" readingOrder="0"/>
    </xf>
    <xf borderId="4" fillId="0" fontId="3" numFmtId="166" xfId="0" applyAlignment="1" applyBorder="1" applyFont="1" applyNumberFormat="1">
      <alignment horizontal="center" readingOrder="0"/>
    </xf>
    <xf borderId="1" fillId="25" fontId="1" numFmtId="0" xfId="0" applyAlignment="1" applyBorder="1" applyFill="1" applyFont="1">
      <alignment horizontal="center" readingOrder="0" shrinkToFit="0" vertical="center" wrapText="1"/>
    </xf>
    <xf borderId="4" fillId="25" fontId="1" numFmtId="0" xfId="0" applyAlignment="1" applyBorder="1" applyFont="1">
      <alignment horizontal="center" readingOrder="0" shrinkToFit="0" vertical="center" wrapText="1"/>
    </xf>
    <xf borderId="4" fillId="25" fontId="1" numFmtId="164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7" fontId="1" numFmtId="0" xfId="0" applyAlignment="1" applyBorder="1" applyFont="1">
      <alignment horizontal="center" readingOrder="0" shrinkToFit="0" vertical="center" wrapText="1"/>
    </xf>
    <xf borderId="7" fillId="0" fontId="1" numFmtId="164" xfId="0" applyAlignment="1" applyBorder="1" applyFont="1" applyNumberForma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4" fillId="7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ont="1">
      <alignment horizontal="center" shrinkToFit="0" wrapText="1"/>
    </xf>
    <xf borderId="3" fillId="7" fontId="8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4" fillId="7" fontId="3" numFmtId="0" xfId="0" applyAlignment="1" applyBorder="1" applyFont="1">
      <alignment horizontal="center" readingOrder="0"/>
    </xf>
    <xf borderId="7" fillId="0" fontId="1" numFmtId="164" xfId="0" applyAlignment="1" applyBorder="1" applyFont="1" applyNumberForma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4" fillId="6" fontId="1" numFmtId="0" xfId="0" applyAlignment="1" applyBorder="1" applyFont="1">
      <alignment horizontal="center" readingOrder="0" shrinkToFit="0" vertical="center" wrapText="1"/>
    </xf>
    <xf borderId="4" fillId="6" fontId="1" numFmtId="164" xfId="0" applyAlignment="1" applyBorder="1" applyFont="1" applyNumberFormat="1">
      <alignment horizontal="center" shrinkToFit="0" vertical="center" wrapText="1"/>
    </xf>
    <xf borderId="4" fillId="6" fontId="1" numFmtId="164" xfId="0" applyAlignment="1" applyBorder="1" applyFont="1" applyNumberFormat="1">
      <alignment horizontal="center" readingOrder="0" shrinkToFit="0" vertical="center" wrapText="1"/>
    </xf>
    <xf borderId="4" fillId="6" fontId="3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7" fillId="6" fontId="1" numFmtId="164" xfId="0" applyAlignment="1" applyBorder="1" applyFont="1" applyNumberFormat="1">
      <alignment horizontal="center" readingOrder="0" shrinkToFit="0" vertical="center" wrapText="1"/>
    </xf>
    <xf borderId="7" fillId="6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2" fontId="1" numFmtId="164" xfId="0" applyAlignment="1" applyBorder="1" applyFont="1" applyNumberFormat="1">
      <alignment horizontal="center" readingOrder="0" shrinkToFit="0" vertical="center" wrapText="1"/>
    </xf>
    <xf borderId="4" fillId="2" fontId="1" numFmtId="164" xfId="0" applyAlignment="1" applyBorder="1" applyFont="1" applyNumberFormat="1">
      <alignment horizontal="center" shrinkToFit="0" vertical="center" wrapText="1"/>
    </xf>
    <xf borderId="4" fillId="7" fontId="1" numFmtId="164" xfId="0" applyAlignment="1" applyBorder="1" applyFont="1" applyNumberFormat="1">
      <alignment horizontal="center" readingOrder="0" shrinkToFit="0" vertical="center" wrapText="1"/>
    </xf>
    <xf borderId="4" fillId="8" fontId="1" numFmtId="0" xfId="0" applyAlignment="1" applyBorder="1" applyFont="1">
      <alignment horizontal="center" readingOrder="0" shrinkToFit="0" vertical="center" wrapText="1"/>
    </xf>
    <xf borderId="4" fillId="8" fontId="3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readingOrder="0" vertical="center"/>
    </xf>
    <xf borderId="9" fillId="7" fontId="17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64" numFmtId="0" xfId="0" applyAlignment="1" applyFont="1">
      <alignment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/>
    </xf>
    <xf borderId="0" fillId="7" fontId="3" numFmtId="0" xfId="0" applyAlignment="1" applyFont="1">
      <alignment readingOrder="0"/>
    </xf>
    <xf borderId="19" fillId="0" fontId="23" numFmtId="0" xfId="0" applyAlignment="1" applyBorder="1" applyFont="1">
      <alignment readingOrder="0"/>
    </xf>
    <xf borderId="19" fillId="7" fontId="23" numFmtId="0" xfId="0" applyAlignment="1" applyBorder="1" applyFont="1">
      <alignment readingOrder="0"/>
    </xf>
    <xf borderId="1" fillId="0" fontId="65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24" numFmtId="0" xfId="0" applyAlignment="1" applyFont="1">
      <alignment vertical="bottom"/>
    </xf>
    <xf borderId="0" fillId="0" fontId="24" numFmtId="164" xfId="0" applyAlignment="1" applyFont="1" applyNumberFormat="1">
      <alignment vertical="bottom"/>
    </xf>
    <xf borderId="15" fillId="0" fontId="24" numFmtId="0" xfId="0" applyAlignment="1" applyBorder="1" applyFont="1">
      <alignment vertical="bottom"/>
    </xf>
    <xf borderId="15" fillId="0" fontId="24" numFmtId="164" xfId="0" applyAlignment="1" applyBorder="1" applyFont="1" applyNumberFormat="1">
      <alignment vertical="bottom"/>
    </xf>
    <xf borderId="5" fillId="3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/>
    </xf>
    <xf borderId="6" fillId="0" fontId="8" numFmtId="171" xfId="0" applyAlignment="1" applyBorder="1" applyFont="1" applyNumberFormat="1">
      <alignment horizontal="center"/>
    </xf>
    <xf borderId="6" fillId="0" fontId="24" numFmtId="164" xfId="0" applyBorder="1" applyFont="1" applyNumberFormat="1"/>
    <xf borderId="6" fillId="0" fontId="24" numFmtId="0" xfId="0" applyBorder="1" applyFont="1"/>
    <xf borderId="6" fillId="0" fontId="8" numFmtId="164" xfId="0" applyAlignment="1" applyBorder="1" applyFont="1" applyNumberFormat="1">
      <alignment horizontal="center"/>
    </xf>
    <xf borderId="4" fillId="0" fontId="8" numFmtId="0" xfId="0" applyAlignment="1" applyBorder="1" applyFont="1">
      <alignment horizontal="center" shrinkToFit="0" wrapText="1"/>
    </xf>
    <xf borderId="5" fillId="3" fontId="50" numFmtId="0" xfId="0" applyAlignment="1" applyBorder="1" applyFont="1">
      <alignment horizontal="center" vertical="bottom"/>
    </xf>
    <xf borderId="6" fillId="3" fontId="8" numFmtId="0" xfId="0" applyAlignment="1" applyBorder="1" applyFont="1">
      <alignment horizontal="center" vertical="bottom"/>
    </xf>
    <xf borderId="6" fillId="3" fontId="8" numFmtId="171" xfId="0" applyAlignment="1" applyBorder="1" applyFont="1" applyNumberFormat="1">
      <alignment horizontal="center" vertical="bottom"/>
    </xf>
    <xf borderId="6" fillId="3" fontId="8" numFmtId="164" xfId="0" applyAlignment="1" applyBorder="1" applyFont="1" applyNumberFormat="1">
      <alignment horizontal="center" vertical="bottom"/>
    </xf>
    <xf borderId="6" fillId="0" fontId="8" numFmtId="0" xfId="0" applyAlignment="1" applyBorder="1" applyFont="1">
      <alignment horizontal="center" vertical="bottom"/>
    </xf>
    <xf borderId="5" fillId="3" fontId="8" numFmtId="0" xfId="0" applyAlignment="1" applyBorder="1" applyFont="1">
      <alignment horizontal="center"/>
    </xf>
    <xf borderId="6" fillId="0" fontId="8" numFmtId="171" xfId="0" applyAlignment="1" applyBorder="1" applyFont="1" applyNumberFormat="1">
      <alignment horizontal="center" vertical="bottom"/>
    </xf>
    <xf borderId="6" fillId="0" fontId="8" numFmtId="164" xfId="0" applyAlignment="1" applyBorder="1" applyFont="1" applyNumberFormat="1">
      <alignment horizontal="center" vertical="bottom"/>
    </xf>
    <xf borderId="6" fillId="3" fontId="24" numFmtId="0" xfId="0" applyAlignment="1" applyBorder="1" applyFont="1">
      <alignment horizontal="center" vertical="bottom"/>
    </xf>
    <xf borderId="6" fillId="0" fontId="24" numFmtId="171" xfId="0" applyAlignment="1" applyBorder="1" applyFont="1" applyNumberFormat="1">
      <alignment horizontal="center" vertical="bottom"/>
    </xf>
    <xf borderId="6" fillId="0" fontId="24" numFmtId="0" xfId="0" applyAlignment="1" applyBorder="1" applyFont="1">
      <alignment vertical="bottom"/>
    </xf>
    <xf borderId="6" fillId="0" fontId="24" numFmtId="0" xfId="0" applyAlignment="1" applyBorder="1" applyFont="1">
      <alignment horizontal="center" vertical="bottom"/>
    </xf>
    <xf borderId="6" fillId="0" fontId="24" numFmtId="164" xfId="0" applyAlignment="1" applyBorder="1" applyFont="1" applyNumberFormat="1">
      <alignment horizontal="center" vertical="bottom"/>
    </xf>
    <xf borderId="5" fillId="2" fontId="8" numFmtId="0" xfId="0" applyAlignment="1" applyBorder="1" applyFont="1">
      <alignment horizontal="center"/>
    </xf>
    <xf borderId="6" fillId="2" fontId="8" numFmtId="0" xfId="0" applyAlignment="1" applyBorder="1" applyFont="1">
      <alignment horizontal="center" vertical="bottom"/>
    </xf>
    <xf borderId="6" fillId="2" fontId="8" numFmtId="0" xfId="0" applyAlignment="1" applyBorder="1" applyFont="1">
      <alignment horizontal="center"/>
    </xf>
    <xf borderId="6" fillId="2" fontId="8" numFmtId="171" xfId="0" applyAlignment="1" applyBorder="1" applyFont="1" applyNumberFormat="1">
      <alignment horizontal="center" vertical="bottom"/>
    </xf>
    <xf borderId="6" fillId="2" fontId="8" numFmtId="171" xfId="0" applyAlignment="1" applyBorder="1" applyFont="1" applyNumberFormat="1">
      <alignment horizontal="center"/>
    </xf>
    <xf borderId="6" fillId="2" fontId="8" numFmtId="164" xfId="0" applyAlignment="1" applyBorder="1" applyFont="1" applyNumberFormat="1">
      <alignment horizontal="center"/>
    </xf>
    <xf borderId="5" fillId="2" fontId="8" numFmtId="0" xfId="0" applyAlignment="1" applyBorder="1" applyFont="1">
      <alignment horizontal="center" vertical="bottom"/>
    </xf>
    <xf borderId="6" fillId="2" fontId="66" numFmtId="0" xfId="0" applyAlignment="1" applyBorder="1" applyFont="1">
      <alignment horizontal="center" vertical="bottom"/>
    </xf>
    <xf borderId="6" fillId="2" fontId="24" numFmtId="171" xfId="0" applyBorder="1" applyFont="1" applyNumberFormat="1"/>
    <xf borderId="4" fillId="6" fontId="1" numFmtId="0" xfId="0" applyAlignment="1" applyBorder="1" applyFont="1">
      <alignment horizontal="center"/>
    </xf>
    <xf borderId="5" fillId="2" fontId="50" numFmtId="0" xfId="0" applyAlignment="1" applyBorder="1" applyFont="1">
      <alignment horizontal="center" vertical="bottom"/>
    </xf>
    <xf borderId="4" fillId="6" fontId="1" numFmtId="0" xfId="0" applyAlignment="1" applyBorder="1" applyFont="1">
      <alignment horizontal="center" readingOrder="0"/>
    </xf>
    <xf borderId="4" fillId="6" fontId="1" numFmtId="165" xfId="0" applyAlignment="1" applyBorder="1" applyFont="1" applyNumberFormat="1">
      <alignment horizontal="center" readingOrder="0" vertical="center"/>
    </xf>
    <xf borderId="6" fillId="3" fontId="24" numFmtId="0" xfId="0" applyBorder="1" applyFont="1"/>
    <xf borderId="6" fillId="3" fontId="24" numFmtId="171" xfId="0" applyBorder="1" applyFont="1" applyNumberFormat="1"/>
    <xf borderId="6" fillId="3" fontId="24" numFmtId="164" xfId="0" applyBorder="1" applyFont="1" applyNumberFormat="1"/>
    <xf borderId="14" fillId="3" fontId="8" numFmtId="0" xfId="0" applyAlignment="1" applyBorder="1" applyFont="1">
      <alignment horizontal="center" vertical="bottom"/>
    </xf>
    <xf borderId="6" fillId="3" fontId="24" numFmtId="171" xfId="0" applyAlignment="1" applyBorder="1" applyFont="1" applyNumberFormat="1">
      <alignment vertical="bottom"/>
    </xf>
    <xf borderId="6" fillId="3" fontId="24" numFmtId="164" xfId="0" applyAlignment="1" applyBorder="1" applyFont="1" applyNumberFormat="1">
      <alignment vertical="bottom"/>
    </xf>
    <xf borderId="0" fillId="6" fontId="17" numFmtId="0" xfId="0" applyAlignment="1" applyFont="1">
      <alignment horizontal="center" readingOrder="0"/>
    </xf>
    <xf borderId="7" fillId="6" fontId="1" numFmtId="164" xfId="0" applyAlignment="1" applyBorder="1" applyFont="1" applyNumberFormat="1">
      <alignment horizontal="center" readingOrder="0" vertical="center"/>
    </xf>
    <xf borderId="4" fillId="0" fontId="1" numFmtId="165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/>
    </xf>
    <xf borderId="0" fillId="3" fontId="17" numFmtId="0" xfId="0" applyAlignment="1" applyFont="1">
      <alignment horizontal="center" readingOrder="0"/>
    </xf>
    <xf borderId="7" fillId="0" fontId="1" numFmtId="0" xfId="0" applyAlignment="1" applyBorder="1" applyFont="1">
      <alignment horizontal="center" readingOrder="0" vertical="center"/>
    </xf>
    <xf borderId="7" fillId="0" fontId="1" numFmtId="164" xfId="0" applyAlignment="1" applyBorder="1" applyFont="1" applyNumberFormat="1">
      <alignment horizontal="center" readingOrder="0" vertical="center"/>
    </xf>
    <xf borderId="9" fillId="3" fontId="17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vertical="center"/>
    </xf>
    <xf borderId="1" fillId="21" fontId="24" numFmtId="0" xfId="0" applyAlignment="1" applyBorder="1" applyFont="1">
      <alignment horizontal="center" readingOrder="0" vertical="center"/>
    </xf>
    <xf borderId="7" fillId="21" fontId="24" numFmtId="0" xfId="0" applyAlignment="1" applyBorder="1" applyFont="1">
      <alignment horizontal="center" readingOrder="0" vertical="center"/>
    </xf>
    <xf borderId="7" fillId="21" fontId="24" numFmtId="0" xfId="0" applyAlignment="1" applyBorder="1" applyFont="1">
      <alignment horizontal="center" vertical="center"/>
    </xf>
    <xf borderId="20" fillId="21" fontId="24" numFmtId="172" xfId="0" applyAlignment="1" applyBorder="1" applyFont="1" applyNumberFormat="1">
      <alignment horizontal="center" vertical="center"/>
    </xf>
    <xf borderId="20" fillId="21" fontId="24" numFmtId="0" xfId="0" applyAlignment="1" applyBorder="1" applyFont="1">
      <alignment horizontal="center" readingOrder="0" vertical="center"/>
    </xf>
    <xf borderId="4" fillId="21" fontId="24" numFmtId="0" xfId="0" applyAlignment="1" applyBorder="1" applyFont="1">
      <alignment horizontal="center" readingOrder="0" vertical="center"/>
    </xf>
    <xf borderId="7" fillId="0" fontId="24" numFmtId="0" xfId="0" applyAlignment="1" applyBorder="1" applyFont="1">
      <alignment horizontal="center" readingOrder="0" vertical="center"/>
    </xf>
    <xf borderId="4" fillId="3" fontId="24" numFmtId="0" xfId="0" applyAlignment="1" applyBorder="1" applyFont="1">
      <alignment horizontal="center" readingOrder="0"/>
    </xf>
    <xf borderId="6" fillId="3" fontId="24" numFmtId="0" xfId="0" applyAlignment="1" applyBorder="1" applyFont="1">
      <alignment horizontal="center" readingOrder="0" vertical="center"/>
    </xf>
    <xf borderId="4" fillId="3" fontId="24" numFmtId="0" xfId="0" applyAlignment="1" applyBorder="1" applyFont="1">
      <alignment horizontal="center" readingOrder="0" vertical="center"/>
    </xf>
    <xf borderId="4" fillId="6" fontId="24" numFmtId="0" xfId="0" applyAlignment="1" applyBorder="1" applyFont="1">
      <alignment horizontal="center" readingOrder="0" vertical="center"/>
    </xf>
    <xf borderId="1" fillId="26" fontId="50" numFmtId="0" xfId="0" applyAlignment="1" applyBorder="1" applyFill="1" applyFont="1">
      <alignment horizontal="center" readingOrder="0" vertical="center"/>
    </xf>
    <xf borderId="2" fillId="26" fontId="2" numFmtId="0" xfId="0" applyBorder="1" applyFont="1"/>
    <xf borderId="3" fillId="26" fontId="2" numFmtId="0" xfId="0" applyBorder="1" applyFont="1"/>
    <xf borderId="20" fillId="3" fontId="8" numFmtId="0" xfId="0" applyAlignment="1" applyBorder="1" applyFont="1">
      <alignment horizontal="center" vertical="center"/>
    </xf>
    <xf borderId="20" fillId="3" fontId="8" numFmtId="0" xfId="0" applyAlignment="1" applyBorder="1" applyFont="1">
      <alignment horizontal="center" readingOrder="0" vertical="center"/>
    </xf>
    <xf borderId="20" fillId="3" fontId="8" numFmtId="172" xfId="0" applyAlignment="1" applyBorder="1" applyFont="1" applyNumberFormat="1">
      <alignment horizontal="center" vertical="center"/>
    </xf>
    <xf borderId="7" fillId="3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readingOrder="0" shrinkToFit="0" vertical="center" wrapText="1"/>
    </xf>
    <xf borderId="5" fillId="0" fontId="8" numFmtId="172" xfId="0" applyAlignment="1" applyBorder="1" applyFont="1" applyNumberFormat="1">
      <alignment horizontal="center" readingOrder="0" vertical="center"/>
    </xf>
    <xf borderId="5" fillId="0" fontId="8" numFmtId="173" xfId="0" applyAlignment="1" applyBorder="1" applyFont="1" applyNumberFormat="1">
      <alignment horizontal="center" readingOrder="0" vertical="center"/>
    </xf>
    <xf borderId="3" fillId="0" fontId="8" numFmtId="173" xfId="0" applyAlignment="1" applyBorder="1" applyFont="1" applyNumberFormat="1">
      <alignment horizontal="center" readingOrder="0" vertical="center"/>
    </xf>
    <xf borderId="5" fillId="0" fontId="8" numFmtId="0" xfId="0" applyAlignment="1" applyBorder="1" applyFont="1">
      <alignment horizontal="center" vertical="center"/>
    </xf>
    <xf borderId="4" fillId="2" fontId="24" numFmtId="0" xfId="0" applyAlignment="1" applyBorder="1" applyFont="1">
      <alignment horizontal="center" readingOrder="0" vertical="center"/>
    </xf>
    <xf borderId="5" fillId="2" fontId="8" numFmtId="172" xfId="0" applyAlignment="1" applyBorder="1" applyFont="1" applyNumberFormat="1">
      <alignment horizontal="center" readingOrder="0" vertical="center"/>
    </xf>
    <xf borderId="14" fillId="2" fontId="8" numFmtId="0" xfId="0" applyAlignment="1" applyBorder="1" applyFont="1">
      <alignment horizontal="center" readingOrder="0" vertical="center"/>
    </xf>
    <xf borderId="5" fillId="2" fontId="8" numFmtId="0" xfId="0" applyAlignment="1" applyBorder="1" applyFont="1">
      <alignment horizontal="center" vertical="center"/>
    </xf>
    <xf borderId="3" fillId="2" fontId="8" numFmtId="173" xfId="0" applyAlignment="1" applyBorder="1" applyFont="1" applyNumberFormat="1">
      <alignment horizontal="center" readingOrder="0" vertical="center"/>
    </xf>
    <xf borderId="1" fillId="0" fontId="24" numFmtId="0" xfId="0" applyAlignment="1" applyBorder="1" applyFont="1">
      <alignment horizontal="center" readingOrder="0" vertical="center"/>
    </xf>
    <xf borderId="4" fillId="0" fontId="24" numFmtId="0" xfId="0" applyAlignment="1" applyBorder="1" applyFont="1">
      <alignment horizontal="center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0" fillId="6" fontId="8" numFmtId="172" xfId="0" applyAlignment="1" applyFont="1" applyNumberFormat="1">
      <alignment horizontal="center" readingOrder="0" vertical="center"/>
    </xf>
    <xf borderId="0" fillId="0" fontId="24" numFmtId="172" xfId="0" applyAlignment="1" applyFont="1" applyNumberFormat="1">
      <alignment horizontal="center" readingOrder="0" vertical="center"/>
    </xf>
    <xf borderId="14" fillId="27" fontId="50" numFmtId="0" xfId="0" applyAlignment="1" applyBorder="1" applyFill="1" applyFont="1">
      <alignment horizontal="center" readingOrder="0" vertical="center"/>
    </xf>
    <xf borderId="15" fillId="27" fontId="2" numFmtId="0" xfId="0" applyBorder="1" applyFont="1"/>
    <xf borderId="6" fillId="27" fontId="2" numFmtId="0" xfId="0" applyBorder="1" applyFont="1"/>
    <xf borderId="8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shrinkToFit="0" vertical="center" wrapText="1"/>
    </xf>
    <xf borderId="5" fillId="28" fontId="50" numFmtId="0" xfId="0" applyAlignment="1" applyBorder="1" applyFill="1" applyFont="1">
      <alignment horizontal="center" readingOrder="0" vertical="center"/>
    </xf>
    <xf borderId="5" fillId="3" fontId="8" numFmtId="172" xfId="0" applyAlignment="1" applyBorder="1" applyFont="1" applyNumberFormat="1">
      <alignment horizontal="center" readingOrder="0" vertical="center"/>
    </xf>
    <xf borderId="14" fillId="3" fontId="8" numFmtId="0" xfId="0" applyAlignment="1" applyBorder="1" applyFont="1">
      <alignment horizontal="center" readingOrder="0" vertical="center"/>
    </xf>
    <xf borderId="5" fillId="3" fontId="8" numFmtId="0" xfId="0" applyAlignment="1" applyBorder="1" applyFont="1">
      <alignment horizontal="center" vertical="center"/>
    </xf>
    <xf borderId="3" fillId="3" fontId="8" numFmtId="173" xfId="0" applyAlignment="1" applyBorder="1" applyFont="1" applyNumberFormat="1">
      <alignment horizontal="center" readingOrder="0" vertical="center"/>
    </xf>
    <xf borderId="5" fillId="2" fontId="50" numFmtId="0" xfId="0" applyAlignment="1" applyBorder="1" applyFont="1">
      <alignment horizontal="center" readingOrder="0" vertical="center"/>
    </xf>
    <xf borderId="1" fillId="29" fontId="50" numFmtId="0" xfId="0" applyAlignment="1" applyBorder="1" applyFill="1" applyFont="1">
      <alignment horizontal="center" readingOrder="0" vertical="center"/>
    </xf>
    <xf borderId="2" fillId="29" fontId="2" numFmtId="0" xfId="0" applyBorder="1" applyFont="1"/>
    <xf borderId="3" fillId="29" fontId="2" numFmtId="0" xfId="0" applyBorder="1" applyFont="1"/>
    <xf borderId="1" fillId="30" fontId="50" numFmtId="0" xfId="0" applyAlignment="1" applyBorder="1" applyFill="1" applyFont="1">
      <alignment horizontal="center" readingOrder="0" vertical="center"/>
    </xf>
    <xf borderId="2" fillId="30" fontId="2" numFmtId="0" xfId="0" applyBorder="1" applyFont="1"/>
    <xf borderId="3" fillId="30" fontId="2" numFmtId="0" xfId="0" applyBorder="1" applyFont="1"/>
    <xf borderId="4" fillId="0" fontId="24" numFmtId="167" xfId="0" applyAlignment="1" applyBorder="1" applyFont="1" applyNumberFormat="1">
      <alignment horizontal="center" readingOrder="0" vertical="center"/>
    </xf>
    <xf borderId="0" fillId="0" fontId="3" numFmtId="172" xfId="0" applyFont="1" applyNumberFormat="1"/>
    <xf borderId="4" fillId="0" fontId="3" numFmtId="172" xfId="0" applyBorder="1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0</xdr:row>
      <xdr:rowOff>0</xdr:rowOff>
    </xdr:from>
    <xdr:ext cx="4772025" cy="91630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g.g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4" max="4" width="40.71"/>
    <col customWidth="1" min="5" max="5" width="20.86"/>
    <col customWidth="1" min="6" max="6" width="20.43"/>
    <col customWidth="1" min="7" max="7" width="16.14"/>
    <col customWidth="1" min="8" max="8" width="23.14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6" t="s">
        <v>7</v>
      </c>
      <c r="H2" s="6" t="s">
        <v>8</v>
      </c>
    </row>
    <row r="3">
      <c r="A3" s="7" t="s">
        <v>9</v>
      </c>
      <c r="B3" s="8" t="s">
        <v>10</v>
      </c>
      <c r="C3" s="8">
        <v>2022.0</v>
      </c>
      <c r="D3" s="8" t="s">
        <v>11</v>
      </c>
      <c r="E3" s="9"/>
      <c r="F3" s="9"/>
      <c r="G3" s="10"/>
      <c r="H3" s="10"/>
    </row>
    <row r="4">
      <c r="A4" s="11" t="s">
        <v>12</v>
      </c>
      <c r="B4" s="8" t="s">
        <v>10</v>
      </c>
      <c r="C4" s="8">
        <v>2022.0</v>
      </c>
      <c r="D4" s="8" t="s">
        <v>13</v>
      </c>
      <c r="E4" s="9"/>
      <c r="F4" s="9"/>
      <c r="G4" s="10"/>
      <c r="H4" s="10"/>
    </row>
    <row r="5">
      <c r="A5" s="11" t="s">
        <v>14</v>
      </c>
      <c r="B5" s="8" t="s">
        <v>10</v>
      </c>
      <c r="C5" s="8">
        <v>2022.0</v>
      </c>
      <c r="D5" s="8" t="s">
        <v>11</v>
      </c>
      <c r="E5" s="9"/>
      <c r="F5" s="9"/>
      <c r="G5" s="10"/>
      <c r="H5" s="10"/>
    </row>
    <row r="6">
      <c r="A6" s="11" t="s">
        <v>15</v>
      </c>
      <c r="B6" s="8" t="s">
        <v>10</v>
      </c>
      <c r="C6" s="8">
        <v>2022.0</v>
      </c>
      <c r="D6" s="8" t="s">
        <v>16</v>
      </c>
      <c r="E6" s="9"/>
      <c r="F6" s="9"/>
      <c r="G6" s="10"/>
      <c r="H6" s="10"/>
    </row>
    <row r="7">
      <c r="A7" s="11" t="s">
        <v>17</v>
      </c>
      <c r="B7" s="8" t="s">
        <v>10</v>
      </c>
      <c r="C7" s="8">
        <v>2022.0</v>
      </c>
      <c r="D7" s="8" t="s">
        <v>18</v>
      </c>
      <c r="E7" s="9"/>
      <c r="F7" s="9"/>
      <c r="G7" s="10"/>
      <c r="H7" s="10"/>
    </row>
    <row r="8">
      <c r="A8" s="11" t="s">
        <v>19</v>
      </c>
      <c r="B8" s="8" t="s">
        <v>10</v>
      </c>
      <c r="C8" s="8">
        <v>2022.0</v>
      </c>
      <c r="D8" s="8" t="s">
        <v>18</v>
      </c>
      <c r="E8" s="9"/>
      <c r="F8" s="9"/>
      <c r="G8" s="10"/>
      <c r="H8" s="10"/>
    </row>
    <row r="9">
      <c r="A9" s="11" t="s">
        <v>20</v>
      </c>
      <c r="B9" s="8" t="s">
        <v>10</v>
      </c>
      <c r="C9" s="8">
        <v>2022.0</v>
      </c>
      <c r="D9" s="8" t="s">
        <v>21</v>
      </c>
      <c r="E9" s="9"/>
      <c r="F9" s="9"/>
      <c r="G9" s="10"/>
      <c r="H9" s="10"/>
    </row>
    <row r="10">
      <c r="A10" s="11" t="s">
        <v>22</v>
      </c>
      <c r="B10" s="8" t="s">
        <v>10</v>
      </c>
      <c r="C10" s="8">
        <v>2022.0</v>
      </c>
      <c r="D10" s="8" t="s">
        <v>23</v>
      </c>
      <c r="E10" s="9"/>
      <c r="F10" s="9"/>
      <c r="G10" s="10"/>
      <c r="H10" s="10"/>
    </row>
    <row r="11">
      <c r="A11" s="11" t="s">
        <v>24</v>
      </c>
      <c r="B11" s="8" t="s">
        <v>25</v>
      </c>
      <c r="C11" s="8">
        <v>2022.0</v>
      </c>
      <c r="D11" s="8" t="s">
        <v>26</v>
      </c>
      <c r="E11" s="9"/>
      <c r="F11" s="9"/>
      <c r="G11" s="10"/>
      <c r="H11" s="10"/>
    </row>
    <row r="12">
      <c r="A12" s="11" t="s">
        <v>27</v>
      </c>
      <c r="B12" s="8" t="s">
        <v>25</v>
      </c>
      <c r="C12" s="8">
        <v>2022.0</v>
      </c>
      <c r="D12" s="8" t="s">
        <v>28</v>
      </c>
      <c r="E12" s="9"/>
      <c r="F12" s="9"/>
      <c r="G12" s="10"/>
      <c r="H12" s="10"/>
    </row>
    <row r="13">
      <c r="A13" s="11" t="s">
        <v>29</v>
      </c>
      <c r="B13" s="8" t="s">
        <v>25</v>
      </c>
      <c r="C13" s="8">
        <v>2022.0</v>
      </c>
      <c r="D13" s="8" t="s">
        <v>30</v>
      </c>
      <c r="E13" s="9"/>
      <c r="F13" s="9"/>
      <c r="G13" s="10"/>
      <c r="H13" s="10"/>
    </row>
    <row r="14">
      <c r="A14" s="11" t="s">
        <v>31</v>
      </c>
      <c r="B14" s="8" t="s">
        <v>25</v>
      </c>
      <c r="C14" s="8">
        <v>2022.0</v>
      </c>
      <c r="D14" s="8" t="s">
        <v>32</v>
      </c>
      <c r="E14" s="9"/>
      <c r="F14" s="9"/>
      <c r="G14" s="10"/>
      <c r="H14" s="10"/>
    </row>
    <row r="15">
      <c r="A15" s="11" t="s">
        <v>33</v>
      </c>
      <c r="B15" s="8" t="s">
        <v>25</v>
      </c>
      <c r="C15" s="8">
        <v>2022.0</v>
      </c>
      <c r="D15" s="8" t="s">
        <v>34</v>
      </c>
      <c r="E15" s="9"/>
      <c r="F15" s="9"/>
      <c r="G15" s="10"/>
      <c r="H15" s="10"/>
    </row>
    <row r="16">
      <c r="A16" s="11" t="s">
        <v>35</v>
      </c>
      <c r="B16" s="8" t="s">
        <v>25</v>
      </c>
      <c r="C16" s="8">
        <v>2022.0</v>
      </c>
      <c r="D16" s="8" t="s">
        <v>36</v>
      </c>
      <c r="E16" s="9"/>
      <c r="F16" s="9"/>
      <c r="G16" s="10"/>
      <c r="H16" s="10"/>
    </row>
    <row r="17">
      <c r="A17" s="11" t="s">
        <v>37</v>
      </c>
      <c r="B17" s="8" t="s">
        <v>25</v>
      </c>
      <c r="C17" s="8">
        <v>2022.0</v>
      </c>
      <c r="D17" s="8" t="s">
        <v>38</v>
      </c>
      <c r="E17" s="9"/>
      <c r="F17" s="9"/>
      <c r="G17" s="10"/>
      <c r="H17" s="10"/>
    </row>
    <row r="18">
      <c r="A18" s="11" t="s">
        <v>39</v>
      </c>
      <c r="B18" s="8" t="s">
        <v>25</v>
      </c>
      <c r="C18" s="8">
        <v>2022.0</v>
      </c>
      <c r="D18" s="8" t="s">
        <v>40</v>
      </c>
      <c r="E18" s="9"/>
      <c r="F18" s="9"/>
      <c r="G18" s="10"/>
      <c r="H18" s="10"/>
    </row>
    <row r="19">
      <c r="A19" s="11" t="s">
        <v>41</v>
      </c>
      <c r="B19" s="8" t="s">
        <v>25</v>
      </c>
      <c r="C19" s="8">
        <v>2022.0</v>
      </c>
      <c r="D19" s="8" t="s">
        <v>42</v>
      </c>
      <c r="E19" s="9"/>
      <c r="F19" s="9"/>
      <c r="G19" s="10"/>
      <c r="H19" s="10"/>
    </row>
    <row r="20">
      <c r="A20" s="11" t="s">
        <v>43</v>
      </c>
      <c r="B20" s="8" t="s">
        <v>25</v>
      </c>
      <c r="C20" s="8">
        <v>2022.0</v>
      </c>
      <c r="D20" s="8" t="s">
        <v>13</v>
      </c>
      <c r="E20" s="9"/>
      <c r="F20" s="9"/>
      <c r="G20" s="10"/>
      <c r="H20" s="10"/>
    </row>
    <row r="21">
      <c r="A21" s="11" t="s">
        <v>44</v>
      </c>
      <c r="B21" s="8" t="s">
        <v>25</v>
      </c>
      <c r="C21" s="8">
        <v>2022.0</v>
      </c>
      <c r="D21" s="8" t="s">
        <v>13</v>
      </c>
      <c r="E21" s="9"/>
      <c r="F21" s="9"/>
      <c r="G21" s="10"/>
      <c r="H21" s="10"/>
    </row>
    <row r="22">
      <c r="A22" s="11" t="s">
        <v>45</v>
      </c>
      <c r="B22" s="8" t="s">
        <v>25</v>
      </c>
      <c r="C22" s="8">
        <v>2022.0</v>
      </c>
      <c r="D22" s="8" t="s">
        <v>36</v>
      </c>
      <c r="E22" s="9">
        <v>44912.0</v>
      </c>
      <c r="F22" s="9"/>
      <c r="G22" s="10"/>
      <c r="H22" s="10"/>
    </row>
    <row r="23">
      <c r="A23" s="11" t="s">
        <v>46</v>
      </c>
      <c r="B23" s="8" t="s">
        <v>25</v>
      </c>
      <c r="C23" s="8">
        <v>2022.0</v>
      </c>
      <c r="D23" s="8" t="s">
        <v>47</v>
      </c>
      <c r="E23" s="9"/>
      <c r="F23" s="9"/>
      <c r="G23" s="10"/>
      <c r="H23" s="10"/>
    </row>
    <row r="24">
      <c r="A24" s="11" t="s">
        <v>48</v>
      </c>
      <c r="B24" s="8" t="s">
        <v>25</v>
      </c>
      <c r="C24" s="8">
        <v>2022.0</v>
      </c>
      <c r="D24" s="8" t="s">
        <v>21</v>
      </c>
      <c r="E24" s="9"/>
      <c r="F24" s="9"/>
      <c r="G24" s="10"/>
      <c r="H24" s="10"/>
    </row>
    <row r="25">
      <c r="A25" s="11" t="s">
        <v>49</v>
      </c>
      <c r="B25" s="8" t="s">
        <v>25</v>
      </c>
      <c r="C25" s="8">
        <v>2022.0</v>
      </c>
      <c r="D25" s="8" t="s">
        <v>34</v>
      </c>
      <c r="E25" s="9">
        <v>44917.0</v>
      </c>
      <c r="F25" s="9"/>
      <c r="G25" s="10"/>
      <c r="H25" s="10"/>
    </row>
    <row r="26">
      <c r="A26" s="11" t="s">
        <v>50</v>
      </c>
      <c r="B26" s="8" t="s">
        <v>25</v>
      </c>
      <c r="C26" s="8">
        <v>2022.0</v>
      </c>
      <c r="D26" s="8" t="s">
        <v>21</v>
      </c>
      <c r="E26" s="9">
        <v>44917.0</v>
      </c>
      <c r="F26" s="9"/>
      <c r="G26" s="10"/>
      <c r="H26" s="10"/>
    </row>
    <row r="27">
      <c r="A27" s="11" t="s">
        <v>51</v>
      </c>
      <c r="B27" s="8" t="s">
        <v>25</v>
      </c>
      <c r="C27" s="8">
        <v>2022.0</v>
      </c>
      <c r="D27" s="8" t="s">
        <v>16</v>
      </c>
      <c r="E27" s="9"/>
      <c r="F27" s="9"/>
      <c r="G27" s="10"/>
      <c r="H27" s="10"/>
    </row>
    <row r="28">
      <c r="A28" s="11" t="s">
        <v>52</v>
      </c>
      <c r="B28" s="8" t="s">
        <v>25</v>
      </c>
      <c r="C28" s="8">
        <v>2022.0</v>
      </c>
      <c r="D28" s="8" t="s">
        <v>16</v>
      </c>
      <c r="E28" s="9"/>
      <c r="F28" s="9"/>
      <c r="G28" s="10"/>
      <c r="H28" s="10"/>
    </row>
    <row r="29">
      <c r="A29" s="11" t="s">
        <v>53</v>
      </c>
      <c r="B29" s="8" t="s">
        <v>25</v>
      </c>
      <c r="C29" s="8">
        <v>2022.0</v>
      </c>
      <c r="D29" s="8" t="s">
        <v>54</v>
      </c>
      <c r="E29" s="9"/>
      <c r="F29" s="9"/>
      <c r="G29" s="10"/>
      <c r="H29" s="10"/>
    </row>
    <row r="30">
      <c r="A30" s="11" t="s">
        <v>55</v>
      </c>
      <c r="B30" s="8" t="s">
        <v>25</v>
      </c>
      <c r="C30" s="8">
        <v>2022.0</v>
      </c>
      <c r="D30" s="8" t="s">
        <v>56</v>
      </c>
      <c r="E30" s="9"/>
      <c r="F30" s="9"/>
      <c r="G30" s="10"/>
      <c r="H30" s="10"/>
    </row>
    <row r="31">
      <c r="A31" s="11" t="s">
        <v>57</v>
      </c>
      <c r="B31" s="8" t="s">
        <v>58</v>
      </c>
      <c r="C31" s="8">
        <v>2023.0</v>
      </c>
      <c r="D31" s="8" t="s">
        <v>21</v>
      </c>
      <c r="E31" s="9">
        <v>44929.0</v>
      </c>
      <c r="F31" s="9"/>
      <c r="G31" s="10"/>
      <c r="H31" s="10"/>
    </row>
    <row r="32">
      <c r="A32" s="12" t="s">
        <v>59</v>
      </c>
      <c r="B32" s="13" t="s">
        <v>58</v>
      </c>
      <c r="C32" s="13">
        <v>2023.0</v>
      </c>
      <c r="D32" s="13" t="s">
        <v>47</v>
      </c>
      <c r="E32" s="14">
        <v>44929.0</v>
      </c>
      <c r="F32" s="9"/>
      <c r="G32" s="10"/>
      <c r="H32" s="10"/>
    </row>
    <row r="33">
      <c r="A33" s="11" t="s">
        <v>60</v>
      </c>
      <c r="B33" s="8" t="s">
        <v>58</v>
      </c>
      <c r="C33" s="8">
        <v>2023.0</v>
      </c>
      <c r="D33" s="8" t="s">
        <v>36</v>
      </c>
      <c r="E33" s="9">
        <v>44930.0</v>
      </c>
      <c r="F33" s="9"/>
      <c r="G33" s="10"/>
      <c r="H33" s="10"/>
    </row>
    <row r="34">
      <c r="A34" s="11" t="s">
        <v>61</v>
      </c>
      <c r="B34" s="8" t="s">
        <v>58</v>
      </c>
      <c r="C34" s="8">
        <v>2023.0</v>
      </c>
      <c r="D34" s="15" t="s">
        <v>62</v>
      </c>
      <c r="E34" s="9">
        <v>44934.0</v>
      </c>
      <c r="F34" s="9"/>
      <c r="G34" s="10"/>
      <c r="H34" s="10"/>
    </row>
    <row r="35">
      <c r="A35" s="12" t="s">
        <v>63</v>
      </c>
      <c r="B35" s="13" t="s">
        <v>58</v>
      </c>
      <c r="C35" s="13">
        <v>2023.0</v>
      </c>
      <c r="D35" s="16" t="s">
        <v>64</v>
      </c>
      <c r="E35" s="17">
        <v>44936.0</v>
      </c>
      <c r="F35" s="9"/>
      <c r="G35" s="10"/>
      <c r="H35" s="10"/>
    </row>
    <row r="36">
      <c r="A36" s="11" t="s">
        <v>65</v>
      </c>
      <c r="B36" s="15" t="s">
        <v>58</v>
      </c>
      <c r="C36" s="15">
        <v>2023.0</v>
      </c>
      <c r="D36" s="15" t="s">
        <v>66</v>
      </c>
      <c r="E36" s="18">
        <v>44936.0</v>
      </c>
      <c r="F36" s="9"/>
      <c r="G36" s="10"/>
      <c r="H36" s="10"/>
    </row>
    <row r="37">
      <c r="A37" s="11" t="s">
        <v>67</v>
      </c>
      <c r="B37" s="15" t="s">
        <v>58</v>
      </c>
      <c r="C37" s="15">
        <v>2023.0</v>
      </c>
      <c r="D37" s="15" t="s">
        <v>68</v>
      </c>
      <c r="E37" s="18">
        <v>44938.0</v>
      </c>
      <c r="F37" s="9"/>
      <c r="G37" s="10"/>
      <c r="H37" s="10"/>
    </row>
    <row r="38">
      <c r="A38" s="11" t="s">
        <v>69</v>
      </c>
      <c r="B38" s="13" t="s">
        <v>58</v>
      </c>
      <c r="C38" s="13">
        <v>2023.0</v>
      </c>
      <c r="D38" s="13" t="s">
        <v>47</v>
      </c>
      <c r="E38" s="18">
        <v>44944.0</v>
      </c>
      <c r="F38" s="9"/>
      <c r="G38" s="10"/>
      <c r="H38" s="10"/>
    </row>
    <row r="39">
      <c r="A39" s="11" t="s">
        <v>70</v>
      </c>
      <c r="B39" s="13" t="s">
        <v>58</v>
      </c>
      <c r="C39" s="13">
        <v>2023.0</v>
      </c>
      <c r="D39" s="15" t="s">
        <v>28</v>
      </c>
      <c r="E39" s="18">
        <v>44947.0</v>
      </c>
      <c r="F39" s="9"/>
      <c r="G39" s="10"/>
      <c r="H39" s="10"/>
    </row>
    <row r="40">
      <c r="A40" s="11" t="s">
        <v>71</v>
      </c>
      <c r="B40" s="13" t="s">
        <v>58</v>
      </c>
      <c r="C40" s="13">
        <v>2023.0</v>
      </c>
      <c r="D40" s="15" t="s">
        <v>47</v>
      </c>
      <c r="E40" s="18">
        <v>44949.0</v>
      </c>
      <c r="F40" s="9"/>
      <c r="G40" s="10"/>
      <c r="H40" s="10"/>
    </row>
    <row r="41">
      <c r="A41" s="11" t="s">
        <v>72</v>
      </c>
      <c r="B41" s="8" t="s">
        <v>58</v>
      </c>
      <c r="C41" s="8">
        <v>2023.0</v>
      </c>
      <c r="D41" s="15" t="s">
        <v>47</v>
      </c>
      <c r="E41" s="18">
        <v>44950.0</v>
      </c>
      <c r="F41" s="9"/>
      <c r="G41" s="10"/>
      <c r="H41" s="10"/>
    </row>
    <row r="42">
      <c r="A42" s="11" t="s">
        <v>73</v>
      </c>
      <c r="B42" s="8" t="s">
        <v>58</v>
      </c>
      <c r="C42" s="8">
        <v>2023.0</v>
      </c>
      <c r="D42" s="15" t="s">
        <v>16</v>
      </c>
      <c r="E42" s="18">
        <v>44952.0</v>
      </c>
      <c r="F42" s="9"/>
      <c r="G42" s="10"/>
      <c r="H42" s="10"/>
    </row>
    <row r="43">
      <c r="A43" s="11" t="s">
        <v>74</v>
      </c>
      <c r="B43" s="8" t="s">
        <v>58</v>
      </c>
      <c r="C43" s="8">
        <v>2023.0</v>
      </c>
      <c r="D43" s="15" t="s">
        <v>75</v>
      </c>
      <c r="E43" s="19">
        <v>44953.0</v>
      </c>
      <c r="F43" s="9"/>
      <c r="G43" s="10"/>
      <c r="H43" s="10"/>
    </row>
    <row r="44">
      <c r="A44" s="11" t="s">
        <v>76</v>
      </c>
      <c r="B44" s="8" t="s">
        <v>58</v>
      </c>
      <c r="C44" s="8">
        <v>2023.0</v>
      </c>
      <c r="D44" s="15" t="s">
        <v>77</v>
      </c>
      <c r="E44" s="19">
        <v>44953.0</v>
      </c>
      <c r="F44" s="9"/>
      <c r="G44" s="10"/>
      <c r="H44" s="10"/>
    </row>
    <row r="45">
      <c r="A45" s="11" t="s">
        <v>78</v>
      </c>
      <c r="B45" s="15" t="s">
        <v>58</v>
      </c>
      <c r="C45" s="15">
        <v>2023.0</v>
      </c>
      <c r="D45" s="8" t="s">
        <v>36</v>
      </c>
      <c r="E45" s="18">
        <v>44955.0</v>
      </c>
      <c r="F45" s="9"/>
      <c r="G45" s="10"/>
      <c r="H45" s="10"/>
    </row>
    <row r="46">
      <c r="A46" s="20" t="s">
        <v>79</v>
      </c>
      <c r="B46" s="4" t="s">
        <v>58</v>
      </c>
      <c r="C46" s="4">
        <v>2023.0</v>
      </c>
      <c r="D46" s="4" t="s">
        <v>62</v>
      </c>
      <c r="E46" s="21">
        <v>44957.0</v>
      </c>
      <c r="F46" s="9"/>
      <c r="G46" s="10"/>
      <c r="H46" s="10"/>
    </row>
    <row r="47">
      <c r="A47" s="12" t="s">
        <v>80</v>
      </c>
      <c r="B47" s="16" t="s">
        <v>81</v>
      </c>
      <c r="C47" s="16">
        <v>2023.0</v>
      </c>
      <c r="D47" s="16" t="s">
        <v>82</v>
      </c>
      <c r="E47" s="18">
        <v>44961.0</v>
      </c>
      <c r="F47" s="9"/>
      <c r="G47" s="10"/>
      <c r="H47" s="10"/>
    </row>
    <row r="48">
      <c r="A48" s="12" t="s">
        <v>83</v>
      </c>
      <c r="B48" s="16" t="s">
        <v>84</v>
      </c>
      <c r="C48" s="16">
        <v>2023.0</v>
      </c>
      <c r="D48" s="15" t="s">
        <v>85</v>
      </c>
      <c r="E48" s="18">
        <v>44959.0</v>
      </c>
      <c r="F48" s="9"/>
      <c r="G48" s="10"/>
      <c r="H48" s="10"/>
    </row>
    <row r="49">
      <c r="A49" s="11" t="s">
        <v>86</v>
      </c>
      <c r="B49" s="16" t="s">
        <v>84</v>
      </c>
      <c r="C49" s="16">
        <v>2023.0</v>
      </c>
      <c r="D49" s="8" t="s">
        <v>36</v>
      </c>
      <c r="E49" s="18">
        <v>44965.0</v>
      </c>
      <c r="F49" s="9"/>
      <c r="G49" s="10"/>
      <c r="H49" s="10"/>
    </row>
    <row r="50">
      <c r="A50" s="11" t="s">
        <v>87</v>
      </c>
      <c r="B50" s="16" t="s">
        <v>84</v>
      </c>
      <c r="C50" s="16">
        <v>2023.0</v>
      </c>
      <c r="D50" s="8" t="s">
        <v>36</v>
      </c>
      <c r="E50" s="18">
        <v>44965.0</v>
      </c>
      <c r="F50" s="9"/>
      <c r="G50" s="10"/>
      <c r="H50" s="10"/>
    </row>
    <row r="51">
      <c r="A51" s="12" t="s">
        <v>88</v>
      </c>
      <c r="B51" s="16" t="s">
        <v>84</v>
      </c>
      <c r="C51" s="16">
        <v>2023.0</v>
      </c>
      <c r="D51" s="16" t="s">
        <v>34</v>
      </c>
      <c r="E51" s="17">
        <v>44970.0</v>
      </c>
      <c r="F51" s="9"/>
      <c r="G51" s="10"/>
      <c r="H51" s="10"/>
    </row>
    <row r="52">
      <c r="A52" s="20" t="s">
        <v>89</v>
      </c>
      <c r="B52" s="4" t="s">
        <v>84</v>
      </c>
      <c r="C52" s="4">
        <v>2023.0</v>
      </c>
      <c r="D52" s="4" t="s">
        <v>90</v>
      </c>
      <c r="E52" s="21">
        <v>44971.0</v>
      </c>
      <c r="F52" s="9"/>
      <c r="G52" s="10"/>
      <c r="H52" s="10"/>
    </row>
    <row r="53">
      <c r="A53" s="11" t="s">
        <v>91</v>
      </c>
      <c r="B53" s="16" t="s">
        <v>84</v>
      </c>
      <c r="C53" s="16">
        <v>2023.0</v>
      </c>
      <c r="D53" s="15" t="s">
        <v>23</v>
      </c>
      <c r="E53" s="18">
        <v>44974.0</v>
      </c>
      <c r="F53" s="9"/>
      <c r="G53" s="10"/>
      <c r="H53" s="10"/>
    </row>
    <row r="54">
      <c r="A54" s="11" t="s">
        <v>92</v>
      </c>
      <c r="B54" s="16" t="s">
        <v>84</v>
      </c>
      <c r="C54" s="16">
        <v>2023.0</v>
      </c>
      <c r="D54" s="15" t="s">
        <v>16</v>
      </c>
      <c r="E54" s="18">
        <v>44978.0</v>
      </c>
      <c r="F54" s="9"/>
      <c r="G54" s="10"/>
      <c r="H54" s="10"/>
    </row>
    <row r="55">
      <c r="A55" s="11" t="s">
        <v>93</v>
      </c>
      <c r="B55" s="16" t="s">
        <v>84</v>
      </c>
      <c r="C55" s="16">
        <v>2023.0</v>
      </c>
      <c r="D55" s="15" t="s">
        <v>94</v>
      </c>
      <c r="E55" s="18">
        <v>44978.0</v>
      </c>
      <c r="F55" s="9"/>
      <c r="G55" s="10"/>
      <c r="H55" s="10"/>
    </row>
    <row r="56">
      <c r="A56" s="11" t="s">
        <v>95</v>
      </c>
      <c r="B56" s="16" t="s">
        <v>84</v>
      </c>
      <c r="C56" s="16">
        <v>2023.0</v>
      </c>
      <c r="D56" s="15" t="s">
        <v>94</v>
      </c>
      <c r="E56" s="18">
        <v>44978.0</v>
      </c>
      <c r="F56" s="9"/>
      <c r="G56" s="10"/>
      <c r="H56" s="10"/>
    </row>
    <row r="57">
      <c r="A57" s="11" t="s">
        <v>96</v>
      </c>
      <c r="B57" s="16" t="s">
        <v>84</v>
      </c>
      <c r="C57" s="16">
        <v>2023.0</v>
      </c>
      <c r="D57" s="15" t="s">
        <v>97</v>
      </c>
      <c r="E57" s="18">
        <v>44980.0</v>
      </c>
      <c r="F57" s="9"/>
      <c r="G57" s="10"/>
      <c r="H57" s="10"/>
    </row>
    <row r="58">
      <c r="A58" s="11" t="s">
        <v>98</v>
      </c>
      <c r="B58" s="16" t="s">
        <v>84</v>
      </c>
      <c r="C58" s="16">
        <v>2023.0</v>
      </c>
      <c r="D58" s="15" t="s">
        <v>47</v>
      </c>
      <c r="E58" s="18">
        <v>44981.0</v>
      </c>
      <c r="F58" s="9"/>
      <c r="G58" s="10"/>
      <c r="H58" s="10"/>
    </row>
    <row r="59">
      <c r="A59" s="11" t="s">
        <v>99</v>
      </c>
      <c r="B59" s="16" t="s">
        <v>84</v>
      </c>
      <c r="C59" s="16">
        <v>2023.0</v>
      </c>
      <c r="D59" s="15" t="s">
        <v>75</v>
      </c>
      <c r="E59" s="18">
        <v>44981.0</v>
      </c>
      <c r="F59" s="9"/>
      <c r="G59" s="10"/>
      <c r="H59" s="10"/>
    </row>
    <row r="60">
      <c r="A60" s="11" t="s">
        <v>100</v>
      </c>
      <c r="B60" s="15" t="s">
        <v>101</v>
      </c>
      <c r="C60" s="15">
        <v>2023.0</v>
      </c>
      <c r="D60" s="15" t="s">
        <v>102</v>
      </c>
      <c r="E60" s="18">
        <v>44987.0</v>
      </c>
      <c r="F60" s="9"/>
      <c r="G60" s="10"/>
      <c r="H60" s="10"/>
    </row>
    <row r="61">
      <c r="A61" s="11" t="s">
        <v>103</v>
      </c>
      <c r="B61" s="15" t="s">
        <v>101</v>
      </c>
      <c r="C61" s="15">
        <v>2023.0</v>
      </c>
      <c r="D61" s="15" t="s">
        <v>104</v>
      </c>
      <c r="E61" s="18">
        <v>44988.0</v>
      </c>
      <c r="F61" s="9"/>
      <c r="G61" s="10"/>
      <c r="H61" s="10"/>
    </row>
    <row r="62">
      <c r="A62" s="11" t="s">
        <v>105</v>
      </c>
      <c r="B62" s="15" t="s">
        <v>101</v>
      </c>
      <c r="C62" s="15">
        <v>2023.0</v>
      </c>
      <c r="D62" s="15" t="s">
        <v>104</v>
      </c>
      <c r="E62" s="18">
        <v>44992.0</v>
      </c>
      <c r="F62" s="9"/>
      <c r="G62" s="10"/>
      <c r="H62" s="10"/>
    </row>
    <row r="63">
      <c r="A63" s="11" t="s">
        <v>106</v>
      </c>
      <c r="B63" s="15" t="s">
        <v>101</v>
      </c>
      <c r="C63" s="15">
        <v>2023.0</v>
      </c>
      <c r="D63" s="15" t="s">
        <v>104</v>
      </c>
      <c r="E63" s="18">
        <v>44992.0</v>
      </c>
      <c r="F63" s="9"/>
      <c r="G63" s="10"/>
      <c r="H63" s="10"/>
    </row>
    <row r="64">
      <c r="A64" s="11" t="s">
        <v>107</v>
      </c>
      <c r="B64" s="15" t="s">
        <v>101</v>
      </c>
      <c r="C64" s="15">
        <v>2023.0</v>
      </c>
      <c r="D64" s="15" t="s">
        <v>104</v>
      </c>
      <c r="E64" s="18">
        <v>44993.0</v>
      </c>
      <c r="F64" s="9"/>
      <c r="G64" s="10"/>
      <c r="H64" s="10"/>
    </row>
    <row r="65">
      <c r="A65" s="11" t="s">
        <v>108</v>
      </c>
      <c r="B65" s="15" t="s">
        <v>101</v>
      </c>
      <c r="C65" s="15">
        <v>2023.0</v>
      </c>
      <c r="D65" s="15" t="s">
        <v>109</v>
      </c>
      <c r="E65" s="18">
        <v>44994.0</v>
      </c>
      <c r="F65" s="9"/>
      <c r="G65" s="10"/>
      <c r="H65" s="10"/>
    </row>
    <row r="66">
      <c r="A66" s="11" t="s">
        <v>110</v>
      </c>
      <c r="B66" s="15" t="s">
        <v>101</v>
      </c>
      <c r="C66" s="15">
        <v>2023.0</v>
      </c>
      <c r="D66" s="15" t="s">
        <v>47</v>
      </c>
      <c r="E66" s="18">
        <v>44994.0</v>
      </c>
      <c r="F66" s="9"/>
      <c r="G66" s="10"/>
      <c r="H66" s="10"/>
    </row>
    <row r="67">
      <c r="A67" s="11" t="s">
        <v>111</v>
      </c>
      <c r="B67" s="15" t="s">
        <v>101</v>
      </c>
      <c r="C67" s="15">
        <v>2023.0</v>
      </c>
      <c r="D67" s="15" t="s">
        <v>112</v>
      </c>
      <c r="E67" s="18">
        <v>44996.0</v>
      </c>
      <c r="F67" s="9"/>
      <c r="G67" s="10"/>
      <c r="H67" s="10"/>
    </row>
    <row r="68">
      <c r="A68" s="11" t="s">
        <v>113</v>
      </c>
      <c r="B68" s="15" t="s">
        <v>101</v>
      </c>
      <c r="C68" s="15">
        <v>2023.0</v>
      </c>
      <c r="D68" s="15" t="s">
        <v>109</v>
      </c>
      <c r="E68" s="15" t="s">
        <v>114</v>
      </c>
      <c r="F68" s="9"/>
      <c r="G68" s="10"/>
      <c r="H68" s="10"/>
    </row>
    <row r="69">
      <c r="A69" s="11" t="s">
        <v>115</v>
      </c>
      <c r="B69" s="15" t="s">
        <v>101</v>
      </c>
      <c r="C69" s="15">
        <v>2023.0</v>
      </c>
      <c r="D69" s="15" t="s">
        <v>116</v>
      </c>
      <c r="E69" s="15" t="s">
        <v>114</v>
      </c>
      <c r="F69" s="9"/>
      <c r="G69" s="10"/>
      <c r="H69" s="10"/>
    </row>
    <row r="70">
      <c r="A70" s="11" t="s">
        <v>117</v>
      </c>
      <c r="B70" s="15" t="s">
        <v>101</v>
      </c>
      <c r="C70" s="15">
        <v>2023.0</v>
      </c>
      <c r="D70" s="15" t="s">
        <v>18</v>
      </c>
      <c r="E70" s="18">
        <v>45002.0</v>
      </c>
      <c r="F70" s="9"/>
      <c r="G70" s="10"/>
      <c r="H70" s="10"/>
    </row>
    <row r="71">
      <c r="A71" s="11" t="s">
        <v>118</v>
      </c>
      <c r="B71" s="15" t="s">
        <v>101</v>
      </c>
      <c r="C71" s="15">
        <v>2023.0</v>
      </c>
      <c r="D71" s="15" t="s">
        <v>116</v>
      </c>
      <c r="E71" s="18">
        <v>45002.0</v>
      </c>
      <c r="F71" s="9"/>
      <c r="G71" s="10"/>
      <c r="H71" s="10"/>
    </row>
    <row r="72">
      <c r="A72" s="11" t="s">
        <v>119</v>
      </c>
      <c r="B72" s="15" t="s">
        <v>101</v>
      </c>
      <c r="C72" s="15">
        <v>2023.0</v>
      </c>
      <c r="D72" s="15" t="s">
        <v>38</v>
      </c>
      <c r="E72" s="18">
        <v>45002.0</v>
      </c>
      <c r="F72" s="9"/>
      <c r="G72" s="10"/>
      <c r="H72" s="10"/>
    </row>
    <row r="73">
      <c r="A73" s="11" t="s">
        <v>120</v>
      </c>
      <c r="B73" s="15" t="s">
        <v>101</v>
      </c>
      <c r="C73" s="15">
        <v>2023.0</v>
      </c>
      <c r="D73" s="15" t="s">
        <v>121</v>
      </c>
      <c r="E73" s="18">
        <v>45003.0</v>
      </c>
      <c r="F73" s="9"/>
      <c r="G73" s="10"/>
      <c r="H73" s="10"/>
    </row>
    <row r="74">
      <c r="A74" s="11" t="s">
        <v>122</v>
      </c>
      <c r="B74" s="15" t="s">
        <v>101</v>
      </c>
      <c r="C74" s="15">
        <v>2023.0</v>
      </c>
      <c r="D74" s="8" t="s">
        <v>36</v>
      </c>
      <c r="E74" s="18">
        <v>45011.0</v>
      </c>
      <c r="F74" s="9"/>
      <c r="G74" s="10"/>
      <c r="H74" s="10"/>
    </row>
    <row r="75">
      <c r="A75" s="11" t="s">
        <v>123</v>
      </c>
      <c r="B75" s="15" t="s">
        <v>124</v>
      </c>
      <c r="C75" s="15">
        <v>2023.0</v>
      </c>
      <c r="D75" s="15" t="s">
        <v>125</v>
      </c>
      <c r="E75" s="18">
        <v>45017.0</v>
      </c>
      <c r="F75" s="9"/>
      <c r="G75" s="10"/>
      <c r="H75" s="10"/>
    </row>
    <row r="76">
      <c r="A76" s="11" t="s">
        <v>126</v>
      </c>
      <c r="B76" s="15" t="s">
        <v>124</v>
      </c>
      <c r="C76" s="15">
        <v>2023.0</v>
      </c>
      <c r="D76" s="15" t="s">
        <v>127</v>
      </c>
      <c r="E76" s="18">
        <v>45019.0</v>
      </c>
      <c r="F76" s="9"/>
      <c r="G76" s="10"/>
      <c r="H76" s="10"/>
    </row>
    <row r="77">
      <c r="A77" s="11" t="s">
        <v>128</v>
      </c>
      <c r="B77" s="15" t="s">
        <v>124</v>
      </c>
      <c r="C77" s="15">
        <v>2023.0</v>
      </c>
      <c r="D77" s="16" t="s">
        <v>34</v>
      </c>
      <c r="E77" s="18">
        <v>45019.0</v>
      </c>
      <c r="F77" s="9"/>
      <c r="G77" s="10"/>
      <c r="H77" s="10"/>
    </row>
    <row r="78">
      <c r="A78" s="11" t="s">
        <v>129</v>
      </c>
      <c r="B78" s="15" t="s">
        <v>124</v>
      </c>
      <c r="C78" s="15">
        <v>2023.0</v>
      </c>
      <c r="D78" s="15" t="s">
        <v>125</v>
      </c>
      <c r="E78" s="18">
        <v>45020.0</v>
      </c>
      <c r="F78" s="9"/>
      <c r="G78" s="10"/>
      <c r="H78" s="10"/>
    </row>
    <row r="79">
      <c r="A79" s="11" t="s">
        <v>130</v>
      </c>
      <c r="B79" s="15" t="s">
        <v>124</v>
      </c>
      <c r="C79" s="15">
        <v>2023.0</v>
      </c>
      <c r="D79" s="15" t="s">
        <v>47</v>
      </c>
      <c r="E79" s="18">
        <v>45020.0</v>
      </c>
      <c r="F79" s="9"/>
      <c r="G79" s="22"/>
      <c r="H79" s="10"/>
    </row>
    <row r="80">
      <c r="A80" s="11" t="s">
        <v>131</v>
      </c>
      <c r="B80" s="15" t="s">
        <v>124</v>
      </c>
      <c r="C80" s="15">
        <v>2023.0</v>
      </c>
      <c r="D80" s="15" t="s">
        <v>127</v>
      </c>
      <c r="E80" s="18">
        <v>45021.0</v>
      </c>
      <c r="F80" s="9"/>
      <c r="G80" s="10"/>
      <c r="H80" s="10"/>
    </row>
    <row r="81">
      <c r="A81" s="11" t="s">
        <v>132</v>
      </c>
      <c r="B81" s="15" t="s">
        <v>124</v>
      </c>
      <c r="C81" s="15">
        <v>2023.0</v>
      </c>
      <c r="D81" s="15" t="s">
        <v>64</v>
      </c>
      <c r="E81" s="18">
        <v>45022.0</v>
      </c>
      <c r="F81" s="9"/>
      <c r="G81" s="10"/>
      <c r="H81" s="10"/>
    </row>
    <row r="82">
      <c r="A82" s="11" t="s">
        <v>133</v>
      </c>
      <c r="B82" s="15" t="s">
        <v>124</v>
      </c>
      <c r="C82" s="15">
        <v>2023.0</v>
      </c>
      <c r="D82" s="15" t="s">
        <v>18</v>
      </c>
      <c r="E82" s="18">
        <v>45022.0</v>
      </c>
      <c r="F82" s="9"/>
      <c r="G82" s="10"/>
      <c r="H82" s="10"/>
    </row>
    <row r="83">
      <c r="A83" s="11" t="s">
        <v>134</v>
      </c>
      <c r="B83" s="15" t="s">
        <v>124</v>
      </c>
      <c r="C83" s="15">
        <v>2023.0</v>
      </c>
      <c r="D83" s="16" t="s">
        <v>34</v>
      </c>
      <c r="E83" s="18">
        <v>45022.0</v>
      </c>
      <c r="F83" s="9"/>
      <c r="G83" s="10"/>
      <c r="H83" s="10"/>
    </row>
    <row r="84">
      <c r="A84" s="11" t="s">
        <v>135</v>
      </c>
      <c r="B84" s="15" t="s">
        <v>124</v>
      </c>
      <c r="C84" s="15">
        <v>2023.0</v>
      </c>
      <c r="D84" s="16" t="s">
        <v>34</v>
      </c>
      <c r="E84" s="18">
        <v>45023.0</v>
      </c>
      <c r="F84" s="9"/>
      <c r="G84" s="10"/>
      <c r="H84" s="10"/>
    </row>
    <row r="85">
      <c r="A85" s="11" t="s">
        <v>136</v>
      </c>
      <c r="B85" s="15" t="s">
        <v>124</v>
      </c>
      <c r="C85" s="15">
        <v>2023.0</v>
      </c>
      <c r="D85" s="15" t="s">
        <v>137</v>
      </c>
      <c r="E85" s="18">
        <v>45026.0</v>
      </c>
      <c r="F85" s="9"/>
      <c r="G85" s="10"/>
      <c r="H85" s="10"/>
    </row>
    <row r="86">
      <c r="A86" s="11" t="s">
        <v>138</v>
      </c>
      <c r="B86" s="15" t="s">
        <v>124</v>
      </c>
      <c r="C86" s="15">
        <v>2023.0</v>
      </c>
      <c r="D86" s="15" t="s">
        <v>139</v>
      </c>
      <c r="E86" s="18">
        <v>45026.0</v>
      </c>
      <c r="F86" s="9"/>
      <c r="G86" s="10"/>
      <c r="H86" s="10"/>
    </row>
    <row r="87">
      <c r="A87" s="11" t="s">
        <v>140</v>
      </c>
      <c r="B87" s="15" t="s">
        <v>124</v>
      </c>
      <c r="C87" s="15">
        <v>2023.0</v>
      </c>
      <c r="D87" s="15" t="s">
        <v>141</v>
      </c>
      <c r="E87" s="18">
        <v>45026.0</v>
      </c>
      <c r="F87" s="9"/>
      <c r="G87" s="10"/>
      <c r="H87" s="10"/>
    </row>
    <row r="88">
      <c r="A88" s="11" t="s">
        <v>142</v>
      </c>
      <c r="B88" s="15" t="s">
        <v>124</v>
      </c>
      <c r="C88" s="15">
        <v>2023.0</v>
      </c>
      <c r="D88" s="15" t="s">
        <v>143</v>
      </c>
      <c r="E88" s="18">
        <v>45028.0</v>
      </c>
      <c r="F88" s="9"/>
      <c r="G88" s="10"/>
      <c r="H88" s="10"/>
    </row>
    <row r="89">
      <c r="A89" s="11" t="s">
        <v>144</v>
      </c>
      <c r="B89" s="15" t="s">
        <v>124</v>
      </c>
      <c r="C89" s="15">
        <v>2023.0</v>
      </c>
      <c r="D89" s="15" t="s">
        <v>102</v>
      </c>
      <c r="E89" s="18">
        <v>45029.0</v>
      </c>
      <c r="F89" s="9"/>
      <c r="G89" s="10"/>
      <c r="H89" s="10"/>
    </row>
    <row r="90">
      <c r="A90" s="11" t="s">
        <v>145</v>
      </c>
      <c r="B90" s="15" t="s">
        <v>124</v>
      </c>
      <c r="C90" s="15">
        <v>2023.0</v>
      </c>
      <c r="D90" s="15" t="s">
        <v>146</v>
      </c>
      <c r="E90" s="18">
        <v>45041.0</v>
      </c>
      <c r="F90" s="9"/>
      <c r="G90" s="10"/>
      <c r="H90" s="10"/>
    </row>
    <row r="91">
      <c r="A91" s="11" t="s">
        <v>147</v>
      </c>
      <c r="B91" s="15" t="s">
        <v>124</v>
      </c>
      <c r="C91" s="15">
        <v>2023.0</v>
      </c>
      <c r="D91" s="15" t="s">
        <v>139</v>
      </c>
      <c r="E91" s="18">
        <v>45045.0</v>
      </c>
      <c r="F91" s="9"/>
      <c r="G91" s="10"/>
      <c r="H91" s="10"/>
    </row>
    <row r="92">
      <c r="A92" s="11" t="s">
        <v>148</v>
      </c>
      <c r="B92" s="15" t="s">
        <v>124</v>
      </c>
      <c r="C92" s="15">
        <v>2023.0</v>
      </c>
      <c r="D92" s="15" t="s">
        <v>116</v>
      </c>
      <c r="E92" s="9"/>
      <c r="F92" s="9"/>
      <c r="G92" s="10"/>
      <c r="H92" s="10"/>
    </row>
    <row r="93">
      <c r="A93" s="11" t="s">
        <v>149</v>
      </c>
      <c r="B93" s="15" t="s">
        <v>150</v>
      </c>
      <c r="C93" s="15">
        <v>2023.0</v>
      </c>
      <c r="D93" s="15" t="s">
        <v>13</v>
      </c>
      <c r="E93" s="18">
        <v>45050.0</v>
      </c>
      <c r="F93" s="9"/>
      <c r="G93" s="10"/>
      <c r="H93" s="10"/>
    </row>
    <row r="94">
      <c r="A94" s="11" t="s">
        <v>151</v>
      </c>
      <c r="B94" s="15" t="s">
        <v>124</v>
      </c>
      <c r="C94" s="15">
        <v>2023.0</v>
      </c>
      <c r="D94" s="15" t="s">
        <v>152</v>
      </c>
      <c r="E94" s="18">
        <v>45043.0</v>
      </c>
      <c r="F94" s="15"/>
      <c r="G94" s="10"/>
      <c r="H94" s="10"/>
    </row>
    <row r="95">
      <c r="A95" s="11" t="s">
        <v>153</v>
      </c>
      <c r="B95" s="15" t="s">
        <v>150</v>
      </c>
      <c r="C95" s="15">
        <v>2023.0</v>
      </c>
      <c r="D95" s="15" t="s">
        <v>154</v>
      </c>
      <c r="E95" s="18">
        <v>45051.0</v>
      </c>
      <c r="F95" s="15" t="s">
        <v>155</v>
      </c>
      <c r="G95" s="10"/>
      <c r="H95" s="10"/>
    </row>
    <row r="96">
      <c r="A96" s="11" t="s">
        <v>156</v>
      </c>
      <c r="B96" s="15" t="s">
        <v>150</v>
      </c>
      <c r="C96" s="15">
        <v>2023.0</v>
      </c>
      <c r="D96" s="15" t="s">
        <v>157</v>
      </c>
      <c r="E96" s="18">
        <v>45054.0</v>
      </c>
      <c r="F96" s="15" t="s">
        <v>158</v>
      </c>
      <c r="G96" s="10"/>
      <c r="H96" s="10"/>
    </row>
    <row r="97">
      <c r="A97" s="11" t="s">
        <v>159</v>
      </c>
      <c r="B97" s="15" t="s">
        <v>150</v>
      </c>
      <c r="C97" s="15">
        <v>2023.0</v>
      </c>
      <c r="D97" s="15" t="s">
        <v>160</v>
      </c>
      <c r="E97" s="18">
        <v>45054.0</v>
      </c>
      <c r="F97" s="9"/>
      <c r="G97" s="10"/>
      <c r="H97" s="10"/>
    </row>
    <row r="98">
      <c r="A98" s="11" t="s">
        <v>161</v>
      </c>
      <c r="B98" s="15" t="s">
        <v>150</v>
      </c>
      <c r="C98" s="15">
        <v>2023.0</v>
      </c>
      <c r="D98" s="15" t="s">
        <v>160</v>
      </c>
      <c r="E98" s="18">
        <v>45055.0</v>
      </c>
      <c r="F98" s="9"/>
      <c r="G98" s="10"/>
      <c r="H98" s="10"/>
    </row>
    <row r="99">
      <c r="A99" s="11" t="s">
        <v>162</v>
      </c>
      <c r="B99" s="15" t="s">
        <v>150</v>
      </c>
      <c r="C99" s="15">
        <v>2023.0</v>
      </c>
      <c r="D99" s="15" t="s">
        <v>56</v>
      </c>
      <c r="E99" s="18">
        <v>45055.0</v>
      </c>
      <c r="F99" s="9"/>
      <c r="G99" s="10"/>
      <c r="H99" s="10"/>
    </row>
    <row r="100">
      <c r="A100" s="11" t="s">
        <v>163</v>
      </c>
      <c r="B100" s="15" t="s">
        <v>150</v>
      </c>
      <c r="C100" s="15">
        <v>2023.0</v>
      </c>
      <c r="D100" s="15" t="s">
        <v>160</v>
      </c>
      <c r="E100" s="18">
        <v>45055.0</v>
      </c>
      <c r="F100" s="15" t="s">
        <v>155</v>
      </c>
      <c r="G100" s="10"/>
      <c r="H100" s="10"/>
    </row>
    <row r="101">
      <c r="A101" s="11" t="s">
        <v>164</v>
      </c>
      <c r="B101" s="15" t="s">
        <v>150</v>
      </c>
      <c r="C101" s="15">
        <v>2023.0</v>
      </c>
      <c r="D101" s="15" t="s">
        <v>165</v>
      </c>
      <c r="E101" s="18">
        <v>45057.0</v>
      </c>
      <c r="F101" s="9"/>
      <c r="G101" s="10"/>
      <c r="H101" s="10"/>
    </row>
    <row r="102">
      <c r="A102" s="11" t="s">
        <v>166</v>
      </c>
      <c r="B102" s="15" t="s">
        <v>150</v>
      </c>
      <c r="C102" s="15">
        <v>2023.0</v>
      </c>
      <c r="D102" s="15" t="s">
        <v>16</v>
      </c>
      <c r="E102" s="18">
        <v>45064.0</v>
      </c>
      <c r="F102" s="15" t="s">
        <v>158</v>
      </c>
      <c r="G102" s="10"/>
      <c r="H102" s="10"/>
    </row>
    <row r="103">
      <c r="A103" s="11" t="s">
        <v>167</v>
      </c>
      <c r="B103" s="15" t="s">
        <v>150</v>
      </c>
      <c r="C103" s="15">
        <v>2023.0</v>
      </c>
      <c r="D103" s="15" t="s">
        <v>157</v>
      </c>
      <c r="E103" s="18">
        <v>45069.0</v>
      </c>
      <c r="F103" s="9"/>
      <c r="G103" s="10"/>
      <c r="H103" s="10"/>
    </row>
    <row r="104">
      <c r="A104" s="11" t="s">
        <v>168</v>
      </c>
      <c r="B104" s="15" t="s">
        <v>150</v>
      </c>
      <c r="C104" s="15">
        <v>2023.0</v>
      </c>
      <c r="D104" s="15" t="s">
        <v>77</v>
      </c>
      <c r="E104" s="19">
        <v>45070.0</v>
      </c>
      <c r="F104" s="9"/>
      <c r="G104" s="10"/>
      <c r="H104" s="10"/>
    </row>
    <row r="105">
      <c r="A105" s="11" t="s">
        <v>169</v>
      </c>
      <c r="B105" s="15" t="s">
        <v>150</v>
      </c>
      <c r="C105" s="15">
        <v>2023.0</v>
      </c>
      <c r="D105" s="15" t="s">
        <v>18</v>
      </c>
      <c r="E105" s="18">
        <v>45070.0</v>
      </c>
      <c r="F105" s="9"/>
      <c r="G105" s="10"/>
      <c r="H105" s="10"/>
    </row>
    <row r="106">
      <c r="A106" s="11" t="s">
        <v>170</v>
      </c>
      <c r="B106" s="15" t="s">
        <v>150</v>
      </c>
      <c r="C106" s="15">
        <v>2023.0</v>
      </c>
      <c r="D106" s="15" t="s">
        <v>47</v>
      </c>
      <c r="E106" s="18">
        <v>45074.0</v>
      </c>
      <c r="F106" s="9"/>
      <c r="G106" s="10"/>
      <c r="H106" s="10"/>
    </row>
    <row r="107">
      <c r="A107" s="11" t="s">
        <v>171</v>
      </c>
      <c r="B107" s="15" t="s">
        <v>150</v>
      </c>
      <c r="C107" s="15">
        <v>2023.0</v>
      </c>
      <c r="D107" s="15" t="s">
        <v>172</v>
      </c>
      <c r="E107" s="18">
        <v>45075.0</v>
      </c>
      <c r="F107" s="9"/>
      <c r="G107" s="10"/>
      <c r="H107" s="10"/>
    </row>
    <row r="108">
      <c r="A108" s="11" t="s">
        <v>173</v>
      </c>
      <c r="B108" s="15" t="s">
        <v>150</v>
      </c>
      <c r="C108" s="15">
        <v>2023.0</v>
      </c>
      <c r="D108" s="15" t="s">
        <v>174</v>
      </c>
      <c r="E108" s="18">
        <v>45075.0</v>
      </c>
      <c r="F108" s="9"/>
      <c r="G108" s="10"/>
      <c r="H108" s="10"/>
    </row>
    <row r="109">
      <c r="A109" s="11" t="s">
        <v>175</v>
      </c>
      <c r="B109" s="15" t="s">
        <v>150</v>
      </c>
      <c r="C109" s="15">
        <v>2023.0</v>
      </c>
      <c r="D109" s="15" t="s">
        <v>176</v>
      </c>
      <c r="E109" s="18">
        <v>45075.0</v>
      </c>
      <c r="F109" s="9"/>
      <c r="G109" s="10"/>
      <c r="H109" s="10"/>
    </row>
    <row r="110">
      <c r="A110" s="11" t="s">
        <v>177</v>
      </c>
      <c r="B110" s="15" t="s">
        <v>150</v>
      </c>
      <c r="C110" s="15">
        <v>2023.0</v>
      </c>
      <c r="D110" s="15" t="s">
        <v>116</v>
      </c>
      <c r="E110" s="18">
        <v>45076.0</v>
      </c>
      <c r="F110" s="9"/>
      <c r="G110" s="10"/>
      <c r="H110" s="10"/>
    </row>
    <row r="111">
      <c r="A111" s="11" t="s">
        <v>178</v>
      </c>
      <c r="B111" s="15" t="s">
        <v>179</v>
      </c>
      <c r="C111" s="15">
        <v>2023.0</v>
      </c>
      <c r="D111" s="15" t="s">
        <v>42</v>
      </c>
      <c r="E111" s="18">
        <v>45079.0</v>
      </c>
      <c r="F111" s="9"/>
      <c r="G111" s="10"/>
      <c r="H111" s="10"/>
    </row>
    <row r="112">
      <c r="A112" s="11" t="s">
        <v>180</v>
      </c>
      <c r="B112" s="15" t="s">
        <v>179</v>
      </c>
      <c r="C112" s="15">
        <v>2023.0</v>
      </c>
      <c r="D112" s="15" t="s">
        <v>77</v>
      </c>
      <c r="E112" s="18">
        <v>45082.0</v>
      </c>
      <c r="F112" s="9"/>
      <c r="G112" s="10"/>
      <c r="H112" s="10"/>
    </row>
    <row r="113">
      <c r="A113" s="11" t="s">
        <v>181</v>
      </c>
      <c r="B113" s="15" t="s">
        <v>179</v>
      </c>
      <c r="C113" s="15">
        <v>2023.0</v>
      </c>
      <c r="D113" s="15" t="s">
        <v>47</v>
      </c>
      <c r="E113" s="18">
        <v>45083.0</v>
      </c>
      <c r="F113" s="9"/>
      <c r="G113" s="10"/>
      <c r="H113" s="10"/>
    </row>
    <row r="114">
      <c r="A114" s="11" t="s">
        <v>182</v>
      </c>
      <c r="B114" s="15" t="s">
        <v>179</v>
      </c>
      <c r="C114" s="15">
        <v>2023.0</v>
      </c>
      <c r="D114" s="15" t="s">
        <v>16</v>
      </c>
      <c r="E114" s="18">
        <v>45084.0</v>
      </c>
      <c r="F114" s="9"/>
      <c r="G114" s="10"/>
      <c r="H114" s="10"/>
    </row>
    <row r="115">
      <c r="A115" s="11" t="s">
        <v>183</v>
      </c>
      <c r="B115" s="15" t="s">
        <v>179</v>
      </c>
      <c r="C115" s="15">
        <v>2023.0</v>
      </c>
      <c r="D115" s="15" t="s">
        <v>77</v>
      </c>
      <c r="E115" s="18">
        <v>45086.0</v>
      </c>
      <c r="F115" s="9"/>
      <c r="G115" s="10"/>
      <c r="H115" s="10"/>
    </row>
    <row r="116">
      <c r="A116" s="11" t="s">
        <v>184</v>
      </c>
      <c r="B116" s="15" t="s">
        <v>185</v>
      </c>
      <c r="C116" s="15">
        <v>2023.0</v>
      </c>
      <c r="D116" s="15" t="s">
        <v>28</v>
      </c>
      <c r="E116" s="18">
        <v>45088.0</v>
      </c>
      <c r="F116" s="9"/>
      <c r="G116" s="10"/>
      <c r="H116" s="10"/>
    </row>
    <row r="117">
      <c r="A117" s="11" t="s">
        <v>186</v>
      </c>
      <c r="B117" s="15" t="s">
        <v>185</v>
      </c>
      <c r="C117" s="15">
        <v>2023.0</v>
      </c>
      <c r="D117" s="15" t="s">
        <v>28</v>
      </c>
      <c r="E117" s="18">
        <v>45088.0</v>
      </c>
      <c r="F117" s="9"/>
      <c r="G117" s="10"/>
      <c r="H117" s="10"/>
    </row>
    <row r="118">
      <c r="A118" s="11" t="s">
        <v>187</v>
      </c>
      <c r="B118" s="15" t="s">
        <v>185</v>
      </c>
      <c r="C118" s="15">
        <v>2023.0</v>
      </c>
      <c r="D118" s="15" t="s">
        <v>18</v>
      </c>
      <c r="E118" s="18">
        <v>45090.0</v>
      </c>
      <c r="F118" s="9"/>
      <c r="G118" s="10"/>
      <c r="H118" s="10"/>
    </row>
    <row r="119">
      <c r="A119" s="11" t="s">
        <v>188</v>
      </c>
      <c r="B119" s="15" t="s">
        <v>185</v>
      </c>
      <c r="C119" s="15">
        <v>2023.0</v>
      </c>
      <c r="D119" s="15" t="s">
        <v>189</v>
      </c>
      <c r="E119" s="18">
        <v>45091.0</v>
      </c>
      <c r="F119" s="9"/>
      <c r="G119" s="10"/>
      <c r="H119" s="10"/>
    </row>
    <row r="120">
      <c r="A120" s="11" t="s">
        <v>190</v>
      </c>
      <c r="B120" s="15" t="s">
        <v>185</v>
      </c>
      <c r="C120" s="15">
        <v>2023.0</v>
      </c>
      <c r="D120" s="15" t="s">
        <v>68</v>
      </c>
      <c r="E120" s="18">
        <v>45093.0</v>
      </c>
      <c r="F120" s="9"/>
      <c r="G120" s="10"/>
      <c r="H120" s="10"/>
    </row>
    <row r="121">
      <c r="A121" s="11" t="s">
        <v>191</v>
      </c>
      <c r="B121" s="15" t="s">
        <v>185</v>
      </c>
      <c r="C121" s="15">
        <v>2023.0</v>
      </c>
      <c r="D121" s="15" t="s">
        <v>192</v>
      </c>
      <c r="E121" s="18">
        <v>45092.0</v>
      </c>
      <c r="F121" s="9"/>
      <c r="G121" s="10"/>
      <c r="H121" s="10"/>
    </row>
    <row r="122">
      <c r="A122" s="11" t="s">
        <v>193</v>
      </c>
      <c r="B122" s="15" t="s">
        <v>185</v>
      </c>
      <c r="C122" s="15">
        <v>2023.0</v>
      </c>
      <c r="D122" s="15" t="s">
        <v>47</v>
      </c>
      <c r="E122" s="18">
        <v>45094.0</v>
      </c>
      <c r="F122" s="9"/>
      <c r="G122" s="10"/>
      <c r="H122" s="10"/>
    </row>
    <row r="123">
      <c r="A123" s="11" t="s">
        <v>194</v>
      </c>
      <c r="B123" s="15" t="s">
        <v>185</v>
      </c>
      <c r="C123" s="15">
        <v>2023.0</v>
      </c>
      <c r="D123" s="15" t="s">
        <v>40</v>
      </c>
      <c r="E123" s="18">
        <v>45079.0</v>
      </c>
      <c r="F123" s="9"/>
      <c r="G123" s="10"/>
      <c r="H123" s="10"/>
    </row>
    <row r="124">
      <c r="A124" s="11" t="s">
        <v>195</v>
      </c>
      <c r="B124" s="15" t="s">
        <v>185</v>
      </c>
      <c r="C124" s="15">
        <v>2023.0</v>
      </c>
      <c r="D124" s="15" t="s">
        <v>196</v>
      </c>
      <c r="E124" s="18">
        <v>45084.0</v>
      </c>
      <c r="F124" s="9"/>
      <c r="G124" s="10"/>
      <c r="H124" s="10"/>
    </row>
    <row r="125">
      <c r="A125" s="11" t="s">
        <v>197</v>
      </c>
      <c r="B125" s="15" t="s">
        <v>185</v>
      </c>
      <c r="C125" s="15">
        <v>2023.0</v>
      </c>
      <c r="D125" s="15" t="s">
        <v>157</v>
      </c>
      <c r="E125" s="18">
        <v>45098.0</v>
      </c>
      <c r="F125" s="9"/>
      <c r="G125" s="10"/>
      <c r="H125" s="10"/>
    </row>
    <row r="126">
      <c r="A126" s="11" t="s">
        <v>198</v>
      </c>
      <c r="B126" s="15" t="s">
        <v>185</v>
      </c>
      <c r="C126" s="15">
        <v>2023.0</v>
      </c>
      <c r="D126" s="15" t="s">
        <v>189</v>
      </c>
      <c r="E126" s="18">
        <v>45099.0</v>
      </c>
      <c r="F126" s="9"/>
      <c r="G126" s="10"/>
      <c r="H126" s="10"/>
    </row>
    <row r="127">
      <c r="A127" s="11" t="s">
        <v>199</v>
      </c>
      <c r="B127" s="15" t="s">
        <v>200</v>
      </c>
      <c r="C127" s="15">
        <v>2023.0</v>
      </c>
      <c r="D127" s="15" t="s">
        <v>64</v>
      </c>
      <c r="E127" s="18">
        <v>45113.0</v>
      </c>
      <c r="F127" s="15" t="s">
        <v>158</v>
      </c>
      <c r="G127" s="10"/>
      <c r="H127" s="10"/>
    </row>
    <row r="128">
      <c r="A128" s="11" t="s">
        <v>201</v>
      </c>
      <c r="B128" s="15" t="s">
        <v>200</v>
      </c>
      <c r="C128" s="15">
        <v>2023.0</v>
      </c>
      <c r="D128" s="15" t="s">
        <v>202</v>
      </c>
      <c r="E128" s="18">
        <v>45115.0</v>
      </c>
      <c r="F128" s="15" t="s">
        <v>158</v>
      </c>
      <c r="G128" s="10"/>
      <c r="H128" s="10"/>
    </row>
    <row r="129">
      <c r="A129" s="11" t="s">
        <v>203</v>
      </c>
      <c r="B129" s="15" t="s">
        <v>204</v>
      </c>
      <c r="C129" s="15">
        <v>2023.0</v>
      </c>
      <c r="D129" s="15" t="s">
        <v>116</v>
      </c>
      <c r="E129" s="18">
        <v>45115.0</v>
      </c>
      <c r="F129" s="9"/>
      <c r="G129" s="10"/>
      <c r="H129" s="10"/>
    </row>
    <row r="130">
      <c r="A130" s="11" t="s">
        <v>205</v>
      </c>
      <c r="B130" s="15" t="s">
        <v>204</v>
      </c>
      <c r="C130" s="15">
        <v>2023.0</v>
      </c>
      <c r="D130" s="15" t="s">
        <v>206</v>
      </c>
      <c r="E130" s="18">
        <v>45119.0</v>
      </c>
      <c r="F130" s="9"/>
      <c r="G130" s="10"/>
      <c r="H130" s="10"/>
    </row>
    <row r="131">
      <c r="A131" s="11" t="s">
        <v>207</v>
      </c>
      <c r="B131" s="15" t="s">
        <v>200</v>
      </c>
      <c r="C131" s="15">
        <v>2023.0</v>
      </c>
      <c r="D131" s="15" t="s">
        <v>26</v>
      </c>
      <c r="E131" s="18">
        <v>45122.0</v>
      </c>
      <c r="F131" s="9"/>
      <c r="G131" s="10"/>
      <c r="H131" s="10"/>
    </row>
    <row r="132">
      <c r="A132" s="11" t="s">
        <v>208</v>
      </c>
      <c r="B132" s="15" t="s">
        <v>200</v>
      </c>
      <c r="C132" s="15">
        <v>2023.0</v>
      </c>
      <c r="D132" s="15" t="s">
        <v>157</v>
      </c>
      <c r="E132" s="18">
        <v>45094.0</v>
      </c>
      <c r="F132" s="15" t="s">
        <v>158</v>
      </c>
      <c r="G132" s="10"/>
      <c r="H132" s="10"/>
    </row>
    <row r="133">
      <c r="A133" s="11" t="s">
        <v>209</v>
      </c>
      <c r="B133" s="15" t="s">
        <v>200</v>
      </c>
      <c r="C133" s="15">
        <v>2023.0</v>
      </c>
      <c r="D133" s="15" t="s">
        <v>23</v>
      </c>
      <c r="E133" s="18">
        <v>45124.0</v>
      </c>
      <c r="F133" s="15" t="s">
        <v>155</v>
      </c>
      <c r="G133" s="10"/>
      <c r="H133" s="10"/>
    </row>
    <row r="134">
      <c r="A134" s="11" t="s">
        <v>210</v>
      </c>
      <c r="B134" s="15" t="s">
        <v>200</v>
      </c>
      <c r="C134" s="15">
        <v>2023.0</v>
      </c>
      <c r="D134" s="15" t="s">
        <v>26</v>
      </c>
      <c r="E134" s="18">
        <v>45124.0</v>
      </c>
      <c r="F134" s="15" t="s">
        <v>158</v>
      </c>
      <c r="G134" s="10"/>
      <c r="H134" s="10"/>
    </row>
    <row r="135">
      <c r="A135" s="11" t="s">
        <v>211</v>
      </c>
      <c r="B135" s="15" t="s">
        <v>200</v>
      </c>
      <c r="C135" s="15">
        <v>2023.0</v>
      </c>
      <c r="D135" s="15" t="s">
        <v>157</v>
      </c>
      <c r="E135" s="18">
        <v>45127.0</v>
      </c>
      <c r="F135" s="15" t="s">
        <v>158</v>
      </c>
      <c r="G135" s="10"/>
      <c r="H135" s="10"/>
    </row>
    <row r="136">
      <c r="A136" s="11" t="s">
        <v>212</v>
      </c>
      <c r="B136" s="15" t="s">
        <v>200</v>
      </c>
      <c r="C136" s="15">
        <v>2023.0</v>
      </c>
      <c r="D136" s="15" t="s">
        <v>116</v>
      </c>
      <c r="E136" s="18">
        <v>45131.0</v>
      </c>
      <c r="F136" s="15" t="s">
        <v>158</v>
      </c>
      <c r="G136" s="10"/>
      <c r="H136" s="10"/>
    </row>
    <row r="137">
      <c r="A137" s="11" t="s">
        <v>213</v>
      </c>
      <c r="B137" s="15" t="s">
        <v>200</v>
      </c>
      <c r="C137" s="15">
        <v>2023.0</v>
      </c>
      <c r="D137" s="15" t="s">
        <v>157</v>
      </c>
      <c r="E137" s="18">
        <v>45132.0</v>
      </c>
      <c r="F137" s="15" t="s">
        <v>214</v>
      </c>
      <c r="G137" s="10"/>
      <c r="H137" s="23" t="s">
        <v>215</v>
      </c>
    </row>
    <row r="138">
      <c r="A138" s="11" t="s">
        <v>216</v>
      </c>
      <c r="B138" s="15" t="s">
        <v>200</v>
      </c>
      <c r="C138" s="15">
        <v>2023.0</v>
      </c>
      <c r="D138" s="15" t="s">
        <v>26</v>
      </c>
      <c r="E138" s="18">
        <v>45135.0</v>
      </c>
      <c r="F138" s="15" t="s">
        <v>214</v>
      </c>
      <c r="G138" s="10"/>
      <c r="H138" s="10"/>
    </row>
    <row r="139">
      <c r="A139" s="11" t="s">
        <v>217</v>
      </c>
      <c r="B139" s="15" t="s">
        <v>200</v>
      </c>
      <c r="C139" s="15">
        <v>2023.0</v>
      </c>
      <c r="D139" s="15" t="s">
        <v>218</v>
      </c>
      <c r="E139" s="18">
        <v>45135.0</v>
      </c>
      <c r="F139" s="15" t="s">
        <v>158</v>
      </c>
      <c r="G139" s="10"/>
      <c r="H139" s="10"/>
    </row>
    <row r="140">
      <c r="A140" s="11" t="s">
        <v>219</v>
      </c>
      <c r="B140" s="15" t="s">
        <v>200</v>
      </c>
      <c r="C140" s="15">
        <v>2023.0</v>
      </c>
      <c r="D140" s="15" t="s">
        <v>26</v>
      </c>
      <c r="E140" s="18">
        <v>45138.0</v>
      </c>
      <c r="F140" s="15" t="s">
        <v>158</v>
      </c>
      <c r="G140" s="10"/>
      <c r="H140" s="10"/>
    </row>
    <row r="141">
      <c r="A141" s="11" t="s">
        <v>220</v>
      </c>
      <c r="B141" s="15" t="s">
        <v>221</v>
      </c>
      <c r="C141" s="15">
        <v>2023.0</v>
      </c>
      <c r="D141" s="15" t="s">
        <v>222</v>
      </c>
      <c r="E141" s="18">
        <v>45139.0</v>
      </c>
      <c r="F141" s="15" t="s">
        <v>158</v>
      </c>
      <c r="G141" s="10"/>
      <c r="H141" s="10"/>
    </row>
    <row r="142">
      <c r="A142" s="11" t="s">
        <v>223</v>
      </c>
      <c r="B142" s="15" t="s">
        <v>221</v>
      </c>
      <c r="C142" s="15">
        <v>2023.0</v>
      </c>
      <c r="D142" s="15" t="s">
        <v>154</v>
      </c>
      <c r="E142" s="18">
        <v>45139.0</v>
      </c>
      <c r="F142" s="15" t="s">
        <v>155</v>
      </c>
      <c r="G142" s="10"/>
      <c r="H142" s="10"/>
    </row>
    <row r="143">
      <c r="A143" s="11" t="s">
        <v>224</v>
      </c>
      <c r="B143" s="15" t="s">
        <v>221</v>
      </c>
      <c r="C143" s="15">
        <v>2023.0</v>
      </c>
      <c r="D143" s="15" t="s">
        <v>225</v>
      </c>
      <c r="E143" s="18">
        <v>45140.0</v>
      </c>
      <c r="F143" s="15" t="s">
        <v>158</v>
      </c>
      <c r="G143" s="10"/>
      <c r="H143" s="10"/>
    </row>
    <row r="144">
      <c r="A144" s="11" t="s">
        <v>226</v>
      </c>
      <c r="B144" s="15" t="s">
        <v>221</v>
      </c>
      <c r="C144" s="15">
        <v>2023.0</v>
      </c>
      <c r="D144" s="15" t="s">
        <v>225</v>
      </c>
      <c r="E144" s="18">
        <v>45141.0</v>
      </c>
      <c r="F144" s="15" t="s">
        <v>158</v>
      </c>
      <c r="G144" s="10"/>
      <c r="H144" s="10"/>
    </row>
    <row r="145">
      <c r="A145" s="11" t="s">
        <v>227</v>
      </c>
      <c r="B145" s="15" t="s">
        <v>221</v>
      </c>
      <c r="C145" s="15">
        <v>2023.0</v>
      </c>
      <c r="D145" s="15" t="s">
        <v>228</v>
      </c>
      <c r="E145" s="18">
        <v>45142.0</v>
      </c>
      <c r="F145" s="15" t="s">
        <v>158</v>
      </c>
      <c r="G145" s="10"/>
      <c r="H145" s="10"/>
    </row>
    <row r="146">
      <c r="A146" s="11" t="s">
        <v>229</v>
      </c>
      <c r="B146" s="15" t="s">
        <v>221</v>
      </c>
      <c r="C146" s="15">
        <v>2023.0</v>
      </c>
      <c r="D146" s="15" t="s">
        <v>230</v>
      </c>
      <c r="E146" s="18">
        <v>45146.0</v>
      </c>
      <c r="F146" s="15" t="s">
        <v>158</v>
      </c>
      <c r="G146" s="10"/>
      <c r="H146" s="10"/>
    </row>
    <row r="147">
      <c r="A147" s="11" t="s">
        <v>231</v>
      </c>
      <c r="B147" s="15" t="s">
        <v>221</v>
      </c>
      <c r="C147" s="15">
        <v>2023.0</v>
      </c>
      <c r="D147" s="15" t="s">
        <v>28</v>
      </c>
      <c r="E147" s="18">
        <v>45147.0</v>
      </c>
      <c r="F147" s="15" t="s">
        <v>158</v>
      </c>
      <c r="G147" s="10"/>
      <c r="H147" s="10"/>
    </row>
    <row r="148">
      <c r="A148" s="11" t="s">
        <v>232</v>
      </c>
      <c r="B148" s="15" t="s">
        <v>221</v>
      </c>
      <c r="C148" s="15">
        <v>2023.0</v>
      </c>
      <c r="D148" s="15" t="s">
        <v>28</v>
      </c>
      <c r="E148" s="18">
        <v>45148.0</v>
      </c>
      <c r="F148" s="15" t="s">
        <v>155</v>
      </c>
      <c r="G148" s="10"/>
      <c r="H148" s="10"/>
    </row>
    <row r="149">
      <c r="A149" s="11" t="s">
        <v>233</v>
      </c>
      <c r="B149" s="15" t="s">
        <v>221</v>
      </c>
      <c r="C149" s="15">
        <v>2023.0</v>
      </c>
      <c r="D149" s="15" t="s">
        <v>26</v>
      </c>
      <c r="E149" s="18">
        <v>45149.0</v>
      </c>
      <c r="F149" s="15" t="s">
        <v>158</v>
      </c>
      <c r="G149" s="10"/>
      <c r="H149" s="10"/>
    </row>
    <row r="150">
      <c r="A150" s="11" t="s">
        <v>234</v>
      </c>
      <c r="B150" s="15" t="s">
        <v>221</v>
      </c>
      <c r="C150" s="15">
        <v>2023.0</v>
      </c>
      <c r="D150" s="15" t="s">
        <v>157</v>
      </c>
      <c r="E150" s="18">
        <v>45153.0</v>
      </c>
      <c r="F150" s="15" t="s">
        <v>155</v>
      </c>
      <c r="G150" s="10"/>
      <c r="H150" s="10"/>
    </row>
    <row r="151">
      <c r="A151" s="11" t="s">
        <v>235</v>
      </c>
      <c r="B151" s="15" t="s">
        <v>221</v>
      </c>
      <c r="C151" s="15">
        <v>2023.0</v>
      </c>
      <c r="D151" s="15" t="s">
        <v>228</v>
      </c>
      <c r="E151" s="18">
        <v>45153.0</v>
      </c>
      <c r="F151" s="15" t="s">
        <v>158</v>
      </c>
      <c r="G151" s="10"/>
      <c r="H151" s="10"/>
    </row>
    <row r="152">
      <c r="A152" s="11" t="s">
        <v>236</v>
      </c>
      <c r="B152" s="15" t="s">
        <v>221</v>
      </c>
      <c r="C152" s="15">
        <v>2023.0</v>
      </c>
      <c r="D152" s="15" t="s">
        <v>237</v>
      </c>
      <c r="E152" s="18">
        <v>45155.0</v>
      </c>
      <c r="F152" s="15" t="s">
        <v>158</v>
      </c>
      <c r="G152" s="10"/>
      <c r="H152" s="10"/>
    </row>
    <row r="153">
      <c r="A153" s="11" t="s">
        <v>238</v>
      </c>
      <c r="B153" s="15" t="s">
        <v>221</v>
      </c>
      <c r="C153" s="15">
        <v>2023.0</v>
      </c>
      <c r="D153" s="15" t="s">
        <v>157</v>
      </c>
      <c r="E153" s="18">
        <v>45157.0</v>
      </c>
      <c r="F153" s="15" t="s">
        <v>239</v>
      </c>
      <c r="G153" s="10"/>
      <c r="H153" s="10"/>
    </row>
    <row r="154">
      <c r="A154" s="11" t="s">
        <v>240</v>
      </c>
      <c r="B154" s="15" t="s">
        <v>221</v>
      </c>
      <c r="C154" s="15">
        <v>2023.0</v>
      </c>
      <c r="D154" s="15" t="s">
        <v>241</v>
      </c>
      <c r="E154" s="18">
        <v>45158.0</v>
      </c>
      <c r="F154" s="15" t="s">
        <v>158</v>
      </c>
      <c r="G154" s="10"/>
      <c r="H154" s="10"/>
    </row>
    <row r="155">
      <c r="A155" s="11" t="s">
        <v>242</v>
      </c>
      <c r="B155" s="15" t="s">
        <v>221</v>
      </c>
      <c r="C155" s="15">
        <v>2023.0</v>
      </c>
      <c r="D155" s="15" t="s">
        <v>11</v>
      </c>
      <c r="E155" s="18">
        <v>45160.0</v>
      </c>
      <c r="F155" s="15" t="s">
        <v>158</v>
      </c>
      <c r="G155" s="10"/>
      <c r="H155" s="10"/>
    </row>
    <row r="156">
      <c r="A156" s="11" t="s">
        <v>243</v>
      </c>
      <c r="B156" s="15" t="s">
        <v>221</v>
      </c>
      <c r="C156" s="15">
        <v>2023.0</v>
      </c>
      <c r="D156" s="15" t="s">
        <v>244</v>
      </c>
      <c r="E156" s="18">
        <v>45161.0</v>
      </c>
      <c r="F156" s="15" t="s">
        <v>158</v>
      </c>
      <c r="G156" s="10"/>
      <c r="H156" s="10"/>
    </row>
    <row r="157">
      <c r="A157" s="11" t="s">
        <v>245</v>
      </c>
      <c r="B157" s="15" t="s">
        <v>221</v>
      </c>
      <c r="C157" s="15">
        <v>2023.0</v>
      </c>
      <c r="D157" s="15" t="s">
        <v>143</v>
      </c>
      <c r="E157" s="18">
        <v>45163.0</v>
      </c>
      <c r="F157" s="15" t="s">
        <v>246</v>
      </c>
      <c r="G157" s="10"/>
      <c r="H157" s="10"/>
    </row>
    <row r="158">
      <c r="A158" s="11" t="s">
        <v>247</v>
      </c>
      <c r="B158" s="15" t="s">
        <v>221</v>
      </c>
      <c r="C158" s="15">
        <v>2023.0</v>
      </c>
      <c r="D158" s="15" t="s">
        <v>34</v>
      </c>
      <c r="E158" s="18">
        <v>45163.0</v>
      </c>
      <c r="F158" s="15" t="s">
        <v>158</v>
      </c>
      <c r="G158" s="10"/>
      <c r="H158" s="10"/>
    </row>
    <row r="159">
      <c r="A159" s="11" t="s">
        <v>248</v>
      </c>
      <c r="B159" s="15" t="s">
        <v>249</v>
      </c>
      <c r="C159" s="15">
        <v>2023.0</v>
      </c>
      <c r="D159" s="15" t="s">
        <v>196</v>
      </c>
      <c r="E159" s="18">
        <v>45174.0</v>
      </c>
      <c r="F159" s="9"/>
      <c r="G159" s="10"/>
      <c r="H159" s="10"/>
    </row>
    <row r="160">
      <c r="A160" s="11" t="s">
        <v>250</v>
      </c>
      <c r="B160" s="15" t="s">
        <v>249</v>
      </c>
      <c r="C160" s="15">
        <v>2023.0</v>
      </c>
      <c r="D160" s="15" t="s">
        <v>139</v>
      </c>
      <c r="E160" s="18">
        <v>45175.0</v>
      </c>
      <c r="F160" s="15" t="s">
        <v>158</v>
      </c>
      <c r="G160" s="10"/>
      <c r="H160" s="10"/>
    </row>
    <row r="161">
      <c r="A161" s="11" t="s">
        <v>251</v>
      </c>
      <c r="B161" s="15" t="s">
        <v>249</v>
      </c>
      <c r="C161" s="15">
        <v>2023.0</v>
      </c>
      <c r="D161" s="15" t="s">
        <v>13</v>
      </c>
      <c r="E161" s="18">
        <v>45180.0</v>
      </c>
      <c r="F161" s="15" t="s">
        <v>158</v>
      </c>
      <c r="G161" s="10"/>
      <c r="H161" s="10"/>
    </row>
    <row r="162">
      <c r="A162" s="11" t="s">
        <v>252</v>
      </c>
      <c r="B162" s="15" t="s">
        <v>249</v>
      </c>
      <c r="C162" s="15">
        <v>2023.0</v>
      </c>
      <c r="D162" s="15" t="s">
        <v>196</v>
      </c>
      <c r="E162" s="18">
        <v>45182.0</v>
      </c>
      <c r="F162" s="15" t="s">
        <v>158</v>
      </c>
      <c r="G162" s="10"/>
      <c r="H162" s="10"/>
    </row>
    <row r="163">
      <c r="A163" s="11" t="s">
        <v>253</v>
      </c>
      <c r="B163" s="15" t="s">
        <v>249</v>
      </c>
      <c r="C163" s="15">
        <v>2023.0</v>
      </c>
      <c r="D163" s="15" t="s">
        <v>11</v>
      </c>
      <c r="E163" s="18">
        <v>45183.0</v>
      </c>
      <c r="F163" s="15" t="s">
        <v>158</v>
      </c>
      <c r="G163" s="10"/>
      <c r="H163" s="10"/>
    </row>
    <row r="164">
      <c r="A164" s="11" t="s">
        <v>254</v>
      </c>
      <c r="B164" s="15" t="s">
        <v>249</v>
      </c>
      <c r="C164" s="15">
        <v>2023.0</v>
      </c>
      <c r="D164" s="15" t="s">
        <v>255</v>
      </c>
      <c r="E164" s="18">
        <v>45183.0</v>
      </c>
      <c r="F164" s="15" t="s">
        <v>155</v>
      </c>
      <c r="G164" s="10"/>
      <c r="H164" s="10"/>
    </row>
    <row r="165">
      <c r="A165" s="11" t="s">
        <v>256</v>
      </c>
      <c r="B165" s="15" t="s">
        <v>249</v>
      </c>
      <c r="C165" s="15">
        <v>2023.0</v>
      </c>
      <c r="D165" s="15" t="s">
        <v>257</v>
      </c>
      <c r="E165" s="18">
        <v>45184.0</v>
      </c>
      <c r="F165" s="15" t="s">
        <v>158</v>
      </c>
      <c r="G165" s="10"/>
      <c r="H165" s="10"/>
    </row>
    <row r="166">
      <c r="A166" s="11" t="s">
        <v>258</v>
      </c>
      <c r="B166" s="15" t="s">
        <v>249</v>
      </c>
      <c r="C166" s="15">
        <v>2023.0</v>
      </c>
      <c r="D166" s="15" t="s">
        <v>259</v>
      </c>
      <c r="E166" s="18">
        <v>45184.0</v>
      </c>
      <c r="F166" s="15" t="s">
        <v>158</v>
      </c>
      <c r="G166" s="10"/>
      <c r="H166" s="10"/>
    </row>
    <row r="167">
      <c r="A167" s="11" t="s">
        <v>260</v>
      </c>
      <c r="B167" s="15" t="s">
        <v>249</v>
      </c>
      <c r="C167" s="15">
        <v>2023.0</v>
      </c>
      <c r="D167" s="15" t="s">
        <v>257</v>
      </c>
      <c r="E167" s="18">
        <v>45184.0</v>
      </c>
      <c r="F167" s="15" t="s">
        <v>158</v>
      </c>
      <c r="G167" s="10"/>
      <c r="H167" s="10"/>
    </row>
    <row r="168">
      <c r="A168" s="11" t="s">
        <v>261</v>
      </c>
      <c r="B168" s="15" t="s">
        <v>249</v>
      </c>
      <c r="C168" s="15">
        <v>2023.0</v>
      </c>
      <c r="D168" s="15" t="s">
        <v>262</v>
      </c>
      <c r="E168" s="18">
        <v>45187.0</v>
      </c>
      <c r="F168" s="15" t="s">
        <v>263</v>
      </c>
      <c r="G168" s="10"/>
      <c r="H168" s="10"/>
    </row>
    <row r="169">
      <c r="A169" s="11" t="s">
        <v>264</v>
      </c>
      <c r="B169" s="15" t="s">
        <v>249</v>
      </c>
      <c r="C169" s="15">
        <v>2023.0</v>
      </c>
      <c r="D169" s="15" t="s">
        <v>26</v>
      </c>
      <c r="E169" s="18">
        <v>45188.0</v>
      </c>
      <c r="F169" s="15" t="s">
        <v>265</v>
      </c>
      <c r="G169" s="10"/>
      <c r="H169" s="10"/>
    </row>
    <row r="170">
      <c r="A170" s="11" t="s">
        <v>266</v>
      </c>
      <c r="B170" s="15" t="s">
        <v>249</v>
      </c>
      <c r="C170" s="15">
        <v>2023.0</v>
      </c>
      <c r="D170" s="15" t="s">
        <v>192</v>
      </c>
      <c r="E170" s="18">
        <v>45188.0</v>
      </c>
      <c r="F170" s="15" t="s">
        <v>267</v>
      </c>
      <c r="G170" s="10"/>
      <c r="H170" s="10"/>
    </row>
    <row r="171">
      <c r="A171" s="11" t="s">
        <v>268</v>
      </c>
      <c r="B171" s="15" t="s">
        <v>249</v>
      </c>
      <c r="C171" s="15">
        <v>2023.0</v>
      </c>
      <c r="D171" s="15" t="s">
        <v>269</v>
      </c>
      <c r="E171" s="18">
        <v>45190.0</v>
      </c>
      <c r="F171" s="15" t="s">
        <v>158</v>
      </c>
      <c r="G171" s="10"/>
      <c r="H171" s="10"/>
    </row>
    <row r="172">
      <c r="A172" s="11" t="s">
        <v>270</v>
      </c>
      <c r="B172" s="15" t="s">
        <v>249</v>
      </c>
      <c r="C172" s="15">
        <v>2023.0</v>
      </c>
      <c r="D172" s="15" t="s">
        <v>271</v>
      </c>
      <c r="E172" s="18">
        <v>45194.0</v>
      </c>
      <c r="F172" s="15" t="s">
        <v>158</v>
      </c>
      <c r="G172" s="10"/>
      <c r="H172" s="10"/>
    </row>
    <row r="173">
      <c r="A173" s="11" t="s">
        <v>272</v>
      </c>
      <c r="B173" s="15" t="s">
        <v>249</v>
      </c>
      <c r="C173" s="15">
        <v>2023.0</v>
      </c>
      <c r="D173" s="15" t="s">
        <v>273</v>
      </c>
      <c r="E173" s="18">
        <v>45194.0</v>
      </c>
      <c r="F173" s="15" t="s">
        <v>158</v>
      </c>
      <c r="G173" s="10"/>
      <c r="H173" s="10"/>
    </row>
    <row r="174">
      <c r="A174" s="11" t="s">
        <v>274</v>
      </c>
      <c r="B174" s="15" t="s">
        <v>275</v>
      </c>
      <c r="C174" s="15">
        <v>2023.0</v>
      </c>
      <c r="D174" s="15" t="s">
        <v>28</v>
      </c>
      <c r="E174" s="18">
        <v>45201.0</v>
      </c>
      <c r="F174" s="15" t="s">
        <v>155</v>
      </c>
      <c r="G174" s="10"/>
      <c r="H174" s="10"/>
    </row>
    <row r="175">
      <c r="A175" s="11" t="s">
        <v>276</v>
      </c>
      <c r="B175" s="15" t="s">
        <v>275</v>
      </c>
      <c r="C175" s="15">
        <v>2023.0</v>
      </c>
      <c r="D175" s="15" t="s">
        <v>26</v>
      </c>
      <c r="E175" s="18">
        <v>45201.0</v>
      </c>
      <c r="F175" s="15" t="s">
        <v>155</v>
      </c>
      <c r="G175" s="10"/>
      <c r="H175" s="10"/>
    </row>
    <row r="176">
      <c r="A176" s="11" t="s">
        <v>277</v>
      </c>
      <c r="B176" s="15" t="s">
        <v>275</v>
      </c>
      <c r="C176" s="15">
        <v>2023.0</v>
      </c>
      <c r="D176" s="15" t="s">
        <v>278</v>
      </c>
      <c r="E176" s="18">
        <v>45202.0</v>
      </c>
      <c r="F176" s="15" t="s">
        <v>279</v>
      </c>
      <c r="G176" s="10"/>
      <c r="H176" s="10"/>
    </row>
    <row r="177">
      <c r="A177" s="11" t="s">
        <v>280</v>
      </c>
      <c r="B177" s="15" t="s">
        <v>275</v>
      </c>
      <c r="C177" s="15">
        <v>2023.0</v>
      </c>
      <c r="D177" s="15" t="s">
        <v>116</v>
      </c>
      <c r="E177" s="9"/>
      <c r="F177" s="9"/>
      <c r="G177" s="10"/>
      <c r="H177" s="10"/>
    </row>
    <row r="178">
      <c r="A178" s="11" t="s">
        <v>281</v>
      </c>
      <c r="B178" s="15" t="s">
        <v>275</v>
      </c>
      <c r="C178" s="15">
        <v>2023.0</v>
      </c>
      <c r="D178" s="15" t="s">
        <v>206</v>
      </c>
      <c r="E178" s="18">
        <v>45202.0</v>
      </c>
      <c r="F178" s="15" t="s">
        <v>282</v>
      </c>
      <c r="G178" s="10"/>
      <c r="H178" s="10"/>
    </row>
    <row r="179">
      <c r="A179" s="11" t="s">
        <v>283</v>
      </c>
      <c r="B179" s="15" t="s">
        <v>275</v>
      </c>
      <c r="C179" s="15">
        <v>2023.0</v>
      </c>
      <c r="D179" s="15" t="s">
        <v>284</v>
      </c>
      <c r="E179" s="18">
        <v>45203.0</v>
      </c>
      <c r="F179" s="15" t="s">
        <v>279</v>
      </c>
      <c r="G179" s="10"/>
      <c r="H179" s="10"/>
    </row>
    <row r="180">
      <c r="A180" s="11" t="s">
        <v>285</v>
      </c>
      <c r="B180" s="15" t="s">
        <v>275</v>
      </c>
      <c r="C180" s="15">
        <v>2023.0</v>
      </c>
      <c r="D180" s="24" t="s">
        <v>286</v>
      </c>
      <c r="E180" s="18">
        <v>45205.0</v>
      </c>
      <c r="F180" s="15" t="s">
        <v>155</v>
      </c>
      <c r="G180" s="10"/>
      <c r="H180" s="10"/>
    </row>
    <row r="181">
      <c r="A181" s="11" t="s">
        <v>287</v>
      </c>
      <c r="B181" s="15" t="s">
        <v>275</v>
      </c>
      <c r="C181" s="15">
        <v>2023.0</v>
      </c>
      <c r="D181" s="15" t="s">
        <v>288</v>
      </c>
      <c r="E181" s="18">
        <v>45206.0</v>
      </c>
      <c r="F181" s="15" t="s">
        <v>155</v>
      </c>
      <c r="G181" s="10"/>
      <c r="H181" s="10"/>
    </row>
    <row r="182">
      <c r="A182" s="11" t="s">
        <v>289</v>
      </c>
      <c r="B182" s="15" t="s">
        <v>275</v>
      </c>
      <c r="C182" s="15">
        <v>2023.0</v>
      </c>
      <c r="D182" s="15" t="s">
        <v>290</v>
      </c>
      <c r="E182" s="18">
        <v>45209.0</v>
      </c>
      <c r="F182" s="15" t="s">
        <v>158</v>
      </c>
      <c r="G182" s="10"/>
      <c r="H182" s="10"/>
    </row>
    <row r="183">
      <c r="A183" s="11" t="s">
        <v>291</v>
      </c>
      <c r="B183" s="15" t="s">
        <v>275</v>
      </c>
      <c r="C183" s="15">
        <v>2023.0</v>
      </c>
      <c r="D183" s="15" t="s">
        <v>157</v>
      </c>
      <c r="E183" s="18">
        <v>45210.0</v>
      </c>
      <c r="F183" s="15" t="s">
        <v>155</v>
      </c>
      <c r="G183" s="10"/>
      <c r="H183" s="10"/>
    </row>
    <row r="184">
      <c r="A184" s="11" t="s">
        <v>292</v>
      </c>
      <c r="B184" s="15" t="s">
        <v>275</v>
      </c>
      <c r="C184" s="15">
        <v>2023.0</v>
      </c>
      <c r="D184" s="15" t="s">
        <v>157</v>
      </c>
      <c r="E184" s="18">
        <v>45211.0</v>
      </c>
      <c r="F184" s="15" t="s">
        <v>293</v>
      </c>
      <c r="G184" s="10"/>
      <c r="H184" s="10"/>
    </row>
    <row r="185">
      <c r="A185" s="11" t="s">
        <v>294</v>
      </c>
      <c r="B185" s="15" t="s">
        <v>275</v>
      </c>
      <c r="C185" s="15">
        <v>2023.0</v>
      </c>
      <c r="D185" s="15" t="s">
        <v>295</v>
      </c>
      <c r="E185" s="18">
        <v>45209.0</v>
      </c>
      <c r="F185" s="15" t="s">
        <v>158</v>
      </c>
      <c r="G185" s="10"/>
      <c r="H185" s="10"/>
    </row>
    <row r="186">
      <c r="A186" s="11" t="s">
        <v>296</v>
      </c>
      <c r="B186" s="15" t="s">
        <v>275</v>
      </c>
      <c r="C186" s="15">
        <v>2023.0</v>
      </c>
      <c r="D186" s="15" t="s">
        <v>297</v>
      </c>
      <c r="E186" s="18">
        <v>45212.0</v>
      </c>
      <c r="F186" s="15" t="s">
        <v>158</v>
      </c>
      <c r="G186" s="10"/>
      <c r="H186" s="10"/>
    </row>
    <row r="187">
      <c r="A187" s="11" t="s">
        <v>298</v>
      </c>
      <c r="B187" s="15" t="s">
        <v>275</v>
      </c>
      <c r="C187" s="15">
        <v>2023.0</v>
      </c>
      <c r="D187" s="15" t="s">
        <v>77</v>
      </c>
      <c r="E187" s="18">
        <v>45212.0</v>
      </c>
      <c r="F187" s="15" t="s">
        <v>158</v>
      </c>
      <c r="G187" s="10"/>
      <c r="H187" s="10"/>
    </row>
    <row r="188">
      <c r="A188" s="11" t="s">
        <v>299</v>
      </c>
      <c r="B188" s="15" t="s">
        <v>275</v>
      </c>
      <c r="C188" s="15">
        <v>2023.0</v>
      </c>
      <c r="D188" s="15" t="s">
        <v>139</v>
      </c>
      <c r="E188" s="18">
        <v>45215.0</v>
      </c>
      <c r="F188" s="15" t="s">
        <v>300</v>
      </c>
      <c r="G188" s="10"/>
      <c r="H188" s="10"/>
    </row>
    <row r="189">
      <c r="A189" s="11" t="s">
        <v>301</v>
      </c>
      <c r="B189" s="15" t="s">
        <v>275</v>
      </c>
      <c r="C189" s="15">
        <v>2023.0</v>
      </c>
      <c r="D189" s="15" t="s">
        <v>297</v>
      </c>
      <c r="E189" s="18">
        <v>45215.0</v>
      </c>
      <c r="F189" s="15" t="s">
        <v>158</v>
      </c>
      <c r="G189" s="10"/>
      <c r="H189" s="10"/>
    </row>
    <row r="190">
      <c r="A190" s="11" t="s">
        <v>302</v>
      </c>
      <c r="B190" s="15" t="s">
        <v>275</v>
      </c>
      <c r="C190" s="15">
        <v>2023.0</v>
      </c>
      <c r="D190" s="15" t="s">
        <v>139</v>
      </c>
      <c r="E190" s="18">
        <v>45215.0</v>
      </c>
      <c r="F190" s="15" t="s">
        <v>158</v>
      </c>
      <c r="G190" s="10"/>
      <c r="H190" s="10"/>
    </row>
    <row r="191">
      <c r="A191" s="11" t="s">
        <v>303</v>
      </c>
      <c r="B191" s="15" t="s">
        <v>275</v>
      </c>
      <c r="C191" s="15">
        <v>2023.0</v>
      </c>
      <c r="D191" s="15" t="s">
        <v>218</v>
      </c>
      <c r="E191" s="18">
        <v>45216.0</v>
      </c>
      <c r="F191" s="9"/>
      <c r="G191" s="10"/>
      <c r="H191" s="10"/>
    </row>
    <row r="192">
      <c r="A192" s="11" t="s">
        <v>304</v>
      </c>
      <c r="B192" s="15" t="s">
        <v>275</v>
      </c>
      <c r="C192" s="15">
        <v>2023.0</v>
      </c>
      <c r="D192" s="15" t="s">
        <v>305</v>
      </c>
      <c r="E192" s="18">
        <v>45216.0</v>
      </c>
      <c r="F192" s="15" t="s">
        <v>158</v>
      </c>
      <c r="G192" s="10"/>
      <c r="H192" s="10"/>
    </row>
    <row r="193">
      <c r="A193" s="11" t="s">
        <v>306</v>
      </c>
      <c r="B193" s="15" t="s">
        <v>275</v>
      </c>
      <c r="C193" s="15">
        <v>2023.0</v>
      </c>
      <c r="D193" s="15" t="s">
        <v>288</v>
      </c>
      <c r="E193" s="18">
        <v>45219.0</v>
      </c>
      <c r="F193" s="15" t="s">
        <v>158</v>
      </c>
      <c r="G193" s="10"/>
      <c r="H193" s="10"/>
    </row>
    <row r="194">
      <c r="A194" s="11" t="s">
        <v>307</v>
      </c>
      <c r="B194" s="15" t="s">
        <v>308</v>
      </c>
      <c r="C194" s="15">
        <v>2023.0</v>
      </c>
      <c r="D194" s="15" t="s">
        <v>309</v>
      </c>
      <c r="E194" s="18">
        <v>45222.0</v>
      </c>
      <c r="F194" s="15" t="s">
        <v>158</v>
      </c>
      <c r="G194" s="10"/>
      <c r="H194" s="10"/>
    </row>
    <row r="195">
      <c r="A195" s="11" t="s">
        <v>310</v>
      </c>
      <c r="B195" s="15" t="s">
        <v>308</v>
      </c>
      <c r="C195" s="15">
        <v>2023.0</v>
      </c>
      <c r="D195" s="15" t="s">
        <v>309</v>
      </c>
      <c r="E195" s="18">
        <v>45222.0</v>
      </c>
      <c r="F195" s="15" t="s">
        <v>155</v>
      </c>
      <c r="G195" s="10"/>
      <c r="H195" s="10"/>
    </row>
    <row r="196">
      <c r="A196" s="11" t="s">
        <v>311</v>
      </c>
      <c r="B196" s="15" t="s">
        <v>308</v>
      </c>
      <c r="C196" s="15">
        <v>2023.0</v>
      </c>
      <c r="D196" s="15" t="s">
        <v>312</v>
      </c>
      <c r="E196" s="18">
        <v>45224.0</v>
      </c>
      <c r="F196" s="15" t="s">
        <v>155</v>
      </c>
      <c r="G196" s="10"/>
      <c r="H196" s="10"/>
    </row>
    <row r="197">
      <c r="A197" s="11" t="s">
        <v>313</v>
      </c>
      <c r="B197" s="15" t="s">
        <v>275</v>
      </c>
      <c r="C197" s="15">
        <v>2023.0</v>
      </c>
      <c r="D197" s="15" t="s">
        <v>284</v>
      </c>
      <c r="E197" s="18">
        <v>45225.0</v>
      </c>
      <c r="F197" s="15" t="s">
        <v>158</v>
      </c>
      <c r="G197" s="10"/>
      <c r="H197" s="10"/>
    </row>
    <row r="198">
      <c r="A198" s="11" t="s">
        <v>314</v>
      </c>
      <c r="B198" s="15" t="s">
        <v>275</v>
      </c>
      <c r="C198" s="15">
        <v>2023.0</v>
      </c>
      <c r="D198" s="15" t="s">
        <v>315</v>
      </c>
      <c r="E198" s="18">
        <v>45225.0</v>
      </c>
      <c r="F198" s="15" t="s">
        <v>158</v>
      </c>
      <c r="G198" s="10"/>
      <c r="H198" s="10"/>
    </row>
    <row r="199">
      <c r="A199" s="11" t="s">
        <v>316</v>
      </c>
      <c r="B199" s="15" t="s">
        <v>275</v>
      </c>
      <c r="C199" s="15">
        <v>2023.0</v>
      </c>
      <c r="D199" s="15" t="s">
        <v>317</v>
      </c>
      <c r="E199" s="18">
        <v>45230.0</v>
      </c>
      <c r="F199" s="15" t="s">
        <v>155</v>
      </c>
      <c r="G199" s="10"/>
      <c r="H199" s="10"/>
    </row>
    <row r="200">
      <c r="A200" s="11" t="s">
        <v>318</v>
      </c>
      <c r="B200" s="15" t="s">
        <v>10</v>
      </c>
      <c r="C200" s="15">
        <v>2023.0</v>
      </c>
      <c r="D200" s="15" t="s">
        <v>152</v>
      </c>
      <c r="E200" s="18">
        <v>45231.0</v>
      </c>
      <c r="F200" s="15" t="s">
        <v>319</v>
      </c>
      <c r="G200" s="10"/>
      <c r="H200" s="10"/>
    </row>
    <row r="201">
      <c r="A201" s="11" t="s">
        <v>320</v>
      </c>
      <c r="B201" s="15" t="s">
        <v>10</v>
      </c>
      <c r="C201" s="15">
        <v>2023.0</v>
      </c>
      <c r="D201" s="15" t="s">
        <v>321</v>
      </c>
      <c r="E201" s="18">
        <v>45231.0</v>
      </c>
      <c r="F201" s="15" t="s">
        <v>158</v>
      </c>
      <c r="G201" s="10"/>
      <c r="H201" s="10"/>
    </row>
    <row r="202">
      <c r="A202" s="11" t="s">
        <v>322</v>
      </c>
      <c r="B202" s="15" t="s">
        <v>10</v>
      </c>
      <c r="C202" s="15">
        <v>2023.0</v>
      </c>
      <c r="D202" s="15" t="s">
        <v>323</v>
      </c>
      <c r="E202" s="18">
        <v>45232.0</v>
      </c>
      <c r="F202" s="15" t="s">
        <v>158</v>
      </c>
      <c r="G202" s="10"/>
      <c r="H202" s="10"/>
    </row>
    <row r="203">
      <c r="A203" s="11" t="s">
        <v>324</v>
      </c>
      <c r="B203" s="15" t="s">
        <v>10</v>
      </c>
      <c r="C203" s="15">
        <v>2023.0</v>
      </c>
      <c r="D203" s="15" t="s">
        <v>325</v>
      </c>
      <c r="E203" s="18">
        <v>45233.0</v>
      </c>
      <c r="F203" s="15" t="s">
        <v>214</v>
      </c>
      <c r="G203" s="10"/>
      <c r="H203" s="10"/>
    </row>
    <row r="204">
      <c r="A204" s="11" t="s">
        <v>326</v>
      </c>
      <c r="B204" s="15" t="s">
        <v>10</v>
      </c>
      <c r="C204" s="15">
        <v>2023.0</v>
      </c>
      <c r="D204" s="15" t="s">
        <v>47</v>
      </c>
      <c r="E204" s="18">
        <v>45236.0</v>
      </c>
      <c r="F204" s="15" t="s">
        <v>155</v>
      </c>
      <c r="G204" s="10"/>
      <c r="H204" s="10"/>
    </row>
    <row r="205">
      <c r="A205" s="11" t="s">
        <v>327</v>
      </c>
      <c r="B205" s="15" t="s">
        <v>10</v>
      </c>
      <c r="C205" s="15">
        <v>2023.0</v>
      </c>
      <c r="D205" s="15" t="s">
        <v>328</v>
      </c>
      <c r="E205" s="18">
        <v>45238.0</v>
      </c>
      <c r="F205" s="15" t="s">
        <v>214</v>
      </c>
      <c r="G205" s="10"/>
      <c r="H205" s="10"/>
    </row>
    <row r="206">
      <c r="A206" s="11" t="s">
        <v>329</v>
      </c>
      <c r="B206" s="15" t="s">
        <v>10</v>
      </c>
      <c r="C206" s="15">
        <v>2023.0</v>
      </c>
      <c r="D206" s="15" t="s">
        <v>116</v>
      </c>
      <c r="E206" s="18">
        <v>45238.0</v>
      </c>
      <c r="F206" s="15" t="s">
        <v>214</v>
      </c>
      <c r="G206" s="10"/>
      <c r="H206" s="10"/>
    </row>
    <row r="207">
      <c r="A207" s="11" t="s">
        <v>330</v>
      </c>
      <c r="B207" s="15" t="s">
        <v>10</v>
      </c>
      <c r="C207" s="15">
        <v>2023.0</v>
      </c>
      <c r="D207" s="15" t="s">
        <v>116</v>
      </c>
      <c r="E207" s="18">
        <v>45238.0</v>
      </c>
      <c r="F207" s="15" t="s">
        <v>214</v>
      </c>
      <c r="G207" s="10"/>
      <c r="H207" s="10"/>
    </row>
    <row r="208">
      <c r="A208" s="11" t="s">
        <v>331</v>
      </c>
      <c r="B208" s="15" t="s">
        <v>10</v>
      </c>
      <c r="C208" s="15">
        <v>2023.0</v>
      </c>
      <c r="D208" s="15" t="s">
        <v>332</v>
      </c>
      <c r="E208" s="18">
        <v>45240.0</v>
      </c>
      <c r="F208" s="15" t="s">
        <v>155</v>
      </c>
      <c r="G208" s="10"/>
      <c r="H208" s="10"/>
    </row>
    <row r="209">
      <c r="A209" s="11" t="s">
        <v>333</v>
      </c>
      <c r="B209" s="15" t="s">
        <v>10</v>
      </c>
      <c r="C209" s="15">
        <v>2023.0</v>
      </c>
      <c r="D209" s="15" t="s">
        <v>116</v>
      </c>
      <c r="E209" s="18">
        <v>45240.0</v>
      </c>
      <c r="F209" s="15" t="s">
        <v>158</v>
      </c>
      <c r="G209" s="10"/>
      <c r="H209" s="10"/>
    </row>
    <row r="210">
      <c r="A210" s="11" t="s">
        <v>334</v>
      </c>
      <c r="B210" s="15" t="s">
        <v>10</v>
      </c>
      <c r="C210" s="15">
        <v>2023.0</v>
      </c>
      <c r="D210" s="15" t="s">
        <v>154</v>
      </c>
      <c r="E210" s="18">
        <v>45240.0</v>
      </c>
      <c r="F210" s="15" t="s">
        <v>158</v>
      </c>
      <c r="G210" s="10"/>
      <c r="H210" s="10"/>
    </row>
    <row r="211">
      <c r="A211" s="11" t="s">
        <v>335</v>
      </c>
      <c r="B211" s="15" t="s">
        <v>336</v>
      </c>
      <c r="C211" s="15">
        <v>2023.0</v>
      </c>
      <c r="D211" s="15" t="s">
        <v>77</v>
      </c>
      <c r="E211" s="18">
        <v>45242.0</v>
      </c>
      <c r="F211" s="15" t="s">
        <v>158</v>
      </c>
      <c r="G211" s="10"/>
      <c r="H211" s="10"/>
    </row>
    <row r="212">
      <c r="A212" s="11" t="s">
        <v>337</v>
      </c>
      <c r="B212" s="15" t="s">
        <v>336</v>
      </c>
      <c r="C212" s="15">
        <v>2023.0</v>
      </c>
      <c r="D212" s="15" t="s">
        <v>77</v>
      </c>
      <c r="E212" s="18">
        <v>45243.0</v>
      </c>
      <c r="F212" s="15" t="s">
        <v>155</v>
      </c>
      <c r="G212" s="10"/>
      <c r="H212" s="10"/>
    </row>
    <row r="213">
      <c r="A213" s="11" t="s">
        <v>338</v>
      </c>
      <c r="B213" s="15" t="s">
        <v>336</v>
      </c>
      <c r="C213" s="15">
        <v>2023.0</v>
      </c>
      <c r="D213" s="15" t="s">
        <v>26</v>
      </c>
      <c r="E213" s="18">
        <v>45245.0</v>
      </c>
      <c r="F213" s="15" t="s">
        <v>155</v>
      </c>
      <c r="G213" s="10"/>
      <c r="H213" s="10"/>
    </row>
    <row r="214">
      <c r="A214" s="11" t="s">
        <v>339</v>
      </c>
      <c r="B214" s="15" t="s">
        <v>336</v>
      </c>
      <c r="C214" s="15">
        <v>2023.0</v>
      </c>
      <c r="D214" s="15" t="s">
        <v>340</v>
      </c>
      <c r="E214" s="18">
        <v>45245.0</v>
      </c>
      <c r="F214" s="15" t="s">
        <v>341</v>
      </c>
      <c r="G214" s="10"/>
      <c r="H214" s="10"/>
    </row>
    <row r="215">
      <c r="A215" s="11" t="s">
        <v>342</v>
      </c>
      <c r="B215" s="15" t="s">
        <v>10</v>
      </c>
      <c r="C215" s="15">
        <v>2023.0</v>
      </c>
      <c r="D215" s="15" t="s">
        <v>116</v>
      </c>
      <c r="E215" s="18">
        <v>45246.0</v>
      </c>
      <c r="F215" s="15" t="s">
        <v>300</v>
      </c>
      <c r="G215" s="10"/>
      <c r="H215" s="10"/>
    </row>
    <row r="216">
      <c r="A216" s="11" t="s">
        <v>343</v>
      </c>
      <c r="B216" s="15" t="s">
        <v>10</v>
      </c>
      <c r="C216" s="15">
        <v>2023.0</v>
      </c>
      <c r="D216" s="15" t="s">
        <v>116</v>
      </c>
      <c r="E216" s="18">
        <v>45246.0</v>
      </c>
      <c r="F216" s="15" t="s">
        <v>158</v>
      </c>
      <c r="G216" s="10"/>
      <c r="H216" s="10"/>
    </row>
    <row r="217">
      <c r="A217" s="11" t="s">
        <v>344</v>
      </c>
      <c r="B217" s="15" t="s">
        <v>345</v>
      </c>
      <c r="C217" s="15">
        <v>2023.0</v>
      </c>
      <c r="D217" s="15" t="s">
        <v>346</v>
      </c>
      <c r="E217" s="18">
        <v>45248.0</v>
      </c>
      <c r="F217" s="15" t="s">
        <v>158</v>
      </c>
      <c r="G217" s="10"/>
      <c r="H217" s="10"/>
    </row>
    <row r="218">
      <c r="A218" s="11" t="s">
        <v>347</v>
      </c>
      <c r="B218" s="15" t="s">
        <v>336</v>
      </c>
      <c r="C218" s="15">
        <v>2023.0</v>
      </c>
      <c r="D218" s="15" t="s">
        <v>346</v>
      </c>
      <c r="E218" s="18">
        <v>45248.0</v>
      </c>
      <c r="F218" s="15" t="s">
        <v>155</v>
      </c>
      <c r="G218" s="10"/>
      <c r="H218" s="10"/>
    </row>
    <row r="219">
      <c r="A219" s="11" t="s">
        <v>348</v>
      </c>
      <c r="B219" s="15" t="s">
        <v>336</v>
      </c>
      <c r="C219" s="15">
        <v>2023.0</v>
      </c>
      <c r="D219" s="15" t="s">
        <v>196</v>
      </c>
      <c r="E219" s="18">
        <v>45250.0</v>
      </c>
      <c r="F219" s="15" t="s">
        <v>155</v>
      </c>
      <c r="G219" s="10"/>
      <c r="H219" s="10"/>
    </row>
    <row r="220">
      <c r="A220" s="11" t="s">
        <v>349</v>
      </c>
      <c r="B220" s="15" t="s">
        <v>336</v>
      </c>
      <c r="C220" s="15">
        <v>2023.0</v>
      </c>
      <c r="D220" s="15" t="s">
        <v>350</v>
      </c>
      <c r="E220" s="18">
        <v>45251.0</v>
      </c>
      <c r="F220" s="15" t="s">
        <v>158</v>
      </c>
      <c r="G220" s="10"/>
      <c r="H220" s="10"/>
    </row>
    <row r="221">
      <c r="A221" s="11" t="s">
        <v>351</v>
      </c>
      <c r="B221" s="15" t="s">
        <v>10</v>
      </c>
      <c r="C221" s="15">
        <v>2023.0</v>
      </c>
      <c r="D221" s="15" t="s">
        <v>77</v>
      </c>
      <c r="E221" s="18">
        <v>45251.0</v>
      </c>
      <c r="F221" s="15" t="s">
        <v>352</v>
      </c>
      <c r="G221" s="10"/>
      <c r="H221" s="10"/>
    </row>
    <row r="222">
      <c r="A222" s="11" t="s">
        <v>353</v>
      </c>
      <c r="B222" s="15" t="s">
        <v>10</v>
      </c>
      <c r="C222" s="15">
        <v>2023.0</v>
      </c>
      <c r="D222" s="15" t="s">
        <v>350</v>
      </c>
      <c r="E222" s="18">
        <v>45252.0</v>
      </c>
      <c r="F222" s="15" t="s">
        <v>155</v>
      </c>
      <c r="G222" s="10"/>
      <c r="H222" s="10"/>
    </row>
    <row r="223">
      <c r="A223" s="11" t="s">
        <v>354</v>
      </c>
      <c r="B223" s="15" t="s">
        <v>10</v>
      </c>
      <c r="C223" s="15">
        <v>2023.0</v>
      </c>
      <c r="D223" s="15" t="s">
        <v>328</v>
      </c>
      <c r="E223" s="18">
        <v>45252.0</v>
      </c>
      <c r="F223" s="15" t="s">
        <v>158</v>
      </c>
      <c r="G223" s="10"/>
      <c r="H223" s="10"/>
    </row>
    <row r="224">
      <c r="A224" s="11" t="s">
        <v>355</v>
      </c>
      <c r="B224" s="15" t="s">
        <v>10</v>
      </c>
      <c r="C224" s="15">
        <v>2023.0</v>
      </c>
      <c r="D224" s="15" t="s">
        <v>356</v>
      </c>
      <c r="E224" s="18">
        <v>45253.0</v>
      </c>
      <c r="F224" s="15" t="s">
        <v>155</v>
      </c>
      <c r="G224" s="10"/>
      <c r="H224" s="10"/>
    </row>
    <row r="225">
      <c r="A225" s="11" t="s">
        <v>357</v>
      </c>
      <c r="B225" s="15" t="s">
        <v>10</v>
      </c>
      <c r="C225" s="15">
        <v>2023.0</v>
      </c>
      <c r="D225" s="15" t="s">
        <v>358</v>
      </c>
      <c r="E225" s="18">
        <v>45258.0</v>
      </c>
      <c r="F225" s="15" t="s">
        <v>158</v>
      </c>
      <c r="G225" s="10"/>
      <c r="H225" s="10"/>
    </row>
    <row r="226">
      <c r="A226" s="11" t="s">
        <v>359</v>
      </c>
      <c r="B226" s="15" t="s">
        <v>10</v>
      </c>
      <c r="C226" s="15">
        <v>2023.0</v>
      </c>
      <c r="D226" s="15" t="s">
        <v>358</v>
      </c>
      <c r="E226" s="18">
        <v>45258.0</v>
      </c>
      <c r="F226" s="15" t="s">
        <v>155</v>
      </c>
      <c r="G226" s="10"/>
      <c r="H226" s="10"/>
    </row>
    <row r="227">
      <c r="A227" s="11" t="s">
        <v>360</v>
      </c>
      <c r="B227" s="15" t="s">
        <v>25</v>
      </c>
      <c r="C227" s="15">
        <v>2023.0</v>
      </c>
      <c r="D227" s="15" t="s">
        <v>358</v>
      </c>
      <c r="E227" s="18">
        <v>45262.0</v>
      </c>
      <c r="F227" s="15" t="s">
        <v>158</v>
      </c>
      <c r="G227" s="10"/>
      <c r="H227" s="10"/>
    </row>
    <row r="228">
      <c r="A228" s="11" t="s">
        <v>361</v>
      </c>
      <c r="B228" s="15" t="s">
        <v>25</v>
      </c>
      <c r="C228" s="15">
        <v>2023.0</v>
      </c>
      <c r="D228" s="15" t="s">
        <v>116</v>
      </c>
      <c r="E228" s="18">
        <v>45263.0</v>
      </c>
      <c r="F228" s="15" t="s">
        <v>155</v>
      </c>
      <c r="G228" s="10"/>
      <c r="H228" s="10"/>
    </row>
    <row r="229">
      <c r="A229" s="11" t="s">
        <v>362</v>
      </c>
      <c r="B229" s="15" t="s">
        <v>25</v>
      </c>
      <c r="C229" s="15">
        <v>2023.0</v>
      </c>
      <c r="D229" s="15" t="s">
        <v>26</v>
      </c>
      <c r="E229" s="18">
        <v>45270.0</v>
      </c>
      <c r="F229" s="15" t="s">
        <v>155</v>
      </c>
      <c r="G229" s="10"/>
      <c r="H229" s="10"/>
    </row>
    <row r="230">
      <c r="A230" s="11" t="s">
        <v>363</v>
      </c>
      <c r="B230" s="15" t="s">
        <v>25</v>
      </c>
      <c r="C230" s="15">
        <v>2023.0</v>
      </c>
      <c r="D230" s="15" t="s">
        <v>364</v>
      </c>
      <c r="E230" s="18">
        <v>45270.0</v>
      </c>
      <c r="F230" s="15" t="s">
        <v>155</v>
      </c>
      <c r="G230" s="10"/>
      <c r="H230" s="10"/>
    </row>
    <row r="231">
      <c r="A231" s="11" t="s">
        <v>365</v>
      </c>
      <c r="B231" s="15" t="s">
        <v>25</v>
      </c>
      <c r="C231" s="15">
        <v>2023.0</v>
      </c>
      <c r="D231" s="15" t="s">
        <v>139</v>
      </c>
      <c r="E231" s="18">
        <v>45272.0</v>
      </c>
      <c r="F231" s="15" t="s">
        <v>158</v>
      </c>
      <c r="G231" s="10"/>
      <c r="H231" s="10"/>
    </row>
    <row r="232">
      <c r="A232" s="11" t="s">
        <v>366</v>
      </c>
      <c r="B232" s="15" t="s">
        <v>25</v>
      </c>
      <c r="C232" s="15">
        <v>2023.0</v>
      </c>
      <c r="D232" s="15" t="s">
        <v>367</v>
      </c>
      <c r="E232" s="15" t="s">
        <v>368</v>
      </c>
      <c r="F232" s="15" t="s">
        <v>369</v>
      </c>
      <c r="G232" s="10"/>
      <c r="H232" s="10"/>
    </row>
    <row r="233">
      <c r="A233" s="11" t="s">
        <v>370</v>
      </c>
      <c r="B233" s="15" t="s">
        <v>25</v>
      </c>
      <c r="C233" s="15">
        <v>2023.0</v>
      </c>
      <c r="D233" s="15" t="s">
        <v>371</v>
      </c>
      <c r="E233" s="18">
        <v>45275.0</v>
      </c>
      <c r="F233" s="15" t="s">
        <v>372</v>
      </c>
      <c r="G233" s="10"/>
      <c r="H233" s="10"/>
    </row>
    <row r="234">
      <c r="A234" s="11" t="s">
        <v>373</v>
      </c>
      <c r="B234" s="15" t="s">
        <v>25</v>
      </c>
      <c r="C234" s="15">
        <v>2023.0</v>
      </c>
      <c r="D234" s="15" t="s">
        <v>374</v>
      </c>
      <c r="E234" s="18">
        <v>45275.0</v>
      </c>
      <c r="F234" s="15" t="s">
        <v>158</v>
      </c>
      <c r="G234" s="10"/>
      <c r="H234" s="10"/>
    </row>
    <row r="235">
      <c r="A235" s="11" t="s">
        <v>375</v>
      </c>
      <c r="B235" s="15" t="s">
        <v>25</v>
      </c>
      <c r="C235" s="15">
        <v>2023.0</v>
      </c>
      <c r="D235" s="15" t="s">
        <v>376</v>
      </c>
      <c r="E235" s="19">
        <v>45276.0</v>
      </c>
      <c r="F235" s="15" t="s">
        <v>263</v>
      </c>
      <c r="G235" s="10"/>
      <c r="H235" s="10"/>
    </row>
    <row r="236">
      <c r="A236" s="11" t="s">
        <v>377</v>
      </c>
      <c r="B236" s="15" t="s">
        <v>25</v>
      </c>
      <c r="C236" s="15">
        <v>2023.0</v>
      </c>
      <c r="D236" s="15" t="s">
        <v>225</v>
      </c>
      <c r="E236" s="18">
        <v>45278.0</v>
      </c>
      <c r="F236" s="15" t="s">
        <v>155</v>
      </c>
      <c r="G236" s="10"/>
      <c r="H236" s="10"/>
    </row>
    <row r="237">
      <c r="A237" s="11" t="s">
        <v>378</v>
      </c>
      <c r="B237" s="15" t="s">
        <v>25</v>
      </c>
      <c r="C237" s="15">
        <v>2023.0</v>
      </c>
      <c r="D237" s="15" t="s">
        <v>26</v>
      </c>
      <c r="E237" s="18">
        <v>45279.0</v>
      </c>
      <c r="F237" s="15" t="s">
        <v>155</v>
      </c>
      <c r="G237" s="10"/>
      <c r="H237" s="10"/>
    </row>
    <row r="238">
      <c r="A238" s="11" t="s">
        <v>379</v>
      </c>
      <c r="B238" s="15" t="s">
        <v>25</v>
      </c>
      <c r="C238" s="15">
        <v>2023.0</v>
      </c>
      <c r="D238" s="15" t="s">
        <v>380</v>
      </c>
      <c r="E238" s="18">
        <v>45285.0</v>
      </c>
      <c r="F238" s="15" t="s">
        <v>158</v>
      </c>
      <c r="G238" s="10"/>
      <c r="H238" s="10"/>
    </row>
    <row r="239">
      <c r="A239" s="11" t="s">
        <v>381</v>
      </c>
      <c r="B239" s="15" t="s">
        <v>25</v>
      </c>
      <c r="C239" s="15">
        <v>2023.0</v>
      </c>
      <c r="D239" s="15" t="s">
        <v>382</v>
      </c>
      <c r="E239" s="18">
        <v>45287.0</v>
      </c>
      <c r="F239" s="15" t="s">
        <v>158</v>
      </c>
      <c r="G239" s="10"/>
      <c r="H239" s="10"/>
    </row>
    <row r="240">
      <c r="A240" s="11" t="s">
        <v>383</v>
      </c>
      <c r="B240" s="15" t="s">
        <v>25</v>
      </c>
      <c r="C240" s="15">
        <v>2023.0</v>
      </c>
      <c r="D240" s="15" t="s">
        <v>384</v>
      </c>
      <c r="E240" s="18">
        <v>45288.0</v>
      </c>
      <c r="F240" s="15" t="s">
        <v>155</v>
      </c>
      <c r="G240" s="10"/>
      <c r="H240" s="10"/>
    </row>
    <row r="241">
      <c r="A241" s="11" t="s">
        <v>385</v>
      </c>
      <c r="B241" s="15" t="s">
        <v>25</v>
      </c>
      <c r="C241" s="15">
        <v>2023.0</v>
      </c>
      <c r="D241" s="15" t="s">
        <v>382</v>
      </c>
      <c r="E241" s="18">
        <v>45288.0</v>
      </c>
      <c r="F241" s="15" t="s">
        <v>158</v>
      </c>
      <c r="G241" s="10"/>
      <c r="H241" s="10"/>
    </row>
    <row r="242">
      <c r="A242" s="11" t="s">
        <v>386</v>
      </c>
      <c r="B242" s="15" t="s">
        <v>58</v>
      </c>
      <c r="C242" s="15">
        <v>2024.0</v>
      </c>
      <c r="D242" s="15" t="s">
        <v>387</v>
      </c>
      <c r="E242" s="18">
        <v>45296.0</v>
      </c>
      <c r="F242" s="15" t="s">
        <v>155</v>
      </c>
      <c r="G242" s="10"/>
      <c r="H242" s="10"/>
    </row>
    <row r="243">
      <c r="A243" s="11" t="s">
        <v>388</v>
      </c>
      <c r="B243" s="15" t="s">
        <v>58</v>
      </c>
      <c r="C243" s="15">
        <v>2024.0</v>
      </c>
      <c r="D243" s="15" t="s">
        <v>389</v>
      </c>
      <c r="E243" s="18">
        <v>45296.0</v>
      </c>
      <c r="F243" s="15" t="s">
        <v>158</v>
      </c>
      <c r="G243" s="10"/>
      <c r="H243" s="10"/>
    </row>
    <row r="244">
      <c r="A244" s="11" t="s">
        <v>390</v>
      </c>
      <c r="B244" s="15" t="s">
        <v>58</v>
      </c>
      <c r="C244" s="15">
        <v>2024.0</v>
      </c>
      <c r="D244" s="15" t="s">
        <v>380</v>
      </c>
      <c r="E244" s="18">
        <v>45296.0</v>
      </c>
      <c r="F244" s="15" t="s">
        <v>155</v>
      </c>
      <c r="G244" s="10"/>
      <c r="H244" s="10"/>
    </row>
    <row r="245">
      <c r="A245" s="11" t="s">
        <v>391</v>
      </c>
      <c r="B245" s="15" t="s">
        <v>25</v>
      </c>
      <c r="C245" s="15">
        <v>2023.0</v>
      </c>
      <c r="D245" s="15" t="s">
        <v>392</v>
      </c>
      <c r="E245" s="18">
        <v>45644.0</v>
      </c>
      <c r="F245" s="15" t="s">
        <v>393</v>
      </c>
      <c r="G245" s="10"/>
      <c r="H245" s="10"/>
    </row>
    <row r="246">
      <c r="A246" s="11" t="s">
        <v>394</v>
      </c>
      <c r="B246" s="15" t="s">
        <v>58</v>
      </c>
      <c r="C246" s="15">
        <v>2024.0</v>
      </c>
      <c r="D246" s="15" t="s">
        <v>395</v>
      </c>
      <c r="E246" s="18">
        <v>45299.0</v>
      </c>
      <c r="F246" s="15" t="s">
        <v>393</v>
      </c>
      <c r="G246" s="10"/>
      <c r="H246" s="10"/>
    </row>
    <row r="247">
      <c r="A247" s="11" t="s">
        <v>396</v>
      </c>
      <c r="B247" s="15" t="s">
        <v>58</v>
      </c>
      <c r="C247" s="15">
        <v>2024.0</v>
      </c>
      <c r="D247" s="15" t="s">
        <v>380</v>
      </c>
      <c r="E247" s="18">
        <v>45301.0</v>
      </c>
      <c r="F247" s="15" t="s">
        <v>393</v>
      </c>
      <c r="G247" s="10"/>
      <c r="H247" s="10"/>
    </row>
    <row r="248">
      <c r="A248" s="11" t="s">
        <v>397</v>
      </c>
      <c r="B248" s="15" t="s">
        <v>58</v>
      </c>
      <c r="C248" s="15">
        <v>2024.0</v>
      </c>
      <c r="D248" s="15" t="s">
        <v>157</v>
      </c>
      <c r="E248" s="18">
        <v>45301.0</v>
      </c>
      <c r="F248" s="15" t="s">
        <v>393</v>
      </c>
      <c r="G248" s="10"/>
      <c r="H248" s="10"/>
    </row>
    <row r="249">
      <c r="A249" s="11" t="s">
        <v>398</v>
      </c>
      <c r="B249" s="15" t="s">
        <v>58</v>
      </c>
      <c r="C249" s="15">
        <v>2024.0</v>
      </c>
      <c r="D249" s="15" t="s">
        <v>399</v>
      </c>
      <c r="E249" s="18">
        <v>45303.0</v>
      </c>
      <c r="F249" s="15" t="s">
        <v>393</v>
      </c>
      <c r="G249" s="10"/>
      <c r="H249" s="10"/>
    </row>
    <row r="250">
      <c r="A250" s="11" t="s">
        <v>400</v>
      </c>
      <c r="B250" s="15" t="s">
        <v>58</v>
      </c>
      <c r="C250" s="15">
        <v>2024.0</v>
      </c>
      <c r="D250" s="15" t="s">
        <v>401</v>
      </c>
      <c r="E250" s="18">
        <v>45304.0</v>
      </c>
      <c r="F250" s="15" t="s">
        <v>393</v>
      </c>
      <c r="G250" s="10"/>
      <c r="H250" s="10"/>
    </row>
    <row r="251">
      <c r="A251" s="11" t="s">
        <v>402</v>
      </c>
      <c r="B251" s="15" t="s">
        <v>58</v>
      </c>
      <c r="C251" s="15">
        <v>2024.0</v>
      </c>
      <c r="D251" s="15" t="s">
        <v>382</v>
      </c>
      <c r="E251" s="18">
        <v>45307.0</v>
      </c>
      <c r="F251" s="15" t="s">
        <v>155</v>
      </c>
      <c r="G251" s="10"/>
      <c r="H251" s="10"/>
    </row>
    <row r="252">
      <c r="A252" s="11" t="s">
        <v>403</v>
      </c>
      <c r="B252" s="15" t="s">
        <v>58</v>
      </c>
      <c r="C252" s="15">
        <v>2024.0</v>
      </c>
      <c r="D252" s="15" t="s">
        <v>404</v>
      </c>
      <c r="E252" s="18">
        <v>45307.0</v>
      </c>
      <c r="F252" s="15" t="s">
        <v>155</v>
      </c>
      <c r="G252" s="10"/>
      <c r="H252" s="10"/>
    </row>
    <row r="253">
      <c r="A253" s="11" t="s">
        <v>405</v>
      </c>
      <c r="B253" s="15" t="s">
        <v>58</v>
      </c>
      <c r="C253" s="15">
        <v>2024.0</v>
      </c>
      <c r="D253" s="15" t="s">
        <v>399</v>
      </c>
      <c r="E253" s="18">
        <v>45309.0</v>
      </c>
      <c r="F253" s="15" t="s">
        <v>155</v>
      </c>
      <c r="G253" s="10"/>
      <c r="H253" s="10"/>
    </row>
    <row r="254">
      <c r="A254" s="11" t="s">
        <v>406</v>
      </c>
      <c r="B254" s="15" t="s">
        <v>58</v>
      </c>
      <c r="C254" s="15">
        <v>2024.0</v>
      </c>
      <c r="D254" s="15" t="s">
        <v>407</v>
      </c>
      <c r="E254" s="18">
        <v>45311.0</v>
      </c>
      <c r="F254" s="15" t="s">
        <v>393</v>
      </c>
      <c r="G254" s="10"/>
      <c r="H254" s="10"/>
    </row>
    <row r="255">
      <c r="A255" s="11" t="s">
        <v>408</v>
      </c>
      <c r="B255" s="15" t="s">
        <v>58</v>
      </c>
      <c r="C255" s="15">
        <v>2024.0</v>
      </c>
      <c r="D255" s="15" t="s">
        <v>407</v>
      </c>
      <c r="E255" s="18">
        <v>45311.0</v>
      </c>
      <c r="F255" s="15" t="s">
        <v>393</v>
      </c>
      <c r="G255" s="10"/>
      <c r="H255" s="10"/>
    </row>
    <row r="256">
      <c r="A256" s="11" t="s">
        <v>409</v>
      </c>
      <c r="B256" s="15" t="s">
        <v>58</v>
      </c>
      <c r="C256" s="15">
        <v>2024.0</v>
      </c>
      <c r="D256" s="15" t="s">
        <v>47</v>
      </c>
      <c r="E256" s="18">
        <v>45311.0</v>
      </c>
      <c r="F256" s="15" t="s">
        <v>158</v>
      </c>
      <c r="G256" s="10"/>
      <c r="H256" s="10"/>
    </row>
    <row r="257">
      <c r="A257" s="11" t="s">
        <v>410</v>
      </c>
      <c r="B257" s="15" t="s">
        <v>58</v>
      </c>
      <c r="C257" s="15">
        <v>2024.0</v>
      </c>
      <c r="D257" s="15" t="s">
        <v>411</v>
      </c>
      <c r="E257" s="18">
        <v>45313.0</v>
      </c>
      <c r="F257" s="15" t="s">
        <v>158</v>
      </c>
      <c r="G257" s="10"/>
      <c r="H257" s="10"/>
    </row>
    <row r="258">
      <c r="A258" s="11" t="s">
        <v>412</v>
      </c>
      <c r="B258" s="15" t="s">
        <v>58</v>
      </c>
      <c r="C258" s="15">
        <v>2024.0</v>
      </c>
      <c r="D258" s="15" t="s">
        <v>413</v>
      </c>
      <c r="E258" s="18">
        <v>45313.0</v>
      </c>
      <c r="F258" s="15" t="s">
        <v>158</v>
      </c>
      <c r="G258" s="10"/>
      <c r="H258" s="10"/>
    </row>
    <row r="259">
      <c r="A259" s="11" t="s">
        <v>414</v>
      </c>
      <c r="B259" s="15" t="s">
        <v>58</v>
      </c>
      <c r="C259" s="15">
        <v>2024.0</v>
      </c>
      <c r="D259" s="15" t="s">
        <v>116</v>
      </c>
      <c r="E259" s="18">
        <v>45313.0</v>
      </c>
      <c r="F259" s="15" t="s">
        <v>155</v>
      </c>
      <c r="G259" s="10"/>
      <c r="H259" s="10"/>
    </row>
    <row r="260">
      <c r="A260" s="11" t="s">
        <v>415</v>
      </c>
      <c r="B260" s="15" t="s">
        <v>58</v>
      </c>
      <c r="C260" s="15">
        <v>2024.0</v>
      </c>
      <c r="D260" s="15" t="s">
        <v>416</v>
      </c>
      <c r="E260" s="18">
        <v>45315.0</v>
      </c>
      <c r="F260" s="15" t="s">
        <v>417</v>
      </c>
      <c r="G260" s="10"/>
      <c r="H260" s="10"/>
    </row>
    <row r="261">
      <c r="A261" s="11" t="s">
        <v>418</v>
      </c>
      <c r="B261" s="15" t="s">
        <v>58</v>
      </c>
      <c r="C261" s="15">
        <v>2024.0</v>
      </c>
      <c r="D261" s="15" t="s">
        <v>380</v>
      </c>
      <c r="E261" s="18">
        <v>45315.0</v>
      </c>
      <c r="F261" s="15" t="s">
        <v>393</v>
      </c>
      <c r="G261" s="10"/>
      <c r="H261" s="10"/>
    </row>
    <row r="262">
      <c r="A262" s="11" t="s">
        <v>419</v>
      </c>
      <c r="B262" s="15" t="s">
        <v>58</v>
      </c>
      <c r="C262" s="15">
        <v>2024.0</v>
      </c>
      <c r="D262" s="15" t="s">
        <v>26</v>
      </c>
      <c r="E262" s="18">
        <v>45315.0</v>
      </c>
      <c r="F262" s="15" t="s">
        <v>393</v>
      </c>
      <c r="G262" s="10"/>
      <c r="H262" s="10"/>
    </row>
    <row r="263">
      <c r="A263" s="11" t="s">
        <v>420</v>
      </c>
      <c r="B263" s="15" t="s">
        <v>58</v>
      </c>
      <c r="C263" s="15">
        <v>2024.0</v>
      </c>
      <c r="D263" s="15" t="s">
        <v>421</v>
      </c>
      <c r="E263" s="18">
        <v>45322.0</v>
      </c>
      <c r="F263" s="15" t="s">
        <v>393</v>
      </c>
      <c r="G263" s="10"/>
      <c r="H263" s="10"/>
    </row>
    <row r="264">
      <c r="A264" s="11" t="s">
        <v>422</v>
      </c>
      <c r="B264" s="15" t="s">
        <v>81</v>
      </c>
      <c r="C264" s="15">
        <v>2024.0</v>
      </c>
      <c r="D264" s="15" t="s">
        <v>116</v>
      </c>
      <c r="E264" s="18">
        <v>45327.0</v>
      </c>
      <c r="F264" s="15" t="s">
        <v>393</v>
      </c>
      <c r="G264" s="10"/>
      <c r="H264" s="10"/>
    </row>
    <row r="265">
      <c r="A265" s="11" t="s">
        <v>423</v>
      </c>
      <c r="B265" s="15" t="s">
        <v>81</v>
      </c>
      <c r="C265" s="15">
        <v>2024.0</v>
      </c>
      <c r="D265" s="15" t="s">
        <v>424</v>
      </c>
      <c r="E265" s="18">
        <v>45335.0</v>
      </c>
      <c r="F265" s="15" t="s">
        <v>425</v>
      </c>
      <c r="G265" s="10"/>
      <c r="H265" s="10"/>
    </row>
    <row r="266">
      <c r="A266" s="11" t="s">
        <v>426</v>
      </c>
      <c r="B266" s="15" t="s">
        <v>84</v>
      </c>
      <c r="C266" s="15">
        <v>2024.0</v>
      </c>
      <c r="D266" s="15" t="s">
        <v>26</v>
      </c>
      <c r="E266" s="18">
        <v>45335.0</v>
      </c>
      <c r="F266" s="15" t="s">
        <v>425</v>
      </c>
      <c r="G266" s="10"/>
      <c r="H266" s="10"/>
    </row>
    <row r="267">
      <c r="A267" s="11" t="s">
        <v>427</v>
      </c>
      <c r="B267" s="15" t="s">
        <v>81</v>
      </c>
      <c r="C267" s="15">
        <v>2024.0</v>
      </c>
      <c r="D267" s="15" t="s">
        <v>428</v>
      </c>
      <c r="E267" s="18">
        <v>45335.0</v>
      </c>
      <c r="F267" s="15" t="s">
        <v>393</v>
      </c>
      <c r="G267" s="10"/>
      <c r="H267" s="10"/>
    </row>
    <row r="268">
      <c r="A268" s="11" t="s">
        <v>429</v>
      </c>
      <c r="B268" s="15" t="s">
        <v>81</v>
      </c>
      <c r="C268" s="15">
        <v>2024.0</v>
      </c>
      <c r="D268" s="15" t="s">
        <v>23</v>
      </c>
      <c r="E268" s="18">
        <v>45336.0</v>
      </c>
      <c r="F268" s="15" t="s">
        <v>393</v>
      </c>
      <c r="G268" s="10"/>
      <c r="H268" s="10"/>
    </row>
    <row r="269">
      <c r="A269" s="11" t="s">
        <v>430</v>
      </c>
      <c r="B269" s="15" t="s">
        <v>81</v>
      </c>
      <c r="C269" s="15">
        <v>2024.0</v>
      </c>
      <c r="D269" s="15" t="s">
        <v>77</v>
      </c>
      <c r="E269" s="18">
        <v>45345.0</v>
      </c>
      <c r="F269" s="15" t="s">
        <v>431</v>
      </c>
      <c r="G269" s="10"/>
      <c r="H269" s="10"/>
    </row>
    <row r="270">
      <c r="A270" s="11" t="s">
        <v>432</v>
      </c>
      <c r="B270" s="15" t="s">
        <v>81</v>
      </c>
      <c r="C270" s="15">
        <v>2024.0</v>
      </c>
      <c r="D270" s="15" t="s">
        <v>416</v>
      </c>
      <c r="E270" s="15" t="s">
        <v>433</v>
      </c>
      <c r="F270" s="15" t="s">
        <v>300</v>
      </c>
      <c r="G270" s="10"/>
      <c r="H270" s="10"/>
    </row>
    <row r="271">
      <c r="A271" s="11" t="s">
        <v>434</v>
      </c>
      <c r="B271" s="15" t="s">
        <v>81</v>
      </c>
      <c r="C271" s="15">
        <v>2024.0</v>
      </c>
      <c r="D271" s="15" t="s">
        <v>435</v>
      </c>
      <c r="E271" s="18">
        <v>45346.0</v>
      </c>
      <c r="F271" s="15" t="s">
        <v>341</v>
      </c>
      <c r="G271" s="10"/>
      <c r="H271" s="10"/>
    </row>
    <row r="272">
      <c r="A272" s="11" t="s">
        <v>436</v>
      </c>
      <c r="B272" s="15" t="s">
        <v>437</v>
      </c>
      <c r="C272" s="8"/>
      <c r="D272" s="15" t="s">
        <v>438</v>
      </c>
      <c r="E272" s="9"/>
      <c r="F272" s="9"/>
      <c r="G272" s="10"/>
      <c r="H272" s="10"/>
    </row>
    <row r="273">
      <c r="A273" s="11" t="s">
        <v>439</v>
      </c>
      <c r="B273" s="15" t="s">
        <v>101</v>
      </c>
      <c r="C273" s="15">
        <v>2024.0</v>
      </c>
      <c r="D273" s="15" t="s">
        <v>440</v>
      </c>
      <c r="E273" s="18">
        <v>45352.0</v>
      </c>
      <c r="F273" s="15" t="s">
        <v>393</v>
      </c>
      <c r="G273" s="10"/>
      <c r="H273" s="10"/>
    </row>
    <row r="274">
      <c r="A274" s="11" t="s">
        <v>441</v>
      </c>
      <c r="B274" s="15" t="s">
        <v>101</v>
      </c>
      <c r="C274" s="15">
        <v>2024.0</v>
      </c>
      <c r="D274" s="15" t="s">
        <v>442</v>
      </c>
      <c r="E274" s="18">
        <v>45354.0</v>
      </c>
      <c r="F274" s="15" t="s">
        <v>319</v>
      </c>
      <c r="G274" s="10"/>
      <c r="H274" s="10"/>
    </row>
    <row r="275">
      <c r="A275" s="11" t="s">
        <v>443</v>
      </c>
      <c r="B275" s="15" t="s">
        <v>101</v>
      </c>
      <c r="C275" s="15">
        <v>2024.0</v>
      </c>
      <c r="D275" s="15" t="s">
        <v>382</v>
      </c>
      <c r="E275" s="18">
        <v>45353.0</v>
      </c>
      <c r="F275" s="15" t="s">
        <v>393</v>
      </c>
      <c r="G275" s="10"/>
      <c r="H275" s="10"/>
    </row>
    <row r="276">
      <c r="A276" s="11" t="s">
        <v>444</v>
      </c>
      <c r="B276" s="15" t="s">
        <v>101</v>
      </c>
      <c r="C276" s="15">
        <v>2024.0</v>
      </c>
      <c r="D276" s="15" t="s">
        <v>445</v>
      </c>
      <c r="E276" s="18">
        <v>45356.0</v>
      </c>
      <c r="F276" s="15" t="s">
        <v>431</v>
      </c>
      <c r="G276" s="10"/>
      <c r="H276" s="10"/>
    </row>
    <row r="277">
      <c r="A277" s="11" t="s">
        <v>446</v>
      </c>
      <c r="B277" s="15" t="s">
        <v>101</v>
      </c>
      <c r="C277" s="15">
        <v>2024.0</v>
      </c>
      <c r="D277" s="15" t="s">
        <v>16</v>
      </c>
      <c r="E277" s="18">
        <v>45356.0</v>
      </c>
      <c r="F277" s="15" t="s">
        <v>300</v>
      </c>
      <c r="G277" s="10"/>
      <c r="H277" s="10"/>
    </row>
    <row r="278">
      <c r="A278" s="11" t="s">
        <v>447</v>
      </c>
      <c r="B278" s="15" t="s">
        <v>101</v>
      </c>
      <c r="C278" s="15">
        <v>2024.0</v>
      </c>
      <c r="D278" s="15" t="s">
        <v>116</v>
      </c>
      <c r="E278" s="18">
        <v>45360.0</v>
      </c>
      <c r="F278" s="15" t="s">
        <v>393</v>
      </c>
      <c r="G278" s="10"/>
      <c r="H278" s="10"/>
    </row>
    <row r="279">
      <c r="A279" s="11" t="s">
        <v>448</v>
      </c>
      <c r="B279" s="15" t="s">
        <v>101</v>
      </c>
      <c r="C279" s="15">
        <v>2024.0</v>
      </c>
      <c r="D279" s="15" t="s">
        <v>449</v>
      </c>
      <c r="E279" s="18">
        <v>45360.0</v>
      </c>
      <c r="F279" s="9"/>
      <c r="G279" s="10"/>
      <c r="H279" s="10"/>
    </row>
    <row r="280">
      <c r="A280" s="11" t="s">
        <v>450</v>
      </c>
      <c r="B280" s="15" t="s">
        <v>101</v>
      </c>
      <c r="C280" s="15">
        <v>2024.0</v>
      </c>
      <c r="D280" s="15" t="s">
        <v>451</v>
      </c>
      <c r="E280" s="18">
        <v>45368.0</v>
      </c>
      <c r="F280" s="15" t="s">
        <v>393</v>
      </c>
      <c r="G280" s="10"/>
      <c r="H280" s="10"/>
    </row>
    <row r="281">
      <c r="A281" s="11" t="s">
        <v>452</v>
      </c>
      <c r="B281" s="15" t="s">
        <v>101</v>
      </c>
      <c r="C281" s="15">
        <v>2024.0</v>
      </c>
      <c r="D281" s="25" t="s">
        <v>453</v>
      </c>
      <c r="E281" s="18">
        <v>45370.0</v>
      </c>
      <c r="F281" s="15" t="s">
        <v>393</v>
      </c>
      <c r="G281" s="10"/>
      <c r="H281" s="10"/>
    </row>
    <row r="282">
      <c r="A282" s="11" t="s">
        <v>454</v>
      </c>
      <c r="B282" s="15" t="s">
        <v>101</v>
      </c>
      <c r="C282" s="15">
        <v>2024.0</v>
      </c>
      <c r="D282" s="15" t="s">
        <v>455</v>
      </c>
      <c r="E282" s="18">
        <v>45370.0</v>
      </c>
      <c r="F282" s="15" t="s">
        <v>393</v>
      </c>
      <c r="G282" s="10"/>
      <c r="H282" s="10"/>
    </row>
    <row r="283">
      <c r="A283" s="11" t="s">
        <v>456</v>
      </c>
      <c r="B283" s="15" t="s">
        <v>101</v>
      </c>
      <c r="C283" s="15">
        <v>2024.0</v>
      </c>
      <c r="D283" s="15" t="s">
        <v>382</v>
      </c>
      <c r="E283" s="18">
        <v>45373.0</v>
      </c>
      <c r="F283" s="15" t="s">
        <v>393</v>
      </c>
      <c r="G283" s="10"/>
      <c r="H283" s="10"/>
    </row>
    <row r="284">
      <c r="A284" s="11" t="s">
        <v>457</v>
      </c>
      <c r="B284" s="15" t="s">
        <v>101</v>
      </c>
      <c r="C284" s="15">
        <v>2024.0</v>
      </c>
      <c r="D284" s="15" t="s">
        <v>13</v>
      </c>
      <c r="E284" s="18">
        <v>45374.0</v>
      </c>
      <c r="F284" s="15" t="s">
        <v>393</v>
      </c>
      <c r="G284" s="10"/>
      <c r="H284" s="10"/>
    </row>
    <row r="285">
      <c r="A285" s="11" t="s">
        <v>458</v>
      </c>
      <c r="B285" s="24" t="s">
        <v>101</v>
      </c>
      <c r="C285" s="15">
        <v>2024.0</v>
      </c>
      <c r="D285" s="15" t="s">
        <v>225</v>
      </c>
      <c r="E285" s="18">
        <v>45377.0</v>
      </c>
      <c r="F285" s="15" t="s">
        <v>425</v>
      </c>
      <c r="G285" s="10"/>
      <c r="H285" s="10"/>
    </row>
    <row r="286">
      <c r="A286" s="11" t="s">
        <v>459</v>
      </c>
      <c r="B286" s="24" t="s">
        <v>101</v>
      </c>
      <c r="C286" s="15">
        <v>2024.0</v>
      </c>
      <c r="D286" s="15" t="s">
        <v>225</v>
      </c>
      <c r="E286" s="18">
        <v>45377.0</v>
      </c>
      <c r="F286" s="15" t="s">
        <v>393</v>
      </c>
      <c r="G286" s="10"/>
      <c r="H286" s="10"/>
    </row>
    <row r="287">
      <c r="A287" s="11" t="s">
        <v>460</v>
      </c>
      <c r="B287" s="24" t="s">
        <v>101</v>
      </c>
      <c r="C287" s="15">
        <v>2024.0</v>
      </c>
      <c r="D287" s="15" t="s">
        <v>139</v>
      </c>
      <c r="E287" s="18">
        <v>45377.0</v>
      </c>
      <c r="F287" s="15" t="s">
        <v>461</v>
      </c>
      <c r="G287" s="10"/>
      <c r="H287" s="10"/>
    </row>
    <row r="288">
      <c r="A288" s="11" t="s">
        <v>462</v>
      </c>
      <c r="B288" s="24" t="s">
        <v>101</v>
      </c>
      <c r="C288" s="15">
        <v>2024.0</v>
      </c>
      <c r="D288" s="15" t="s">
        <v>328</v>
      </c>
      <c r="E288" s="18">
        <v>45378.0</v>
      </c>
      <c r="F288" s="15" t="s">
        <v>393</v>
      </c>
      <c r="G288" s="10"/>
      <c r="H288" s="10"/>
    </row>
    <row r="289">
      <c r="A289" s="11" t="s">
        <v>463</v>
      </c>
      <c r="B289" s="15" t="s">
        <v>124</v>
      </c>
      <c r="C289" s="15">
        <v>2024.0</v>
      </c>
      <c r="D289" s="15" t="s">
        <v>464</v>
      </c>
      <c r="E289" s="18">
        <v>45383.0</v>
      </c>
      <c r="F289" s="15" t="s">
        <v>465</v>
      </c>
      <c r="G289" s="10"/>
      <c r="H289" s="10"/>
    </row>
    <row r="290">
      <c r="A290" s="11" t="s">
        <v>466</v>
      </c>
      <c r="B290" s="15" t="s">
        <v>124</v>
      </c>
      <c r="C290" s="15">
        <v>2024.0</v>
      </c>
      <c r="D290" s="15" t="s">
        <v>467</v>
      </c>
      <c r="E290" s="18">
        <v>45385.0</v>
      </c>
      <c r="F290" s="15" t="s">
        <v>393</v>
      </c>
      <c r="G290" s="10"/>
      <c r="H290" s="10"/>
    </row>
    <row r="291">
      <c r="A291" s="11" t="s">
        <v>468</v>
      </c>
      <c r="B291" s="15" t="s">
        <v>124</v>
      </c>
      <c r="C291" s="15">
        <v>2024.0</v>
      </c>
      <c r="D291" s="15" t="s">
        <v>469</v>
      </c>
      <c r="E291" s="18">
        <v>45385.0</v>
      </c>
      <c r="F291" s="15" t="s">
        <v>393</v>
      </c>
      <c r="G291" s="10"/>
      <c r="H291" s="10"/>
    </row>
    <row r="292">
      <c r="A292" s="11" t="s">
        <v>470</v>
      </c>
      <c r="B292" s="15" t="s">
        <v>471</v>
      </c>
      <c r="C292" s="15">
        <v>2024.0</v>
      </c>
      <c r="D292" s="15" t="s">
        <v>13</v>
      </c>
      <c r="E292" s="18">
        <v>45385.0</v>
      </c>
      <c r="F292" s="15" t="s">
        <v>425</v>
      </c>
      <c r="G292" s="10"/>
      <c r="H292" s="10"/>
    </row>
    <row r="293">
      <c r="A293" s="11" t="s">
        <v>472</v>
      </c>
      <c r="B293" s="15" t="s">
        <v>471</v>
      </c>
      <c r="C293" s="15">
        <v>2024.0</v>
      </c>
      <c r="D293" s="15" t="s">
        <v>13</v>
      </c>
      <c r="E293" s="18">
        <v>45387.0</v>
      </c>
      <c r="F293" s="15" t="s">
        <v>393</v>
      </c>
      <c r="G293" s="10"/>
      <c r="H293" s="10"/>
    </row>
    <row r="294">
      <c r="A294" s="11" t="s">
        <v>473</v>
      </c>
      <c r="B294" s="15" t="s">
        <v>471</v>
      </c>
      <c r="C294" s="15">
        <v>2024.0</v>
      </c>
      <c r="D294" s="15" t="s">
        <v>13</v>
      </c>
      <c r="E294" s="18">
        <v>45387.0</v>
      </c>
      <c r="F294" s="15" t="s">
        <v>425</v>
      </c>
      <c r="G294" s="10"/>
      <c r="H294" s="10"/>
    </row>
    <row r="295">
      <c r="A295" s="11" t="s">
        <v>474</v>
      </c>
      <c r="B295" s="15" t="s">
        <v>471</v>
      </c>
      <c r="C295" s="15">
        <v>2024.0</v>
      </c>
      <c r="D295" s="15" t="s">
        <v>475</v>
      </c>
      <c r="E295" s="18"/>
      <c r="F295" s="15"/>
      <c r="G295" s="10"/>
      <c r="H295" s="10"/>
    </row>
    <row r="296">
      <c r="A296" s="11" t="s">
        <v>476</v>
      </c>
      <c r="B296" s="15" t="s">
        <v>471</v>
      </c>
      <c r="C296" s="15">
        <v>2024.0</v>
      </c>
      <c r="D296" s="15" t="s">
        <v>477</v>
      </c>
      <c r="E296" s="18">
        <v>45401.0</v>
      </c>
      <c r="F296" s="15" t="s">
        <v>393</v>
      </c>
      <c r="G296" s="10"/>
      <c r="H296" s="10"/>
    </row>
    <row r="297">
      <c r="A297" s="11" t="s">
        <v>478</v>
      </c>
      <c r="B297" s="15" t="s">
        <v>471</v>
      </c>
      <c r="C297" s="15">
        <v>2024.0</v>
      </c>
      <c r="D297" s="15" t="s">
        <v>288</v>
      </c>
      <c r="E297" s="18">
        <v>45403.0</v>
      </c>
      <c r="F297" s="15" t="s">
        <v>393</v>
      </c>
      <c r="G297" s="10"/>
      <c r="H297" s="10"/>
    </row>
    <row r="298">
      <c r="A298" s="11" t="s">
        <v>479</v>
      </c>
      <c r="B298" s="15" t="s">
        <v>124</v>
      </c>
      <c r="C298" s="15">
        <v>2024.0</v>
      </c>
      <c r="D298" s="15" t="s">
        <v>480</v>
      </c>
      <c r="E298" s="18">
        <v>45404.0</v>
      </c>
      <c r="F298" s="15" t="s">
        <v>393</v>
      </c>
      <c r="G298" s="10"/>
      <c r="H298" s="10"/>
    </row>
    <row r="299">
      <c r="A299" s="11" t="s">
        <v>481</v>
      </c>
      <c r="B299" s="15" t="s">
        <v>124</v>
      </c>
      <c r="C299" s="15">
        <v>2024.0</v>
      </c>
      <c r="D299" s="15" t="s">
        <v>47</v>
      </c>
      <c r="E299" s="18">
        <v>45405.0</v>
      </c>
      <c r="F299" s="15" t="s">
        <v>393</v>
      </c>
      <c r="G299" s="10"/>
      <c r="H299" s="10"/>
    </row>
    <row r="300">
      <c r="A300" s="11" t="s">
        <v>482</v>
      </c>
      <c r="B300" s="15" t="s">
        <v>124</v>
      </c>
      <c r="C300" s="15">
        <v>2024.0</v>
      </c>
      <c r="D300" s="15" t="s">
        <v>34</v>
      </c>
      <c r="E300" s="18">
        <v>45405.0</v>
      </c>
      <c r="F300" s="15" t="s">
        <v>425</v>
      </c>
      <c r="G300" s="10"/>
      <c r="H300" s="10"/>
    </row>
    <row r="301">
      <c r="A301" s="11" t="s">
        <v>483</v>
      </c>
      <c r="B301" s="15" t="s">
        <v>124</v>
      </c>
      <c r="C301" s="15">
        <v>2024.0</v>
      </c>
      <c r="D301" s="15" t="s">
        <v>484</v>
      </c>
      <c r="E301" s="18">
        <v>45406.0</v>
      </c>
      <c r="F301" s="15" t="s">
        <v>393</v>
      </c>
      <c r="G301" s="10"/>
      <c r="H301" s="10"/>
    </row>
    <row r="302">
      <c r="A302" s="11" t="s">
        <v>485</v>
      </c>
      <c r="B302" s="15" t="s">
        <v>150</v>
      </c>
      <c r="C302" s="15">
        <v>2024.0</v>
      </c>
      <c r="D302" s="15" t="s">
        <v>486</v>
      </c>
      <c r="E302" s="18">
        <v>45418.0</v>
      </c>
      <c r="F302" s="15" t="s">
        <v>425</v>
      </c>
      <c r="G302" s="10"/>
      <c r="H302" s="10"/>
    </row>
    <row r="303">
      <c r="A303" s="11" t="s">
        <v>487</v>
      </c>
      <c r="B303" s="15" t="s">
        <v>150</v>
      </c>
      <c r="C303" s="15">
        <v>2024.0</v>
      </c>
      <c r="D303" s="15" t="s">
        <v>488</v>
      </c>
      <c r="E303" s="18">
        <v>45419.0</v>
      </c>
      <c r="F303" s="15" t="s">
        <v>393</v>
      </c>
      <c r="G303" s="10"/>
      <c r="H303" s="10"/>
    </row>
    <row r="304">
      <c r="A304" s="11" t="s">
        <v>489</v>
      </c>
      <c r="B304" s="15" t="s">
        <v>150</v>
      </c>
      <c r="C304" s="15">
        <v>2024.0</v>
      </c>
      <c r="D304" s="15" t="s">
        <v>490</v>
      </c>
      <c r="E304" s="18">
        <v>45419.0</v>
      </c>
      <c r="F304" s="15" t="s">
        <v>431</v>
      </c>
      <c r="G304" s="10"/>
      <c r="H304" s="10"/>
    </row>
    <row r="305">
      <c r="A305" s="11" t="s">
        <v>491</v>
      </c>
      <c r="B305" s="15" t="s">
        <v>150</v>
      </c>
      <c r="C305" s="15">
        <v>2024.0</v>
      </c>
      <c r="D305" s="15" t="s">
        <v>492</v>
      </c>
      <c r="E305" s="18">
        <v>45424.0</v>
      </c>
      <c r="F305" s="15" t="s">
        <v>393</v>
      </c>
      <c r="G305" s="10"/>
      <c r="H305" s="10"/>
    </row>
    <row r="306">
      <c r="A306" s="11" t="s">
        <v>493</v>
      </c>
      <c r="B306" s="15" t="s">
        <v>150</v>
      </c>
      <c r="C306" s="15">
        <v>2024.0</v>
      </c>
      <c r="D306" s="15" t="s">
        <v>494</v>
      </c>
      <c r="E306" s="18">
        <v>45426.0</v>
      </c>
      <c r="F306" s="15" t="s">
        <v>425</v>
      </c>
      <c r="G306" s="10"/>
      <c r="H306" s="10"/>
    </row>
    <row r="307">
      <c r="A307" s="11" t="s">
        <v>495</v>
      </c>
      <c r="B307" s="15" t="s">
        <v>150</v>
      </c>
      <c r="C307" s="15">
        <v>2024.0</v>
      </c>
      <c r="D307" s="15" t="s">
        <v>496</v>
      </c>
      <c r="E307" s="18">
        <v>45414.0</v>
      </c>
      <c r="F307" s="15" t="s">
        <v>393</v>
      </c>
      <c r="G307" s="10"/>
      <c r="H307" s="10"/>
    </row>
    <row r="308">
      <c r="A308" s="11" t="s">
        <v>497</v>
      </c>
      <c r="B308" s="15" t="s">
        <v>150</v>
      </c>
      <c r="C308" s="15">
        <v>2024.0</v>
      </c>
      <c r="D308" s="15" t="s">
        <v>445</v>
      </c>
      <c r="E308" s="18">
        <v>45432.0</v>
      </c>
      <c r="F308" s="15" t="s">
        <v>393</v>
      </c>
      <c r="G308" s="10"/>
      <c r="H308" s="10"/>
    </row>
    <row r="309">
      <c r="A309" s="11" t="s">
        <v>498</v>
      </c>
      <c r="B309" s="15" t="s">
        <v>150</v>
      </c>
      <c r="C309" s="15">
        <v>2024.0</v>
      </c>
      <c r="D309" s="15" t="s">
        <v>499</v>
      </c>
      <c r="E309" s="18">
        <v>45420.0</v>
      </c>
      <c r="F309" s="15" t="s">
        <v>431</v>
      </c>
      <c r="G309" s="10"/>
      <c r="H309" s="10"/>
    </row>
    <row r="310">
      <c r="A310" s="11" t="s">
        <v>500</v>
      </c>
      <c r="B310" s="15" t="s">
        <v>150</v>
      </c>
      <c r="C310" s="15">
        <v>2024.0</v>
      </c>
      <c r="D310" s="15" t="s">
        <v>501</v>
      </c>
      <c r="E310" s="18">
        <v>45420.0</v>
      </c>
      <c r="F310" s="15" t="s">
        <v>431</v>
      </c>
      <c r="G310" s="10"/>
      <c r="H310" s="10"/>
    </row>
    <row r="311">
      <c r="A311" s="11" t="s">
        <v>502</v>
      </c>
      <c r="B311" s="15" t="s">
        <v>150</v>
      </c>
      <c r="C311" s="15">
        <v>2024.0</v>
      </c>
      <c r="D311" s="15" t="s">
        <v>26</v>
      </c>
      <c r="E311" s="18">
        <v>45433.0</v>
      </c>
      <c r="F311" s="15" t="s">
        <v>503</v>
      </c>
      <c r="G311" s="10"/>
      <c r="H311" s="10"/>
    </row>
    <row r="312">
      <c r="A312" s="11" t="s">
        <v>504</v>
      </c>
      <c r="B312" s="15" t="s">
        <v>150</v>
      </c>
      <c r="C312" s="15">
        <v>2024.0</v>
      </c>
      <c r="D312" s="15" t="s">
        <v>488</v>
      </c>
      <c r="E312" s="18">
        <v>45434.0</v>
      </c>
      <c r="F312" s="15" t="s">
        <v>431</v>
      </c>
      <c r="G312" s="10"/>
      <c r="H312" s="10"/>
    </row>
    <row r="313">
      <c r="A313" s="11" t="s">
        <v>505</v>
      </c>
      <c r="B313" s="15" t="s">
        <v>150</v>
      </c>
      <c r="C313" s="15">
        <v>2024.0</v>
      </c>
      <c r="D313" s="15" t="s">
        <v>506</v>
      </c>
      <c r="E313" s="18">
        <v>45439.0</v>
      </c>
      <c r="F313" s="15" t="s">
        <v>393</v>
      </c>
      <c r="G313" s="10"/>
      <c r="H313" s="10"/>
    </row>
    <row r="314">
      <c r="A314" s="11" t="s">
        <v>507</v>
      </c>
      <c r="B314" s="15" t="s">
        <v>150</v>
      </c>
      <c r="C314" s="15">
        <v>2024.0</v>
      </c>
      <c r="D314" s="15" t="s">
        <v>508</v>
      </c>
      <c r="E314" s="18">
        <v>45440.0</v>
      </c>
      <c r="F314" s="15" t="s">
        <v>393</v>
      </c>
      <c r="G314" s="10"/>
      <c r="H314" s="10"/>
    </row>
    <row r="315">
      <c r="A315" s="11" t="s">
        <v>509</v>
      </c>
      <c r="B315" s="15" t="s">
        <v>150</v>
      </c>
      <c r="C315" s="15">
        <v>2024.0</v>
      </c>
      <c r="D315" s="15" t="s">
        <v>510</v>
      </c>
      <c r="E315" s="18">
        <v>45442.0</v>
      </c>
      <c r="F315" s="15" t="s">
        <v>393</v>
      </c>
      <c r="G315" s="10"/>
      <c r="H315" s="10"/>
    </row>
    <row r="316">
      <c r="A316" s="11" t="s">
        <v>511</v>
      </c>
      <c r="B316" s="15" t="s">
        <v>150</v>
      </c>
      <c r="C316" s="15">
        <v>2024.0</v>
      </c>
      <c r="D316" s="15" t="s">
        <v>512</v>
      </c>
      <c r="E316" s="18">
        <v>45442.0</v>
      </c>
      <c r="F316" s="15" t="s">
        <v>425</v>
      </c>
      <c r="G316" s="10"/>
      <c r="H316" s="10"/>
    </row>
    <row r="317">
      <c r="A317" s="11" t="s">
        <v>513</v>
      </c>
      <c r="B317" s="15" t="s">
        <v>185</v>
      </c>
      <c r="C317" s="15">
        <v>2024.0</v>
      </c>
      <c r="D317" s="15" t="s">
        <v>116</v>
      </c>
      <c r="E317" s="18">
        <v>45446.0</v>
      </c>
      <c r="F317" s="15" t="s">
        <v>425</v>
      </c>
      <c r="G317" s="10"/>
      <c r="H317" s="10"/>
    </row>
    <row r="318">
      <c r="A318" s="11" t="s">
        <v>514</v>
      </c>
      <c r="B318" s="15" t="s">
        <v>185</v>
      </c>
      <c r="C318" s="15">
        <v>2024.0</v>
      </c>
      <c r="D318" s="15" t="s">
        <v>515</v>
      </c>
      <c r="E318" s="18">
        <v>45446.0</v>
      </c>
      <c r="F318" s="15" t="s">
        <v>425</v>
      </c>
      <c r="G318" s="10"/>
      <c r="H318" s="10"/>
    </row>
    <row r="319">
      <c r="A319" s="11" t="s">
        <v>516</v>
      </c>
      <c r="B319" s="15" t="s">
        <v>185</v>
      </c>
      <c r="C319" s="15">
        <v>2024.0</v>
      </c>
      <c r="D319" s="15" t="s">
        <v>517</v>
      </c>
      <c r="E319" s="18">
        <v>45454.0</v>
      </c>
      <c r="F319" s="15" t="s">
        <v>393</v>
      </c>
      <c r="G319" s="10"/>
      <c r="H319" s="10"/>
    </row>
    <row r="320">
      <c r="A320" s="11" t="s">
        <v>518</v>
      </c>
      <c r="B320" s="15" t="s">
        <v>185</v>
      </c>
      <c r="C320" s="15">
        <v>2024.0</v>
      </c>
      <c r="D320" s="15" t="s">
        <v>157</v>
      </c>
      <c r="E320" s="18">
        <v>45454.0</v>
      </c>
      <c r="F320" s="9"/>
      <c r="G320" s="10"/>
      <c r="H320" s="10"/>
    </row>
    <row r="321">
      <c r="A321" s="11" t="s">
        <v>519</v>
      </c>
      <c r="B321" s="15" t="s">
        <v>185</v>
      </c>
      <c r="C321" s="15">
        <v>2024.0</v>
      </c>
      <c r="D321" s="15" t="s">
        <v>520</v>
      </c>
      <c r="E321" s="18">
        <v>45455.0</v>
      </c>
      <c r="F321" s="15" t="s">
        <v>393</v>
      </c>
      <c r="G321" s="10"/>
      <c r="H321" s="10"/>
    </row>
    <row r="322">
      <c r="A322" s="11" t="s">
        <v>521</v>
      </c>
      <c r="B322" s="15" t="s">
        <v>185</v>
      </c>
      <c r="C322" s="15">
        <v>2024.0</v>
      </c>
      <c r="D322" s="15" t="s">
        <v>522</v>
      </c>
      <c r="E322" s="18">
        <v>45463.0</v>
      </c>
      <c r="F322" s="15" t="s">
        <v>425</v>
      </c>
      <c r="G322" s="10"/>
      <c r="H322" s="10"/>
    </row>
    <row r="323">
      <c r="A323" s="11" t="s">
        <v>523</v>
      </c>
      <c r="B323" s="15" t="s">
        <v>185</v>
      </c>
      <c r="C323" s="15">
        <v>2024.0</v>
      </c>
      <c r="D323" s="15" t="s">
        <v>524</v>
      </c>
      <c r="E323" s="18">
        <v>45464.0</v>
      </c>
      <c r="F323" s="15" t="s">
        <v>393</v>
      </c>
      <c r="G323" s="10"/>
      <c r="H323" s="10"/>
    </row>
    <row r="324">
      <c r="A324" s="11" t="s">
        <v>525</v>
      </c>
      <c r="B324" s="15" t="s">
        <v>185</v>
      </c>
      <c r="C324" s="15">
        <v>2024.0</v>
      </c>
      <c r="D324" s="15" t="s">
        <v>526</v>
      </c>
      <c r="E324" s="18">
        <v>45468.0</v>
      </c>
      <c r="F324" s="15" t="s">
        <v>393</v>
      </c>
      <c r="G324" s="10"/>
      <c r="H324" s="10"/>
    </row>
    <row r="325">
      <c r="A325" s="11" t="s">
        <v>527</v>
      </c>
      <c r="B325" s="15" t="s">
        <v>185</v>
      </c>
      <c r="C325" s="15">
        <v>2024.0</v>
      </c>
      <c r="D325" s="15" t="s">
        <v>157</v>
      </c>
      <c r="E325" s="18">
        <v>45468.0</v>
      </c>
      <c r="F325" s="15" t="s">
        <v>425</v>
      </c>
      <c r="G325" s="10"/>
      <c r="H325" s="10"/>
    </row>
    <row r="326">
      <c r="A326" s="11" t="s">
        <v>528</v>
      </c>
      <c r="B326" s="15" t="s">
        <v>185</v>
      </c>
      <c r="C326" s="15">
        <v>2024.0</v>
      </c>
      <c r="D326" s="15" t="s">
        <v>529</v>
      </c>
      <c r="E326" s="18">
        <v>45470.0</v>
      </c>
      <c r="F326" s="15" t="s">
        <v>425</v>
      </c>
      <c r="G326" s="10"/>
      <c r="H326" s="10"/>
    </row>
    <row r="327">
      <c r="A327" s="11" t="s">
        <v>530</v>
      </c>
      <c r="B327" s="15" t="s">
        <v>185</v>
      </c>
      <c r="C327" s="15">
        <v>2024.0</v>
      </c>
      <c r="D327" s="15" t="s">
        <v>488</v>
      </c>
      <c r="E327" s="18">
        <v>45471.0</v>
      </c>
      <c r="F327" s="15" t="s">
        <v>393</v>
      </c>
      <c r="G327" s="10"/>
      <c r="H327" s="10"/>
    </row>
    <row r="328">
      <c r="A328" s="11" t="s">
        <v>531</v>
      </c>
      <c r="B328" s="15" t="s">
        <v>185</v>
      </c>
      <c r="C328" s="15">
        <v>2024.0</v>
      </c>
      <c r="D328" s="15" t="s">
        <v>475</v>
      </c>
      <c r="E328" s="18">
        <v>45472.0</v>
      </c>
      <c r="F328" s="15" t="s">
        <v>393</v>
      </c>
      <c r="G328" s="10"/>
      <c r="H328" s="10"/>
    </row>
    <row r="329">
      <c r="A329" s="11" t="s">
        <v>532</v>
      </c>
      <c r="B329" s="15" t="s">
        <v>200</v>
      </c>
      <c r="C329" s="15">
        <v>2024.0</v>
      </c>
      <c r="D329" s="15" t="s">
        <v>533</v>
      </c>
      <c r="E329" s="18">
        <v>45475.0</v>
      </c>
      <c r="F329" s="15" t="s">
        <v>393</v>
      </c>
      <c r="G329" s="10"/>
      <c r="H329" s="10"/>
    </row>
    <row r="330">
      <c r="A330" s="11" t="s">
        <v>534</v>
      </c>
      <c r="B330" s="15" t="s">
        <v>200</v>
      </c>
      <c r="C330" s="15">
        <v>2024.0</v>
      </c>
      <c r="D330" s="15" t="s">
        <v>535</v>
      </c>
      <c r="E330" s="18">
        <v>45468.0</v>
      </c>
      <c r="F330" s="15" t="s">
        <v>341</v>
      </c>
      <c r="G330" s="10"/>
      <c r="H330" s="10"/>
    </row>
    <row r="331">
      <c r="A331" s="11" t="s">
        <v>536</v>
      </c>
      <c r="B331" s="15" t="s">
        <v>200</v>
      </c>
      <c r="C331" s="15">
        <v>2024.0</v>
      </c>
      <c r="D331" s="15" t="s">
        <v>380</v>
      </c>
      <c r="E331" s="18">
        <v>45476.0</v>
      </c>
      <c r="F331" s="15" t="s">
        <v>393</v>
      </c>
      <c r="G331" s="10"/>
      <c r="H331" s="10"/>
    </row>
    <row r="332">
      <c r="A332" s="11" t="s">
        <v>537</v>
      </c>
      <c r="B332" s="15" t="s">
        <v>200</v>
      </c>
      <c r="C332" s="15">
        <v>2024.0</v>
      </c>
      <c r="D332" s="15" t="s">
        <v>380</v>
      </c>
      <c r="E332" s="18">
        <v>45476.0</v>
      </c>
      <c r="F332" s="15" t="s">
        <v>393</v>
      </c>
      <c r="G332" s="10"/>
      <c r="H332" s="10"/>
    </row>
    <row r="333">
      <c r="A333" s="11" t="s">
        <v>538</v>
      </c>
      <c r="B333" s="15" t="s">
        <v>200</v>
      </c>
      <c r="C333" s="15">
        <v>2024.0</v>
      </c>
      <c r="D333" s="15" t="s">
        <v>539</v>
      </c>
      <c r="E333" s="18">
        <v>45477.0</v>
      </c>
      <c r="F333" s="15" t="s">
        <v>393</v>
      </c>
      <c r="G333" s="10"/>
      <c r="H333" s="10"/>
    </row>
    <row r="334">
      <c r="A334" s="11" t="s">
        <v>540</v>
      </c>
      <c r="B334" s="15" t="s">
        <v>200</v>
      </c>
      <c r="C334" s="15">
        <v>2024.0</v>
      </c>
      <c r="D334" s="15" t="s">
        <v>539</v>
      </c>
      <c r="E334" s="18">
        <v>45483.0</v>
      </c>
      <c r="F334" s="15" t="s">
        <v>393</v>
      </c>
      <c r="G334" s="10"/>
      <c r="H334" s="10"/>
    </row>
    <row r="335">
      <c r="A335" s="11" t="s">
        <v>541</v>
      </c>
      <c r="B335" s="15" t="s">
        <v>200</v>
      </c>
      <c r="C335" s="15">
        <v>2024.0</v>
      </c>
      <c r="D335" s="15" t="s">
        <v>542</v>
      </c>
      <c r="E335" s="18">
        <v>45494.0</v>
      </c>
      <c r="F335" s="15" t="s">
        <v>393</v>
      </c>
      <c r="G335" s="10"/>
      <c r="H335" s="10"/>
    </row>
    <row r="336">
      <c r="A336" s="11" t="s">
        <v>543</v>
      </c>
      <c r="B336" s="15" t="s">
        <v>200</v>
      </c>
      <c r="C336" s="15">
        <v>2024.0</v>
      </c>
      <c r="D336" s="15" t="s">
        <v>539</v>
      </c>
      <c r="E336" s="18">
        <v>45496.0</v>
      </c>
      <c r="F336" s="15" t="s">
        <v>393</v>
      </c>
      <c r="G336" s="10"/>
      <c r="H336" s="10"/>
    </row>
    <row r="337">
      <c r="A337" s="11" t="s">
        <v>544</v>
      </c>
      <c r="B337" s="15" t="s">
        <v>200</v>
      </c>
      <c r="C337" s="15">
        <v>2024.0</v>
      </c>
      <c r="D337" s="15" t="s">
        <v>480</v>
      </c>
      <c r="E337" s="18">
        <v>45497.0</v>
      </c>
      <c r="F337" s="15" t="s">
        <v>425</v>
      </c>
      <c r="G337" s="10"/>
      <c r="H337" s="10"/>
    </row>
    <row r="338">
      <c r="A338" s="11" t="s">
        <v>545</v>
      </c>
      <c r="B338" s="15" t="s">
        <v>200</v>
      </c>
      <c r="C338" s="15">
        <v>2024.0</v>
      </c>
      <c r="D338" s="15" t="s">
        <v>546</v>
      </c>
      <c r="E338" s="18">
        <v>45498.0</v>
      </c>
      <c r="F338" s="15" t="s">
        <v>425</v>
      </c>
      <c r="G338" s="10"/>
      <c r="H338" s="10"/>
    </row>
    <row r="339">
      <c r="A339" s="11" t="s">
        <v>547</v>
      </c>
      <c r="B339" s="15" t="s">
        <v>200</v>
      </c>
      <c r="C339" s="15">
        <v>2024.0</v>
      </c>
      <c r="D339" s="15" t="s">
        <v>26</v>
      </c>
      <c r="E339" s="18">
        <v>45499.0</v>
      </c>
      <c r="F339" s="9"/>
      <c r="G339" s="10"/>
      <c r="H339" s="10"/>
    </row>
    <row r="340">
      <c r="A340" s="11" t="s">
        <v>548</v>
      </c>
      <c r="B340" s="15" t="s">
        <v>200</v>
      </c>
      <c r="C340" s="15">
        <v>2024.0</v>
      </c>
      <c r="D340" s="15" t="s">
        <v>539</v>
      </c>
      <c r="E340" s="18">
        <v>45500.0</v>
      </c>
      <c r="F340" s="15" t="s">
        <v>393</v>
      </c>
      <c r="G340" s="10"/>
      <c r="H340" s="10"/>
    </row>
    <row r="341">
      <c r="A341" s="11" t="s">
        <v>549</v>
      </c>
      <c r="B341" s="15" t="s">
        <v>200</v>
      </c>
      <c r="C341" s="15">
        <v>2024.0</v>
      </c>
      <c r="D341" s="15" t="s">
        <v>225</v>
      </c>
      <c r="E341" s="18" t="s">
        <v>550</v>
      </c>
      <c r="F341" s="15" t="s">
        <v>393</v>
      </c>
      <c r="G341" s="10"/>
      <c r="H341" s="10"/>
    </row>
    <row r="342">
      <c r="A342" s="11" t="s">
        <v>551</v>
      </c>
      <c r="B342" s="15" t="s">
        <v>200</v>
      </c>
      <c r="C342" s="15">
        <v>2024.0</v>
      </c>
      <c r="D342" s="15" t="s">
        <v>552</v>
      </c>
      <c r="E342" s="18">
        <v>45499.0</v>
      </c>
      <c r="F342" s="15" t="s">
        <v>431</v>
      </c>
      <c r="G342" s="10"/>
      <c r="H342" s="10"/>
    </row>
    <row r="343">
      <c r="A343" s="11" t="s">
        <v>553</v>
      </c>
      <c r="B343" s="15" t="s">
        <v>200</v>
      </c>
      <c r="C343" s="15">
        <v>2024.0</v>
      </c>
      <c r="D343" s="15" t="s">
        <v>143</v>
      </c>
      <c r="E343" s="18">
        <v>45502.0</v>
      </c>
      <c r="F343" s="15" t="s">
        <v>393</v>
      </c>
      <c r="G343" s="10"/>
      <c r="H343" s="10"/>
    </row>
    <row r="344">
      <c r="A344" s="11" t="s">
        <v>554</v>
      </c>
      <c r="B344" s="15" t="s">
        <v>200</v>
      </c>
      <c r="C344" s="15">
        <v>2024.0</v>
      </c>
      <c r="D344" s="15" t="s">
        <v>555</v>
      </c>
      <c r="E344" s="18">
        <v>45501.0</v>
      </c>
      <c r="F344" s="15" t="s">
        <v>431</v>
      </c>
      <c r="G344" s="10"/>
      <c r="H344" s="10"/>
    </row>
    <row r="345">
      <c r="A345" s="11" t="s">
        <v>556</v>
      </c>
      <c r="B345" s="15" t="s">
        <v>200</v>
      </c>
      <c r="C345" s="15">
        <v>2024.0</v>
      </c>
      <c r="D345" s="15" t="s">
        <v>116</v>
      </c>
      <c r="E345" s="18">
        <v>45503.0</v>
      </c>
      <c r="F345" s="15" t="s">
        <v>431</v>
      </c>
      <c r="G345" s="10"/>
      <c r="H345" s="10"/>
    </row>
    <row r="346">
      <c r="A346" s="11" t="s">
        <v>557</v>
      </c>
      <c r="B346" s="15" t="s">
        <v>200</v>
      </c>
      <c r="C346" s="15">
        <v>2024.0</v>
      </c>
      <c r="D346" s="15" t="s">
        <v>116</v>
      </c>
      <c r="E346" s="18">
        <v>45503.0</v>
      </c>
      <c r="F346" s="15" t="s">
        <v>300</v>
      </c>
      <c r="G346" s="10"/>
      <c r="H346" s="10"/>
    </row>
    <row r="347">
      <c r="A347" s="11" t="s">
        <v>558</v>
      </c>
      <c r="B347" s="15" t="s">
        <v>200</v>
      </c>
      <c r="C347" s="15">
        <v>2024.0</v>
      </c>
      <c r="D347" s="15" t="s">
        <v>559</v>
      </c>
      <c r="E347" s="9"/>
      <c r="F347" s="9"/>
      <c r="G347" s="10"/>
      <c r="H347" s="10"/>
    </row>
    <row r="348">
      <c r="A348" s="11" t="s">
        <v>560</v>
      </c>
      <c r="B348" s="15" t="s">
        <v>221</v>
      </c>
      <c r="C348" s="15">
        <v>2024.0</v>
      </c>
      <c r="D348" s="15" t="s">
        <v>116</v>
      </c>
      <c r="E348" s="18">
        <v>45505.0</v>
      </c>
      <c r="F348" s="15" t="s">
        <v>425</v>
      </c>
      <c r="G348" s="10"/>
      <c r="H348" s="10"/>
    </row>
    <row r="349">
      <c r="A349" s="11" t="s">
        <v>561</v>
      </c>
      <c r="B349" s="15" t="s">
        <v>221</v>
      </c>
      <c r="C349" s="15">
        <v>2024.0</v>
      </c>
      <c r="D349" s="15" t="s">
        <v>562</v>
      </c>
      <c r="E349" s="18">
        <v>45506.0</v>
      </c>
      <c r="F349" s="15" t="s">
        <v>393</v>
      </c>
      <c r="G349" s="10"/>
      <c r="H349" s="10"/>
    </row>
    <row r="350">
      <c r="A350" s="11" t="s">
        <v>563</v>
      </c>
      <c r="B350" s="15" t="s">
        <v>221</v>
      </c>
      <c r="C350" s="15">
        <v>2024.0</v>
      </c>
      <c r="D350" s="15" t="s">
        <v>517</v>
      </c>
      <c r="E350" s="18">
        <v>45506.0</v>
      </c>
      <c r="F350" s="15" t="s">
        <v>564</v>
      </c>
      <c r="G350" s="10"/>
      <c r="H350" s="10"/>
    </row>
    <row r="351">
      <c r="A351" s="11" t="s">
        <v>565</v>
      </c>
      <c r="B351" s="15" t="s">
        <v>221</v>
      </c>
      <c r="C351" s="15">
        <v>2024.0</v>
      </c>
      <c r="D351" s="15" t="s">
        <v>47</v>
      </c>
      <c r="E351" s="18">
        <v>45510.0</v>
      </c>
      <c r="F351" s="15" t="s">
        <v>393</v>
      </c>
      <c r="G351" s="10"/>
      <c r="H351" s="10"/>
    </row>
    <row r="352">
      <c r="A352" s="11" t="s">
        <v>566</v>
      </c>
      <c r="B352" s="15" t="s">
        <v>221</v>
      </c>
      <c r="C352" s="15">
        <v>2024.0</v>
      </c>
      <c r="D352" s="15" t="s">
        <v>567</v>
      </c>
      <c r="E352" s="18">
        <v>45513.0</v>
      </c>
      <c r="F352" s="15" t="s">
        <v>393</v>
      </c>
      <c r="G352" s="10"/>
      <c r="H352" s="10"/>
    </row>
    <row r="353">
      <c r="A353" s="11" t="s">
        <v>568</v>
      </c>
      <c r="B353" s="15" t="s">
        <v>221</v>
      </c>
      <c r="C353" s="15">
        <v>2024.0</v>
      </c>
      <c r="D353" s="15" t="s">
        <v>567</v>
      </c>
      <c r="E353" s="18">
        <v>45514.0</v>
      </c>
      <c r="F353" s="15" t="s">
        <v>431</v>
      </c>
      <c r="G353" s="10"/>
      <c r="H353" s="10"/>
    </row>
    <row r="354">
      <c r="A354" s="11" t="s">
        <v>569</v>
      </c>
      <c r="B354" s="15" t="s">
        <v>221</v>
      </c>
      <c r="C354" s="15">
        <v>2024.0</v>
      </c>
      <c r="D354" s="15" t="s">
        <v>570</v>
      </c>
      <c r="E354" s="18">
        <v>45515.0</v>
      </c>
      <c r="F354" s="15" t="s">
        <v>393</v>
      </c>
      <c r="G354" s="10"/>
      <c r="H354" s="10"/>
    </row>
    <row r="355">
      <c r="A355" s="11" t="s">
        <v>571</v>
      </c>
      <c r="B355" s="15" t="s">
        <v>221</v>
      </c>
      <c r="C355" s="15">
        <v>2024.0</v>
      </c>
      <c r="D355" s="15" t="s">
        <v>529</v>
      </c>
      <c r="E355" s="18">
        <v>45516.0</v>
      </c>
      <c r="F355" s="15" t="s">
        <v>393</v>
      </c>
      <c r="G355" s="10"/>
      <c r="H355" s="10"/>
    </row>
    <row r="356">
      <c r="A356" s="11" t="s">
        <v>572</v>
      </c>
      <c r="B356" s="15" t="s">
        <v>221</v>
      </c>
      <c r="C356" s="15">
        <v>2024.0</v>
      </c>
      <c r="D356" s="15" t="s">
        <v>421</v>
      </c>
      <c r="E356" s="18">
        <v>45516.0</v>
      </c>
      <c r="F356" s="15" t="s">
        <v>393</v>
      </c>
      <c r="G356" s="10"/>
      <c r="H356" s="10"/>
    </row>
    <row r="357">
      <c r="A357" s="11" t="s">
        <v>573</v>
      </c>
      <c r="B357" s="15" t="s">
        <v>221</v>
      </c>
      <c r="C357" s="15">
        <v>2024.0</v>
      </c>
      <c r="D357" s="15" t="s">
        <v>574</v>
      </c>
      <c r="E357" s="18">
        <v>45516.0</v>
      </c>
      <c r="F357" s="15" t="s">
        <v>393</v>
      </c>
      <c r="G357" s="10"/>
      <c r="H357" s="10"/>
    </row>
    <row r="358">
      <c r="A358" s="11" t="s">
        <v>575</v>
      </c>
      <c r="B358" s="15" t="s">
        <v>221</v>
      </c>
      <c r="C358" s="15">
        <v>2024.0</v>
      </c>
      <c r="D358" s="15" t="s">
        <v>576</v>
      </c>
      <c r="E358" s="18">
        <v>45517.0</v>
      </c>
      <c r="F358" s="15" t="s">
        <v>431</v>
      </c>
      <c r="G358" s="10"/>
      <c r="H358" s="10"/>
    </row>
    <row r="359">
      <c r="A359" s="11" t="s">
        <v>577</v>
      </c>
      <c r="B359" s="15" t="s">
        <v>221</v>
      </c>
      <c r="C359" s="15">
        <v>2024.0</v>
      </c>
      <c r="D359" s="15" t="s">
        <v>143</v>
      </c>
      <c r="E359" s="18">
        <v>45519.0</v>
      </c>
      <c r="F359" s="15" t="s">
        <v>425</v>
      </c>
      <c r="G359" s="10"/>
      <c r="H359" s="10"/>
    </row>
    <row r="360">
      <c r="A360" s="11" t="s">
        <v>578</v>
      </c>
      <c r="B360" s="15" t="s">
        <v>221</v>
      </c>
      <c r="C360" s="15">
        <v>2024.0</v>
      </c>
      <c r="D360" s="15" t="s">
        <v>157</v>
      </c>
      <c r="E360" s="18">
        <v>45520.0</v>
      </c>
      <c r="F360" s="15" t="s">
        <v>393</v>
      </c>
      <c r="G360" s="10"/>
      <c r="H360" s="10"/>
    </row>
    <row r="361">
      <c r="A361" s="11" t="s">
        <v>579</v>
      </c>
      <c r="B361" s="15" t="s">
        <v>221</v>
      </c>
      <c r="C361" s="15">
        <v>2024.0</v>
      </c>
      <c r="D361" s="15" t="s">
        <v>539</v>
      </c>
      <c r="E361" s="18">
        <v>45522.0</v>
      </c>
      <c r="F361" s="9"/>
      <c r="G361" s="10"/>
      <c r="H361" s="10"/>
    </row>
    <row r="362">
      <c r="A362" s="11" t="s">
        <v>580</v>
      </c>
      <c r="B362" s="15" t="s">
        <v>221</v>
      </c>
      <c r="C362" s="15">
        <v>2024.0</v>
      </c>
      <c r="D362" s="15" t="s">
        <v>529</v>
      </c>
      <c r="E362" s="18">
        <v>45524.0</v>
      </c>
      <c r="F362" s="15" t="s">
        <v>425</v>
      </c>
      <c r="G362" s="10"/>
      <c r="H362" s="10"/>
    </row>
    <row r="363">
      <c r="A363" s="11" t="s">
        <v>581</v>
      </c>
      <c r="B363" s="15" t="s">
        <v>221</v>
      </c>
      <c r="C363" s="15">
        <v>2024.0</v>
      </c>
      <c r="D363" s="15" t="s">
        <v>582</v>
      </c>
      <c r="E363" s="18">
        <v>45526.0</v>
      </c>
      <c r="F363" s="15" t="s">
        <v>393</v>
      </c>
      <c r="G363" s="10"/>
      <c r="H363" s="10"/>
    </row>
    <row r="364">
      <c r="A364" s="11" t="s">
        <v>583</v>
      </c>
      <c r="B364" s="15" t="s">
        <v>221</v>
      </c>
      <c r="C364" s="15">
        <v>2024.0</v>
      </c>
      <c r="D364" s="15" t="s">
        <v>584</v>
      </c>
      <c r="E364" s="18">
        <v>45526.0</v>
      </c>
      <c r="F364" s="15" t="s">
        <v>585</v>
      </c>
      <c r="G364" s="10"/>
      <c r="H364" s="10"/>
    </row>
    <row r="365">
      <c r="A365" s="11" t="s">
        <v>586</v>
      </c>
      <c r="B365" s="15" t="s">
        <v>221</v>
      </c>
      <c r="C365" s="15">
        <v>2024.0</v>
      </c>
      <c r="D365" s="15" t="s">
        <v>587</v>
      </c>
      <c r="E365" s="18">
        <v>45528.0</v>
      </c>
      <c r="F365" s="15" t="s">
        <v>393</v>
      </c>
      <c r="G365" s="10"/>
      <c r="H365" s="10"/>
    </row>
    <row r="366">
      <c r="A366" s="11" t="s">
        <v>588</v>
      </c>
      <c r="B366" s="15" t="s">
        <v>221</v>
      </c>
      <c r="C366" s="15">
        <v>2024.0</v>
      </c>
      <c r="D366" s="15" t="s">
        <v>587</v>
      </c>
      <c r="E366" s="18">
        <v>45532.0</v>
      </c>
      <c r="F366" s="15" t="s">
        <v>393</v>
      </c>
      <c r="G366" s="10"/>
      <c r="H366" s="10"/>
    </row>
    <row r="367">
      <c r="A367" s="11" t="s">
        <v>589</v>
      </c>
      <c r="B367" s="15" t="s">
        <v>221</v>
      </c>
      <c r="C367" s="15">
        <v>2024.0</v>
      </c>
      <c r="D367" s="15" t="s">
        <v>590</v>
      </c>
      <c r="E367" s="18">
        <v>45532.0</v>
      </c>
      <c r="F367" s="15" t="s">
        <v>393</v>
      </c>
      <c r="G367" s="10"/>
      <c r="H367" s="10"/>
    </row>
    <row r="368">
      <c r="A368" s="11" t="s">
        <v>591</v>
      </c>
      <c r="B368" s="15" t="s">
        <v>221</v>
      </c>
      <c r="C368" s="15">
        <v>2024.0</v>
      </c>
      <c r="D368" s="15" t="s">
        <v>592</v>
      </c>
      <c r="E368" s="18">
        <v>45533.0</v>
      </c>
      <c r="F368" s="15" t="s">
        <v>239</v>
      </c>
      <c r="G368" s="10"/>
      <c r="H368" s="10"/>
    </row>
    <row r="369">
      <c r="A369" s="11" t="s">
        <v>593</v>
      </c>
      <c r="B369" s="15" t="s">
        <v>221</v>
      </c>
      <c r="C369" s="15">
        <v>2024.0</v>
      </c>
      <c r="D369" s="15" t="s">
        <v>526</v>
      </c>
      <c r="E369" s="18">
        <v>45533.0</v>
      </c>
      <c r="F369" s="15" t="s">
        <v>393</v>
      </c>
      <c r="G369" s="10"/>
      <c r="H369" s="10"/>
    </row>
    <row r="370">
      <c r="A370" s="11" t="s">
        <v>594</v>
      </c>
      <c r="B370" s="15" t="s">
        <v>249</v>
      </c>
      <c r="C370" s="15">
        <v>2024.0</v>
      </c>
      <c r="D370" s="15" t="s">
        <v>595</v>
      </c>
      <c r="E370" s="9"/>
      <c r="F370" s="9"/>
      <c r="G370" s="10"/>
      <c r="H370" s="10"/>
    </row>
    <row r="371">
      <c r="A371" s="11" t="s">
        <v>596</v>
      </c>
      <c r="B371" s="15" t="s">
        <v>249</v>
      </c>
      <c r="C371" s="15">
        <v>2024.0</v>
      </c>
      <c r="D371" s="15" t="s">
        <v>587</v>
      </c>
      <c r="E371" s="18">
        <v>45549.0</v>
      </c>
      <c r="F371" s="15" t="s">
        <v>393</v>
      </c>
      <c r="G371" s="10"/>
      <c r="H371" s="10"/>
    </row>
    <row r="372">
      <c r="A372" s="11" t="s">
        <v>597</v>
      </c>
      <c r="B372" s="15" t="s">
        <v>249</v>
      </c>
      <c r="C372" s="15">
        <v>2024.0</v>
      </c>
      <c r="D372" s="15" t="s">
        <v>598</v>
      </c>
      <c r="E372" s="18">
        <v>45552.0</v>
      </c>
      <c r="F372" s="15" t="s">
        <v>585</v>
      </c>
      <c r="G372" s="10"/>
      <c r="H372" s="10"/>
    </row>
    <row r="373">
      <c r="A373" s="11" t="s">
        <v>599</v>
      </c>
      <c r="B373" s="15" t="s">
        <v>249</v>
      </c>
      <c r="C373" s="15">
        <v>2024.0</v>
      </c>
      <c r="D373" s="15" t="s">
        <v>600</v>
      </c>
      <c r="E373" s="18">
        <v>45554.0</v>
      </c>
      <c r="F373" s="15" t="s">
        <v>341</v>
      </c>
      <c r="G373" s="10"/>
      <c r="H373" s="10"/>
    </row>
    <row r="374">
      <c r="A374" s="11" t="s">
        <v>601</v>
      </c>
      <c r="B374" s="15" t="s">
        <v>249</v>
      </c>
      <c r="C374" s="15">
        <v>2024.0</v>
      </c>
      <c r="D374" s="15" t="s">
        <v>380</v>
      </c>
      <c r="E374" s="18">
        <v>45555.0</v>
      </c>
      <c r="F374" s="15" t="s">
        <v>602</v>
      </c>
      <c r="G374" s="10"/>
      <c r="H374" s="10"/>
    </row>
    <row r="375">
      <c r="A375" s="11" t="s">
        <v>603</v>
      </c>
      <c r="B375" s="15" t="s">
        <v>249</v>
      </c>
      <c r="C375" s="15">
        <v>2024.0</v>
      </c>
      <c r="D375" s="15" t="s">
        <v>26</v>
      </c>
      <c r="E375" s="18">
        <v>45561.0</v>
      </c>
      <c r="F375" s="15" t="s">
        <v>425</v>
      </c>
      <c r="G375" s="10"/>
      <c r="H375" s="10"/>
    </row>
    <row r="376">
      <c r="A376" s="11" t="s">
        <v>604</v>
      </c>
      <c r="B376" s="15" t="s">
        <v>249</v>
      </c>
      <c r="C376" s="15">
        <v>2024.0</v>
      </c>
      <c r="D376" s="15" t="s">
        <v>600</v>
      </c>
      <c r="E376" s="18">
        <v>45561.0</v>
      </c>
      <c r="F376" s="15" t="s">
        <v>300</v>
      </c>
      <c r="G376" s="10"/>
      <c r="H376" s="10"/>
    </row>
    <row r="377">
      <c r="A377" s="11" t="s">
        <v>605</v>
      </c>
      <c r="B377" s="15" t="s">
        <v>249</v>
      </c>
      <c r="C377" s="15">
        <v>2024.0</v>
      </c>
      <c r="D377" s="15" t="s">
        <v>606</v>
      </c>
      <c r="E377" s="18">
        <v>45564.0</v>
      </c>
      <c r="F377" s="15" t="s">
        <v>393</v>
      </c>
      <c r="G377" s="10"/>
      <c r="H377" s="10"/>
    </row>
    <row r="378">
      <c r="A378" s="11" t="s">
        <v>607</v>
      </c>
      <c r="B378" s="15" t="s">
        <v>249</v>
      </c>
      <c r="C378" s="15">
        <v>2024.0</v>
      </c>
      <c r="D378" s="15" t="s">
        <v>608</v>
      </c>
      <c r="E378" s="18">
        <v>45565.0</v>
      </c>
      <c r="F378" s="15" t="s">
        <v>609</v>
      </c>
      <c r="G378" s="10"/>
      <c r="H378" s="10"/>
    </row>
    <row r="379">
      <c r="A379" s="11" t="s">
        <v>610</v>
      </c>
      <c r="B379" s="15" t="s">
        <v>275</v>
      </c>
      <c r="C379" s="15">
        <v>2024.0</v>
      </c>
      <c r="D379" s="15" t="s">
        <v>611</v>
      </c>
      <c r="E379" s="18">
        <v>45567.0</v>
      </c>
      <c r="F379" s="15" t="s">
        <v>431</v>
      </c>
      <c r="G379" s="23" t="s">
        <v>612</v>
      </c>
      <c r="H379" s="10"/>
    </row>
    <row r="380">
      <c r="A380" s="11" t="s">
        <v>613</v>
      </c>
      <c r="B380" s="15" t="s">
        <v>275</v>
      </c>
      <c r="C380" s="15">
        <v>2024.0</v>
      </c>
      <c r="D380" s="15" t="s">
        <v>614</v>
      </c>
      <c r="E380" s="18">
        <v>45567.0</v>
      </c>
      <c r="F380" s="15" t="s">
        <v>431</v>
      </c>
      <c r="G380" s="10"/>
      <c r="H380" s="10"/>
    </row>
    <row r="381">
      <c r="A381" s="11" t="s">
        <v>615</v>
      </c>
      <c r="B381" s="15" t="s">
        <v>275</v>
      </c>
      <c r="C381" s="15">
        <v>2024.0</v>
      </c>
      <c r="D381" s="15" t="s">
        <v>587</v>
      </c>
      <c r="E381" s="18">
        <v>45567.0</v>
      </c>
      <c r="F381" s="15" t="s">
        <v>431</v>
      </c>
      <c r="G381" s="10"/>
      <c r="H381" s="10"/>
    </row>
    <row r="382">
      <c r="A382" s="11" t="s">
        <v>616</v>
      </c>
      <c r="B382" s="15" t="s">
        <v>275</v>
      </c>
      <c r="C382" s="15">
        <v>2024.0</v>
      </c>
      <c r="D382" s="15" t="s">
        <v>477</v>
      </c>
      <c r="E382" s="18">
        <v>45568.0</v>
      </c>
      <c r="F382" s="15" t="s">
        <v>425</v>
      </c>
      <c r="G382" s="10"/>
      <c r="H382" s="10"/>
    </row>
    <row r="383">
      <c r="A383" s="11" t="s">
        <v>617</v>
      </c>
      <c r="B383" s="15" t="s">
        <v>275</v>
      </c>
      <c r="C383" s="15">
        <v>2024.0</v>
      </c>
      <c r="D383" s="15" t="s">
        <v>618</v>
      </c>
      <c r="E383" s="18">
        <v>45568.0</v>
      </c>
      <c r="F383" s="15" t="s">
        <v>300</v>
      </c>
      <c r="G383" s="10"/>
      <c r="H383" s="10"/>
    </row>
    <row r="384">
      <c r="A384" s="11" t="s">
        <v>619</v>
      </c>
      <c r="B384" s="15" t="s">
        <v>275</v>
      </c>
      <c r="C384" s="15">
        <v>2024.0</v>
      </c>
      <c r="D384" s="15" t="s">
        <v>620</v>
      </c>
      <c r="E384" s="18">
        <v>45573.0</v>
      </c>
      <c r="F384" s="15" t="s">
        <v>393</v>
      </c>
      <c r="G384" s="10"/>
      <c r="H384" s="10"/>
    </row>
    <row r="385">
      <c r="A385" s="11" t="s">
        <v>621</v>
      </c>
      <c r="B385" s="15" t="s">
        <v>275</v>
      </c>
      <c r="C385" s="15">
        <v>2024.0</v>
      </c>
      <c r="D385" s="15" t="s">
        <v>384</v>
      </c>
      <c r="E385" s="18">
        <v>45573.0</v>
      </c>
      <c r="F385" s="15" t="s">
        <v>393</v>
      </c>
      <c r="G385" s="10"/>
      <c r="H385" s="10"/>
    </row>
    <row r="386">
      <c r="A386" s="11" t="s">
        <v>622</v>
      </c>
      <c r="B386" s="15" t="s">
        <v>275</v>
      </c>
      <c r="C386" s="15">
        <v>2024.0</v>
      </c>
      <c r="D386" s="15" t="s">
        <v>623</v>
      </c>
      <c r="E386" s="18">
        <v>45576.0</v>
      </c>
      <c r="F386" s="15" t="s">
        <v>431</v>
      </c>
      <c r="G386" s="10"/>
      <c r="H386" s="10"/>
    </row>
    <row r="387">
      <c r="A387" s="11" t="s">
        <v>624</v>
      </c>
      <c r="B387" s="15" t="s">
        <v>275</v>
      </c>
      <c r="C387" s="15">
        <v>2024.0</v>
      </c>
      <c r="D387" s="15" t="s">
        <v>625</v>
      </c>
      <c r="E387" s="18">
        <v>45582.0</v>
      </c>
      <c r="F387" s="15" t="s">
        <v>393</v>
      </c>
      <c r="G387" s="10"/>
      <c r="H387" s="10"/>
    </row>
    <row r="388">
      <c r="A388" s="11" t="s">
        <v>626</v>
      </c>
      <c r="B388" s="15" t="s">
        <v>275</v>
      </c>
      <c r="C388" s="15">
        <v>2024.0</v>
      </c>
      <c r="D388" s="15" t="s">
        <v>587</v>
      </c>
      <c r="E388" s="18">
        <v>45582.0</v>
      </c>
      <c r="F388" s="9"/>
      <c r="G388" s="10"/>
      <c r="H388" s="10"/>
    </row>
    <row r="389">
      <c r="A389" s="11" t="s">
        <v>627</v>
      </c>
      <c r="B389" s="15" t="s">
        <v>308</v>
      </c>
      <c r="C389" s="15">
        <v>2024.0</v>
      </c>
      <c r="D389" s="15" t="s">
        <v>628</v>
      </c>
      <c r="E389" s="18">
        <v>45586.0</v>
      </c>
      <c r="F389" s="15" t="s">
        <v>431</v>
      </c>
      <c r="G389" s="10"/>
      <c r="H389" s="10"/>
    </row>
    <row r="390">
      <c r="A390" s="11" t="s">
        <v>629</v>
      </c>
      <c r="B390" s="15" t="s">
        <v>275</v>
      </c>
      <c r="C390" s="15">
        <v>2024.0</v>
      </c>
      <c r="D390" s="15" t="s">
        <v>630</v>
      </c>
      <c r="E390" s="18">
        <v>45586.0</v>
      </c>
      <c r="F390" s="15" t="s">
        <v>431</v>
      </c>
      <c r="G390" s="10"/>
      <c r="H390" s="10"/>
    </row>
    <row r="391">
      <c r="A391" s="11" t="s">
        <v>631</v>
      </c>
      <c r="B391" s="15" t="s">
        <v>275</v>
      </c>
      <c r="C391" s="15">
        <v>2024.0</v>
      </c>
      <c r="D391" s="15" t="s">
        <v>494</v>
      </c>
      <c r="E391" s="18">
        <v>45590.0</v>
      </c>
      <c r="F391" s="15" t="s">
        <v>300</v>
      </c>
      <c r="G391" s="10"/>
      <c r="H391" s="10"/>
    </row>
    <row r="392">
      <c r="A392" s="11" t="s">
        <v>632</v>
      </c>
      <c r="B392" s="15" t="s">
        <v>275</v>
      </c>
      <c r="C392" s="15">
        <v>2024.0</v>
      </c>
      <c r="D392" s="15" t="s">
        <v>633</v>
      </c>
      <c r="E392" s="18">
        <v>45590.0</v>
      </c>
      <c r="F392" s="15" t="s">
        <v>431</v>
      </c>
      <c r="G392" s="10"/>
      <c r="H392" s="10"/>
    </row>
    <row r="393">
      <c r="A393" s="11" t="s">
        <v>634</v>
      </c>
      <c r="B393" s="15" t="s">
        <v>275</v>
      </c>
      <c r="C393" s="15">
        <v>2024.0</v>
      </c>
      <c r="D393" s="15" t="s">
        <v>587</v>
      </c>
      <c r="E393" s="18">
        <v>45593.0</v>
      </c>
      <c r="F393" s="15" t="s">
        <v>393</v>
      </c>
      <c r="G393" s="10"/>
      <c r="H393" s="10"/>
    </row>
    <row r="394">
      <c r="A394" s="11" t="s">
        <v>635</v>
      </c>
      <c r="B394" s="15" t="s">
        <v>275</v>
      </c>
      <c r="C394" s="15">
        <v>2024.0</v>
      </c>
      <c r="D394" s="15" t="s">
        <v>636</v>
      </c>
      <c r="E394" s="18">
        <v>45594.0</v>
      </c>
      <c r="F394" s="15" t="s">
        <v>431</v>
      </c>
      <c r="G394" s="10"/>
      <c r="H394" s="10"/>
    </row>
    <row r="395">
      <c r="A395" s="11" t="s">
        <v>637</v>
      </c>
      <c r="B395" s="15" t="s">
        <v>275</v>
      </c>
      <c r="C395" s="15">
        <v>2024.0</v>
      </c>
      <c r="D395" s="15" t="s">
        <v>638</v>
      </c>
      <c r="E395" s="18">
        <v>45594.0</v>
      </c>
      <c r="F395" s="15" t="s">
        <v>431</v>
      </c>
      <c r="G395" s="10"/>
      <c r="H395" s="10"/>
    </row>
    <row r="396">
      <c r="A396" s="11" t="s">
        <v>639</v>
      </c>
      <c r="B396" s="15" t="s">
        <v>275</v>
      </c>
      <c r="C396" s="15">
        <v>2024.0</v>
      </c>
      <c r="D396" s="15" t="s">
        <v>606</v>
      </c>
      <c r="E396" s="18">
        <v>45595.0</v>
      </c>
      <c r="F396" s="15" t="s">
        <v>585</v>
      </c>
      <c r="G396" s="10"/>
      <c r="H396" s="10"/>
    </row>
    <row r="397">
      <c r="A397" s="11" t="s">
        <v>640</v>
      </c>
      <c r="B397" s="15" t="s">
        <v>10</v>
      </c>
      <c r="C397" s="15">
        <v>2024.0</v>
      </c>
      <c r="D397" s="15" t="s">
        <v>529</v>
      </c>
      <c r="E397" s="18">
        <v>45597.0</v>
      </c>
      <c r="F397" s="9"/>
      <c r="G397" s="10"/>
      <c r="H397" s="10"/>
    </row>
    <row r="398">
      <c r="A398" s="11" t="s">
        <v>641</v>
      </c>
      <c r="B398" s="15" t="s">
        <v>10</v>
      </c>
      <c r="C398" s="15">
        <v>2024.0</v>
      </c>
      <c r="D398" s="15" t="s">
        <v>642</v>
      </c>
      <c r="E398" s="18">
        <v>45600.0</v>
      </c>
      <c r="F398" s="15" t="s">
        <v>393</v>
      </c>
      <c r="G398" s="10"/>
      <c r="H398" s="10"/>
    </row>
    <row r="399">
      <c r="A399" s="11" t="s">
        <v>643</v>
      </c>
      <c r="B399" s="15" t="s">
        <v>10</v>
      </c>
      <c r="C399" s="15">
        <v>2024.0</v>
      </c>
      <c r="D399" s="15" t="s">
        <v>644</v>
      </c>
      <c r="E399" s="18">
        <v>45601.0</v>
      </c>
      <c r="F399" s="15" t="s">
        <v>393</v>
      </c>
      <c r="G399" s="10"/>
      <c r="H399" s="10"/>
    </row>
    <row r="400">
      <c r="A400" s="11" t="s">
        <v>645</v>
      </c>
      <c r="B400" s="15" t="s">
        <v>10</v>
      </c>
      <c r="C400" s="15">
        <v>2024.0</v>
      </c>
      <c r="D400" s="15" t="s">
        <v>646</v>
      </c>
      <c r="E400" s="18">
        <v>45603.0</v>
      </c>
      <c r="F400" s="15" t="s">
        <v>393</v>
      </c>
      <c r="G400" s="10"/>
      <c r="H400" s="10"/>
    </row>
    <row r="401">
      <c r="A401" s="11" t="s">
        <v>647</v>
      </c>
      <c r="B401" s="15" t="s">
        <v>10</v>
      </c>
      <c r="C401" s="15">
        <v>2024.0</v>
      </c>
      <c r="D401" s="15" t="s">
        <v>648</v>
      </c>
      <c r="E401" s="18">
        <v>45603.0</v>
      </c>
      <c r="F401" s="15" t="s">
        <v>300</v>
      </c>
      <c r="G401" s="10"/>
      <c r="H401" s="10"/>
    </row>
    <row r="402">
      <c r="A402" s="11" t="s">
        <v>649</v>
      </c>
      <c r="B402" s="15" t="s">
        <v>10</v>
      </c>
      <c r="C402" s="15">
        <v>2024.0</v>
      </c>
      <c r="D402" s="15" t="s">
        <v>646</v>
      </c>
      <c r="E402" s="18">
        <v>45604.0</v>
      </c>
      <c r="F402" s="15" t="s">
        <v>300</v>
      </c>
      <c r="G402" s="10"/>
      <c r="H402" s="10"/>
    </row>
    <row r="403">
      <c r="A403" s="11" t="s">
        <v>650</v>
      </c>
      <c r="B403" s="15" t="s">
        <v>10</v>
      </c>
      <c r="C403" s="15">
        <v>2024.0</v>
      </c>
      <c r="D403" s="15" t="s">
        <v>651</v>
      </c>
      <c r="E403" s="18">
        <v>45604.0</v>
      </c>
      <c r="F403" s="15" t="s">
        <v>652</v>
      </c>
      <c r="G403" s="10"/>
      <c r="H403" s="10"/>
    </row>
    <row r="404">
      <c r="A404" s="11" t="s">
        <v>653</v>
      </c>
      <c r="B404" s="15" t="s">
        <v>10</v>
      </c>
      <c r="C404" s="15">
        <v>2024.0</v>
      </c>
      <c r="D404" s="15" t="s">
        <v>654</v>
      </c>
      <c r="E404" s="18">
        <v>45609.0</v>
      </c>
      <c r="F404" s="15" t="s">
        <v>300</v>
      </c>
      <c r="G404" s="10"/>
      <c r="H404" s="10"/>
    </row>
    <row r="405">
      <c r="A405" s="11" t="s">
        <v>655</v>
      </c>
      <c r="B405" s="15" t="s">
        <v>10</v>
      </c>
      <c r="C405" s="15">
        <v>2024.0</v>
      </c>
      <c r="D405" s="15" t="s">
        <v>66</v>
      </c>
      <c r="E405" s="18">
        <v>45609.0</v>
      </c>
      <c r="F405" s="15" t="s">
        <v>393</v>
      </c>
      <c r="G405" s="10"/>
      <c r="H405" s="10"/>
    </row>
    <row r="406">
      <c r="A406" s="11" t="s">
        <v>656</v>
      </c>
      <c r="B406" s="15" t="s">
        <v>10</v>
      </c>
      <c r="C406" s="15">
        <v>2024.0</v>
      </c>
      <c r="D406" s="15" t="s">
        <v>657</v>
      </c>
      <c r="E406" s="18">
        <v>45607.0</v>
      </c>
      <c r="F406" s="15" t="s">
        <v>393</v>
      </c>
      <c r="G406" s="10"/>
      <c r="H406" s="10"/>
    </row>
    <row r="407">
      <c r="A407" s="11" t="s">
        <v>658</v>
      </c>
      <c r="B407" s="15" t="s">
        <v>10</v>
      </c>
      <c r="C407" s="15">
        <v>2024.0</v>
      </c>
      <c r="D407" s="15" t="s">
        <v>659</v>
      </c>
      <c r="E407" s="18">
        <v>45611.0</v>
      </c>
      <c r="F407" s="15" t="s">
        <v>393</v>
      </c>
      <c r="G407" s="10"/>
      <c r="H407" s="10"/>
    </row>
    <row r="408">
      <c r="A408" s="11" t="s">
        <v>660</v>
      </c>
      <c r="B408" s="15" t="s">
        <v>10</v>
      </c>
      <c r="C408" s="15">
        <v>2024.0</v>
      </c>
      <c r="D408" s="15" t="s">
        <v>350</v>
      </c>
      <c r="E408" s="18">
        <v>45611.0</v>
      </c>
      <c r="F408" s="15" t="s">
        <v>393</v>
      </c>
      <c r="G408" s="10"/>
      <c r="H408" s="10"/>
    </row>
    <row r="409">
      <c r="A409" s="11" t="s">
        <v>661</v>
      </c>
      <c r="B409" s="15" t="s">
        <v>10</v>
      </c>
      <c r="C409" s="15">
        <v>2024.0</v>
      </c>
      <c r="D409" s="15" t="s">
        <v>315</v>
      </c>
      <c r="E409" s="18">
        <v>45613.0</v>
      </c>
      <c r="F409" s="15" t="s">
        <v>425</v>
      </c>
      <c r="G409" s="10"/>
      <c r="H409" s="10"/>
    </row>
    <row r="410">
      <c r="A410" s="11" t="s">
        <v>662</v>
      </c>
      <c r="B410" s="15" t="s">
        <v>10</v>
      </c>
      <c r="C410" s="15">
        <v>2024.0</v>
      </c>
      <c r="D410" s="15" t="s">
        <v>663</v>
      </c>
      <c r="E410" s="18">
        <v>45614.0</v>
      </c>
      <c r="F410" s="15" t="s">
        <v>393</v>
      </c>
      <c r="G410" s="10"/>
      <c r="H410" s="10"/>
    </row>
    <row r="411">
      <c r="A411" s="11" t="s">
        <v>664</v>
      </c>
      <c r="B411" s="15" t="s">
        <v>10</v>
      </c>
      <c r="C411" s="15">
        <v>2024.0</v>
      </c>
      <c r="D411" s="15" t="s">
        <v>663</v>
      </c>
      <c r="E411" s="18">
        <v>45614.0</v>
      </c>
      <c r="F411" s="15" t="s">
        <v>425</v>
      </c>
      <c r="G411" s="10"/>
      <c r="H411" s="10"/>
    </row>
    <row r="412">
      <c r="A412" s="11" t="s">
        <v>665</v>
      </c>
      <c r="B412" s="15" t="s">
        <v>10</v>
      </c>
      <c r="C412" s="15">
        <v>2024.0</v>
      </c>
      <c r="D412" s="15" t="s">
        <v>587</v>
      </c>
      <c r="E412" s="18">
        <v>45616.0</v>
      </c>
      <c r="F412" s="15" t="s">
        <v>393</v>
      </c>
      <c r="G412" s="10"/>
      <c r="H412" s="10"/>
    </row>
    <row r="413">
      <c r="A413" s="11" t="s">
        <v>666</v>
      </c>
      <c r="B413" s="15" t="s">
        <v>10</v>
      </c>
      <c r="C413" s="15">
        <v>2024.0</v>
      </c>
      <c r="D413" s="15" t="s">
        <v>648</v>
      </c>
      <c r="E413" s="18">
        <v>45617.0</v>
      </c>
      <c r="F413" s="15" t="s">
        <v>393</v>
      </c>
      <c r="G413" s="10"/>
      <c r="H413" s="10"/>
    </row>
    <row r="414">
      <c r="A414" s="11" t="s">
        <v>667</v>
      </c>
      <c r="B414" s="15" t="s">
        <v>336</v>
      </c>
      <c r="C414" s="15">
        <v>2024.0</v>
      </c>
      <c r="D414" s="15" t="s">
        <v>595</v>
      </c>
      <c r="E414" s="18">
        <v>45617.0</v>
      </c>
      <c r="F414" s="15" t="s">
        <v>393</v>
      </c>
      <c r="G414" s="10"/>
      <c r="H414" s="10"/>
    </row>
    <row r="415">
      <c r="A415" s="11" t="s">
        <v>668</v>
      </c>
      <c r="B415" s="15" t="s">
        <v>10</v>
      </c>
      <c r="C415" s="15">
        <v>2024.0</v>
      </c>
      <c r="D415" s="15" t="s">
        <v>595</v>
      </c>
      <c r="E415" s="18">
        <v>45617.0</v>
      </c>
      <c r="F415" s="15" t="s">
        <v>425</v>
      </c>
      <c r="G415" s="10"/>
      <c r="H415" s="10"/>
    </row>
    <row r="416">
      <c r="A416" s="11" t="s">
        <v>669</v>
      </c>
      <c r="B416" s="15" t="s">
        <v>10</v>
      </c>
      <c r="C416" s="15">
        <v>2024.0</v>
      </c>
      <c r="D416" s="15" t="s">
        <v>587</v>
      </c>
      <c r="E416" s="18">
        <v>45622.0</v>
      </c>
      <c r="F416" s="15" t="s">
        <v>393</v>
      </c>
      <c r="G416" s="10"/>
      <c r="H416" s="10"/>
    </row>
    <row r="417">
      <c r="A417" s="11" t="s">
        <v>670</v>
      </c>
      <c r="B417" s="15" t="s">
        <v>10</v>
      </c>
      <c r="C417" s="15">
        <v>2024.0</v>
      </c>
      <c r="D417" s="15" t="s">
        <v>671</v>
      </c>
      <c r="E417" s="18">
        <v>45623.0</v>
      </c>
      <c r="F417" s="15" t="s">
        <v>425</v>
      </c>
      <c r="G417" s="10"/>
      <c r="H417" s="10"/>
    </row>
    <row r="418">
      <c r="A418" s="11" t="s">
        <v>672</v>
      </c>
      <c r="B418" s="15" t="s">
        <v>10</v>
      </c>
      <c r="C418" s="15">
        <v>2024.0</v>
      </c>
      <c r="D418" s="15" t="s">
        <v>520</v>
      </c>
      <c r="E418" s="18">
        <v>45624.0</v>
      </c>
      <c r="F418" s="15" t="s">
        <v>393</v>
      </c>
      <c r="G418" s="10"/>
      <c r="H418" s="10"/>
    </row>
    <row r="419">
      <c r="A419" s="11" t="s">
        <v>673</v>
      </c>
      <c r="B419" s="15" t="s">
        <v>25</v>
      </c>
      <c r="C419" s="15">
        <v>2024.0</v>
      </c>
      <c r="D419" s="15" t="s">
        <v>674</v>
      </c>
      <c r="E419" s="18">
        <v>45627.0</v>
      </c>
      <c r="F419" s="15" t="s">
        <v>393</v>
      </c>
      <c r="G419" s="10"/>
      <c r="H419" s="10"/>
    </row>
    <row r="420">
      <c r="A420" s="11" t="s">
        <v>675</v>
      </c>
      <c r="B420" s="15" t="s">
        <v>25</v>
      </c>
      <c r="C420" s="15">
        <v>2024.0</v>
      </c>
      <c r="D420" s="15" t="s">
        <v>676</v>
      </c>
      <c r="E420" s="18">
        <v>45627.0</v>
      </c>
      <c r="F420" s="15" t="s">
        <v>393</v>
      </c>
      <c r="G420" s="10"/>
      <c r="H420" s="10"/>
    </row>
    <row r="421">
      <c r="A421" s="11" t="s">
        <v>677</v>
      </c>
      <c r="B421" s="15" t="s">
        <v>25</v>
      </c>
      <c r="C421" s="15">
        <v>2024.0</v>
      </c>
      <c r="D421" s="15" t="s">
        <v>47</v>
      </c>
      <c r="E421" s="18">
        <v>45631.0</v>
      </c>
      <c r="F421" s="15" t="s">
        <v>425</v>
      </c>
      <c r="G421" s="10"/>
      <c r="H421" s="10"/>
    </row>
    <row r="422">
      <c r="A422" s="11" t="s">
        <v>678</v>
      </c>
      <c r="B422" s="15" t="s">
        <v>25</v>
      </c>
      <c r="C422" s="15">
        <v>2024.0</v>
      </c>
      <c r="D422" s="15" t="s">
        <v>421</v>
      </c>
      <c r="E422" s="18">
        <v>45632.0</v>
      </c>
      <c r="F422" s="15" t="s">
        <v>425</v>
      </c>
      <c r="G422" s="10"/>
      <c r="H422" s="10"/>
    </row>
    <row r="423">
      <c r="A423" s="11" t="s">
        <v>679</v>
      </c>
      <c r="B423" s="15" t="s">
        <v>25</v>
      </c>
      <c r="C423" s="15">
        <v>2024.0</v>
      </c>
      <c r="D423" s="15" t="s">
        <v>680</v>
      </c>
      <c r="E423" s="18">
        <v>45633.0</v>
      </c>
      <c r="F423" s="15" t="s">
        <v>393</v>
      </c>
      <c r="G423" s="10"/>
      <c r="H423" s="10"/>
    </row>
    <row r="424">
      <c r="A424" s="11" t="s">
        <v>681</v>
      </c>
      <c r="B424" s="15" t="s">
        <v>25</v>
      </c>
      <c r="C424" s="15">
        <v>2024.0</v>
      </c>
      <c r="D424" s="15" t="s">
        <v>587</v>
      </c>
      <c r="E424" s="18">
        <v>45635.0</v>
      </c>
      <c r="F424" s="15" t="s">
        <v>393</v>
      </c>
      <c r="G424" s="10"/>
      <c r="H424" s="10"/>
    </row>
    <row r="425">
      <c r="A425" s="11" t="s">
        <v>682</v>
      </c>
      <c r="B425" s="15" t="s">
        <v>25</v>
      </c>
      <c r="C425" s="15">
        <v>2024.0</v>
      </c>
      <c r="D425" s="15" t="s">
        <v>683</v>
      </c>
      <c r="E425" s="18">
        <v>45637.0</v>
      </c>
      <c r="F425" s="15" t="s">
        <v>431</v>
      </c>
      <c r="G425" s="10"/>
      <c r="H425" s="10"/>
    </row>
    <row r="426">
      <c r="A426" s="11" t="s">
        <v>684</v>
      </c>
      <c r="B426" s="15" t="s">
        <v>25</v>
      </c>
      <c r="C426" s="15">
        <v>2024.0</v>
      </c>
      <c r="D426" s="15" t="s">
        <v>623</v>
      </c>
      <c r="E426" s="18">
        <v>45637.0</v>
      </c>
      <c r="F426" s="15" t="s">
        <v>685</v>
      </c>
      <c r="G426" s="10"/>
      <c r="H426" s="10"/>
    </row>
    <row r="427">
      <c r="A427" s="11" t="s">
        <v>686</v>
      </c>
      <c r="B427" s="15" t="s">
        <v>25</v>
      </c>
      <c r="C427" s="15">
        <v>2024.0</v>
      </c>
      <c r="D427" s="15" t="s">
        <v>539</v>
      </c>
      <c r="E427" s="18">
        <v>45638.0</v>
      </c>
      <c r="F427" s="15" t="s">
        <v>393</v>
      </c>
      <c r="G427" s="10"/>
      <c r="H427" s="10"/>
    </row>
    <row r="428">
      <c r="A428" s="11" t="s">
        <v>687</v>
      </c>
      <c r="B428" s="26" t="s">
        <v>25</v>
      </c>
      <c r="C428" s="26">
        <v>2024.0</v>
      </c>
      <c r="D428" s="26" t="s">
        <v>587</v>
      </c>
      <c r="E428" s="18">
        <v>45638.0</v>
      </c>
      <c r="F428" s="26" t="s">
        <v>431</v>
      </c>
      <c r="G428" s="10"/>
      <c r="H428" s="10"/>
    </row>
    <row r="429">
      <c r="A429" s="11" t="s">
        <v>688</v>
      </c>
      <c r="B429" s="26" t="s">
        <v>25</v>
      </c>
      <c r="C429" s="26">
        <v>2024.0</v>
      </c>
      <c r="D429" s="26" t="s">
        <v>636</v>
      </c>
      <c r="E429" s="27">
        <v>45638.0</v>
      </c>
      <c r="F429" s="26" t="s">
        <v>393</v>
      </c>
      <c r="G429" s="10"/>
      <c r="H429" s="10"/>
    </row>
    <row r="430">
      <c r="A430" s="11" t="s">
        <v>689</v>
      </c>
      <c r="B430" s="26" t="s">
        <v>25</v>
      </c>
      <c r="C430" s="26">
        <v>2024.0</v>
      </c>
      <c r="D430" s="26" t="s">
        <v>34</v>
      </c>
      <c r="E430" s="27">
        <v>45639.0</v>
      </c>
      <c r="F430" s="26" t="s">
        <v>425</v>
      </c>
      <c r="G430" s="10"/>
      <c r="H430" s="10"/>
    </row>
    <row r="431">
      <c r="A431" s="11" t="s">
        <v>690</v>
      </c>
      <c r="B431" s="26" t="s">
        <v>25</v>
      </c>
      <c r="C431" s="26">
        <v>2024.0</v>
      </c>
      <c r="D431" s="26" t="s">
        <v>691</v>
      </c>
      <c r="E431" s="27">
        <v>45639.0</v>
      </c>
      <c r="F431" s="26" t="s">
        <v>393</v>
      </c>
      <c r="G431" s="10"/>
      <c r="H431" s="10"/>
    </row>
    <row r="432">
      <c r="A432" s="11" t="s">
        <v>692</v>
      </c>
      <c r="B432" s="26" t="s">
        <v>25</v>
      </c>
      <c r="C432" s="26">
        <v>2024.0</v>
      </c>
      <c r="D432" s="26" t="s">
        <v>47</v>
      </c>
      <c r="E432" s="27">
        <v>45640.0</v>
      </c>
      <c r="F432" s="28"/>
      <c r="G432" s="10"/>
      <c r="H432" s="10"/>
    </row>
    <row r="433">
      <c r="A433" s="11" t="s">
        <v>693</v>
      </c>
      <c r="B433" s="26" t="s">
        <v>25</v>
      </c>
      <c r="C433" s="26">
        <v>2024.0</v>
      </c>
      <c r="D433" s="26" t="s">
        <v>416</v>
      </c>
      <c r="E433" s="27">
        <v>45642.0</v>
      </c>
      <c r="F433" s="26" t="s">
        <v>393</v>
      </c>
      <c r="G433" s="10"/>
      <c r="H433" s="10"/>
    </row>
    <row r="434">
      <c r="A434" s="11" t="s">
        <v>694</v>
      </c>
      <c r="B434" s="26" t="s">
        <v>25</v>
      </c>
      <c r="C434" s="26">
        <v>2024.0</v>
      </c>
      <c r="D434" s="26" t="s">
        <v>529</v>
      </c>
      <c r="E434" s="27">
        <v>45642.0</v>
      </c>
      <c r="F434" s="28"/>
      <c r="G434" s="10"/>
      <c r="H434" s="10"/>
    </row>
    <row r="435">
      <c r="A435" s="11" t="s">
        <v>695</v>
      </c>
      <c r="B435" s="26" t="s">
        <v>25</v>
      </c>
      <c r="C435" s="26">
        <v>2024.0</v>
      </c>
      <c r="D435" s="26" t="s">
        <v>34</v>
      </c>
      <c r="E435" s="27">
        <v>45643.0</v>
      </c>
      <c r="F435" s="28"/>
      <c r="G435" s="10"/>
      <c r="H435" s="10"/>
    </row>
    <row r="436">
      <c r="A436" s="11" t="s">
        <v>696</v>
      </c>
      <c r="B436" s="26" t="s">
        <v>25</v>
      </c>
      <c r="C436" s="26">
        <v>2024.0</v>
      </c>
      <c r="D436" s="26" t="s">
        <v>34</v>
      </c>
      <c r="E436" s="27">
        <v>45645.0</v>
      </c>
      <c r="F436" s="26" t="s">
        <v>425</v>
      </c>
      <c r="G436" s="10"/>
      <c r="H436" s="10"/>
    </row>
    <row r="437">
      <c r="A437" s="11" t="s">
        <v>697</v>
      </c>
      <c r="B437" s="26" t="s">
        <v>25</v>
      </c>
      <c r="C437" s="26">
        <v>2024.0</v>
      </c>
      <c r="D437" s="26" t="s">
        <v>587</v>
      </c>
      <c r="E437" s="27">
        <v>45647.0</v>
      </c>
      <c r="F437" s="26" t="s">
        <v>393</v>
      </c>
      <c r="G437" s="10"/>
      <c r="H437" s="10"/>
    </row>
    <row r="438">
      <c r="A438" s="11" t="s">
        <v>698</v>
      </c>
      <c r="B438" s="26" t="s">
        <v>25</v>
      </c>
      <c r="C438" s="26">
        <v>2024.0</v>
      </c>
      <c r="D438" s="26" t="s">
        <v>490</v>
      </c>
      <c r="E438" s="27">
        <v>45650.0</v>
      </c>
      <c r="F438" s="26" t="s">
        <v>425</v>
      </c>
      <c r="G438" s="10"/>
      <c r="H438" s="10"/>
    </row>
    <row r="439">
      <c r="A439" s="11" t="s">
        <v>699</v>
      </c>
      <c r="B439" s="26" t="s">
        <v>25</v>
      </c>
      <c r="C439" s="26">
        <v>2024.0</v>
      </c>
      <c r="D439" s="26" t="s">
        <v>700</v>
      </c>
      <c r="E439" s="27">
        <v>45650.0</v>
      </c>
      <c r="F439" s="26" t="s">
        <v>393</v>
      </c>
      <c r="G439" s="10"/>
      <c r="H439" s="10"/>
    </row>
    <row r="440">
      <c r="A440" s="11" t="s">
        <v>701</v>
      </c>
      <c r="B440" s="26" t="s">
        <v>25</v>
      </c>
      <c r="C440" s="26">
        <v>2024.0</v>
      </c>
      <c r="D440" s="26" t="s">
        <v>702</v>
      </c>
      <c r="E440" s="27">
        <v>45652.0</v>
      </c>
      <c r="F440" s="26" t="s">
        <v>393</v>
      </c>
      <c r="G440" s="10"/>
      <c r="H440" s="10"/>
    </row>
    <row r="441">
      <c r="A441" s="11" t="s">
        <v>703</v>
      </c>
      <c r="B441" s="26" t="s">
        <v>25</v>
      </c>
      <c r="C441" s="26">
        <v>2024.0</v>
      </c>
      <c r="D441" s="26" t="s">
        <v>704</v>
      </c>
      <c r="E441" s="27">
        <v>45652.0</v>
      </c>
      <c r="F441" s="26" t="s">
        <v>393</v>
      </c>
      <c r="G441" s="10"/>
      <c r="H441" s="10"/>
    </row>
    <row r="442">
      <c r="A442" s="11" t="s">
        <v>705</v>
      </c>
      <c r="B442" s="26" t="s">
        <v>25</v>
      </c>
      <c r="C442" s="26">
        <v>2024.0</v>
      </c>
      <c r="D442" s="26" t="s">
        <v>529</v>
      </c>
      <c r="E442" s="27">
        <v>45657.0</v>
      </c>
      <c r="F442" s="26" t="s">
        <v>393</v>
      </c>
      <c r="G442" s="10"/>
      <c r="H442" s="10"/>
    </row>
    <row r="443">
      <c r="A443" s="11" t="s">
        <v>706</v>
      </c>
      <c r="B443" s="26" t="s">
        <v>25</v>
      </c>
      <c r="C443" s="26">
        <v>2024.0</v>
      </c>
      <c r="D443" s="26" t="s">
        <v>707</v>
      </c>
      <c r="E443" s="27">
        <v>45653.0</v>
      </c>
      <c r="F443" s="26" t="s">
        <v>431</v>
      </c>
      <c r="G443" s="10"/>
      <c r="H443" s="10"/>
    </row>
    <row r="444">
      <c r="A444" s="11" t="s">
        <v>708</v>
      </c>
      <c r="B444" s="26" t="s">
        <v>709</v>
      </c>
      <c r="C444" s="26">
        <v>2024.0</v>
      </c>
      <c r="D444" s="26" t="s">
        <v>636</v>
      </c>
      <c r="E444" s="27">
        <v>45656.0</v>
      </c>
      <c r="F444" s="26" t="s">
        <v>710</v>
      </c>
      <c r="G444" s="10"/>
      <c r="H444" s="10"/>
    </row>
    <row r="445">
      <c r="A445" s="11" t="s">
        <v>711</v>
      </c>
      <c r="B445" s="26" t="s">
        <v>25</v>
      </c>
      <c r="C445" s="26">
        <v>2024.0</v>
      </c>
      <c r="D445" s="26" t="s">
        <v>712</v>
      </c>
      <c r="E445" s="27">
        <v>45657.0</v>
      </c>
      <c r="F445" s="26" t="s">
        <v>425</v>
      </c>
      <c r="G445" s="10"/>
      <c r="H445" s="10"/>
    </row>
    <row r="446">
      <c r="A446" s="11" t="s">
        <v>713</v>
      </c>
      <c r="B446" s="26" t="s">
        <v>58</v>
      </c>
      <c r="C446" s="26">
        <v>2025.0</v>
      </c>
      <c r="D446" s="26" t="s">
        <v>413</v>
      </c>
      <c r="E446" s="27">
        <v>45659.0</v>
      </c>
      <c r="F446" s="26" t="s">
        <v>393</v>
      </c>
      <c r="G446" s="10"/>
      <c r="H446" s="10"/>
    </row>
    <row r="447">
      <c r="A447" s="11" t="s">
        <v>714</v>
      </c>
      <c r="B447" s="26" t="s">
        <v>58</v>
      </c>
      <c r="C447" s="26">
        <v>2025.0</v>
      </c>
      <c r="D447" s="26" t="s">
        <v>715</v>
      </c>
      <c r="E447" s="27">
        <v>45663.0</v>
      </c>
      <c r="F447" s="26" t="s">
        <v>393</v>
      </c>
      <c r="G447" s="10"/>
      <c r="H447" s="10"/>
    </row>
    <row r="448">
      <c r="A448" s="11" t="s">
        <v>716</v>
      </c>
      <c r="B448" s="26" t="s">
        <v>58</v>
      </c>
      <c r="C448" s="26">
        <v>2025.0</v>
      </c>
      <c r="D448" s="26" t="s">
        <v>539</v>
      </c>
      <c r="E448" s="27">
        <v>45664.0</v>
      </c>
      <c r="F448" s="26" t="s">
        <v>393</v>
      </c>
      <c r="G448" s="10"/>
      <c r="H448" s="10"/>
    </row>
    <row r="449">
      <c r="A449" s="11" t="s">
        <v>717</v>
      </c>
      <c r="B449" s="26" t="s">
        <v>58</v>
      </c>
      <c r="C449" s="26">
        <v>2025.0</v>
      </c>
      <c r="D449" s="26" t="s">
        <v>440</v>
      </c>
      <c r="E449" s="27">
        <v>45665.0</v>
      </c>
      <c r="F449" s="26" t="s">
        <v>300</v>
      </c>
      <c r="G449" s="10"/>
      <c r="H449" s="10"/>
    </row>
    <row r="450">
      <c r="A450" s="11" t="s">
        <v>718</v>
      </c>
      <c r="B450" s="26" t="s">
        <v>58</v>
      </c>
      <c r="C450" s="26">
        <v>2025.0</v>
      </c>
      <c r="D450" s="26" t="s">
        <v>719</v>
      </c>
      <c r="E450" s="27">
        <v>45665.0</v>
      </c>
      <c r="F450" s="26" t="s">
        <v>393</v>
      </c>
      <c r="G450" s="10"/>
      <c r="H450" s="10"/>
    </row>
    <row r="451">
      <c r="A451" s="11" t="s">
        <v>720</v>
      </c>
      <c r="B451" s="26" t="s">
        <v>58</v>
      </c>
      <c r="C451" s="26">
        <v>2025.0</v>
      </c>
      <c r="D451" s="26" t="s">
        <v>600</v>
      </c>
      <c r="E451" s="27">
        <v>45668.0</v>
      </c>
      <c r="F451" s="26" t="s">
        <v>585</v>
      </c>
      <c r="G451" s="10"/>
      <c r="H451" s="10"/>
    </row>
    <row r="452">
      <c r="A452" s="11" t="s">
        <v>721</v>
      </c>
      <c r="B452" s="26" t="s">
        <v>58</v>
      </c>
      <c r="C452" s="26">
        <v>2025.0</v>
      </c>
      <c r="D452" s="26" t="s">
        <v>722</v>
      </c>
      <c r="E452" s="27">
        <v>45669.0</v>
      </c>
      <c r="F452" s="26" t="s">
        <v>393</v>
      </c>
      <c r="G452" s="10"/>
      <c r="H452" s="10"/>
    </row>
    <row r="453">
      <c r="A453" s="11" t="s">
        <v>723</v>
      </c>
      <c r="B453" s="26" t="s">
        <v>58</v>
      </c>
      <c r="C453" s="26">
        <v>2025.0</v>
      </c>
      <c r="D453" s="26" t="s">
        <v>724</v>
      </c>
      <c r="E453" s="27">
        <v>45670.0</v>
      </c>
      <c r="F453" s="26" t="s">
        <v>393</v>
      </c>
      <c r="G453" s="10"/>
      <c r="H453" s="10"/>
    </row>
    <row r="454">
      <c r="A454" s="11" t="s">
        <v>725</v>
      </c>
      <c r="B454" s="26" t="s">
        <v>58</v>
      </c>
      <c r="C454" s="26">
        <v>2025.0</v>
      </c>
      <c r="D454" s="26" t="s">
        <v>584</v>
      </c>
      <c r="E454" s="27">
        <v>45671.0</v>
      </c>
      <c r="F454" s="26" t="s">
        <v>393</v>
      </c>
      <c r="G454" s="10"/>
      <c r="H454" s="10"/>
    </row>
    <row r="455">
      <c r="A455" s="11" t="s">
        <v>726</v>
      </c>
      <c r="B455" s="26" t="s">
        <v>58</v>
      </c>
      <c r="C455" s="26">
        <v>2025.0</v>
      </c>
      <c r="D455" s="26" t="s">
        <v>288</v>
      </c>
      <c r="E455" s="27">
        <v>45672.0</v>
      </c>
      <c r="F455" s="26" t="s">
        <v>431</v>
      </c>
      <c r="G455" s="10"/>
      <c r="H455" s="10"/>
    </row>
    <row r="456">
      <c r="A456" s="11" t="s">
        <v>727</v>
      </c>
      <c r="B456" s="26" t="s">
        <v>58</v>
      </c>
      <c r="C456" s="26">
        <v>2025.0</v>
      </c>
      <c r="D456" s="26" t="s">
        <v>728</v>
      </c>
      <c r="E456" s="27">
        <v>45674.0</v>
      </c>
      <c r="F456" s="26" t="s">
        <v>431</v>
      </c>
      <c r="G456" s="10"/>
      <c r="H456" s="10"/>
    </row>
    <row r="457">
      <c r="A457" s="11" t="s">
        <v>729</v>
      </c>
      <c r="B457" s="26" t="s">
        <v>58</v>
      </c>
      <c r="C457" s="26">
        <v>2025.0</v>
      </c>
      <c r="D457" s="26" t="s">
        <v>730</v>
      </c>
      <c r="E457" s="27">
        <v>45677.0</v>
      </c>
      <c r="F457" s="26" t="s">
        <v>393</v>
      </c>
      <c r="G457" s="10"/>
      <c r="H457" s="10"/>
    </row>
    <row r="458">
      <c r="A458" s="11" t="s">
        <v>731</v>
      </c>
      <c r="B458" s="26" t="s">
        <v>58</v>
      </c>
      <c r="C458" s="26">
        <v>2025.0</v>
      </c>
      <c r="D458" s="26" t="s">
        <v>732</v>
      </c>
      <c r="E458" s="27">
        <v>45677.0</v>
      </c>
      <c r="F458" s="26" t="s">
        <v>393</v>
      </c>
      <c r="G458" s="10"/>
      <c r="H458" s="10"/>
    </row>
    <row r="459">
      <c r="A459" s="11" t="s">
        <v>733</v>
      </c>
      <c r="B459" s="26" t="s">
        <v>58</v>
      </c>
      <c r="C459" s="26">
        <v>2025.0</v>
      </c>
      <c r="D459" s="26" t="s">
        <v>576</v>
      </c>
      <c r="E459" s="27">
        <v>45678.0</v>
      </c>
      <c r="F459" s="26" t="s">
        <v>425</v>
      </c>
      <c r="G459" s="10"/>
      <c r="H459" s="10"/>
    </row>
    <row r="460">
      <c r="A460" s="11" t="s">
        <v>734</v>
      </c>
      <c r="B460" s="26" t="s">
        <v>58</v>
      </c>
      <c r="C460" s="26">
        <v>2025.0</v>
      </c>
      <c r="D460" s="26" t="s">
        <v>546</v>
      </c>
      <c r="E460" s="27">
        <v>45678.0</v>
      </c>
      <c r="F460" s="26" t="s">
        <v>393</v>
      </c>
      <c r="G460" s="10"/>
      <c r="H460" s="10"/>
    </row>
    <row r="461">
      <c r="A461" s="11" t="s">
        <v>735</v>
      </c>
      <c r="B461" s="26" t="s">
        <v>58</v>
      </c>
      <c r="C461" s="26">
        <v>2025.0</v>
      </c>
      <c r="D461" s="26" t="s">
        <v>736</v>
      </c>
      <c r="E461" s="27">
        <v>45678.0</v>
      </c>
      <c r="F461" s="26" t="s">
        <v>425</v>
      </c>
      <c r="G461" s="10"/>
      <c r="H461" s="10"/>
    </row>
    <row r="462">
      <c r="A462" s="11" t="s">
        <v>737</v>
      </c>
      <c r="B462" s="26" t="s">
        <v>58</v>
      </c>
      <c r="C462" s="26">
        <v>2025.0</v>
      </c>
      <c r="D462" s="26" t="s">
        <v>143</v>
      </c>
      <c r="E462" s="27">
        <v>45678.0</v>
      </c>
      <c r="F462" s="26" t="s">
        <v>393</v>
      </c>
      <c r="G462" s="10"/>
      <c r="H462" s="10"/>
    </row>
    <row r="463">
      <c r="A463" s="11" t="s">
        <v>738</v>
      </c>
      <c r="B463" s="26" t="s">
        <v>58</v>
      </c>
      <c r="C463" s="26">
        <v>2025.0</v>
      </c>
      <c r="D463" s="26" t="s">
        <v>739</v>
      </c>
      <c r="E463" s="27">
        <v>45679.0</v>
      </c>
      <c r="F463" s="26" t="s">
        <v>393</v>
      </c>
      <c r="G463" s="10"/>
      <c r="H463" s="10"/>
    </row>
    <row r="464">
      <c r="A464" s="11" t="s">
        <v>740</v>
      </c>
      <c r="B464" s="26" t="s">
        <v>58</v>
      </c>
      <c r="C464" s="26">
        <v>2025.0</v>
      </c>
      <c r="D464" s="26" t="s">
        <v>741</v>
      </c>
      <c r="E464" s="27">
        <v>45680.0</v>
      </c>
      <c r="F464" s="26" t="s">
        <v>393</v>
      </c>
      <c r="G464" s="10"/>
      <c r="H464" s="10"/>
    </row>
    <row r="465">
      <c r="A465" s="11" t="s">
        <v>742</v>
      </c>
      <c r="B465" s="26" t="s">
        <v>58</v>
      </c>
      <c r="C465" s="26">
        <v>2025.0</v>
      </c>
      <c r="D465" s="26" t="s">
        <v>116</v>
      </c>
      <c r="E465" s="27">
        <v>45683.0</v>
      </c>
      <c r="F465" s="26" t="s">
        <v>393</v>
      </c>
      <c r="G465" s="10"/>
      <c r="H465" s="10"/>
    </row>
    <row r="466">
      <c r="A466" s="11" t="s">
        <v>743</v>
      </c>
      <c r="B466" s="26" t="s">
        <v>58</v>
      </c>
      <c r="C466" s="26">
        <v>2025.0</v>
      </c>
      <c r="D466" s="26" t="s">
        <v>26</v>
      </c>
      <c r="E466" s="27">
        <v>45684.0</v>
      </c>
      <c r="F466" s="26" t="s">
        <v>393</v>
      </c>
      <c r="G466" s="10"/>
      <c r="H466" s="10"/>
    </row>
    <row r="467">
      <c r="A467" s="11" t="s">
        <v>744</v>
      </c>
      <c r="B467" s="26" t="s">
        <v>58</v>
      </c>
      <c r="C467" s="26">
        <v>2025.0</v>
      </c>
      <c r="D467" s="26" t="s">
        <v>26</v>
      </c>
      <c r="E467" s="27">
        <v>45684.0</v>
      </c>
      <c r="F467" s="26" t="s">
        <v>425</v>
      </c>
      <c r="G467" s="10"/>
      <c r="H467" s="10"/>
    </row>
    <row r="468">
      <c r="A468" s="11" t="s">
        <v>745</v>
      </c>
      <c r="B468" s="26" t="s">
        <v>58</v>
      </c>
      <c r="C468" s="26">
        <v>2025.0</v>
      </c>
      <c r="D468" s="26" t="s">
        <v>746</v>
      </c>
      <c r="E468" s="27">
        <v>45687.0</v>
      </c>
      <c r="F468" s="26" t="s">
        <v>431</v>
      </c>
      <c r="G468" s="10"/>
      <c r="H468" s="10"/>
    </row>
    <row r="469">
      <c r="A469" s="11" t="s">
        <v>747</v>
      </c>
      <c r="B469" s="26" t="s">
        <v>58</v>
      </c>
      <c r="C469" s="26">
        <v>2025.0</v>
      </c>
      <c r="D469" s="26" t="s">
        <v>724</v>
      </c>
      <c r="E469" s="27">
        <v>45687.0</v>
      </c>
      <c r="F469" s="26" t="s">
        <v>585</v>
      </c>
      <c r="G469" s="10"/>
      <c r="H469" s="10"/>
      <c r="J469" s="29">
        <v>0.0</v>
      </c>
    </row>
    <row r="470">
      <c r="A470" s="11" t="s">
        <v>748</v>
      </c>
      <c r="B470" s="26" t="s">
        <v>58</v>
      </c>
      <c r="C470" s="26">
        <v>2025.0</v>
      </c>
      <c r="D470" s="26" t="s">
        <v>659</v>
      </c>
      <c r="E470" s="27">
        <v>45688.0</v>
      </c>
      <c r="F470" s="26" t="s">
        <v>585</v>
      </c>
      <c r="G470" s="10"/>
      <c r="H470" s="10"/>
    </row>
    <row r="471">
      <c r="A471" s="11" t="s">
        <v>749</v>
      </c>
      <c r="B471" s="26" t="s">
        <v>58</v>
      </c>
      <c r="C471" s="26">
        <v>2025.0</v>
      </c>
      <c r="D471" s="26" t="s">
        <v>750</v>
      </c>
      <c r="E471" s="27">
        <v>45688.0</v>
      </c>
      <c r="F471" s="26" t="s">
        <v>585</v>
      </c>
      <c r="G471" s="10"/>
      <c r="H471" s="10"/>
    </row>
    <row r="472">
      <c r="A472" s="11" t="s">
        <v>751</v>
      </c>
      <c r="B472" s="26" t="s">
        <v>58</v>
      </c>
      <c r="C472" s="26">
        <v>2025.0</v>
      </c>
      <c r="D472" s="26" t="s">
        <v>750</v>
      </c>
      <c r="E472" s="27">
        <v>45688.0</v>
      </c>
      <c r="F472" s="26" t="s">
        <v>393</v>
      </c>
      <c r="G472" s="10"/>
      <c r="H472" s="10"/>
    </row>
    <row r="473">
      <c r="A473" s="11" t="s">
        <v>752</v>
      </c>
      <c r="B473" s="26" t="s">
        <v>58</v>
      </c>
      <c r="C473" s="26">
        <v>2025.0</v>
      </c>
      <c r="D473" s="26" t="s">
        <v>753</v>
      </c>
      <c r="E473" s="27">
        <v>45688.0</v>
      </c>
      <c r="F473" s="26" t="s">
        <v>393</v>
      </c>
      <c r="G473" s="10"/>
      <c r="H473" s="10"/>
    </row>
    <row r="474">
      <c r="A474" s="11" t="s">
        <v>754</v>
      </c>
      <c r="B474" s="26" t="s">
        <v>58</v>
      </c>
      <c r="C474" s="26">
        <v>2025.0</v>
      </c>
      <c r="D474" s="26" t="s">
        <v>587</v>
      </c>
      <c r="E474" s="27">
        <v>45688.0</v>
      </c>
      <c r="F474" s="26" t="s">
        <v>425</v>
      </c>
      <c r="G474" s="10"/>
      <c r="H474" s="10"/>
    </row>
    <row r="475">
      <c r="A475" s="11" t="s">
        <v>755</v>
      </c>
      <c r="B475" s="26" t="s">
        <v>58</v>
      </c>
      <c r="C475" s="26">
        <v>2025.0</v>
      </c>
      <c r="D475" s="26" t="s">
        <v>756</v>
      </c>
      <c r="E475" s="27">
        <v>45688.0</v>
      </c>
      <c r="F475" s="26" t="s">
        <v>393</v>
      </c>
      <c r="G475" s="10"/>
      <c r="H475" s="10"/>
    </row>
    <row r="476">
      <c r="A476" s="11" t="s">
        <v>757</v>
      </c>
      <c r="B476" s="26" t="s">
        <v>81</v>
      </c>
      <c r="C476" s="26">
        <v>2025.0</v>
      </c>
      <c r="D476" s="26" t="s">
        <v>736</v>
      </c>
      <c r="E476" s="27">
        <v>45689.0</v>
      </c>
      <c r="F476" s="26" t="s">
        <v>393</v>
      </c>
      <c r="G476" s="10"/>
      <c r="H476" s="10"/>
    </row>
    <row r="477">
      <c r="A477" s="11" t="s">
        <v>758</v>
      </c>
      <c r="B477" s="26" t="s">
        <v>81</v>
      </c>
      <c r="C477" s="26">
        <v>2025.0</v>
      </c>
      <c r="D477" s="26" t="s">
        <v>154</v>
      </c>
      <c r="E477" s="27">
        <v>45689.0</v>
      </c>
      <c r="F477" s="26" t="s">
        <v>425</v>
      </c>
      <c r="G477" s="10"/>
      <c r="H477" s="10"/>
    </row>
    <row r="478">
      <c r="A478" s="11" t="s">
        <v>759</v>
      </c>
      <c r="B478" s="26" t="s">
        <v>81</v>
      </c>
      <c r="C478" s="26">
        <v>2025.0</v>
      </c>
      <c r="D478" s="26" t="s">
        <v>13</v>
      </c>
      <c r="E478" s="27">
        <v>45692.0</v>
      </c>
      <c r="F478" s="26" t="s">
        <v>300</v>
      </c>
      <c r="G478" s="10"/>
      <c r="H478" s="10"/>
    </row>
    <row r="479">
      <c r="A479" s="11" t="s">
        <v>760</v>
      </c>
      <c r="B479" s="26" t="s">
        <v>81</v>
      </c>
      <c r="C479" s="26">
        <v>2025.0</v>
      </c>
      <c r="D479" s="26" t="s">
        <v>700</v>
      </c>
      <c r="E479" s="27">
        <v>45692.0</v>
      </c>
      <c r="F479" s="26" t="s">
        <v>393</v>
      </c>
      <c r="G479" s="10"/>
      <c r="H479" s="10"/>
    </row>
    <row r="480">
      <c r="A480" s="11" t="s">
        <v>761</v>
      </c>
      <c r="B480" s="26" t="s">
        <v>81</v>
      </c>
      <c r="C480" s="26">
        <v>2025.0</v>
      </c>
      <c r="D480" s="26" t="s">
        <v>584</v>
      </c>
      <c r="E480" s="27">
        <v>45693.0</v>
      </c>
      <c r="F480" s="26" t="s">
        <v>393</v>
      </c>
      <c r="G480" s="10"/>
      <c r="H480" s="10"/>
    </row>
    <row r="481">
      <c r="A481" s="11" t="s">
        <v>762</v>
      </c>
      <c r="B481" s="26" t="s">
        <v>81</v>
      </c>
      <c r="C481" s="26">
        <v>2025.0</v>
      </c>
      <c r="D481" s="26" t="s">
        <v>23</v>
      </c>
      <c r="E481" s="27">
        <v>45694.0</v>
      </c>
      <c r="F481" s="26" t="s">
        <v>393</v>
      </c>
      <c r="G481" s="10"/>
      <c r="H481" s="10"/>
    </row>
    <row r="482">
      <c r="A482" s="11" t="s">
        <v>763</v>
      </c>
      <c r="B482" s="26" t="s">
        <v>81</v>
      </c>
      <c r="C482" s="26">
        <v>2025.0</v>
      </c>
      <c r="D482" s="26" t="s">
        <v>34</v>
      </c>
      <c r="E482" s="27">
        <v>45696.0</v>
      </c>
      <c r="F482" s="26" t="s">
        <v>393</v>
      </c>
      <c r="G482" s="10"/>
      <c r="H482" s="10"/>
    </row>
    <row r="483">
      <c r="A483" s="11" t="s">
        <v>764</v>
      </c>
      <c r="B483" s="26" t="s">
        <v>81</v>
      </c>
      <c r="C483" s="26">
        <v>2025.0</v>
      </c>
      <c r="D483" s="26" t="s">
        <v>736</v>
      </c>
      <c r="E483" s="27">
        <v>45698.0</v>
      </c>
      <c r="F483" s="26" t="s">
        <v>425</v>
      </c>
      <c r="G483" s="10"/>
      <c r="H483" s="10"/>
    </row>
    <row r="484">
      <c r="A484" s="11" t="s">
        <v>765</v>
      </c>
      <c r="B484" s="26" t="s">
        <v>81</v>
      </c>
      <c r="C484" s="26">
        <v>2025.0</v>
      </c>
      <c r="D484" s="26" t="s">
        <v>736</v>
      </c>
      <c r="E484" s="27">
        <v>45699.0</v>
      </c>
      <c r="F484" s="26" t="s">
        <v>425</v>
      </c>
      <c r="G484" s="10"/>
      <c r="H484" s="10"/>
    </row>
    <row r="485">
      <c r="A485" s="11" t="s">
        <v>766</v>
      </c>
      <c r="B485" s="26" t="s">
        <v>81</v>
      </c>
      <c r="C485" s="26">
        <v>2025.0</v>
      </c>
      <c r="D485" s="26" t="s">
        <v>767</v>
      </c>
      <c r="E485" s="27">
        <v>45700.0</v>
      </c>
      <c r="F485" s="26" t="s">
        <v>393</v>
      </c>
      <c r="G485" s="10"/>
      <c r="H485" s="10"/>
    </row>
    <row r="486">
      <c r="A486" s="11" t="s">
        <v>768</v>
      </c>
      <c r="B486" s="26" t="s">
        <v>81</v>
      </c>
      <c r="C486" s="26">
        <v>2025.0</v>
      </c>
      <c r="D486" s="26" t="s">
        <v>608</v>
      </c>
      <c r="E486" s="27">
        <v>45700.0</v>
      </c>
      <c r="F486" s="26" t="s">
        <v>393</v>
      </c>
      <c r="G486" s="10"/>
      <c r="H486" s="10"/>
    </row>
    <row r="487">
      <c r="A487" s="11" t="s">
        <v>769</v>
      </c>
      <c r="B487" s="26" t="s">
        <v>81</v>
      </c>
      <c r="C487" s="26">
        <v>2025.0</v>
      </c>
      <c r="D487" s="26" t="s">
        <v>421</v>
      </c>
      <c r="E487" s="27">
        <v>45701.0</v>
      </c>
      <c r="F487" s="26" t="s">
        <v>425</v>
      </c>
      <c r="G487" s="10"/>
      <c r="H487" s="10"/>
    </row>
    <row r="488">
      <c r="A488" s="11" t="s">
        <v>770</v>
      </c>
      <c r="B488" s="26" t="s">
        <v>81</v>
      </c>
      <c r="C488" s="26">
        <v>2025.0</v>
      </c>
      <c r="D488" s="26" t="s">
        <v>595</v>
      </c>
      <c r="E488" s="27">
        <v>45701.0</v>
      </c>
      <c r="F488" s="26" t="s">
        <v>393</v>
      </c>
      <c r="G488" s="10"/>
      <c r="H488" s="10"/>
    </row>
    <row r="489">
      <c r="A489" s="11" t="s">
        <v>771</v>
      </c>
      <c r="B489" s="26" t="s">
        <v>81</v>
      </c>
      <c r="C489" s="26">
        <v>2025.0</v>
      </c>
      <c r="D489" s="26" t="s">
        <v>157</v>
      </c>
      <c r="E489" s="27">
        <v>45701.0</v>
      </c>
      <c r="F489" s="26" t="s">
        <v>393</v>
      </c>
      <c r="G489" s="10"/>
      <c r="H489" s="10"/>
    </row>
    <row r="490">
      <c r="A490" s="11" t="s">
        <v>772</v>
      </c>
      <c r="B490" s="26" t="s">
        <v>81</v>
      </c>
      <c r="C490" s="26">
        <v>2025.0</v>
      </c>
      <c r="D490" s="26" t="s">
        <v>413</v>
      </c>
      <c r="E490" s="27">
        <v>45702.0</v>
      </c>
      <c r="F490" s="26" t="s">
        <v>393</v>
      </c>
      <c r="G490" s="10"/>
      <c r="H490" s="10"/>
    </row>
    <row r="491">
      <c r="A491" s="11" t="s">
        <v>773</v>
      </c>
      <c r="B491" s="26" t="s">
        <v>81</v>
      </c>
      <c r="C491" s="26">
        <v>2025.0</v>
      </c>
      <c r="D491" s="26" t="s">
        <v>384</v>
      </c>
      <c r="E491" s="27">
        <v>45702.0</v>
      </c>
      <c r="F491" s="26" t="s">
        <v>393</v>
      </c>
      <c r="G491" s="10"/>
      <c r="H491" s="10"/>
    </row>
    <row r="492">
      <c r="A492" s="11" t="s">
        <v>774</v>
      </c>
      <c r="B492" s="26" t="s">
        <v>81</v>
      </c>
      <c r="C492" s="26">
        <v>2025.0</v>
      </c>
      <c r="D492" s="26" t="s">
        <v>775</v>
      </c>
      <c r="E492" s="27">
        <v>45703.0</v>
      </c>
      <c r="F492" s="26" t="s">
        <v>393</v>
      </c>
      <c r="G492" s="10"/>
      <c r="H492" s="10"/>
    </row>
    <row r="493">
      <c r="A493" s="11" t="s">
        <v>776</v>
      </c>
      <c r="B493" s="26" t="s">
        <v>81</v>
      </c>
      <c r="C493" s="26">
        <v>2025.0</v>
      </c>
      <c r="D493" s="26" t="s">
        <v>736</v>
      </c>
      <c r="E493" s="27">
        <v>45705.0</v>
      </c>
      <c r="F493" s="26" t="s">
        <v>393</v>
      </c>
      <c r="G493" s="10"/>
      <c r="H493" s="10"/>
    </row>
    <row r="494">
      <c r="A494" s="11" t="s">
        <v>777</v>
      </c>
      <c r="B494" s="26" t="s">
        <v>81</v>
      </c>
      <c r="C494" s="26">
        <v>2025.0</v>
      </c>
      <c r="D494" s="26" t="s">
        <v>778</v>
      </c>
      <c r="E494" s="27">
        <v>45706.0</v>
      </c>
      <c r="F494" s="26" t="s">
        <v>393</v>
      </c>
      <c r="G494" s="10"/>
      <c r="H494" s="10"/>
    </row>
    <row r="495">
      <c r="A495" s="11" t="s">
        <v>779</v>
      </c>
      <c r="B495" s="26" t="s">
        <v>81</v>
      </c>
      <c r="C495" s="26">
        <v>2025.0</v>
      </c>
      <c r="D495" s="26" t="s">
        <v>780</v>
      </c>
      <c r="E495" s="27">
        <v>45706.0</v>
      </c>
      <c r="F495" s="26" t="s">
        <v>393</v>
      </c>
      <c r="G495" s="10"/>
      <c r="H495" s="10"/>
    </row>
    <row r="496">
      <c r="A496" s="11" t="s">
        <v>781</v>
      </c>
      <c r="B496" s="26" t="s">
        <v>81</v>
      </c>
      <c r="C496" s="26">
        <v>2025.0</v>
      </c>
      <c r="D496" s="26" t="s">
        <v>782</v>
      </c>
      <c r="E496" s="27">
        <v>45706.0</v>
      </c>
      <c r="F496" s="26" t="s">
        <v>393</v>
      </c>
      <c r="G496" s="10"/>
      <c r="H496" s="10"/>
    </row>
    <row r="497">
      <c r="A497" s="11" t="s">
        <v>783</v>
      </c>
      <c r="B497" s="26" t="s">
        <v>81</v>
      </c>
      <c r="C497" s="26">
        <v>2025.0</v>
      </c>
      <c r="D497" s="26" t="s">
        <v>753</v>
      </c>
      <c r="E497" s="27">
        <v>45707.0</v>
      </c>
      <c r="F497" s="26" t="s">
        <v>425</v>
      </c>
      <c r="G497" s="10"/>
      <c r="H497" s="10"/>
    </row>
    <row r="498">
      <c r="A498" s="11" t="s">
        <v>784</v>
      </c>
      <c r="B498" s="26" t="s">
        <v>81</v>
      </c>
      <c r="C498" s="26">
        <v>2025.0</v>
      </c>
      <c r="D498" s="26" t="s">
        <v>707</v>
      </c>
      <c r="E498" s="27">
        <v>45708.0</v>
      </c>
      <c r="F498" s="26" t="s">
        <v>393</v>
      </c>
      <c r="G498" s="10"/>
      <c r="H498" s="10"/>
    </row>
    <row r="499">
      <c r="A499" s="11" t="s">
        <v>785</v>
      </c>
      <c r="B499" s="26" t="s">
        <v>81</v>
      </c>
      <c r="C499" s="26">
        <v>2025.0</v>
      </c>
      <c r="D499" s="26" t="s">
        <v>116</v>
      </c>
      <c r="E499" s="27">
        <v>45709.0</v>
      </c>
      <c r="F499" s="26" t="s">
        <v>393</v>
      </c>
      <c r="G499" s="10"/>
      <c r="H499" s="10"/>
    </row>
    <row r="500">
      <c r="A500" s="11" t="s">
        <v>786</v>
      </c>
      <c r="B500" s="26" t="s">
        <v>81</v>
      </c>
      <c r="C500" s="26">
        <v>2025.0</v>
      </c>
      <c r="D500" s="26" t="s">
        <v>574</v>
      </c>
      <c r="E500" s="27">
        <v>45709.0</v>
      </c>
      <c r="F500" s="26" t="s">
        <v>585</v>
      </c>
      <c r="G500" s="10"/>
      <c r="H500" s="10"/>
    </row>
    <row r="501">
      <c r="A501" s="11" t="s">
        <v>787</v>
      </c>
      <c r="B501" s="26" t="s">
        <v>81</v>
      </c>
      <c r="C501" s="26">
        <v>2025.0</v>
      </c>
      <c r="D501" s="26" t="s">
        <v>517</v>
      </c>
      <c r="E501" s="27">
        <v>45709.0</v>
      </c>
      <c r="F501" s="26" t="s">
        <v>393</v>
      </c>
      <c r="G501" s="10"/>
      <c r="H501" s="10"/>
    </row>
    <row r="502">
      <c r="A502" s="11" t="s">
        <v>788</v>
      </c>
      <c r="B502" s="26" t="s">
        <v>81</v>
      </c>
      <c r="C502" s="26">
        <v>2025.0</v>
      </c>
      <c r="D502" s="26" t="s">
        <v>778</v>
      </c>
      <c r="E502" s="26" t="s">
        <v>789</v>
      </c>
      <c r="F502" s="26" t="s">
        <v>393</v>
      </c>
      <c r="G502" s="10"/>
      <c r="H502" s="10"/>
    </row>
    <row r="503">
      <c r="A503" s="11" t="s">
        <v>790</v>
      </c>
      <c r="B503" s="26" t="s">
        <v>81</v>
      </c>
      <c r="C503" s="26">
        <v>2025.0</v>
      </c>
      <c r="D503" s="26" t="s">
        <v>791</v>
      </c>
      <c r="E503" s="27">
        <v>45346.0</v>
      </c>
      <c r="F503" s="26" t="s">
        <v>461</v>
      </c>
      <c r="G503" s="10"/>
      <c r="H503" s="10"/>
    </row>
    <row r="504">
      <c r="A504" s="11" t="s">
        <v>792</v>
      </c>
      <c r="B504" s="26" t="s">
        <v>81</v>
      </c>
      <c r="C504" s="26">
        <v>2025.0</v>
      </c>
      <c r="D504" s="26" t="s">
        <v>793</v>
      </c>
      <c r="E504" s="27">
        <v>45346.0</v>
      </c>
      <c r="F504" s="26" t="s">
        <v>425</v>
      </c>
      <c r="G504" s="10"/>
      <c r="H504" s="10"/>
    </row>
    <row r="505">
      <c r="A505" s="11" t="s">
        <v>794</v>
      </c>
      <c r="B505" s="26" t="s">
        <v>81</v>
      </c>
      <c r="C505" s="26">
        <v>2025.0</v>
      </c>
      <c r="D505" s="26" t="s">
        <v>739</v>
      </c>
      <c r="E505" s="27">
        <v>45346.0</v>
      </c>
      <c r="F505" s="26" t="s">
        <v>393</v>
      </c>
      <c r="G505" s="10"/>
      <c r="H505" s="10"/>
    </row>
    <row r="506">
      <c r="A506" s="11" t="s">
        <v>795</v>
      </c>
      <c r="B506" s="26" t="s">
        <v>81</v>
      </c>
      <c r="C506" s="26">
        <v>2025.0</v>
      </c>
      <c r="D506" s="26" t="s">
        <v>796</v>
      </c>
      <c r="E506" s="27">
        <v>45346.0</v>
      </c>
      <c r="F506" s="26" t="s">
        <v>393</v>
      </c>
      <c r="G506" s="10"/>
      <c r="H506" s="10"/>
    </row>
    <row r="507">
      <c r="A507" s="11" t="s">
        <v>797</v>
      </c>
      <c r="B507" s="26" t="s">
        <v>81</v>
      </c>
      <c r="C507" s="26">
        <v>2025.0</v>
      </c>
      <c r="D507" s="26" t="s">
        <v>66</v>
      </c>
      <c r="E507" s="27">
        <v>45346.0</v>
      </c>
      <c r="F507" s="26" t="s">
        <v>393</v>
      </c>
      <c r="G507" s="10"/>
      <c r="H507" s="10"/>
    </row>
    <row r="508">
      <c r="A508" s="11" t="s">
        <v>798</v>
      </c>
      <c r="B508" s="26" t="s">
        <v>81</v>
      </c>
      <c r="C508" s="26">
        <v>2025.0</v>
      </c>
      <c r="D508" s="26" t="s">
        <v>799</v>
      </c>
      <c r="E508" s="27">
        <v>45347.0</v>
      </c>
      <c r="F508" s="26" t="s">
        <v>393</v>
      </c>
      <c r="G508" s="10"/>
      <c r="H508" s="10"/>
    </row>
    <row r="509">
      <c r="A509" s="11" t="s">
        <v>800</v>
      </c>
      <c r="B509" s="26" t="s">
        <v>81</v>
      </c>
      <c r="C509" s="26">
        <v>2025.0</v>
      </c>
      <c r="D509" s="26" t="s">
        <v>416</v>
      </c>
      <c r="E509" s="27">
        <v>45714.0</v>
      </c>
      <c r="F509" s="26" t="s">
        <v>319</v>
      </c>
      <c r="G509" s="10"/>
      <c r="H509" s="10"/>
    </row>
    <row r="510">
      <c r="A510" s="11" t="s">
        <v>801</v>
      </c>
      <c r="B510" s="26" t="s">
        <v>81</v>
      </c>
      <c r="C510" s="26">
        <v>2025.0</v>
      </c>
      <c r="D510" s="26" t="s">
        <v>157</v>
      </c>
      <c r="E510" s="27">
        <v>45716.0</v>
      </c>
      <c r="F510" s="26" t="s">
        <v>425</v>
      </c>
      <c r="G510" s="10"/>
      <c r="H510" s="10"/>
    </row>
    <row r="511">
      <c r="A511" s="11" t="s">
        <v>802</v>
      </c>
      <c r="B511" s="26" t="s">
        <v>101</v>
      </c>
      <c r="C511" s="26">
        <v>2025.0</v>
      </c>
      <c r="D511" s="26" t="s">
        <v>803</v>
      </c>
      <c r="E511" s="27">
        <v>45719.0</v>
      </c>
      <c r="F511" s="26" t="s">
        <v>393</v>
      </c>
      <c r="G511" s="10"/>
      <c r="H511" s="10"/>
    </row>
    <row r="512">
      <c r="A512" s="11" t="s">
        <v>804</v>
      </c>
      <c r="B512" s="26" t="s">
        <v>101</v>
      </c>
      <c r="C512" s="26">
        <v>2025.0</v>
      </c>
      <c r="D512" s="26" t="s">
        <v>805</v>
      </c>
      <c r="E512" s="27">
        <v>45720.0</v>
      </c>
      <c r="F512" s="26" t="s">
        <v>393</v>
      </c>
      <c r="G512" s="10"/>
      <c r="H512" s="10"/>
    </row>
    <row r="513">
      <c r="A513" s="11" t="s">
        <v>806</v>
      </c>
      <c r="B513" s="26" t="s">
        <v>101</v>
      </c>
      <c r="C513" s="26">
        <v>2025.0</v>
      </c>
      <c r="D513" s="26" t="s">
        <v>116</v>
      </c>
      <c r="E513" s="27">
        <v>45721.0</v>
      </c>
      <c r="F513" s="26" t="s">
        <v>425</v>
      </c>
      <c r="G513" s="10"/>
      <c r="H513" s="10"/>
    </row>
    <row r="514">
      <c r="A514" s="11" t="s">
        <v>807</v>
      </c>
      <c r="B514" s="26" t="s">
        <v>101</v>
      </c>
      <c r="C514" s="26">
        <v>2025.0</v>
      </c>
      <c r="D514" s="26" t="s">
        <v>428</v>
      </c>
      <c r="E514" s="27">
        <v>45678.0</v>
      </c>
      <c r="F514" s="26" t="s">
        <v>393</v>
      </c>
      <c r="G514" s="10"/>
      <c r="H514" s="10"/>
    </row>
    <row r="515">
      <c r="A515" s="11" t="s">
        <v>808</v>
      </c>
      <c r="B515" s="26" t="s">
        <v>101</v>
      </c>
      <c r="C515" s="26">
        <v>2025.0</v>
      </c>
      <c r="D515" s="26" t="s">
        <v>47</v>
      </c>
      <c r="E515" s="27">
        <v>45723.0</v>
      </c>
      <c r="F515" s="26" t="s">
        <v>425</v>
      </c>
      <c r="G515" s="10"/>
      <c r="H515" s="10"/>
    </row>
    <row r="516">
      <c r="A516" s="11" t="s">
        <v>809</v>
      </c>
      <c r="B516" s="26" t="s">
        <v>101</v>
      </c>
      <c r="C516" s="26">
        <v>2025.0</v>
      </c>
      <c r="D516" s="26" t="s">
        <v>775</v>
      </c>
      <c r="E516" s="27">
        <v>45724.0</v>
      </c>
      <c r="F516" s="26" t="s">
        <v>425</v>
      </c>
      <c r="G516" s="10"/>
      <c r="H516" s="10"/>
    </row>
    <row r="517">
      <c r="A517" s="11" t="s">
        <v>810</v>
      </c>
      <c r="B517" s="26" t="s">
        <v>101</v>
      </c>
      <c r="C517" s="26">
        <v>2025.0</v>
      </c>
      <c r="D517" s="26" t="s">
        <v>811</v>
      </c>
      <c r="E517" s="27">
        <v>45725.0</v>
      </c>
      <c r="F517" s="26" t="s">
        <v>393</v>
      </c>
      <c r="G517" s="10"/>
      <c r="H517" s="10"/>
    </row>
    <row r="518">
      <c r="A518" s="11" t="s">
        <v>812</v>
      </c>
      <c r="B518" s="26" t="s">
        <v>101</v>
      </c>
      <c r="C518" s="26">
        <v>2025.0</v>
      </c>
      <c r="D518" s="26" t="s">
        <v>799</v>
      </c>
      <c r="E518" s="27">
        <v>45728.0</v>
      </c>
      <c r="F518" s="26" t="s">
        <v>393</v>
      </c>
      <c r="G518" s="10"/>
      <c r="H518" s="10"/>
    </row>
    <row r="519">
      <c r="A519" s="11" t="s">
        <v>813</v>
      </c>
      <c r="B519" s="26" t="s">
        <v>101</v>
      </c>
      <c r="C519" s="26">
        <v>2025.0</v>
      </c>
      <c r="D519" s="26" t="s">
        <v>315</v>
      </c>
      <c r="E519" s="27">
        <v>45731.0</v>
      </c>
      <c r="F519" s="26" t="s">
        <v>393</v>
      </c>
      <c r="G519" s="10"/>
      <c r="H519" s="10"/>
    </row>
    <row r="520">
      <c r="A520" s="11" t="s">
        <v>814</v>
      </c>
      <c r="B520" s="26" t="s">
        <v>101</v>
      </c>
      <c r="C520" s="26">
        <v>2025.0</v>
      </c>
      <c r="D520" s="26" t="s">
        <v>75</v>
      </c>
      <c r="E520" s="27">
        <v>45731.0</v>
      </c>
      <c r="F520" s="26" t="s">
        <v>393</v>
      </c>
      <c r="G520" s="10"/>
      <c r="H520" s="10"/>
    </row>
    <row r="521">
      <c r="A521" s="11" t="s">
        <v>815</v>
      </c>
      <c r="B521" s="26" t="s">
        <v>101</v>
      </c>
      <c r="C521" s="26">
        <v>2025.0</v>
      </c>
      <c r="D521" s="26" t="s">
        <v>816</v>
      </c>
      <c r="E521" s="27">
        <v>45733.0</v>
      </c>
      <c r="F521" s="26" t="s">
        <v>393</v>
      </c>
      <c r="G521" s="10"/>
      <c r="H521" s="10"/>
    </row>
    <row r="522">
      <c r="A522" s="11" t="s">
        <v>817</v>
      </c>
      <c r="B522" s="26" t="s">
        <v>101</v>
      </c>
      <c r="C522" s="26">
        <v>2025.0</v>
      </c>
      <c r="D522" s="26" t="s">
        <v>818</v>
      </c>
      <c r="E522" s="27">
        <v>45734.0</v>
      </c>
      <c r="F522" s="26" t="s">
        <v>393</v>
      </c>
      <c r="G522" s="10"/>
      <c r="H522" s="10"/>
    </row>
    <row r="523">
      <c r="A523" s="11" t="s">
        <v>819</v>
      </c>
      <c r="B523" s="26" t="s">
        <v>101</v>
      </c>
      <c r="C523" s="26">
        <v>2025.0</v>
      </c>
      <c r="D523" s="26" t="s">
        <v>820</v>
      </c>
      <c r="E523" s="27">
        <v>45737.0</v>
      </c>
      <c r="F523" s="26" t="s">
        <v>425</v>
      </c>
      <c r="G523" s="10"/>
      <c r="H523" s="10"/>
    </row>
    <row r="524">
      <c r="A524" s="11" t="s">
        <v>821</v>
      </c>
      <c r="B524" s="26" t="s">
        <v>101</v>
      </c>
      <c r="C524" s="26">
        <v>2025.0</v>
      </c>
      <c r="D524" s="26" t="s">
        <v>822</v>
      </c>
      <c r="E524" s="27">
        <v>45737.0</v>
      </c>
      <c r="F524" s="26" t="s">
        <v>431</v>
      </c>
      <c r="G524" s="10"/>
      <c r="H524" s="10"/>
    </row>
    <row r="525">
      <c r="A525" s="11" t="s">
        <v>823</v>
      </c>
      <c r="B525" s="26" t="s">
        <v>101</v>
      </c>
      <c r="C525" s="26">
        <v>2025.0</v>
      </c>
      <c r="D525" s="26" t="s">
        <v>824</v>
      </c>
      <c r="E525" s="27">
        <v>45738.0</v>
      </c>
      <c r="F525" s="26" t="s">
        <v>431</v>
      </c>
      <c r="G525" s="10"/>
      <c r="H525" s="10"/>
    </row>
    <row r="526">
      <c r="A526" s="11" t="s">
        <v>825</v>
      </c>
      <c r="B526" s="26" t="s">
        <v>101</v>
      </c>
      <c r="C526" s="26">
        <v>2025.0</v>
      </c>
      <c r="D526" s="26" t="s">
        <v>822</v>
      </c>
      <c r="E526" s="27">
        <v>45739.0</v>
      </c>
      <c r="F526" s="26" t="s">
        <v>393</v>
      </c>
      <c r="G526" s="10"/>
      <c r="H526" s="10"/>
    </row>
    <row r="527">
      <c r="A527" s="11" t="s">
        <v>826</v>
      </c>
      <c r="B527" s="26" t="s">
        <v>101</v>
      </c>
      <c r="C527" s="26">
        <v>2025.0</v>
      </c>
      <c r="D527" s="26" t="s">
        <v>827</v>
      </c>
      <c r="E527" s="27">
        <v>45740.0</v>
      </c>
      <c r="F527" s="26" t="s">
        <v>393</v>
      </c>
      <c r="G527" s="10"/>
      <c r="H527" s="10"/>
    </row>
    <row r="528">
      <c r="A528" s="11" t="s">
        <v>828</v>
      </c>
      <c r="B528" s="26" t="s">
        <v>101</v>
      </c>
      <c r="C528" s="26">
        <v>2025.0</v>
      </c>
      <c r="D528" s="26" t="s">
        <v>608</v>
      </c>
      <c r="E528" s="27">
        <v>45740.0</v>
      </c>
      <c r="F528" s="26" t="s">
        <v>710</v>
      </c>
      <c r="G528" s="10"/>
      <c r="H528" s="10"/>
    </row>
    <row r="529">
      <c r="A529" s="11" t="s">
        <v>829</v>
      </c>
      <c r="B529" s="26" t="s">
        <v>101</v>
      </c>
      <c r="C529" s="26">
        <v>2025.0</v>
      </c>
      <c r="D529" s="26" t="s">
        <v>830</v>
      </c>
      <c r="E529" s="27">
        <v>45740.0</v>
      </c>
      <c r="F529" s="26" t="s">
        <v>393</v>
      </c>
      <c r="G529" s="10"/>
      <c r="H529" s="10"/>
    </row>
    <row r="530">
      <c r="A530" s="11" t="s">
        <v>831</v>
      </c>
      <c r="B530" s="26" t="s">
        <v>101</v>
      </c>
      <c r="C530" s="26">
        <v>2025.0</v>
      </c>
      <c r="D530" s="26" t="s">
        <v>608</v>
      </c>
      <c r="E530" s="27">
        <v>45742.0</v>
      </c>
      <c r="F530" s="26" t="s">
        <v>425</v>
      </c>
      <c r="G530" s="10"/>
      <c r="H530" s="10"/>
    </row>
    <row r="531">
      <c r="A531" s="11" t="s">
        <v>832</v>
      </c>
      <c r="B531" s="26" t="s">
        <v>101</v>
      </c>
      <c r="C531" s="26">
        <v>2025.0</v>
      </c>
      <c r="D531" s="26" t="s">
        <v>778</v>
      </c>
      <c r="E531" s="27">
        <v>45742.0</v>
      </c>
      <c r="F531" s="26" t="s">
        <v>393</v>
      </c>
      <c r="G531" s="10"/>
      <c r="H531" s="10"/>
    </row>
    <row r="532">
      <c r="A532" s="11" t="s">
        <v>833</v>
      </c>
      <c r="B532" s="26" t="s">
        <v>101</v>
      </c>
      <c r="C532" s="26">
        <v>2025.0</v>
      </c>
      <c r="D532" s="26" t="s">
        <v>834</v>
      </c>
      <c r="E532" s="27">
        <v>45743.0</v>
      </c>
      <c r="F532" s="26" t="s">
        <v>393</v>
      </c>
      <c r="G532" s="10"/>
      <c r="H532" s="10"/>
    </row>
    <row r="533">
      <c r="A533" s="11" t="s">
        <v>835</v>
      </c>
      <c r="B533" s="26" t="s">
        <v>101</v>
      </c>
      <c r="C533" s="26">
        <v>2025.0</v>
      </c>
      <c r="D533" s="26" t="s">
        <v>822</v>
      </c>
      <c r="E533" s="27">
        <v>45743.0</v>
      </c>
      <c r="F533" s="26" t="s">
        <v>836</v>
      </c>
      <c r="G533" s="10"/>
      <c r="H533" s="10"/>
    </row>
    <row r="534">
      <c r="A534" s="11" t="s">
        <v>837</v>
      </c>
      <c r="B534" s="26" t="s">
        <v>101</v>
      </c>
      <c r="C534" s="26">
        <v>2025.0</v>
      </c>
      <c r="D534" s="26" t="s">
        <v>822</v>
      </c>
      <c r="E534" s="27">
        <v>45743.0</v>
      </c>
      <c r="F534" s="26" t="s">
        <v>393</v>
      </c>
      <c r="G534" s="10"/>
      <c r="H534" s="10"/>
    </row>
    <row r="535">
      <c r="A535" s="11" t="s">
        <v>838</v>
      </c>
      <c r="B535" s="26" t="s">
        <v>101</v>
      </c>
      <c r="C535" s="26">
        <v>2025.0</v>
      </c>
      <c r="D535" s="26" t="s">
        <v>736</v>
      </c>
      <c r="E535" s="27">
        <v>45745.0</v>
      </c>
      <c r="F535" s="26" t="s">
        <v>425</v>
      </c>
      <c r="G535" s="10"/>
      <c r="H535" s="10"/>
    </row>
    <row r="536">
      <c r="A536" s="11" t="s">
        <v>839</v>
      </c>
      <c r="B536" s="26" t="s">
        <v>124</v>
      </c>
      <c r="C536" s="26">
        <v>2025.0</v>
      </c>
      <c r="D536" s="26" t="s">
        <v>840</v>
      </c>
      <c r="E536" s="27">
        <v>45755.0</v>
      </c>
      <c r="F536" s="26" t="s">
        <v>393</v>
      </c>
      <c r="G536" s="10"/>
      <c r="H536" s="10"/>
    </row>
    <row r="537">
      <c r="A537" s="11" t="s">
        <v>841</v>
      </c>
      <c r="B537" s="26" t="s">
        <v>124</v>
      </c>
      <c r="C537" s="26">
        <v>2025.0</v>
      </c>
      <c r="D537" s="26" t="s">
        <v>842</v>
      </c>
      <c r="E537" s="27">
        <v>45756.0</v>
      </c>
      <c r="F537" s="26" t="s">
        <v>425</v>
      </c>
      <c r="G537" s="10"/>
      <c r="H537" s="10"/>
    </row>
    <row r="538">
      <c r="A538" s="11" t="s">
        <v>843</v>
      </c>
      <c r="B538" s="26" t="s">
        <v>124</v>
      </c>
      <c r="C538" s="26">
        <v>2025.0</v>
      </c>
      <c r="D538" s="26" t="s">
        <v>799</v>
      </c>
      <c r="E538" s="27">
        <v>45757.0</v>
      </c>
      <c r="F538" s="26" t="s">
        <v>425</v>
      </c>
      <c r="G538" s="10"/>
      <c r="H538" s="10"/>
    </row>
    <row r="539">
      <c r="A539" s="11" t="s">
        <v>844</v>
      </c>
      <c r="B539" s="26" t="s">
        <v>124</v>
      </c>
      <c r="C539" s="26">
        <v>2025.0</v>
      </c>
      <c r="D539" s="26" t="s">
        <v>845</v>
      </c>
      <c r="E539" s="27">
        <v>45757.0</v>
      </c>
      <c r="F539" s="26" t="s">
        <v>393</v>
      </c>
      <c r="G539" s="10"/>
      <c r="H539" s="10"/>
    </row>
    <row r="540">
      <c r="A540" s="11" t="s">
        <v>846</v>
      </c>
      <c r="B540" s="26" t="s">
        <v>124</v>
      </c>
      <c r="C540" s="26">
        <v>2025.0</v>
      </c>
      <c r="D540" s="26" t="s">
        <v>847</v>
      </c>
      <c r="E540" s="27">
        <v>45758.0</v>
      </c>
      <c r="F540" s="26" t="s">
        <v>393</v>
      </c>
      <c r="G540" s="10"/>
      <c r="H540" s="10"/>
    </row>
    <row r="541">
      <c r="A541" s="11" t="s">
        <v>848</v>
      </c>
      <c r="B541" s="26" t="s">
        <v>124</v>
      </c>
      <c r="C541" s="26">
        <v>2025.0</v>
      </c>
      <c r="D541" s="26" t="s">
        <v>608</v>
      </c>
      <c r="E541" s="27">
        <v>45759.0</v>
      </c>
      <c r="F541" s="26" t="s">
        <v>393</v>
      </c>
      <c r="G541" s="10"/>
      <c r="H541" s="10"/>
    </row>
    <row r="542">
      <c r="A542" s="11" t="s">
        <v>849</v>
      </c>
      <c r="B542" s="26" t="s">
        <v>124</v>
      </c>
      <c r="C542" s="26">
        <v>2025.0</v>
      </c>
      <c r="D542" s="26" t="s">
        <v>850</v>
      </c>
      <c r="E542" s="27">
        <v>45759.0</v>
      </c>
      <c r="F542" s="26" t="s">
        <v>393</v>
      </c>
      <c r="G542" s="10"/>
      <c r="H542" s="10"/>
    </row>
    <row r="543">
      <c r="A543" s="11" t="s">
        <v>851</v>
      </c>
      <c r="B543" s="26" t="s">
        <v>124</v>
      </c>
      <c r="C543" s="26">
        <v>2025.0</v>
      </c>
      <c r="D543" s="26" t="s">
        <v>811</v>
      </c>
      <c r="E543" s="27">
        <v>45761.0</v>
      </c>
      <c r="F543" s="26" t="s">
        <v>425</v>
      </c>
      <c r="G543" s="10"/>
      <c r="H543" s="10"/>
    </row>
    <row r="544">
      <c r="A544" s="11" t="s">
        <v>852</v>
      </c>
      <c r="B544" s="26" t="s">
        <v>471</v>
      </c>
      <c r="C544" s="26">
        <v>2025.0</v>
      </c>
      <c r="D544" s="26" t="s">
        <v>840</v>
      </c>
      <c r="E544" s="27">
        <v>45761.0</v>
      </c>
      <c r="F544" s="26" t="s">
        <v>393</v>
      </c>
      <c r="G544" s="10"/>
      <c r="H544" s="10"/>
    </row>
    <row r="545">
      <c r="A545" s="11" t="s">
        <v>853</v>
      </c>
      <c r="B545" s="26" t="s">
        <v>124</v>
      </c>
      <c r="C545" s="26">
        <v>2025.0</v>
      </c>
      <c r="D545" s="26" t="s">
        <v>739</v>
      </c>
      <c r="E545" s="27">
        <v>45762.0</v>
      </c>
      <c r="F545" s="26" t="s">
        <v>393</v>
      </c>
      <c r="G545" s="10"/>
      <c r="H545" s="10"/>
    </row>
    <row r="546">
      <c r="A546" s="11" t="s">
        <v>854</v>
      </c>
      <c r="B546" s="26" t="s">
        <v>124</v>
      </c>
      <c r="C546" s="26">
        <v>2025.0</v>
      </c>
      <c r="D546" s="26" t="s">
        <v>23</v>
      </c>
      <c r="E546" s="27">
        <v>45763.0</v>
      </c>
      <c r="F546" s="26" t="s">
        <v>393</v>
      </c>
      <c r="G546" s="10"/>
      <c r="H546" s="10"/>
    </row>
    <row r="547">
      <c r="A547" s="11" t="s">
        <v>855</v>
      </c>
      <c r="B547" s="26" t="s">
        <v>124</v>
      </c>
      <c r="C547" s="26">
        <v>2025.0</v>
      </c>
      <c r="D547" s="26" t="s">
        <v>47</v>
      </c>
      <c r="E547" s="27">
        <v>45764.0</v>
      </c>
      <c r="F547" s="26" t="s">
        <v>425</v>
      </c>
      <c r="G547" s="10"/>
      <c r="H547" s="10"/>
    </row>
    <row r="548">
      <c r="A548" s="11" t="s">
        <v>856</v>
      </c>
      <c r="B548" s="26" t="s">
        <v>124</v>
      </c>
      <c r="C548" s="26">
        <v>2025.0</v>
      </c>
      <c r="D548" s="26" t="s">
        <v>66</v>
      </c>
      <c r="E548" s="27">
        <v>45764.0</v>
      </c>
      <c r="F548" s="26" t="s">
        <v>393</v>
      </c>
      <c r="G548" s="10"/>
      <c r="H548" s="10"/>
    </row>
    <row r="549">
      <c r="A549" s="11" t="s">
        <v>857</v>
      </c>
      <c r="B549" s="26" t="s">
        <v>124</v>
      </c>
      <c r="C549" s="26">
        <v>2025.0</v>
      </c>
      <c r="D549" s="26" t="s">
        <v>628</v>
      </c>
      <c r="E549" s="27">
        <v>45764.0</v>
      </c>
      <c r="F549" s="26" t="s">
        <v>393</v>
      </c>
      <c r="G549" s="10"/>
      <c r="H549" s="10"/>
    </row>
    <row r="550">
      <c r="A550" s="11" t="s">
        <v>858</v>
      </c>
      <c r="B550" s="26" t="s">
        <v>124</v>
      </c>
      <c r="C550" s="26">
        <v>2025.0</v>
      </c>
      <c r="D550" s="26" t="s">
        <v>859</v>
      </c>
      <c r="E550" s="27">
        <v>45765.0</v>
      </c>
      <c r="F550" s="26" t="s">
        <v>393</v>
      </c>
      <c r="G550" s="10"/>
      <c r="H550" s="10"/>
    </row>
    <row r="551">
      <c r="A551" s="11" t="s">
        <v>860</v>
      </c>
      <c r="B551" s="26" t="s">
        <v>124</v>
      </c>
      <c r="C551" s="26">
        <v>2025.0</v>
      </c>
      <c r="D551" s="26" t="s">
        <v>861</v>
      </c>
      <c r="E551" s="27">
        <v>45765.0</v>
      </c>
      <c r="F551" s="26" t="s">
        <v>393</v>
      </c>
      <c r="G551" s="10"/>
      <c r="H551" s="10"/>
    </row>
    <row r="552">
      <c r="A552" s="11" t="s">
        <v>862</v>
      </c>
      <c r="B552" s="26" t="s">
        <v>124</v>
      </c>
      <c r="C552" s="26">
        <v>2025.0</v>
      </c>
      <c r="D552" s="26" t="s">
        <v>728</v>
      </c>
      <c r="E552" s="27">
        <v>45766.0</v>
      </c>
      <c r="F552" s="26" t="s">
        <v>393</v>
      </c>
      <c r="G552" s="10"/>
      <c r="H552" s="10"/>
    </row>
    <row r="553">
      <c r="A553" s="11" t="s">
        <v>863</v>
      </c>
      <c r="B553" s="26" t="s">
        <v>124</v>
      </c>
      <c r="C553" s="26">
        <v>2025.0</v>
      </c>
      <c r="D553" s="26" t="s">
        <v>739</v>
      </c>
      <c r="E553" s="27">
        <v>45768.0</v>
      </c>
      <c r="F553" s="26" t="s">
        <v>393</v>
      </c>
      <c r="G553" s="10"/>
      <c r="H553" s="10"/>
    </row>
    <row r="554">
      <c r="A554" s="11" t="s">
        <v>864</v>
      </c>
      <c r="B554" s="26" t="s">
        <v>124</v>
      </c>
      <c r="C554" s="26">
        <v>2025.0</v>
      </c>
      <c r="D554" s="26" t="s">
        <v>865</v>
      </c>
      <c r="E554" s="27">
        <v>45769.0</v>
      </c>
      <c r="F554" s="26" t="s">
        <v>393</v>
      </c>
      <c r="G554" s="10"/>
      <c r="H554" s="10"/>
    </row>
    <row r="555">
      <c r="A555" s="11" t="s">
        <v>866</v>
      </c>
      <c r="B555" s="26" t="s">
        <v>124</v>
      </c>
      <c r="C555" s="26">
        <v>2025.0</v>
      </c>
      <c r="D555" s="26" t="s">
        <v>867</v>
      </c>
      <c r="E555" s="27">
        <v>45769.0</v>
      </c>
      <c r="F555" s="26" t="s">
        <v>425</v>
      </c>
      <c r="G555" s="10"/>
      <c r="H555" s="10"/>
    </row>
    <row r="556">
      <c r="A556" s="11" t="s">
        <v>868</v>
      </c>
      <c r="B556" s="26" t="s">
        <v>124</v>
      </c>
      <c r="C556" s="26">
        <v>2025.0</v>
      </c>
      <c r="D556" s="26" t="s">
        <v>869</v>
      </c>
      <c r="E556" s="27">
        <v>45769.0</v>
      </c>
      <c r="F556" s="26" t="s">
        <v>425</v>
      </c>
      <c r="G556" s="10"/>
      <c r="H556" s="10"/>
    </row>
    <row r="557">
      <c r="A557" s="11" t="s">
        <v>870</v>
      </c>
      <c r="B557" s="26" t="s">
        <v>124</v>
      </c>
      <c r="C557" s="26">
        <v>2025.0</v>
      </c>
      <c r="D557" s="26" t="s">
        <v>840</v>
      </c>
      <c r="E557" s="27">
        <v>45770.0</v>
      </c>
      <c r="F557" s="26" t="s">
        <v>393</v>
      </c>
      <c r="G557" s="10"/>
      <c r="H557" s="10"/>
    </row>
    <row r="558">
      <c r="A558" s="11" t="s">
        <v>871</v>
      </c>
      <c r="B558" s="26" t="s">
        <v>124</v>
      </c>
      <c r="C558" s="26">
        <v>2025.0</v>
      </c>
      <c r="D558" s="26" t="s">
        <v>872</v>
      </c>
      <c r="E558" s="27">
        <v>45770.0</v>
      </c>
      <c r="F558" s="26" t="s">
        <v>425</v>
      </c>
      <c r="G558" s="10"/>
      <c r="H558" s="10"/>
    </row>
    <row r="559">
      <c r="A559" s="11" t="s">
        <v>873</v>
      </c>
      <c r="B559" s="26" t="s">
        <v>124</v>
      </c>
      <c r="C559" s="26">
        <v>2025.0</v>
      </c>
      <c r="D559" s="26" t="s">
        <v>811</v>
      </c>
      <c r="E559" s="27">
        <v>45772.0</v>
      </c>
      <c r="F559" s="26" t="s">
        <v>425</v>
      </c>
      <c r="G559" s="10"/>
      <c r="H559" s="10"/>
    </row>
    <row r="560">
      <c r="A560" s="11" t="s">
        <v>874</v>
      </c>
      <c r="B560" s="26" t="s">
        <v>124</v>
      </c>
      <c r="C560" s="26">
        <v>2025.0</v>
      </c>
      <c r="D560" s="26" t="s">
        <v>702</v>
      </c>
      <c r="E560" s="27">
        <v>45773.0</v>
      </c>
      <c r="F560" s="26" t="s">
        <v>425</v>
      </c>
      <c r="G560" s="10"/>
      <c r="H560" s="10"/>
    </row>
    <row r="561">
      <c r="A561" s="11" t="s">
        <v>875</v>
      </c>
      <c r="B561" s="26" t="s">
        <v>124</v>
      </c>
      <c r="C561" s="26">
        <v>2025.0</v>
      </c>
      <c r="D561" s="26" t="s">
        <v>157</v>
      </c>
      <c r="E561" s="27">
        <v>45776.0</v>
      </c>
      <c r="F561" s="26" t="s">
        <v>425</v>
      </c>
      <c r="G561" s="10"/>
      <c r="H561" s="10"/>
    </row>
    <row r="562">
      <c r="A562" s="11" t="s">
        <v>876</v>
      </c>
      <c r="B562" s="26" t="s">
        <v>877</v>
      </c>
      <c r="C562" s="26">
        <v>2025.0</v>
      </c>
      <c r="D562" s="26" t="s">
        <v>878</v>
      </c>
      <c r="E562" s="27">
        <v>45778.0</v>
      </c>
      <c r="F562" s="26" t="s">
        <v>393</v>
      </c>
      <c r="G562" s="10"/>
      <c r="H562" s="10"/>
    </row>
    <row r="563">
      <c r="A563" s="11" t="s">
        <v>879</v>
      </c>
      <c r="B563" s="26" t="s">
        <v>877</v>
      </c>
      <c r="C563" s="26">
        <v>2025.0</v>
      </c>
      <c r="D563" s="26" t="s">
        <v>539</v>
      </c>
      <c r="E563" s="27">
        <v>45779.0</v>
      </c>
      <c r="F563" s="26" t="s">
        <v>393</v>
      </c>
      <c r="G563" s="10"/>
      <c r="H563" s="10"/>
    </row>
    <row r="564">
      <c r="A564" s="11" t="s">
        <v>880</v>
      </c>
      <c r="B564" s="26" t="s">
        <v>150</v>
      </c>
      <c r="C564" s="26">
        <v>2025.0</v>
      </c>
      <c r="D564" s="26" t="s">
        <v>539</v>
      </c>
      <c r="E564" s="27">
        <v>45779.0</v>
      </c>
      <c r="F564" s="26" t="s">
        <v>425</v>
      </c>
      <c r="G564" s="10"/>
      <c r="H564" s="10"/>
    </row>
    <row r="565">
      <c r="A565" s="11" t="s">
        <v>881</v>
      </c>
      <c r="B565" s="26" t="s">
        <v>150</v>
      </c>
      <c r="C565" s="26">
        <v>2025.0</v>
      </c>
      <c r="D565" s="26" t="s">
        <v>878</v>
      </c>
      <c r="E565" s="27">
        <v>45781.0</v>
      </c>
      <c r="F565" s="26" t="s">
        <v>425</v>
      </c>
      <c r="G565" s="10"/>
      <c r="H565" s="10"/>
    </row>
    <row r="566">
      <c r="A566" s="11" t="s">
        <v>882</v>
      </c>
      <c r="B566" s="26" t="s">
        <v>150</v>
      </c>
      <c r="C566" s="26">
        <v>2025.0</v>
      </c>
      <c r="D566" s="26" t="s">
        <v>539</v>
      </c>
      <c r="E566" s="27">
        <v>45781.0</v>
      </c>
      <c r="F566" s="26" t="s">
        <v>425</v>
      </c>
      <c r="G566" s="10"/>
      <c r="H566" s="10"/>
    </row>
    <row r="567">
      <c r="A567" s="11" t="s">
        <v>883</v>
      </c>
      <c r="B567" s="26" t="s">
        <v>150</v>
      </c>
      <c r="C567" s="26">
        <v>2025.0</v>
      </c>
      <c r="D567" s="26" t="s">
        <v>884</v>
      </c>
      <c r="E567" s="27">
        <v>45795.0</v>
      </c>
      <c r="F567" s="26" t="s">
        <v>425</v>
      </c>
      <c r="G567" s="10"/>
      <c r="H567" s="10"/>
    </row>
    <row r="568">
      <c r="A568" s="11" t="s">
        <v>885</v>
      </c>
      <c r="B568" s="26" t="s">
        <v>150</v>
      </c>
      <c r="C568" s="26">
        <v>2025.0</v>
      </c>
      <c r="D568" s="26" t="s">
        <v>707</v>
      </c>
      <c r="E568" s="27">
        <v>45783.0</v>
      </c>
      <c r="F568" s="26" t="s">
        <v>393</v>
      </c>
      <c r="G568" s="10"/>
      <c r="H568" s="10"/>
    </row>
    <row r="569">
      <c r="A569" s="11" t="s">
        <v>886</v>
      </c>
      <c r="B569" s="26" t="s">
        <v>150</v>
      </c>
      <c r="C569" s="26">
        <v>2025.0</v>
      </c>
      <c r="D569" s="26" t="s">
        <v>872</v>
      </c>
      <c r="E569" s="27">
        <v>45785.0</v>
      </c>
      <c r="F569" s="26" t="s">
        <v>425</v>
      </c>
      <c r="G569" s="10"/>
      <c r="H569" s="10"/>
    </row>
    <row r="570">
      <c r="A570" s="11" t="s">
        <v>887</v>
      </c>
      <c r="B570" s="26" t="s">
        <v>150</v>
      </c>
      <c r="C570" s="26">
        <v>2025.0</v>
      </c>
      <c r="D570" s="26" t="s">
        <v>888</v>
      </c>
      <c r="E570" s="27">
        <v>45785.0</v>
      </c>
      <c r="F570" s="26" t="s">
        <v>393</v>
      </c>
      <c r="G570" s="10"/>
      <c r="H570" s="10"/>
    </row>
    <row r="571">
      <c r="A571" s="11" t="s">
        <v>889</v>
      </c>
      <c r="B571" s="26" t="s">
        <v>150</v>
      </c>
      <c r="C571" s="26">
        <v>2025.0</v>
      </c>
      <c r="D571" s="26" t="s">
        <v>890</v>
      </c>
      <c r="E571" s="27">
        <v>45786.0</v>
      </c>
      <c r="F571" s="26" t="s">
        <v>685</v>
      </c>
      <c r="G571" s="10"/>
      <c r="H571" s="10"/>
    </row>
    <row r="572">
      <c r="A572" s="11" t="s">
        <v>891</v>
      </c>
      <c r="B572" s="26" t="s">
        <v>150</v>
      </c>
      <c r="C572" s="26">
        <v>2025.0</v>
      </c>
      <c r="D572" s="26" t="s">
        <v>811</v>
      </c>
      <c r="E572" s="27">
        <v>45788.0</v>
      </c>
      <c r="F572" s="26" t="s">
        <v>425</v>
      </c>
      <c r="G572" s="10"/>
      <c r="H572" s="10"/>
    </row>
    <row r="573">
      <c r="A573" s="11" t="s">
        <v>892</v>
      </c>
      <c r="B573" s="26" t="s">
        <v>150</v>
      </c>
      <c r="C573" s="26">
        <v>2025.0</v>
      </c>
      <c r="D573" s="26" t="s">
        <v>421</v>
      </c>
      <c r="E573" s="27">
        <v>45790.0</v>
      </c>
      <c r="F573" s="26" t="s">
        <v>425</v>
      </c>
      <c r="G573" s="10"/>
      <c r="H573" s="10"/>
    </row>
    <row r="574">
      <c r="A574" s="11" t="s">
        <v>893</v>
      </c>
      <c r="B574" s="26" t="s">
        <v>150</v>
      </c>
      <c r="C574" s="26">
        <v>2025.0</v>
      </c>
      <c r="D574" s="26" t="s">
        <v>730</v>
      </c>
      <c r="E574" s="27">
        <v>45789.0</v>
      </c>
      <c r="F574" s="26" t="s">
        <v>425</v>
      </c>
      <c r="G574" s="10"/>
      <c r="H574" s="10"/>
    </row>
    <row r="575">
      <c r="A575" s="11" t="s">
        <v>894</v>
      </c>
      <c r="B575" s="26" t="s">
        <v>150</v>
      </c>
      <c r="C575" s="26">
        <v>2025.0</v>
      </c>
      <c r="D575" s="26" t="s">
        <v>380</v>
      </c>
      <c r="E575" s="27">
        <v>45792.0</v>
      </c>
      <c r="F575" s="26" t="s">
        <v>393</v>
      </c>
      <c r="G575" s="10"/>
      <c r="H575" s="10"/>
    </row>
    <row r="576">
      <c r="A576" s="11" t="s">
        <v>895</v>
      </c>
      <c r="B576" s="26" t="s">
        <v>150</v>
      </c>
      <c r="C576" s="26">
        <v>2025.0</v>
      </c>
      <c r="D576" s="26" t="s">
        <v>421</v>
      </c>
      <c r="E576" s="27">
        <v>45793.0</v>
      </c>
      <c r="F576" s="26" t="s">
        <v>393</v>
      </c>
      <c r="G576" s="10"/>
      <c r="H576" s="10"/>
    </row>
    <row r="577">
      <c r="A577" s="11" t="s">
        <v>896</v>
      </c>
      <c r="B577" s="26" t="s">
        <v>150</v>
      </c>
      <c r="C577" s="26">
        <v>2025.0</v>
      </c>
      <c r="D577" s="26" t="s">
        <v>799</v>
      </c>
      <c r="E577" s="27">
        <v>45793.0</v>
      </c>
      <c r="F577" s="26" t="s">
        <v>393</v>
      </c>
      <c r="G577" s="10"/>
      <c r="H577" s="10"/>
    </row>
    <row r="578">
      <c r="A578" s="11" t="s">
        <v>897</v>
      </c>
      <c r="B578" s="26" t="s">
        <v>150</v>
      </c>
      <c r="C578" s="26">
        <v>2025.0</v>
      </c>
      <c r="D578" s="26" t="s">
        <v>618</v>
      </c>
      <c r="E578" s="27">
        <v>45794.0</v>
      </c>
      <c r="F578" s="26" t="s">
        <v>393</v>
      </c>
      <c r="G578" s="10"/>
      <c r="H578" s="10"/>
    </row>
    <row r="579">
      <c r="A579" s="11" t="s">
        <v>898</v>
      </c>
      <c r="B579" s="26" t="s">
        <v>150</v>
      </c>
      <c r="C579" s="26">
        <v>2025.0</v>
      </c>
      <c r="D579" s="26" t="s">
        <v>899</v>
      </c>
      <c r="E579" s="27">
        <v>45794.0</v>
      </c>
      <c r="F579" s="26" t="s">
        <v>393</v>
      </c>
      <c r="G579" s="10"/>
      <c r="H579" s="10"/>
    </row>
    <row r="580">
      <c r="A580" s="11" t="s">
        <v>900</v>
      </c>
      <c r="B580" s="26" t="s">
        <v>150</v>
      </c>
      <c r="C580" s="26">
        <v>2025.0</v>
      </c>
      <c r="D580" s="26" t="s">
        <v>539</v>
      </c>
      <c r="E580" s="27">
        <v>45794.0</v>
      </c>
      <c r="F580" s="26"/>
      <c r="G580" s="10"/>
      <c r="H580" s="10"/>
    </row>
    <row r="581">
      <c r="A581" s="11" t="s">
        <v>901</v>
      </c>
      <c r="B581" s="26" t="s">
        <v>150</v>
      </c>
      <c r="C581" s="26">
        <v>2025.0</v>
      </c>
      <c r="D581" s="26" t="s">
        <v>288</v>
      </c>
      <c r="E581" s="27">
        <v>45795.0</v>
      </c>
      <c r="F581" s="26" t="s">
        <v>393</v>
      </c>
      <c r="G581" s="10"/>
      <c r="H581" s="10"/>
    </row>
    <row r="582">
      <c r="A582" s="11" t="s">
        <v>902</v>
      </c>
      <c r="B582" s="26" t="s">
        <v>150</v>
      </c>
      <c r="C582" s="26">
        <v>2025.0</v>
      </c>
      <c r="D582" s="26" t="s">
        <v>818</v>
      </c>
      <c r="E582" s="27">
        <v>45796.0</v>
      </c>
      <c r="F582" s="26" t="s">
        <v>393</v>
      </c>
      <c r="G582" s="10"/>
      <c r="H582" s="10"/>
    </row>
    <row r="583">
      <c r="A583" s="11" t="s">
        <v>903</v>
      </c>
      <c r="B583" s="26" t="s">
        <v>150</v>
      </c>
      <c r="C583" s="26">
        <v>2025.0</v>
      </c>
      <c r="D583" s="26" t="s">
        <v>799</v>
      </c>
      <c r="E583" s="27">
        <v>45796.0</v>
      </c>
      <c r="F583" s="26" t="s">
        <v>685</v>
      </c>
      <c r="G583" s="10"/>
      <c r="H583" s="10"/>
    </row>
    <row r="584">
      <c r="A584" s="11" t="s">
        <v>904</v>
      </c>
      <c r="B584" s="26" t="s">
        <v>905</v>
      </c>
      <c r="C584" s="26">
        <v>2025.0</v>
      </c>
      <c r="D584" s="26" t="s">
        <v>906</v>
      </c>
      <c r="E584" s="27">
        <v>45797.0</v>
      </c>
      <c r="F584" s="26" t="s">
        <v>393</v>
      </c>
      <c r="G584" s="10"/>
      <c r="H584" s="10"/>
    </row>
    <row r="585">
      <c r="A585" s="11" t="s">
        <v>907</v>
      </c>
      <c r="B585" s="26" t="s">
        <v>150</v>
      </c>
      <c r="C585" s="26">
        <v>2025.0</v>
      </c>
      <c r="D585" s="26" t="s">
        <v>157</v>
      </c>
      <c r="E585" s="27">
        <v>45797.0</v>
      </c>
      <c r="F585" s="26" t="s">
        <v>393</v>
      </c>
      <c r="G585" s="10"/>
      <c r="H585" s="10"/>
    </row>
    <row r="586">
      <c r="A586" s="11" t="s">
        <v>908</v>
      </c>
      <c r="B586" s="26" t="s">
        <v>150</v>
      </c>
      <c r="C586" s="26">
        <v>2025.0</v>
      </c>
      <c r="D586" s="26" t="s">
        <v>380</v>
      </c>
      <c r="E586" s="27">
        <v>45797.0</v>
      </c>
      <c r="F586" s="26" t="s">
        <v>393</v>
      </c>
      <c r="G586" s="10"/>
      <c r="H586" s="10"/>
    </row>
    <row r="587">
      <c r="A587" s="11" t="s">
        <v>909</v>
      </c>
      <c r="B587" s="26" t="s">
        <v>150</v>
      </c>
      <c r="C587" s="26">
        <v>2025.0</v>
      </c>
      <c r="D587" s="26" t="s">
        <v>910</v>
      </c>
      <c r="E587" s="27">
        <v>45798.0</v>
      </c>
      <c r="F587" s="26" t="s">
        <v>425</v>
      </c>
      <c r="G587" s="10"/>
      <c r="H587" s="10"/>
    </row>
    <row r="588">
      <c r="A588" s="11" t="s">
        <v>911</v>
      </c>
      <c r="B588" s="26" t="s">
        <v>150</v>
      </c>
      <c r="C588" s="26">
        <v>2025.0</v>
      </c>
      <c r="D588" s="26" t="s">
        <v>912</v>
      </c>
      <c r="E588" s="27">
        <v>45799.0</v>
      </c>
      <c r="F588" s="26" t="s">
        <v>425</v>
      </c>
      <c r="G588" s="10"/>
      <c r="H588" s="10"/>
    </row>
    <row r="589">
      <c r="A589" s="11" t="s">
        <v>913</v>
      </c>
      <c r="B589" s="26" t="s">
        <v>150</v>
      </c>
      <c r="C589" s="26">
        <v>2025.0</v>
      </c>
      <c r="D589" s="26" t="s">
        <v>914</v>
      </c>
      <c r="E589" s="27">
        <v>45799.0</v>
      </c>
      <c r="F589" s="26" t="s">
        <v>425</v>
      </c>
      <c r="G589" s="10"/>
      <c r="H589" s="10"/>
    </row>
    <row r="590">
      <c r="A590" s="11" t="s">
        <v>915</v>
      </c>
      <c r="B590" s="26" t="s">
        <v>150</v>
      </c>
      <c r="C590" s="26">
        <v>2025.0</v>
      </c>
      <c r="D590" s="26" t="s">
        <v>916</v>
      </c>
      <c r="E590" s="27">
        <v>45800.0</v>
      </c>
      <c r="F590" s="26" t="s">
        <v>393</v>
      </c>
      <c r="G590" s="10"/>
      <c r="H590" s="10"/>
    </row>
    <row r="591">
      <c r="A591" s="11" t="s">
        <v>917</v>
      </c>
      <c r="B591" s="26" t="s">
        <v>150</v>
      </c>
      <c r="C591" s="26">
        <v>2025.0</v>
      </c>
      <c r="D591" s="26" t="s">
        <v>822</v>
      </c>
      <c r="E591" s="27">
        <v>45801.0</v>
      </c>
      <c r="F591" s="26" t="s">
        <v>393</v>
      </c>
      <c r="G591" s="10"/>
      <c r="H591" s="10"/>
    </row>
    <row r="592">
      <c r="A592" s="11" t="s">
        <v>918</v>
      </c>
      <c r="B592" s="26" t="s">
        <v>150</v>
      </c>
      <c r="C592" s="26">
        <v>2025.0</v>
      </c>
      <c r="D592" s="26" t="s">
        <v>799</v>
      </c>
      <c r="E592" s="27">
        <v>45801.0</v>
      </c>
      <c r="F592" s="26" t="s">
        <v>393</v>
      </c>
      <c r="G592" s="10"/>
      <c r="H592" s="10"/>
    </row>
    <row r="593">
      <c r="A593" s="11" t="s">
        <v>919</v>
      </c>
      <c r="B593" s="26" t="s">
        <v>150</v>
      </c>
      <c r="C593" s="26">
        <v>2025.0</v>
      </c>
      <c r="D593" s="26" t="s">
        <v>920</v>
      </c>
      <c r="E593" s="27">
        <v>45804.0</v>
      </c>
      <c r="F593" s="26" t="s">
        <v>393</v>
      </c>
      <c r="G593" s="10"/>
      <c r="H593" s="10"/>
    </row>
    <row r="594">
      <c r="A594" s="11" t="s">
        <v>921</v>
      </c>
      <c r="B594" s="26" t="s">
        <v>150</v>
      </c>
      <c r="C594" s="26">
        <v>2025.0</v>
      </c>
      <c r="D594" s="26" t="s">
        <v>922</v>
      </c>
      <c r="E594" s="27">
        <v>45804.0</v>
      </c>
      <c r="F594" s="26" t="s">
        <v>393</v>
      </c>
      <c r="G594" s="10"/>
      <c r="H594" s="10"/>
    </row>
    <row r="595">
      <c r="A595" s="11" t="s">
        <v>923</v>
      </c>
      <c r="B595" s="26" t="s">
        <v>150</v>
      </c>
      <c r="C595" s="26">
        <v>2025.0</v>
      </c>
      <c r="D595" s="26" t="s">
        <v>702</v>
      </c>
      <c r="E595" s="27">
        <v>45804.0</v>
      </c>
      <c r="F595" s="26" t="s">
        <v>431</v>
      </c>
      <c r="G595" s="10"/>
      <c r="H595" s="10"/>
    </row>
    <row r="596">
      <c r="A596" s="11" t="s">
        <v>924</v>
      </c>
      <c r="B596" s="26" t="s">
        <v>150</v>
      </c>
      <c r="C596" s="26">
        <v>2025.0</v>
      </c>
      <c r="D596" s="26" t="s">
        <v>811</v>
      </c>
      <c r="E596" s="27">
        <v>45805.0</v>
      </c>
      <c r="F596" s="26" t="s">
        <v>425</v>
      </c>
      <c r="G596" s="10"/>
      <c r="H596" s="10"/>
    </row>
    <row r="597">
      <c r="A597" s="11" t="s">
        <v>925</v>
      </c>
      <c r="B597" s="26" t="s">
        <v>150</v>
      </c>
      <c r="C597" s="26">
        <v>2025.0</v>
      </c>
      <c r="D597" s="26" t="s">
        <v>926</v>
      </c>
      <c r="E597" s="27">
        <v>45805.0</v>
      </c>
      <c r="F597" s="26" t="s">
        <v>393</v>
      </c>
      <c r="G597" s="10"/>
      <c r="H597" s="10"/>
    </row>
    <row r="598">
      <c r="A598" s="11" t="s">
        <v>927</v>
      </c>
      <c r="B598" s="26" t="s">
        <v>150</v>
      </c>
      <c r="C598" s="26">
        <v>2025.0</v>
      </c>
      <c r="D598" s="26" t="s">
        <v>928</v>
      </c>
      <c r="E598" s="27">
        <v>45805.0</v>
      </c>
      <c r="F598" s="26" t="s">
        <v>319</v>
      </c>
      <c r="G598" s="10"/>
      <c r="H598" s="10"/>
    </row>
    <row r="599">
      <c r="A599" s="11" t="s">
        <v>929</v>
      </c>
      <c r="B599" s="26" t="s">
        <v>150</v>
      </c>
      <c r="C599" s="26">
        <v>2025.0</v>
      </c>
      <c r="D599" s="26" t="s">
        <v>799</v>
      </c>
      <c r="E599" s="27">
        <v>45806.0</v>
      </c>
      <c r="F599" s="26" t="s">
        <v>393</v>
      </c>
      <c r="G599" s="10"/>
      <c r="H599" s="10"/>
    </row>
    <row r="600">
      <c r="A600" s="11" t="s">
        <v>930</v>
      </c>
      <c r="B600" s="26" t="s">
        <v>150</v>
      </c>
      <c r="C600" s="26">
        <v>2025.0</v>
      </c>
      <c r="D600" s="26" t="s">
        <v>704</v>
      </c>
      <c r="E600" s="27">
        <v>45807.0</v>
      </c>
      <c r="F600" s="26" t="s">
        <v>425</v>
      </c>
      <c r="G600" s="10"/>
      <c r="H600" s="10"/>
    </row>
    <row r="601">
      <c r="A601" s="11" t="s">
        <v>931</v>
      </c>
      <c r="B601" s="26" t="s">
        <v>185</v>
      </c>
      <c r="C601" s="26">
        <v>2025.0</v>
      </c>
      <c r="D601" s="26" t="s">
        <v>546</v>
      </c>
      <c r="E601" s="27">
        <v>45809.0</v>
      </c>
      <c r="F601" s="26" t="s">
        <v>393</v>
      </c>
      <c r="G601" s="10"/>
      <c r="H601" s="10"/>
    </row>
    <row r="602">
      <c r="A602" s="11" t="s">
        <v>932</v>
      </c>
      <c r="B602" s="26" t="s">
        <v>185</v>
      </c>
      <c r="C602" s="26">
        <v>2025.0</v>
      </c>
      <c r="D602" s="26" t="s">
        <v>16</v>
      </c>
      <c r="E602" s="27">
        <v>45809.0</v>
      </c>
      <c r="F602" s="26" t="s">
        <v>393</v>
      </c>
      <c r="G602" s="10"/>
      <c r="H602" s="10"/>
    </row>
    <row r="603">
      <c r="A603" s="11" t="s">
        <v>933</v>
      </c>
      <c r="B603" s="26" t="s">
        <v>185</v>
      </c>
      <c r="C603" s="26">
        <v>2025.0</v>
      </c>
      <c r="D603" s="26" t="s">
        <v>840</v>
      </c>
      <c r="E603" s="27">
        <v>45811.0</v>
      </c>
      <c r="F603" s="26" t="s">
        <v>393</v>
      </c>
      <c r="G603" s="10"/>
      <c r="H603" s="10"/>
    </row>
    <row r="604">
      <c r="A604" s="11" t="s">
        <v>934</v>
      </c>
      <c r="B604" s="26" t="s">
        <v>185</v>
      </c>
      <c r="C604" s="26">
        <v>2025.0</v>
      </c>
      <c r="D604" s="26" t="s">
        <v>154</v>
      </c>
      <c r="E604" s="27">
        <v>45780.0</v>
      </c>
      <c r="F604" s="26" t="s">
        <v>393</v>
      </c>
      <c r="G604" s="10"/>
      <c r="H604" s="10"/>
    </row>
    <row r="605">
      <c r="A605" s="11" t="s">
        <v>935</v>
      </c>
      <c r="B605" s="26" t="s">
        <v>185</v>
      </c>
      <c r="C605" s="28"/>
      <c r="D605" s="28"/>
      <c r="E605" s="27"/>
      <c r="F605" s="28"/>
      <c r="G605" s="10"/>
      <c r="H605" s="10"/>
    </row>
    <row r="606">
      <c r="A606" s="11" t="s">
        <v>936</v>
      </c>
      <c r="B606" s="26" t="s">
        <v>185</v>
      </c>
      <c r="C606" s="26">
        <v>2025.0</v>
      </c>
      <c r="D606" s="26" t="s">
        <v>421</v>
      </c>
      <c r="E606" s="27">
        <v>45812.0</v>
      </c>
      <c r="F606" s="26" t="s">
        <v>425</v>
      </c>
      <c r="G606" s="10"/>
      <c r="H606" s="10"/>
    </row>
    <row r="607">
      <c r="A607" s="11" t="s">
        <v>937</v>
      </c>
      <c r="B607" s="26" t="s">
        <v>185</v>
      </c>
      <c r="C607" s="26">
        <v>2025.0</v>
      </c>
      <c r="D607" s="26" t="s">
        <v>539</v>
      </c>
      <c r="E607" s="27">
        <v>45812.0</v>
      </c>
      <c r="F607" s="26" t="s">
        <v>393</v>
      </c>
      <c r="G607" s="10"/>
      <c r="H607" s="10"/>
    </row>
    <row r="608">
      <c r="A608" s="11" t="s">
        <v>938</v>
      </c>
      <c r="B608" s="26" t="s">
        <v>185</v>
      </c>
      <c r="C608" s="26">
        <v>2025.0</v>
      </c>
      <c r="D608" s="26" t="s">
        <v>939</v>
      </c>
      <c r="E608" s="27">
        <v>45812.0</v>
      </c>
      <c r="F608" s="26" t="s">
        <v>393</v>
      </c>
      <c r="G608" s="10"/>
      <c r="H608" s="10"/>
    </row>
    <row r="609">
      <c r="A609" s="11" t="s">
        <v>940</v>
      </c>
      <c r="B609" s="26"/>
      <c r="C609" s="26"/>
      <c r="D609" s="26" t="s">
        <v>66</v>
      </c>
      <c r="E609" s="27">
        <v>45816.0</v>
      </c>
      <c r="F609" s="26" t="s">
        <v>393</v>
      </c>
      <c r="G609" s="10"/>
      <c r="H609" s="10"/>
    </row>
    <row r="610">
      <c r="A610" s="11" t="s">
        <v>941</v>
      </c>
      <c r="B610" s="28"/>
      <c r="C610" s="28"/>
      <c r="D610" s="26" t="s">
        <v>942</v>
      </c>
      <c r="E610" s="27">
        <v>45818.0</v>
      </c>
      <c r="F610" s="28"/>
      <c r="G610" s="10"/>
      <c r="H610" s="10"/>
    </row>
    <row r="611">
      <c r="A611" s="11" t="s">
        <v>943</v>
      </c>
      <c r="B611" s="26" t="s">
        <v>185</v>
      </c>
      <c r="C611" s="26">
        <v>2025.0</v>
      </c>
      <c r="D611" s="26" t="s">
        <v>13</v>
      </c>
      <c r="E611" s="27">
        <v>45819.0</v>
      </c>
      <c r="F611" s="26" t="s">
        <v>425</v>
      </c>
      <c r="G611" s="10"/>
      <c r="H611" s="10"/>
    </row>
    <row r="612">
      <c r="A612" s="11" t="s">
        <v>944</v>
      </c>
      <c r="B612" s="26" t="s">
        <v>185</v>
      </c>
      <c r="C612" s="26">
        <v>2025.0</v>
      </c>
      <c r="D612" s="26" t="s">
        <v>811</v>
      </c>
      <c r="E612" s="27">
        <v>45819.0</v>
      </c>
      <c r="F612" s="26" t="s">
        <v>425</v>
      </c>
      <c r="G612" s="10"/>
      <c r="H612" s="10"/>
    </row>
    <row r="613">
      <c r="A613" s="11" t="s">
        <v>945</v>
      </c>
      <c r="B613" s="26" t="s">
        <v>185</v>
      </c>
      <c r="C613" s="26">
        <v>2025.0</v>
      </c>
      <c r="D613" s="26" t="s">
        <v>127</v>
      </c>
      <c r="E613" s="27">
        <v>45820.0</v>
      </c>
      <c r="F613" s="26" t="s">
        <v>393</v>
      </c>
      <c r="G613" s="10"/>
      <c r="H613" s="10"/>
    </row>
    <row r="614">
      <c r="A614" s="11" t="s">
        <v>946</v>
      </c>
      <c r="B614" s="26" t="s">
        <v>185</v>
      </c>
      <c r="C614" s="26">
        <v>2025.0</v>
      </c>
      <c r="D614" s="26" t="s">
        <v>811</v>
      </c>
      <c r="E614" s="27">
        <v>45821.0</v>
      </c>
      <c r="F614" s="26" t="s">
        <v>393</v>
      </c>
      <c r="G614" s="10"/>
      <c r="H614" s="10"/>
    </row>
    <row r="615">
      <c r="A615" s="11" t="s">
        <v>947</v>
      </c>
      <c r="B615" s="26" t="s">
        <v>185</v>
      </c>
      <c r="C615" s="26">
        <v>2025.0</v>
      </c>
      <c r="D615" s="26" t="s">
        <v>157</v>
      </c>
      <c r="E615" s="27">
        <v>45825.0</v>
      </c>
      <c r="F615" s="26" t="s">
        <v>609</v>
      </c>
      <c r="G615" s="10"/>
      <c r="H615" s="10"/>
    </row>
    <row r="616">
      <c r="A616" s="11" t="s">
        <v>948</v>
      </c>
      <c r="B616" s="26" t="s">
        <v>185</v>
      </c>
      <c r="C616" s="26">
        <v>2025.0</v>
      </c>
      <c r="D616" s="26" t="s">
        <v>949</v>
      </c>
      <c r="E616" s="27">
        <v>45825.0</v>
      </c>
      <c r="F616" s="26" t="s">
        <v>393</v>
      </c>
      <c r="G616" s="10"/>
      <c r="H616" s="10"/>
    </row>
    <row r="617">
      <c r="A617" s="11" t="s">
        <v>950</v>
      </c>
      <c r="B617" s="26" t="s">
        <v>185</v>
      </c>
      <c r="C617" s="26">
        <v>2025.0</v>
      </c>
      <c r="D617" s="26" t="s">
        <v>951</v>
      </c>
      <c r="E617" s="27"/>
      <c r="F617" s="28"/>
      <c r="G617" s="10"/>
      <c r="H617" s="10"/>
    </row>
    <row r="618">
      <c r="A618" s="11" t="s">
        <v>952</v>
      </c>
      <c r="B618" s="26" t="s">
        <v>185</v>
      </c>
      <c r="C618" s="26">
        <v>2025.0</v>
      </c>
      <c r="D618" s="26" t="s">
        <v>416</v>
      </c>
      <c r="E618" s="27">
        <v>45825.0</v>
      </c>
      <c r="F618" s="26" t="s">
        <v>425</v>
      </c>
      <c r="G618" s="10"/>
      <c r="H618" s="10"/>
    </row>
    <row r="619">
      <c r="A619" s="11" t="s">
        <v>953</v>
      </c>
      <c r="B619" s="26" t="s">
        <v>185</v>
      </c>
      <c r="C619" s="26">
        <v>2025.0</v>
      </c>
      <c r="D619" s="26" t="s">
        <v>954</v>
      </c>
      <c r="E619" s="27">
        <v>45825.0</v>
      </c>
      <c r="F619" s="26" t="s">
        <v>393</v>
      </c>
      <c r="G619" s="10"/>
      <c r="H619" s="10"/>
    </row>
    <row r="620">
      <c r="A620" s="11" t="s">
        <v>955</v>
      </c>
      <c r="B620" s="26" t="s">
        <v>185</v>
      </c>
      <c r="C620" s="26">
        <v>2025.0</v>
      </c>
      <c r="D620" s="26" t="s">
        <v>956</v>
      </c>
      <c r="E620" s="27">
        <v>45810.0</v>
      </c>
      <c r="F620" s="26" t="s">
        <v>393</v>
      </c>
      <c r="G620" s="10"/>
      <c r="H620" s="10"/>
    </row>
    <row r="621">
      <c r="A621" s="11" t="s">
        <v>957</v>
      </c>
      <c r="B621" s="26" t="s">
        <v>185</v>
      </c>
      <c r="C621" s="26">
        <v>2025.0</v>
      </c>
      <c r="D621" s="26" t="s">
        <v>956</v>
      </c>
      <c r="E621" s="27">
        <v>45824.0</v>
      </c>
      <c r="F621" s="26" t="s">
        <v>393</v>
      </c>
      <c r="G621" s="10"/>
      <c r="H621" s="10"/>
    </row>
    <row r="622">
      <c r="A622" s="11" t="s">
        <v>958</v>
      </c>
      <c r="B622" s="26" t="s">
        <v>185</v>
      </c>
      <c r="C622" s="26">
        <v>2025.0</v>
      </c>
      <c r="D622" s="26" t="s">
        <v>956</v>
      </c>
      <c r="E622" s="27">
        <v>45821.0</v>
      </c>
      <c r="F622" s="26" t="s">
        <v>393</v>
      </c>
      <c r="G622" s="10"/>
      <c r="H622" s="10"/>
    </row>
    <row r="623">
      <c r="A623" s="11" t="s">
        <v>959</v>
      </c>
      <c r="B623" s="26" t="s">
        <v>185</v>
      </c>
      <c r="C623" s="26">
        <v>2025.0</v>
      </c>
      <c r="D623" s="26" t="s">
        <v>47</v>
      </c>
      <c r="E623" s="27">
        <v>45826.0</v>
      </c>
      <c r="F623" s="26" t="s">
        <v>425</v>
      </c>
      <c r="G623" s="10"/>
      <c r="H623" s="10"/>
    </row>
    <row r="624">
      <c r="A624" s="11" t="s">
        <v>960</v>
      </c>
      <c r="B624" s="26" t="s">
        <v>185</v>
      </c>
      <c r="C624" s="26">
        <v>2025.0</v>
      </c>
      <c r="D624" s="26" t="s">
        <v>811</v>
      </c>
      <c r="E624" s="27">
        <v>45827.0</v>
      </c>
      <c r="F624" s="26" t="s">
        <v>393</v>
      </c>
      <c r="G624" s="10"/>
      <c r="H624" s="10"/>
    </row>
    <row r="625">
      <c r="A625" s="11" t="s">
        <v>961</v>
      </c>
      <c r="B625" s="30" t="s">
        <v>185</v>
      </c>
      <c r="C625" s="26">
        <v>2025.0</v>
      </c>
      <c r="D625" s="26" t="s">
        <v>539</v>
      </c>
      <c r="E625" s="27">
        <v>45828.0</v>
      </c>
      <c r="F625" s="26" t="s">
        <v>393</v>
      </c>
      <c r="G625" s="10"/>
      <c r="H625" s="10"/>
    </row>
    <row r="626">
      <c r="A626" s="11" t="s">
        <v>962</v>
      </c>
      <c r="B626" s="30" t="s">
        <v>185</v>
      </c>
      <c r="C626" s="26">
        <v>2025.0</v>
      </c>
      <c r="D626" s="26" t="s">
        <v>380</v>
      </c>
      <c r="E626" s="27">
        <v>45831.0</v>
      </c>
      <c r="F626" s="26" t="s">
        <v>425</v>
      </c>
      <c r="G626" s="10"/>
      <c r="H626" s="10"/>
    </row>
    <row r="627">
      <c r="A627" s="11" t="s">
        <v>963</v>
      </c>
      <c r="B627" s="26" t="s">
        <v>185</v>
      </c>
      <c r="C627" s="26">
        <v>2025.0</v>
      </c>
      <c r="D627" s="26" t="s">
        <v>732</v>
      </c>
      <c r="E627" s="27">
        <v>45831.0</v>
      </c>
      <c r="F627" s="26" t="s">
        <v>425</v>
      </c>
      <c r="G627" s="10"/>
      <c r="H627" s="10"/>
    </row>
    <row r="628">
      <c r="A628" s="11" t="s">
        <v>964</v>
      </c>
      <c r="B628" s="26" t="s">
        <v>185</v>
      </c>
      <c r="C628" s="26">
        <v>2025.0</v>
      </c>
      <c r="D628" s="26" t="s">
        <v>965</v>
      </c>
      <c r="E628" s="27">
        <v>45831.0</v>
      </c>
      <c r="F628" s="26" t="s">
        <v>425</v>
      </c>
      <c r="G628" s="10"/>
      <c r="H628" s="10"/>
    </row>
    <row r="629">
      <c r="A629" s="11" t="s">
        <v>966</v>
      </c>
      <c r="B629" s="26" t="s">
        <v>200</v>
      </c>
      <c r="C629" s="26">
        <v>2025.0</v>
      </c>
      <c r="D629" s="26" t="s">
        <v>380</v>
      </c>
      <c r="E629" s="27">
        <v>45839.0</v>
      </c>
      <c r="F629" s="26" t="s">
        <v>425</v>
      </c>
      <c r="G629" s="10"/>
      <c r="H629" s="10"/>
    </row>
    <row r="630">
      <c r="A630" s="11" t="s">
        <v>967</v>
      </c>
      <c r="B630" s="26" t="s">
        <v>200</v>
      </c>
      <c r="C630" s="26">
        <v>2025.0</v>
      </c>
      <c r="D630" s="26" t="s">
        <v>529</v>
      </c>
      <c r="E630" s="27">
        <v>45839.0</v>
      </c>
      <c r="F630" s="26" t="s">
        <v>425</v>
      </c>
      <c r="G630" s="10"/>
      <c r="H630" s="10"/>
    </row>
    <row r="631">
      <c r="A631" s="11" t="s">
        <v>968</v>
      </c>
      <c r="B631" s="26" t="s">
        <v>200</v>
      </c>
      <c r="C631" s="26">
        <v>2025.0</v>
      </c>
      <c r="D631" s="26" t="s">
        <v>799</v>
      </c>
      <c r="E631" s="27">
        <v>45842.0</v>
      </c>
      <c r="F631" s="26" t="s">
        <v>393</v>
      </c>
      <c r="G631" s="10"/>
      <c r="H631" s="10"/>
    </row>
    <row r="632">
      <c r="A632" s="11" t="s">
        <v>969</v>
      </c>
      <c r="B632" s="26" t="s">
        <v>200</v>
      </c>
      <c r="C632" s="26">
        <v>2025.0</v>
      </c>
      <c r="D632" s="26" t="s">
        <v>970</v>
      </c>
      <c r="E632" s="27">
        <v>45844.0</v>
      </c>
      <c r="F632" s="26" t="s">
        <v>425</v>
      </c>
      <c r="G632" s="10"/>
      <c r="H632" s="10"/>
    </row>
    <row r="633">
      <c r="A633" s="11" t="s">
        <v>971</v>
      </c>
      <c r="B633" s="26" t="s">
        <v>200</v>
      </c>
      <c r="C633" s="26">
        <v>2025.0</v>
      </c>
      <c r="D633" s="26" t="s">
        <v>972</v>
      </c>
      <c r="E633" s="27">
        <v>45845.0</v>
      </c>
      <c r="F633" s="26" t="s">
        <v>425</v>
      </c>
      <c r="G633" s="10"/>
      <c r="H633" s="10"/>
    </row>
    <row r="634">
      <c r="A634" s="11" t="s">
        <v>973</v>
      </c>
      <c r="B634" s="26" t="s">
        <v>200</v>
      </c>
      <c r="C634" s="26">
        <v>2025.0</v>
      </c>
      <c r="D634" s="26" t="s">
        <v>872</v>
      </c>
      <c r="E634" s="27">
        <v>45847.0</v>
      </c>
      <c r="F634" s="26" t="s">
        <v>393</v>
      </c>
      <c r="G634" s="10"/>
      <c r="H634" s="10"/>
    </row>
    <row r="635">
      <c r="A635" s="11" t="s">
        <v>974</v>
      </c>
      <c r="B635" s="26" t="s">
        <v>200</v>
      </c>
      <c r="C635" s="26">
        <v>2025.0</v>
      </c>
      <c r="D635" s="26" t="s">
        <v>975</v>
      </c>
      <c r="E635" s="27">
        <v>45848.0</v>
      </c>
      <c r="F635" s="26" t="s">
        <v>300</v>
      </c>
      <c r="G635" s="10"/>
      <c r="H635" s="10"/>
    </row>
    <row r="636">
      <c r="A636" s="11" t="s">
        <v>976</v>
      </c>
      <c r="B636" s="26" t="s">
        <v>200</v>
      </c>
      <c r="C636" s="26">
        <v>2025.0</v>
      </c>
      <c r="D636" s="26" t="s">
        <v>977</v>
      </c>
      <c r="E636" s="27">
        <v>45848.0</v>
      </c>
      <c r="F636" s="26" t="s">
        <v>300</v>
      </c>
      <c r="G636" s="10"/>
      <c r="H636" s="10"/>
    </row>
    <row r="637">
      <c r="A637" s="11" t="s">
        <v>978</v>
      </c>
      <c r="B637" s="26" t="s">
        <v>200</v>
      </c>
      <c r="C637" s="26">
        <v>2025.0</v>
      </c>
      <c r="D637" s="26" t="s">
        <v>811</v>
      </c>
      <c r="E637" s="27">
        <v>45848.0</v>
      </c>
      <c r="F637" s="26" t="s">
        <v>425</v>
      </c>
      <c r="G637" s="10"/>
      <c r="H637" s="10"/>
    </row>
    <row r="638">
      <c r="A638" s="11" t="s">
        <v>979</v>
      </c>
      <c r="B638" s="26" t="s">
        <v>200</v>
      </c>
      <c r="C638" s="26">
        <v>2025.0</v>
      </c>
      <c r="D638" s="26" t="s">
        <v>916</v>
      </c>
      <c r="E638" s="27">
        <v>45852.0</v>
      </c>
      <c r="F638" s="26" t="s">
        <v>425</v>
      </c>
      <c r="G638" s="10"/>
      <c r="H638" s="10"/>
    </row>
    <row r="639">
      <c r="A639" s="11" t="s">
        <v>980</v>
      </c>
      <c r="B639" s="26" t="s">
        <v>200</v>
      </c>
      <c r="C639" s="26">
        <v>2025.0</v>
      </c>
      <c r="D639" s="26" t="s">
        <v>981</v>
      </c>
      <c r="E639" s="27">
        <v>45854.0</v>
      </c>
      <c r="F639" s="26" t="s">
        <v>393</v>
      </c>
      <c r="G639" s="10"/>
      <c r="H639" s="10"/>
    </row>
    <row r="640">
      <c r="A640" s="11" t="s">
        <v>982</v>
      </c>
      <c r="B640" s="26" t="s">
        <v>200</v>
      </c>
      <c r="C640" s="26">
        <v>2025.0</v>
      </c>
      <c r="D640" s="26" t="s">
        <v>23</v>
      </c>
      <c r="E640" s="27">
        <v>45855.0</v>
      </c>
      <c r="F640" s="26" t="s">
        <v>425</v>
      </c>
      <c r="G640" s="10"/>
      <c r="H640" s="10"/>
    </row>
    <row r="641">
      <c r="A641" s="11" t="s">
        <v>983</v>
      </c>
      <c r="B641" s="26" t="s">
        <v>200</v>
      </c>
      <c r="C641" s="26">
        <v>2025.0</v>
      </c>
      <c r="D641" s="26" t="s">
        <v>981</v>
      </c>
      <c r="E641" s="27">
        <v>45855.0</v>
      </c>
      <c r="F641" s="26" t="s">
        <v>300</v>
      </c>
      <c r="G641" s="10"/>
      <c r="H641" s="10"/>
    </row>
    <row r="642">
      <c r="A642" s="11" t="s">
        <v>984</v>
      </c>
      <c r="B642" s="26" t="s">
        <v>200</v>
      </c>
      <c r="C642" s="26">
        <v>2025.0</v>
      </c>
      <c r="D642" s="26" t="s">
        <v>872</v>
      </c>
      <c r="E642" s="27">
        <v>45855.0</v>
      </c>
      <c r="F642" s="26" t="s">
        <v>393</v>
      </c>
      <c r="G642" s="10"/>
      <c r="H642" s="10"/>
    </row>
    <row r="643">
      <c r="A643" s="11" t="s">
        <v>985</v>
      </c>
      <c r="B643" s="26" t="s">
        <v>200</v>
      </c>
      <c r="C643" s="26">
        <v>2025.0</v>
      </c>
      <c r="D643" s="26" t="s">
        <v>986</v>
      </c>
      <c r="E643" s="27">
        <v>45856.0</v>
      </c>
      <c r="F643" s="26" t="s">
        <v>393</v>
      </c>
      <c r="G643" s="10"/>
      <c r="H643" s="10"/>
    </row>
    <row r="644">
      <c r="A644" s="11" t="s">
        <v>987</v>
      </c>
      <c r="B644" s="26" t="s">
        <v>200</v>
      </c>
      <c r="C644" s="26">
        <v>2025.0</v>
      </c>
      <c r="D644" s="26" t="s">
        <v>988</v>
      </c>
      <c r="E644" s="27">
        <v>45857.0</v>
      </c>
      <c r="F644" s="26" t="s">
        <v>685</v>
      </c>
      <c r="G644" s="10"/>
      <c r="H644" s="10"/>
    </row>
    <row r="645">
      <c r="A645" s="11" t="s">
        <v>989</v>
      </c>
      <c r="B645" s="26" t="s">
        <v>200</v>
      </c>
      <c r="C645" s="26">
        <v>2025.0</v>
      </c>
      <c r="D645" s="26" t="s">
        <v>271</v>
      </c>
      <c r="E645" s="27">
        <v>45857.0</v>
      </c>
      <c r="F645" s="28"/>
      <c r="G645" s="10"/>
      <c r="H645" s="10"/>
    </row>
    <row r="646">
      <c r="A646" s="11" t="s">
        <v>990</v>
      </c>
      <c r="B646" s="26" t="s">
        <v>200</v>
      </c>
      <c r="C646" s="26">
        <v>2025.0</v>
      </c>
      <c r="D646" s="26" t="s">
        <v>116</v>
      </c>
      <c r="E646" s="27">
        <v>45860.0</v>
      </c>
      <c r="F646" s="26" t="s">
        <v>393</v>
      </c>
      <c r="G646" s="10"/>
      <c r="H646" s="10"/>
    </row>
    <row r="647">
      <c r="A647" s="11" t="s">
        <v>991</v>
      </c>
      <c r="B647" s="26" t="s">
        <v>200</v>
      </c>
      <c r="C647" s="26">
        <v>2025.0</v>
      </c>
      <c r="D647" s="26" t="s">
        <v>992</v>
      </c>
      <c r="E647" s="27">
        <v>45861.0</v>
      </c>
      <c r="F647" s="26" t="s">
        <v>993</v>
      </c>
      <c r="G647" s="10"/>
      <c r="H647" s="10"/>
    </row>
    <row r="648">
      <c r="A648" s="11" t="s">
        <v>994</v>
      </c>
      <c r="B648" s="26" t="s">
        <v>200</v>
      </c>
      <c r="C648" s="26">
        <v>2025.0</v>
      </c>
      <c r="D648" s="26" t="s">
        <v>995</v>
      </c>
      <c r="E648" s="27">
        <v>45862.0</v>
      </c>
      <c r="F648" s="26" t="s">
        <v>300</v>
      </c>
      <c r="G648" s="10"/>
      <c r="H648" s="10"/>
    </row>
    <row r="649">
      <c r="A649" s="11" t="s">
        <v>996</v>
      </c>
      <c r="B649" s="26" t="s">
        <v>200</v>
      </c>
      <c r="C649" s="26">
        <v>2025.0</v>
      </c>
      <c r="D649" s="26" t="s">
        <v>116</v>
      </c>
      <c r="E649" s="27">
        <v>45863.0</v>
      </c>
      <c r="F649" s="26" t="s">
        <v>425</v>
      </c>
      <c r="G649" s="10"/>
      <c r="H649" s="10"/>
    </row>
    <row r="650">
      <c r="A650" s="11" t="s">
        <v>997</v>
      </c>
      <c r="B650" s="26" t="s">
        <v>200</v>
      </c>
      <c r="C650" s="26">
        <v>2025.0</v>
      </c>
      <c r="D650" s="26" t="s">
        <v>998</v>
      </c>
      <c r="E650" s="27">
        <v>45864.0</v>
      </c>
      <c r="F650" s="26" t="s">
        <v>425</v>
      </c>
      <c r="G650" s="10"/>
      <c r="H650" s="10"/>
    </row>
    <row r="651">
      <c r="A651" s="11" t="s">
        <v>999</v>
      </c>
      <c r="B651" s="26" t="s">
        <v>200</v>
      </c>
      <c r="C651" s="26">
        <v>2025.0</v>
      </c>
      <c r="D651" s="26" t="s">
        <v>1000</v>
      </c>
      <c r="E651" s="27">
        <v>45864.0</v>
      </c>
      <c r="F651" s="26" t="s">
        <v>393</v>
      </c>
      <c r="G651" s="10"/>
      <c r="H651" s="10"/>
    </row>
    <row r="652">
      <c r="A652" s="11" t="s">
        <v>1001</v>
      </c>
      <c r="B652" s="26" t="s">
        <v>200</v>
      </c>
      <c r="C652" s="26">
        <v>2025.0</v>
      </c>
      <c r="D652" s="31" t="s">
        <v>1002</v>
      </c>
      <c r="E652" s="27">
        <v>45868.0</v>
      </c>
      <c r="F652" s="26" t="s">
        <v>393</v>
      </c>
      <c r="G652" s="10"/>
      <c r="H652" s="10"/>
    </row>
    <row r="653">
      <c r="A653" s="11" t="s">
        <v>1003</v>
      </c>
      <c r="B653" s="26" t="s">
        <v>200</v>
      </c>
      <c r="C653" s="26">
        <v>2025.0</v>
      </c>
      <c r="D653" s="26" t="s">
        <v>382</v>
      </c>
      <c r="E653" s="27">
        <v>45868.0</v>
      </c>
      <c r="F653" s="26" t="s">
        <v>425</v>
      </c>
      <c r="G653" s="10"/>
      <c r="H653" s="10"/>
    </row>
    <row r="654">
      <c r="A654" s="11" t="s">
        <v>1004</v>
      </c>
      <c r="B654" s="26" t="s">
        <v>200</v>
      </c>
      <c r="C654" s="26">
        <v>2025.0</v>
      </c>
      <c r="D654" s="26" t="s">
        <v>939</v>
      </c>
      <c r="E654" s="27">
        <v>45868.0</v>
      </c>
      <c r="F654" s="26" t="s">
        <v>393</v>
      </c>
      <c r="G654" s="10"/>
      <c r="H654" s="10"/>
    </row>
    <row r="655">
      <c r="A655" s="11" t="s">
        <v>1005</v>
      </c>
      <c r="B655" s="26" t="s">
        <v>200</v>
      </c>
      <c r="C655" s="26">
        <v>2025.0</v>
      </c>
      <c r="D655" s="26" t="s">
        <v>712</v>
      </c>
      <c r="E655" s="27">
        <v>45869.0</v>
      </c>
      <c r="F655" s="26" t="s">
        <v>425</v>
      </c>
      <c r="G655" s="10"/>
      <c r="H655" s="10"/>
    </row>
    <row r="656">
      <c r="A656" s="11" t="s">
        <v>1006</v>
      </c>
      <c r="B656" s="26" t="s">
        <v>200</v>
      </c>
      <c r="C656" s="26">
        <v>2025.0</v>
      </c>
      <c r="D656" s="26" t="s">
        <v>702</v>
      </c>
      <c r="E656" s="27">
        <v>45869.0</v>
      </c>
      <c r="F656" s="26" t="s">
        <v>393</v>
      </c>
      <c r="G656" s="10"/>
      <c r="H656" s="10"/>
    </row>
    <row r="657">
      <c r="A657" s="11" t="s">
        <v>1007</v>
      </c>
      <c r="B657" s="26" t="s">
        <v>200</v>
      </c>
      <c r="C657" s="26">
        <v>2025.0</v>
      </c>
      <c r="D657" s="26" t="s">
        <v>1000</v>
      </c>
      <c r="E657" s="27">
        <v>45869.0</v>
      </c>
      <c r="F657" s="26" t="s">
        <v>425</v>
      </c>
      <c r="G657" s="10"/>
      <c r="H657" s="10"/>
    </row>
    <row r="658">
      <c r="A658" s="11" t="s">
        <v>1008</v>
      </c>
      <c r="B658" s="26" t="s">
        <v>221</v>
      </c>
      <c r="C658" s="26">
        <v>2025.0</v>
      </c>
      <c r="D658" s="26" t="s">
        <v>1009</v>
      </c>
      <c r="E658" s="27">
        <v>45870.0</v>
      </c>
      <c r="F658" s="26" t="s">
        <v>425</v>
      </c>
      <c r="G658" s="10"/>
      <c r="H658" s="10"/>
    </row>
    <row r="659">
      <c r="A659" s="11" t="s">
        <v>1010</v>
      </c>
      <c r="B659" s="26" t="s">
        <v>221</v>
      </c>
      <c r="C659" s="26">
        <v>2025.0</v>
      </c>
      <c r="D659" s="26" t="s">
        <v>778</v>
      </c>
      <c r="E659" s="27">
        <v>45877.0</v>
      </c>
      <c r="F659" s="26" t="s">
        <v>393</v>
      </c>
      <c r="G659" s="10"/>
      <c r="H659" s="10"/>
    </row>
    <row r="660">
      <c r="A660" s="11" t="s">
        <v>1011</v>
      </c>
      <c r="B660" s="26" t="s">
        <v>221</v>
      </c>
      <c r="C660" s="26">
        <v>2025.0</v>
      </c>
      <c r="D660" s="26" t="s">
        <v>539</v>
      </c>
      <c r="E660" s="27">
        <v>45871.0</v>
      </c>
      <c r="F660" s="26" t="s">
        <v>425</v>
      </c>
      <c r="G660" s="10"/>
      <c r="H660" s="10"/>
    </row>
    <row r="661">
      <c r="A661" s="11" t="s">
        <v>1012</v>
      </c>
      <c r="B661" s="26" t="s">
        <v>221</v>
      </c>
      <c r="C661" s="26">
        <v>2025.0</v>
      </c>
      <c r="D661" s="26" t="s">
        <v>1013</v>
      </c>
      <c r="E661" s="27">
        <v>45875.0</v>
      </c>
      <c r="F661" s="26" t="s">
        <v>393</v>
      </c>
      <c r="G661" s="10"/>
      <c r="H661" s="10"/>
    </row>
    <row r="662">
      <c r="A662" s="11" t="s">
        <v>1014</v>
      </c>
      <c r="B662" s="26" t="s">
        <v>221</v>
      </c>
      <c r="C662" s="26">
        <v>2025.0</v>
      </c>
      <c r="D662" s="26" t="s">
        <v>878</v>
      </c>
      <c r="E662" s="27">
        <v>45875.0</v>
      </c>
      <c r="F662" s="26" t="s">
        <v>393</v>
      </c>
      <c r="G662" s="10"/>
      <c r="H662" s="10"/>
    </row>
    <row r="663">
      <c r="A663" s="11" t="s">
        <v>1015</v>
      </c>
      <c r="B663" s="26" t="s">
        <v>221</v>
      </c>
      <c r="C663" s="26">
        <v>2025.0</v>
      </c>
      <c r="D663" s="26" t="s">
        <v>1016</v>
      </c>
      <c r="E663" s="27">
        <v>45877.0</v>
      </c>
      <c r="F663" s="26" t="s">
        <v>425</v>
      </c>
      <c r="G663" s="10"/>
      <c r="H663" s="10"/>
    </row>
    <row r="664">
      <c r="A664" s="11" t="s">
        <v>1017</v>
      </c>
      <c r="B664" s="26" t="s">
        <v>221</v>
      </c>
      <c r="C664" s="26">
        <v>2025.0</v>
      </c>
      <c r="D664" s="26" t="s">
        <v>1018</v>
      </c>
      <c r="E664" s="27">
        <v>45878.0</v>
      </c>
      <c r="F664" s="26" t="s">
        <v>393</v>
      </c>
      <c r="G664" s="10"/>
      <c r="H664" s="10"/>
    </row>
    <row r="665">
      <c r="A665" s="11" t="s">
        <v>1019</v>
      </c>
      <c r="B665" s="26" t="s">
        <v>221</v>
      </c>
      <c r="C665" s="26">
        <v>2025.0</v>
      </c>
      <c r="D665" s="26" t="s">
        <v>1020</v>
      </c>
      <c r="E665" s="27">
        <v>45879.0</v>
      </c>
      <c r="F665" s="28"/>
      <c r="G665" s="10"/>
      <c r="H665" s="10"/>
    </row>
    <row r="666">
      <c r="A666" s="11" t="s">
        <v>1021</v>
      </c>
      <c r="B666" s="26" t="s">
        <v>221</v>
      </c>
      <c r="C666" s="26">
        <v>2025.0</v>
      </c>
      <c r="D666" s="26" t="s">
        <v>920</v>
      </c>
      <c r="E666" s="27">
        <v>45880.0</v>
      </c>
      <c r="F666" s="26" t="s">
        <v>393</v>
      </c>
      <c r="G666" s="10"/>
      <c r="H666" s="10"/>
    </row>
    <row r="667">
      <c r="A667" s="11" t="s">
        <v>1022</v>
      </c>
      <c r="B667" s="26" t="s">
        <v>221</v>
      </c>
      <c r="C667" s="26">
        <v>2025.0</v>
      </c>
      <c r="D667" s="26" t="s">
        <v>702</v>
      </c>
      <c r="E667" s="27">
        <v>45881.0</v>
      </c>
      <c r="F667" s="26" t="s">
        <v>585</v>
      </c>
      <c r="G667" s="10"/>
      <c r="H667" s="10"/>
    </row>
    <row r="668">
      <c r="A668" s="11" t="s">
        <v>1023</v>
      </c>
      <c r="B668" s="26" t="s">
        <v>200</v>
      </c>
      <c r="C668" s="26">
        <v>2025.0</v>
      </c>
      <c r="D668" s="26" t="s">
        <v>623</v>
      </c>
      <c r="E668" s="27">
        <v>45882.0</v>
      </c>
      <c r="F668" s="26" t="s">
        <v>393</v>
      </c>
      <c r="G668" s="10"/>
      <c r="H668" s="10"/>
    </row>
    <row r="669">
      <c r="A669" s="11" t="s">
        <v>1024</v>
      </c>
      <c r="B669" s="28"/>
      <c r="C669" s="28"/>
      <c r="D669" s="26" t="s">
        <v>546</v>
      </c>
      <c r="E669" s="27">
        <v>45883.0</v>
      </c>
      <c r="F669" s="28"/>
      <c r="G669" s="10"/>
      <c r="H669" s="10"/>
    </row>
    <row r="670">
      <c r="A670" s="11" t="s">
        <v>1025</v>
      </c>
      <c r="B670" s="28"/>
      <c r="C670" s="28"/>
      <c r="D670" s="26" t="s">
        <v>916</v>
      </c>
      <c r="E670" s="27">
        <v>45883.0</v>
      </c>
      <c r="F670" s="28"/>
      <c r="G670" s="10"/>
      <c r="H670" s="10"/>
    </row>
    <row r="671">
      <c r="A671" s="11" t="s">
        <v>1026</v>
      </c>
      <c r="B671" s="26" t="s">
        <v>221</v>
      </c>
      <c r="C671" s="26">
        <v>2025.0</v>
      </c>
      <c r="D671" s="26" t="s">
        <v>1027</v>
      </c>
      <c r="E671" s="27">
        <v>45887.0</v>
      </c>
      <c r="F671" s="26" t="s">
        <v>393</v>
      </c>
      <c r="G671" s="10"/>
      <c r="H671" s="10"/>
    </row>
    <row r="672">
      <c r="A672" s="11" t="s">
        <v>1028</v>
      </c>
      <c r="B672" s="26" t="s">
        <v>221</v>
      </c>
      <c r="C672" s="26">
        <v>2025.0</v>
      </c>
      <c r="D672" s="26" t="s">
        <v>1029</v>
      </c>
      <c r="E672" s="27">
        <v>45888.0</v>
      </c>
      <c r="F672" s="28"/>
      <c r="G672" s="10"/>
      <c r="H672" s="10"/>
    </row>
    <row r="673">
      <c r="A673" s="11" t="s">
        <v>1030</v>
      </c>
      <c r="B673" s="26" t="s">
        <v>221</v>
      </c>
      <c r="C673" s="26">
        <v>2025.0</v>
      </c>
      <c r="D673" s="26" t="s">
        <v>778</v>
      </c>
      <c r="E673" s="27">
        <v>45889.0</v>
      </c>
      <c r="F673" s="26" t="s">
        <v>393</v>
      </c>
      <c r="G673" s="10"/>
      <c r="H673" s="10"/>
    </row>
    <row r="674">
      <c r="A674" s="11" t="s">
        <v>1031</v>
      </c>
      <c r="B674" s="26" t="s">
        <v>221</v>
      </c>
      <c r="C674" s="26">
        <v>2025.0</v>
      </c>
      <c r="D674" s="26" t="s">
        <v>13</v>
      </c>
      <c r="E674" s="27">
        <v>45890.0</v>
      </c>
      <c r="F674" s="26" t="s">
        <v>393</v>
      </c>
      <c r="G674" s="10"/>
      <c r="H674" s="10"/>
    </row>
    <row r="675">
      <c r="A675" s="11" t="s">
        <v>1032</v>
      </c>
      <c r="B675" s="26" t="s">
        <v>221</v>
      </c>
      <c r="C675" s="26">
        <v>2025.0</v>
      </c>
      <c r="D675" s="26" t="s">
        <v>157</v>
      </c>
      <c r="E675" s="27">
        <v>45892.0</v>
      </c>
      <c r="F675" s="26" t="s">
        <v>425</v>
      </c>
      <c r="G675" s="10"/>
      <c r="H675" s="10"/>
    </row>
    <row r="676">
      <c r="A676" s="11" t="s">
        <v>1033</v>
      </c>
      <c r="B676" s="26" t="s">
        <v>221</v>
      </c>
      <c r="C676" s="26">
        <v>2025.0</v>
      </c>
      <c r="D676" s="26" t="s">
        <v>1013</v>
      </c>
      <c r="E676" s="27">
        <v>45892.0</v>
      </c>
      <c r="F676" s="26" t="s">
        <v>393</v>
      </c>
      <c r="G676" s="10"/>
      <c r="H676" s="10"/>
    </row>
    <row r="677">
      <c r="A677" s="11" t="s">
        <v>1034</v>
      </c>
      <c r="B677" s="26" t="s">
        <v>221</v>
      </c>
      <c r="C677" s="26">
        <v>2025.0</v>
      </c>
      <c r="D677" s="26" t="s">
        <v>778</v>
      </c>
      <c r="E677" s="27">
        <v>45894.0</v>
      </c>
      <c r="F677" s="26" t="s">
        <v>393</v>
      </c>
      <c r="G677" s="10"/>
      <c r="H677" s="10"/>
    </row>
    <row r="678">
      <c r="A678" s="11" t="s">
        <v>1035</v>
      </c>
      <c r="B678" s="26" t="s">
        <v>221</v>
      </c>
      <c r="C678" s="26">
        <v>2025.0</v>
      </c>
      <c r="D678" s="26" t="s">
        <v>13</v>
      </c>
      <c r="E678" s="27"/>
      <c r="F678" s="26" t="s">
        <v>425</v>
      </c>
      <c r="G678" s="10"/>
      <c r="H678" s="10"/>
    </row>
    <row r="679">
      <c r="A679" s="11" t="s">
        <v>1036</v>
      </c>
      <c r="B679" s="28"/>
      <c r="C679" s="28"/>
      <c r="D679" s="26" t="s">
        <v>1037</v>
      </c>
      <c r="E679" s="27"/>
      <c r="F679" s="28"/>
      <c r="G679" s="10"/>
      <c r="H679" s="10"/>
    </row>
    <row r="680">
      <c r="A680" s="11" t="s">
        <v>1038</v>
      </c>
      <c r="B680" s="26" t="s">
        <v>221</v>
      </c>
      <c r="C680" s="26">
        <v>2025.0</v>
      </c>
      <c r="D680" s="26" t="s">
        <v>1039</v>
      </c>
      <c r="E680" s="27">
        <v>45898.0</v>
      </c>
      <c r="F680" s="26" t="s">
        <v>393</v>
      </c>
      <c r="G680" s="10"/>
      <c r="H680" s="10"/>
    </row>
    <row r="681">
      <c r="A681" s="11" t="s">
        <v>1040</v>
      </c>
      <c r="B681" s="26" t="s">
        <v>221</v>
      </c>
      <c r="C681" s="26">
        <v>2025.0</v>
      </c>
      <c r="D681" s="26" t="s">
        <v>1013</v>
      </c>
      <c r="E681" s="27">
        <v>45898.0</v>
      </c>
      <c r="F681" s="26" t="s">
        <v>425</v>
      </c>
      <c r="G681" s="10"/>
      <c r="H681" s="10"/>
    </row>
    <row r="682">
      <c r="A682" s="11" t="s">
        <v>1041</v>
      </c>
      <c r="B682" s="26" t="s">
        <v>221</v>
      </c>
      <c r="C682" s="26">
        <v>2025.0</v>
      </c>
      <c r="D682" s="26" t="s">
        <v>916</v>
      </c>
      <c r="E682" s="27">
        <v>45900.0</v>
      </c>
      <c r="F682" s="26" t="s">
        <v>393</v>
      </c>
      <c r="G682" s="10"/>
      <c r="H682" s="10"/>
    </row>
    <row r="683">
      <c r="A683" s="11" t="s">
        <v>1042</v>
      </c>
      <c r="B683" s="26" t="s">
        <v>249</v>
      </c>
      <c r="C683" s="26">
        <v>2025.0</v>
      </c>
      <c r="D683" s="26" t="s">
        <v>116</v>
      </c>
      <c r="E683" s="27">
        <v>45901.0</v>
      </c>
      <c r="F683" s="26" t="s">
        <v>393</v>
      </c>
      <c r="G683" s="10"/>
      <c r="H683" s="10"/>
    </row>
    <row r="684">
      <c r="A684" s="11" t="s">
        <v>1043</v>
      </c>
      <c r="B684" s="26" t="s">
        <v>249</v>
      </c>
      <c r="C684" s="26">
        <v>2025.0</v>
      </c>
      <c r="D684" s="26" t="s">
        <v>23</v>
      </c>
      <c r="E684" s="27">
        <v>45901.0</v>
      </c>
      <c r="F684" s="26" t="s">
        <v>393</v>
      </c>
      <c r="G684" s="10"/>
      <c r="H684" s="10"/>
    </row>
    <row r="685">
      <c r="A685" s="11" t="s">
        <v>1044</v>
      </c>
      <c r="B685" s="26" t="s">
        <v>249</v>
      </c>
      <c r="C685" s="26">
        <v>2025.0</v>
      </c>
      <c r="D685" s="26" t="s">
        <v>1045</v>
      </c>
      <c r="E685" s="27">
        <v>45901.0</v>
      </c>
      <c r="F685" s="26" t="s">
        <v>393</v>
      </c>
      <c r="G685" s="10"/>
      <c r="H685" s="10"/>
    </row>
    <row r="686">
      <c r="A686" s="11" t="s">
        <v>1046</v>
      </c>
      <c r="B686" s="26" t="s">
        <v>249</v>
      </c>
      <c r="C686" s="26">
        <v>2025.0</v>
      </c>
      <c r="D686" s="26" t="s">
        <v>1047</v>
      </c>
      <c r="E686" s="27">
        <v>45903.0</v>
      </c>
      <c r="F686" s="26" t="s">
        <v>393</v>
      </c>
      <c r="G686" s="10"/>
      <c r="H686" s="10"/>
    </row>
    <row r="687">
      <c r="A687" s="11" t="s">
        <v>1048</v>
      </c>
      <c r="B687" s="26" t="s">
        <v>249</v>
      </c>
      <c r="C687" s="26">
        <v>2025.0</v>
      </c>
      <c r="D687" s="26" t="s">
        <v>1049</v>
      </c>
      <c r="E687" s="27">
        <v>45901.0</v>
      </c>
      <c r="F687" s="26" t="s">
        <v>393</v>
      </c>
      <c r="G687" s="10"/>
      <c r="H687" s="10"/>
    </row>
    <row r="688">
      <c r="A688" s="11" t="s">
        <v>1050</v>
      </c>
      <c r="B688" s="26" t="s">
        <v>249</v>
      </c>
      <c r="C688" s="26">
        <v>2025.0</v>
      </c>
      <c r="D688" s="26" t="s">
        <v>1051</v>
      </c>
      <c r="E688" s="27">
        <v>45904.0</v>
      </c>
      <c r="F688" s="26" t="s">
        <v>393</v>
      </c>
      <c r="G688" s="10"/>
      <c r="H688" s="10"/>
    </row>
    <row r="689">
      <c r="A689" s="11" t="s">
        <v>1052</v>
      </c>
      <c r="B689" s="26" t="s">
        <v>249</v>
      </c>
      <c r="C689" s="26">
        <v>2025.0</v>
      </c>
      <c r="D689" s="26" t="s">
        <v>799</v>
      </c>
      <c r="E689" s="27">
        <v>45539.0</v>
      </c>
      <c r="F689" s="26" t="s">
        <v>425</v>
      </c>
      <c r="G689" s="10"/>
      <c r="H689" s="10"/>
    </row>
    <row r="690">
      <c r="A690" s="11" t="s">
        <v>1053</v>
      </c>
      <c r="B690" s="26" t="s">
        <v>249</v>
      </c>
      <c r="C690" s="26">
        <v>2025.0</v>
      </c>
      <c r="D690" s="26" t="s">
        <v>13</v>
      </c>
      <c r="E690" s="27">
        <v>45910.0</v>
      </c>
      <c r="F690" s="26" t="s">
        <v>425</v>
      </c>
      <c r="G690" s="10"/>
      <c r="H690" s="10"/>
    </row>
    <row r="691">
      <c r="A691" s="11" t="s">
        <v>1054</v>
      </c>
      <c r="B691" s="26" t="s">
        <v>249</v>
      </c>
      <c r="C691" s="26">
        <v>2025.0</v>
      </c>
      <c r="D691" s="26" t="s">
        <v>1055</v>
      </c>
      <c r="E691" s="27">
        <v>45906.0</v>
      </c>
      <c r="F691" s="26" t="s">
        <v>393</v>
      </c>
      <c r="G691" s="10"/>
      <c r="H691" s="10"/>
    </row>
    <row r="692">
      <c r="A692" s="11" t="s">
        <v>1056</v>
      </c>
      <c r="B692" s="26" t="s">
        <v>249</v>
      </c>
      <c r="C692" s="26">
        <v>2025.0</v>
      </c>
      <c r="D692" s="26" t="s">
        <v>1057</v>
      </c>
      <c r="E692" s="27">
        <v>45915.0</v>
      </c>
      <c r="F692" s="26" t="s">
        <v>393</v>
      </c>
      <c r="G692" s="10"/>
      <c r="H692" s="10"/>
    </row>
    <row r="693">
      <c r="A693" s="11" t="s">
        <v>1058</v>
      </c>
      <c r="B693" s="26" t="s">
        <v>249</v>
      </c>
      <c r="C693" s="26">
        <v>2025.0</v>
      </c>
      <c r="D693" s="26" t="s">
        <v>739</v>
      </c>
      <c r="E693" s="27">
        <v>45916.0</v>
      </c>
      <c r="F693" s="26" t="s">
        <v>393</v>
      </c>
      <c r="G693" s="10"/>
      <c r="H693" s="10"/>
    </row>
    <row r="694">
      <c r="A694" s="11" t="s">
        <v>1059</v>
      </c>
      <c r="B694" s="26" t="s">
        <v>249</v>
      </c>
      <c r="C694" s="26">
        <v>2025.0</v>
      </c>
      <c r="D694" s="26" t="s">
        <v>1060</v>
      </c>
      <c r="E694" s="27">
        <v>45917.0</v>
      </c>
      <c r="F694" s="26" t="s">
        <v>393</v>
      </c>
      <c r="G694" s="10"/>
      <c r="H694" s="10"/>
    </row>
    <row r="695">
      <c r="A695" s="11" t="s">
        <v>1061</v>
      </c>
      <c r="B695" s="26" t="s">
        <v>249</v>
      </c>
      <c r="C695" s="26">
        <v>2025.0</v>
      </c>
      <c r="D695" s="26" t="s">
        <v>981</v>
      </c>
      <c r="E695" s="27">
        <v>45917.0</v>
      </c>
      <c r="F695" s="26" t="s">
        <v>393</v>
      </c>
      <c r="G695" s="10"/>
      <c r="H695" s="10"/>
    </row>
    <row r="696">
      <c r="A696" s="11" t="s">
        <v>1062</v>
      </c>
      <c r="B696" s="26" t="s">
        <v>249</v>
      </c>
      <c r="C696" s="26">
        <v>2025.0</v>
      </c>
      <c r="D696" s="26" t="s">
        <v>382</v>
      </c>
      <c r="E696" s="27">
        <v>45917.0</v>
      </c>
      <c r="F696" s="26" t="s">
        <v>1063</v>
      </c>
      <c r="G696" s="10"/>
      <c r="H696" s="10"/>
    </row>
    <row r="697">
      <c r="A697" s="11" t="s">
        <v>1064</v>
      </c>
      <c r="B697" s="26" t="s">
        <v>249</v>
      </c>
      <c r="C697" s="26">
        <v>2025.0</v>
      </c>
      <c r="D697" s="26" t="s">
        <v>1065</v>
      </c>
      <c r="E697" s="27">
        <v>45918.0</v>
      </c>
      <c r="F697" s="26" t="s">
        <v>393</v>
      </c>
      <c r="G697" s="10"/>
      <c r="H697" s="10"/>
    </row>
    <row r="698">
      <c r="A698" s="11" t="s">
        <v>1066</v>
      </c>
      <c r="B698" s="26" t="s">
        <v>249</v>
      </c>
      <c r="C698" s="26">
        <v>2025.0</v>
      </c>
      <c r="D698" s="26" t="s">
        <v>1067</v>
      </c>
      <c r="E698" s="27">
        <v>45918.0</v>
      </c>
      <c r="F698" s="26" t="s">
        <v>1068</v>
      </c>
      <c r="G698" s="10"/>
      <c r="H698" s="10"/>
    </row>
    <row r="699">
      <c r="A699" s="11" t="s">
        <v>1069</v>
      </c>
      <c r="B699" s="26" t="s">
        <v>249</v>
      </c>
      <c r="C699" s="26">
        <v>2025.0</v>
      </c>
      <c r="D699" s="26" t="s">
        <v>1070</v>
      </c>
      <c r="E699" s="27">
        <v>45918.0</v>
      </c>
      <c r="F699" s="26" t="s">
        <v>393</v>
      </c>
      <c r="G699" s="10"/>
      <c r="H699" s="10"/>
    </row>
    <row r="700">
      <c r="A700" s="11" t="s">
        <v>1071</v>
      </c>
      <c r="B700" s="26" t="s">
        <v>249</v>
      </c>
      <c r="C700" s="26">
        <v>2025.0</v>
      </c>
      <c r="D700" s="26" t="s">
        <v>1057</v>
      </c>
      <c r="E700" s="27">
        <v>45922.0</v>
      </c>
      <c r="F700" s="26" t="s">
        <v>393</v>
      </c>
      <c r="G700" s="10"/>
      <c r="H700" s="10"/>
    </row>
    <row r="701">
      <c r="A701" s="11" t="s">
        <v>1072</v>
      </c>
      <c r="B701" s="26" t="s">
        <v>249</v>
      </c>
      <c r="C701" s="26">
        <v>2025.0</v>
      </c>
      <c r="D701" s="26" t="s">
        <v>1073</v>
      </c>
      <c r="E701" s="27">
        <v>45923.0</v>
      </c>
      <c r="F701" s="26" t="s">
        <v>393</v>
      </c>
      <c r="G701" s="10"/>
      <c r="H701" s="10"/>
    </row>
    <row r="702">
      <c r="A702" s="11" t="s">
        <v>1074</v>
      </c>
      <c r="B702" s="32" t="s">
        <v>249</v>
      </c>
      <c r="C702" s="32">
        <v>2025.0</v>
      </c>
      <c r="D702" s="26" t="s">
        <v>1075</v>
      </c>
      <c r="E702" s="27">
        <v>45922.0</v>
      </c>
      <c r="F702" s="26" t="s">
        <v>431</v>
      </c>
      <c r="G702" s="10"/>
      <c r="H702" s="10"/>
    </row>
    <row r="703">
      <c r="A703" s="11" t="s">
        <v>1076</v>
      </c>
      <c r="B703" s="32" t="s">
        <v>249</v>
      </c>
      <c r="C703" s="32">
        <v>2025.0</v>
      </c>
      <c r="D703" s="26" t="s">
        <v>1075</v>
      </c>
      <c r="E703" s="27">
        <v>45924.0</v>
      </c>
      <c r="F703" s="26" t="s">
        <v>425</v>
      </c>
      <c r="G703" s="10"/>
      <c r="H703" s="10"/>
    </row>
    <row r="704">
      <c r="A704" s="11" t="s">
        <v>1077</v>
      </c>
      <c r="B704" s="26" t="s">
        <v>249</v>
      </c>
      <c r="C704" s="26">
        <v>2025.0</v>
      </c>
      <c r="D704" s="26" t="s">
        <v>1078</v>
      </c>
      <c r="E704" s="27">
        <v>45924.0</v>
      </c>
      <c r="F704" s="26" t="s">
        <v>425</v>
      </c>
      <c r="G704" s="10"/>
      <c r="H704" s="10"/>
    </row>
    <row r="705">
      <c r="A705" s="11" t="s">
        <v>1079</v>
      </c>
      <c r="B705" s="26" t="s">
        <v>249</v>
      </c>
      <c r="C705" s="26">
        <v>2025.0</v>
      </c>
      <c r="D705" s="26" t="s">
        <v>1075</v>
      </c>
      <c r="E705" s="27">
        <v>45924.0</v>
      </c>
      <c r="F705" s="26" t="s">
        <v>393</v>
      </c>
      <c r="G705" s="10"/>
      <c r="H705" s="10"/>
    </row>
    <row r="706">
      <c r="A706" s="11" t="s">
        <v>1080</v>
      </c>
      <c r="B706" s="26" t="s">
        <v>249</v>
      </c>
      <c r="C706" s="26">
        <v>2025.0</v>
      </c>
      <c r="D706" s="26" t="s">
        <v>23</v>
      </c>
      <c r="E706" s="27">
        <v>45925.0</v>
      </c>
      <c r="F706" s="26" t="s">
        <v>393</v>
      </c>
      <c r="G706" s="10"/>
      <c r="H706" s="10"/>
    </row>
    <row r="707">
      <c r="A707" s="11" t="s">
        <v>1081</v>
      </c>
      <c r="B707" s="26" t="s">
        <v>249</v>
      </c>
      <c r="C707" s="26">
        <v>2025.0</v>
      </c>
      <c r="D707" s="26" t="s">
        <v>1082</v>
      </c>
      <c r="E707" s="27">
        <v>45926.0</v>
      </c>
      <c r="F707" s="26" t="s">
        <v>393</v>
      </c>
      <c r="G707" s="10"/>
      <c r="H707" s="10"/>
    </row>
    <row r="708">
      <c r="A708" s="11" t="s">
        <v>1083</v>
      </c>
      <c r="B708" s="26" t="s">
        <v>249</v>
      </c>
      <c r="C708" s="26">
        <v>2025.0</v>
      </c>
      <c r="D708" s="26" t="s">
        <v>1084</v>
      </c>
      <c r="E708" s="27">
        <v>45927.0</v>
      </c>
      <c r="F708" s="26" t="s">
        <v>393</v>
      </c>
      <c r="G708" s="10"/>
      <c r="H708" s="10"/>
    </row>
    <row r="709">
      <c r="A709" s="11" t="s">
        <v>1085</v>
      </c>
      <c r="B709" s="26" t="s">
        <v>249</v>
      </c>
      <c r="C709" s="26">
        <v>2025.0</v>
      </c>
      <c r="D709" s="26" t="s">
        <v>715</v>
      </c>
      <c r="E709" s="27">
        <v>45928.0</v>
      </c>
      <c r="F709" s="26" t="s">
        <v>393</v>
      </c>
      <c r="G709" s="10"/>
      <c r="H709" s="10"/>
    </row>
    <row r="710">
      <c r="A710" s="11" t="s">
        <v>1086</v>
      </c>
      <c r="B710" s="26" t="s">
        <v>249</v>
      </c>
      <c r="C710" s="26">
        <v>2025.0</v>
      </c>
      <c r="D710" s="26" t="s">
        <v>1087</v>
      </c>
      <c r="E710" s="27">
        <v>45928.0</v>
      </c>
      <c r="F710" s="26" t="s">
        <v>393</v>
      </c>
      <c r="G710" s="10"/>
      <c r="H710" s="10"/>
    </row>
    <row r="711">
      <c r="A711" s="11" t="s">
        <v>1088</v>
      </c>
      <c r="B711" s="26" t="s">
        <v>249</v>
      </c>
      <c r="C711" s="26">
        <v>2025.0</v>
      </c>
      <c r="D711" s="26" t="s">
        <v>916</v>
      </c>
      <c r="E711" s="27">
        <v>45928.0</v>
      </c>
      <c r="F711" s="26" t="s">
        <v>425</v>
      </c>
      <c r="G711" s="10"/>
      <c r="H711" s="10"/>
    </row>
    <row r="712">
      <c r="A712" s="11" t="s">
        <v>1089</v>
      </c>
      <c r="B712" s="26" t="s">
        <v>249</v>
      </c>
      <c r="C712" s="26">
        <v>2025.0</v>
      </c>
      <c r="D712" s="26" t="s">
        <v>1090</v>
      </c>
      <c r="E712" s="27">
        <v>45930.0</v>
      </c>
      <c r="F712" s="26" t="s">
        <v>393</v>
      </c>
      <c r="G712" s="10"/>
      <c r="H712" s="10"/>
    </row>
    <row r="713">
      <c r="A713" s="11" t="s">
        <v>1091</v>
      </c>
      <c r="B713" s="26" t="s">
        <v>249</v>
      </c>
      <c r="C713" s="26">
        <v>2025.0</v>
      </c>
      <c r="D713" s="26" t="s">
        <v>157</v>
      </c>
      <c r="E713" s="27">
        <v>45930.0</v>
      </c>
      <c r="F713" s="26" t="s">
        <v>425</v>
      </c>
      <c r="G713" s="10"/>
      <c r="H713" s="10"/>
    </row>
    <row r="714">
      <c r="A714" s="11" t="s">
        <v>1092</v>
      </c>
      <c r="B714" s="26" t="s">
        <v>249</v>
      </c>
      <c r="C714" s="26">
        <v>2025.0</v>
      </c>
      <c r="D714" s="26" t="s">
        <v>47</v>
      </c>
      <c r="E714" s="27">
        <v>45930.0</v>
      </c>
      <c r="F714" s="26" t="s">
        <v>393</v>
      </c>
      <c r="G714" s="10"/>
      <c r="H714" s="10"/>
    </row>
    <row r="715">
      <c r="A715" s="11" t="s">
        <v>1093</v>
      </c>
      <c r="B715" s="26" t="s">
        <v>275</v>
      </c>
      <c r="C715" s="26">
        <v>2025.0</v>
      </c>
      <c r="D715" s="26" t="s">
        <v>1013</v>
      </c>
      <c r="E715" s="27"/>
      <c r="F715" s="28"/>
      <c r="G715" s="10"/>
      <c r="H715" s="10"/>
    </row>
    <row r="716">
      <c r="A716" s="11" t="s">
        <v>1094</v>
      </c>
      <c r="B716" s="26" t="s">
        <v>275</v>
      </c>
      <c r="C716" s="26">
        <v>2025.0</v>
      </c>
      <c r="D716" s="26" t="s">
        <v>47</v>
      </c>
      <c r="E716" s="27">
        <v>45931.0</v>
      </c>
      <c r="F716" s="26" t="s">
        <v>425</v>
      </c>
      <c r="G716" s="10"/>
      <c r="H716" s="10"/>
    </row>
    <row r="717">
      <c r="A717" s="11" t="s">
        <v>1095</v>
      </c>
      <c r="B717" s="26" t="s">
        <v>275</v>
      </c>
      <c r="C717" s="26">
        <v>2025.0</v>
      </c>
      <c r="D717" s="26" t="s">
        <v>1096</v>
      </c>
      <c r="E717" s="27">
        <v>45931.0</v>
      </c>
      <c r="F717" s="26" t="s">
        <v>393</v>
      </c>
      <c r="G717" s="10"/>
      <c r="H717" s="10"/>
    </row>
    <row r="718">
      <c r="A718" s="11" t="s">
        <v>1097</v>
      </c>
      <c r="B718" s="26" t="s">
        <v>275</v>
      </c>
      <c r="C718" s="26">
        <v>2025.0</v>
      </c>
      <c r="D718" s="26" t="s">
        <v>1098</v>
      </c>
      <c r="E718" s="27">
        <v>45932.0</v>
      </c>
      <c r="F718" s="26" t="s">
        <v>393</v>
      </c>
      <c r="G718" s="10"/>
      <c r="H718" s="10"/>
    </row>
    <row r="719">
      <c r="A719" s="11" t="s">
        <v>1099</v>
      </c>
      <c r="B719" s="26" t="s">
        <v>275</v>
      </c>
      <c r="C719" s="26">
        <v>2025.0</v>
      </c>
      <c r="D719" s="26" t="s">
        <v>47</v>
      </c>
      <c r="E719" s="27">
        <v>45933.0</v>
      </c>
      <c r="F719" s="26" t="s">
        <v>393</v>
      </c>
      <c r="G719" s="10"/>
      <c r="H719" s="10"/>
    </row>
    <row r="720">
      <c r="A720" s="11" t="s">
        <v>1100</v>
      </c>
      <c r="B720" s="26" t="s">
        <v>275</v>
      </c>
      <c r="C720" s="26">
        <v>2025.0</v>
      </c>
      <c r="D720" s="26" t="s">
        <v>1101</v>
      </c>
      <c r="E720" s="27">
        <v>45935.0</v>
      </c>
      <c r="F720" s="26" t="s">
        <v>393</v>
      </c>
      <c r="G720" s="10"/>
      <c r="H720" s="10"/>
    </row>
    <row r="721">
      <c r="A721" s="11" t="s">
        <v>1102</v>
      </c>
      <c r="B721" s="26" t="s">
        <v>275</v>
      </c>
      <c r="C721" s="26">
        <v>2025.0</v>
      </c>
      <c r="D721" s="26" t="s">
        <v>1103</v>
      </c>
      <c r="E721" s="27">
        <v>45936.0</v>
      </c>
      <c r="F721" s="26" t="s">
        <v>393</v>
      </c>
      <c r="G721" s="10"/>
      <c r="H721" s="10"/>
    </row>
    <row r="722">
      <c r="A722" s="11" t="s">
        <v>1104</v>
      </c>
      <c r="B722" s="26" t="s">
        <v>275</v>
      </c>
      <c r="C722" s="26">
        <v>2025.0</v>
      </c>
      <c r="D722" s="26" t="s">
        <v>1098</v>
      </c>
      <c r="E722" s="27">
        <v>45936.0</v>
      </c>
      <c r="F722" s="28"/>
      <c r="G722" s="10"/>
      <c r="H722" s="10"/>
    </row>
    <row r="723">
      <c r="A723" s="11" t="s">
        <v>1105</v>
      </c>
      <c r="B723" s="26" t="s">
        <v>275</v>
      </c>
      <c r="C723" s="26">
        <v>2025.0</v>
      </c>
      <c r="D723" s="26" t="s">
        <v>916</v>
      </c>
      <c r="E723" s="27">
        <v>45937.0</v>
      </c>
      <c r="F723" s="26" t="s">
        <v>393</v>
      </c>
      <c r="G723" s="10"/>
      <c r="H723" s="10"/>
    </row>
    <row r="724">
      <c r="A724" s="11" t="s">
        <v>1106</v>
      </c>
      <c r="B724" s="26" t="s">
        <v>275</v>
      </c>
      <c r="C724" s="26">
        <v>2025.0</v>
      </c>
      <c r="D724" s="26" t="s">
        <v>811</v>
      </c>
      <c r="E724" s="27">
        <v>45939.0</v>
      </c>
      <c r="F724" s="26" t="s">
        <v>425</v>
      </c>
      <c r="G724" s="10"/>
      <c r="H724" s="10"/>
    </row>
    <row r="725">
      <c r="A725" s="11" t="s">
        <v>1107</v>
      </c>
      <c r="B725" s="26" t="s">
        <v>275</v>
      </c>
      <c r="C725" s="26">
        <v>2025.0</v>
      </c>
      <c r="D725" s="26" t="s">
        <v>13</v>
      </c>
      <c r="E725" s="27">
        <v>45939.0</v>
      </c>
      <c r="F725" s="26" t="s">
        <v>425</v>
      </c>
      <c r="G725" s="10"/>
      <c r="H725" s="10"/>
    </row>
    <row r="726">
      <c r="A726" s="11" t="s">
        <v>1108</v>
      </c>
      <c r="B726" s="26" t="s">
        <v>275</v>
      </c>
      <c r="C726" s="26">
        <v>2025.0</v>
      </c>
      <c r="D726" s="26" t="s">
        <v>413</v>
      </c>
      <c r="E726" s="27">
        <v>45940.0</v>
      </c>
      <c r="F726" s="26" t="s">
        <v>393</v>
      </c>
      <c r="G726" s="10"/>
      <c r="H726" s="10"/>
    </row>
    <row r="727">
      <c r="A727" s="11" t="s">
        <v>1109</v>
      </c>
      <c r="B727" s="26" t="s">
        <v>275</v>
      </c>
      <c r="C727" s="26">
        <v>2025.0</v>
      </c>
      <c r="D727" s="26" t="s">
        <v>1090</v>
      </c>
      <c r="E727" s="27">
        <v>45940.0</v>
      </c>
      <c r="F727" s="26" t="s">
        <v>393</v>
      </c>
      <c r="G727" s="10"/>
      <c r="H727" s="10"/>
    </row>
    <row r="728">
      <c r="A728" s="11" t="s">
        <v>1110</v>
      </c>
      <c r="B728" s="26" t="s">
        <v>275</v>
      </c>
      <c r="C728" s="26">
        <v>2025.0</v>
      </c>
      <c r="D728" s="26" t="s">
        <v>778</v>
      </c>
      <c r="E728" s="27">
        <v>45941.0</v>
      </c>
      <c r="F728" s="28"/>
      <c r="G728" s="10"/>
      <c r="H728" s="10"/>
    </row>
    <row r="729">
      <c r="A729" s="11" t="s">
        <v>1111</v>
      </c>
      <c r="B729" s="26" t="s">
        <v>275</v>
      </c>
      <c r="C729" s="26">
        <v>2025.0</v>
      </c>
      <c r="D729" s="26" t="s">
        <v>413</v>
      </c>
      <c r="E729" s="27">
        <v>45943.0</v>
      </c>
      <c r="F729" s="26" t="s">
        <v>393</v>
      </c>
      <c r="G729" s="10"/>
      <c r="H729" s="10"/>
    </row>
    <row r="730">
      <c r="A730" s="11" t="s">
        <v>1112</v>
      </c>
      <c r="B730" s="26" t="s">
        <v>275</v>
      </c>
      <c r="C730" s="26">
        <v>2025.0</v>
      </c>
      <c r="D730" s="26" t="s">
        <v>47</v>
      </c>
      <c r="E730" s="27">
        <v>45944.0</v>
      </c>
      <c r="F730" s="26" t="s">
        <v>425</v>
      </c>
      <c r="G730" s="10"/>
      <c r="H730" s="10"/>
    </row>
    <row r="731">
      <c r="A731" s="11" t="s">
        <v>1113</v>
      </c>
      <c r="B731" s="26" t="s">
        <v>275</v>
      </c>
      <c r="C731" s="26">
        <v>2025.0</v>
      </c>
      <c r="D731" s="26" t="s">
        <v>157</v>
      </c>
      <c r="E731" s="27">
        <v>45945.0</v>
      </c>
      <c r="F731" s="26" t="s">
        <v>393</v>
      </c>
      <c r="G731" s="10"/>
      <c r="H731" s="10"/>
    </row>
    <row r="732">
      <c r="A732" s="11" t="s">
        <v>1114</v>
      </c>
      <c r="B732" s="26" t="s">
        <v>275</v>
      </c>
      <c r="C732" s="26">
        <v>2025.0</v>
      </c>
      <c r="D732" s="26" t="s">
        <v>1082</v>
      </c>
      <c r="E732" s="27">
        <v>45947.0</v>
      </c>
      <c r="F732" s="26" t="s">
        <v>425</v>
      </c>
      <c r="G732" s="10"/>
      <c r="H732" s="10"/>
    </row>
    <row r="733">
      <c r="A733" s="11" t="s">
        <v>1115</v>
      </c>
      <c r="B733" s="26" t="s">
        <v>275</v>
      </c>
      <c r="C733" s="26">
        <v>2025.0</v>
      </c>
      <c r="D733" s="26" t="s">
        <v>1090</v>
      </c>
      <c r="E733" s="27">
        <v>45948.0</v>
      </c>
      <c r="F733" s="26" t="s">
        <v>425</v>
      </c>
      <c r="G733" s="10"/>
      <c r="H733" s="10"/>
    </row>
    <row r="734">
      <c r="A734" s="11" t="s">
        <v>1116</v>
      </c>
      <c r="B734" s="26" t="s">
        <v>275</v>
      </c>
      <c r="C734" s="26">
        <v>2025.0</v>
      </c>
      <c r="D734" s="26" t="s">
        <v>623</v>
      </c>
      <c r="E734" s="27">
        <v>45951.0</v>
      </c>
      <c r="F734" s="26" t="s">
        <v>393</v>
      </c>
      <c r="G734" s="10"/>
      <c r="H734" s="10"/>
    </row>
    <row r="735">
      <c r="A735" s="11" t="s">
        <v>1117</v>
      </c>
      <c r="B735" s="26" t="s">
        <v>275</v>
      </c>
      <c r="C735" s="26">
        <v>2025.0</v>
      </c>
      <c r="D735" s="26" t="s">
        <v>47</v>
      </c>
      <c r="E735" s="27">
        <v>45953.0</v>
      </c>
      <c r="F735" s="26" t="s">
        <v>393</v>
      </c>
      <c r="G735" s="10"/>
      <c r="H735" s="10"/>
    </row>
    <row r="736">
      <c r="A736" s="11" t="s">
        <v>1118</v>
      </c>
      <c r="B736" s="26" t="s">
        <v>275</v>
      </c>
      <c r="C736" s="26">
        <v>2025.0</v>
      </c>
      <c r="D736" s="26" t="s">
        <v>116</v>
      </c>
      <c r="E736" s="27">
        <v>45954.0</v>
      </c>
      <c r="F736" s="28"/>
      <c r="G736" s="10"/>
      <c r="H736" s="10"/>
    </row>
    <row r="737">
      <c r="A737" s="11" t="s">
        <v>1119</v>
      </c>
      <c r="B737" s="26" t="s">
        <v>275</v>
      </c>
      <c r="C737" s="26">
        <v>2025.0</v>
      </c>
      <c r="D737" s="26" t="s">
        <v>1087</v>
      </c>
      <c r="E737" s="27">
        <v>45955.0</v>
      </c>
      <c r="F737" s="26" t="s">
        <v>393</v>
      </c>
      <c r="G737" s="10"/>
      <c r="H737" s="10"/>
    </row>
    <row r="738">
      <c r="A738" s="11" t="s">
        <v>1120</v>
      </c>
      <c r="B738" s="26" t="s">
        <v>275</v>
      </c>
      <c r="C738" s="26">
        <v>2025.0</v>
      </c>
      <c r="D738" s="26" t="s">
        <v>1121</v>
      </c>
      <c r="E738" s="27">
        <v>45955.0</v>
      </c>
      <c r="F738" s="26" t="s">
        <v>393</v>
      </c>
      <c r="G738" s="23" t="s">
        <v>1122</v>
      </c>
      <c r="H738" s="23" t="s">
        <v>1123</v>
      </c>
    </row>
    <row r="739">
      <c r="A739" s="11" t="s">
        <v>1124</v>
      </c>
      <c r="B739" s="26" t="s">
        <v>275</v>
      </c>
      <c r="C739" s="26">
        <v>2025.0</v>
      </c>
      <c r="D739" s="26" t="s">
        <v>1087</v>
      </c>
      <c r="E739" s="27">
        <v>45956.0</v>
      </c>
      <c r="F739" s="26" t="s">
        <v>393</v>
      </c>
      <c r="G739" s="23" t="s">
        <v>1125</v>
      </c>
      <c r="H739" s="23" t="s">
        <v>1126</v>
      </c>
    </row>
    <row r="740">
      <c r="A740" s="11" t="s">
        <v>1127</v>
      </c>
      <c r="B740" s="26" t="s">
        <v>275</v>
      </c>
      <c r="C740" s="26">
        <v>2025.0</v>
      </c>
      <c r="D740" s="26" t="s">
        <v>1087</v>
      </c>
      <c r="E740" s="27">
        <v>45957.0</v>
      </c>
      <c r="F740" s="26" t="s">
        <v>393</v>
      </c>
      <c r="G740" s="23" t="s">
        <v>1125</v>
      </c>
      <c r="H740" s="23" t="s">
        <v>1126</v>
      </c>
    </row>
    <row r="741">
      <c r="A741" s="11" t="s">
        <v>1128</v>
      </c>
      <c r="B741" s="26" t="s">
        <v>308</v>
      </c>
      <c r="C741" s="26">
        <v>2025.0</v>
      </c>
      <c r="D741" s="26" t="s">
        <v>986</v>
      </c>
      <c r="E741" s="27">
        <v>45957.0</v>
      </c>
      <c r="F741" s="26" t="s">
        <v>393</v>
      </c>
      <c r="G741" s="23" t="s">
        <v>1125</v>
      </c>
      <c r="H741" s="23" t="s">
        <v>1129</v>
      </c>
    </row>
    <row r="742">
      <c r="A742" s="11" t="s">
        <v>1130</v>
      </c>
      <c r="B742" s="26" t="s">
        <v>275</v>
      </c>
      <c r="C742" s="26">
        <v>2025.0</v>
      </c>
      <c r="D742" s="26" t="s">
        <v>77</v>
      </c>
      <c r="E742" s="27">
        <v>45958.0</v>
      </c>
      <c r="F742" s="26" t="s">
        <v>393</v>
      </c>
      <c r="G742" s="23" t="s">
        <v>1131</v>
      </c>
      <c r="H742" s="10"/>
    </row>
    <row r="743">
      <c r="A743" s="11" t="s">
        <v>1132</v>
      </c>
      <c r="B743" s="26" t="s">
        <v>275</v>
      </c>
      <c r="C743" s="26">
        <v>2025.0</v>
      </c>
      <c r="D743" s="26" t="s">
        <v>1073</v>
      </c>
      <c r="E743" s="27">
        <v>45958.0</v>
      </c>
      <c r="F743" s="26" t="s">
        <v>393</v>
      </c>
      <c r="G743" s="23" t="s">
        <v>1133</v>
      </c>
      <c r="H743" s="23" t="s">
        <v>1134</v>
      </c>
    </row>
    <row r="744">
      <c r="A744" s="11" t="s">
        <v>1135</v>
      </c>
      <c r="B744" s="26" t="s">
        <v>275</v>
      </c>
      <c r="C744" s="26">
        <v>2025.0</v>
      </c>
      <c r="D744" s="26" t="s">
        <v>715</v>
      </c>
      <c r="E744" s="27">
        <v>45958.0</v>
      </c>
      <c r="F744" s="26" t="s">
        <v>393</v>
      </c>
      <c r="G744" s="23" t="s">
        <v>1133</v>
      </c>
      <c r="H744" s="23" t="s">
        <v>1136</v>
      </c>
    </row>
    <row r="745">
      <c r="A745" s="11" t="s">
        <v>1137</v>
      </c>
      <c r="B745" s="26" t="s">
        <v>1138</v>
      </c>
      <c r="C745" s="26">
        <v>2025.0</v>
      </c>
      <c r="D745" s="26" t="s">
        <v>157</v>
      </c>
      <c r="E745" s="27">
        <v>45959.0</v>
      </c>
      <c r="F745" s="26" t="s">
        <v>425</v>
      </c>
      <c r="G745" s="23" t="s">
        <v>1133</v>
      </c>
      <c r="H745" s="23" t="s">
        <v>1139</v>
      </c>
    </row>
    <row r="746">
      <c r="A746" s="11" t="s">
        <v>1140</v>
      </c>
      <c r="B746" s="26" t="s">
        <v>275</v>
      </c>
      <c r="C746" s="26">
        <v>2025.0</v>
      </c>
      <c r="D746" s="26" t="s">
        <v>1141</v>
      </c>
      <c r="E746" s="27">
        <v>45959.0</v>
      </c>
      <c r="F746" s="26" t="s">
        <v>1142</v>
      </c>
      <c r="G746" s="23" t="s">
        <v>1133</v>
      </c>
      <c r="H746" s="10"/>
    </row>
    <row r="747">
      <c r="A747" s="11" t="s">
        <v>1143</v>
      </c>
      <c r="B747" s="26" t="s">
        <v>275</v>
      </c>
      <c r="C747" s="26">
        <v>2025.0</v>
      </c>
      <c r="D747" s="26" t="s">
        <v>1144</v>
      </c>
      <c r="E747" s="27">
        <v>45959.0</v>
      </c>
      <c r="F747" s="26" t="s">
        <v>393</v>
      </c>
      <c r="G747" s="23" t="s">
        <v>1133</v>
      </c>
      <c r="H747" s="10"/>
    </row>
    <row r="748">
      <c r="A748" s="11" t="s">
        <v>1145</v>
      </c>
      <c r="B748" s="26" t="s">
        <v>275</v>
      </c>
      <c r="C748" s="26">
        <v>2025.0</v>
      </c>
      <c r="D748" s="26" t="s">
        <v>912</v>
      </c>
      <c r="E748" s="27">
        <v>45960.0</v>
      </c>
      <c r="F748" s="26" t="s">
        <v>393</v>
      </c>
      <c r="G748" s="23" t="s">
        <v>1125</v>
      </c>
      <c r="H748" s="23" t="s">
        <v>1146</v>
      </c>
    </row>
    <row r="749">
      <c r="A749" s="11" t="s">
        <v>1147</v>
      </c>
      <c r="B749" s="26" t="s">
        <v>275</v>
      </c>
      <c r="C749" s="26">
        <v>2025.0</v>
      </c>
      <c r="D749" s="26" t="s">
        <v>715</v>
      </c>
      <c r="E749" s="27">
        <v>45960.0</v>
      </c>
      <c r="F749" s="26" t="s">
        <v>393</v>
      </c>
      <c r="G749" s="23" t="s">
        <v>1125</v>
      </c>
      <c r="H749" s="10"/>
    </row>
    <row r="750">
      <c r="A750" s="11" t="s">
        <v>1148</v>
      </c>
      <c r="B750" s="26" t="s">
        <v>275</v>
      </c>
      <c r="C750" s="26">
        <v>2025.0</v>
      </c>
      <c r="D750" s="26" t="s">
        <v>116</v>
      </c>
      <c r="E750" s="27">
        <v>45960.0</v>
      </c>
      <c r="F750" s="26" t="s">
        <v>393</v>
      </c>
      <c r="G750" s="23" t="s">
        <v>1125</v>
      </c>
      <c r="H750" s="10"/>
    </row>
    <row r="751">
      <c r="A751" s="11" t="s">
        <v>1149</v>
      </c>
      <c r="B751" s="26" t="s">
        <v>275</v>
      </c>
      <c r="C751" s="26">
        <v>2025.0</v>
      </c>
      <c r="D751" s="26" t="s">
        <v>811</v>
      </c>
      <c r="E751" s="33">
        <v>45961.0</v>
      </c>
      <c r="F751" s="26" t="s">
        <v>425</v>
      </c>
      <c r="G751" s="23" t="s">
        <v>1133</v>
      </c>
      <c r="H751" s="23" t="s">
        <v>1150</v>
      </c>
    </row>
    <row r="752">
      <c r="A752" s="11" t="s">
        <v>1151</v>
      </c>
      <c r="B752" s="26" t="s">
        <v>275</v>
      </c>
      <c r="C752" s="26">
        <v>2025.0</v>
      </c>
      <c r="D752" s="26" t="s">
        <v>116</v>
      </c>
      <c r="E752" s="33">
        <v>45961.0</v>
      </c>
      <c r="F752" s="26" t="s">
        <v>393</v>
      </c>
      <c r="G752" s="23" t="s">
        <v>1133</v>
      </c>
      <c r="H752" s="10"/>
    </row>
    <row r="753">
      <c r="A753" s="11" t="s">
        <v>1152</v>
      </c>
      <c r="B753" s="26" t="s">
        <v>10</v>
      </c>
      <c r="C753" s="26">
        <v>2025.0</v>
      </c>
      <c r="D753" s="26" t="s">
        <v>1153</v>
      </c>
      <c r="E753" s="33">
        <v>45962.0</v>
      </c>
      <c r="F753" s="26" t="s">
        <v>393</v>
      </c>
      <c r="G753" s="23" t="s">
        <v>1133</v>
      </c>
      <c r="H753" s="23" t="s">
        <v>1154</v>
      </c>
    </row>
    <row r="754">
      <c r="A754" s="11" t="s">
        <v>1155</v>
      </c>
      <c r="B754" s="26" t="s">
        <v>10</v>
      </c>
      <c r="C754" s="26">
        <v>2025.0</v>
      </c>
      <c r="D754" s="26" t="s">
        <v>1156</v>
      </c>
      <c r="E754" s="27">
        <v>45962.0</v>
      </c>
      <c r="F754" s="26" t="s">
        <v>393</v>
      </c>
      <c r="G754" s="23" t="s">
        <v>1157</v>
      </c>
      <c r="H754" s="23" t="s">
        <v>1158</v>
      </c>
    </row>
    <row r="755">
      <c r="A755" s="11" t="s">
        <v>1159</v>
      </c>
      <c r="B755" s="26" t="s">
        <v>10</v>
      </c>
      <c r="C755" s="26">
        <v>2025.0</v>
      </c>
      <c r="D755" s="26" t="s">
        <v>546</v>
      </c>
      <c r="E755" s="34">
        <v>45964.0</v>
      </c>
      <c r="F755" s="26" t="s">
        <v>393</v>
      </c>
      <c r="G755" s="23" t="s">
        <v>1125</v>
      </c>
      <c r="H755" s="10"/>
    </row>
    <row r="756">
      <c r="A756" s="11" t="s">
        <v>1160</v>
      </c>
      <c r="B756" s="26" t="s">
        <v>10</v>
      </c>
      <c r="C756" s="26">
        <v>2025.0</v>
      </c>
      <c r="D756" s="26" t="s">
        <v>715</v>
      </c>
      <c r="E756" s="34">
        <v>45965.0</v>
      </c>
      <c r="F756" s="26" t="s">
        <v>425</v>
      </c>
      <c r="G756" s="23" t="s">
        <v>1125</v>
      </c>
      <c r="H756" s="10"/>
    </row>
    <row r="757">
      <c r="A757" s="11" t="s">
        <v>1161</v>
      </c>
      <c r="B757" s="26" t="s">
        <v>10</v>
      </c>
      <c r="C757" s="26">
        <v>2025.0</v>
      </c>
      <c r="D757" s="26" t="s">
        <v>116</v>
      </c>
      <c r="E757" s="28"/>
      <c r="F757" s="26" t="s">
        <v>425</v>
      </c>
      <c r="G757" s="23" t="s">
        <v>215</v>
      </c>
      <c r="H757" s="10"/>
    </row>
    <row r="758">
      <c r="A758" s="11" t="s">
        <v>1162</v>
      </c>
      <c r="B758" s="26" t="s">
        <v>10</v>
      </c>
      <c r="C758" s="26">
        <v>2025.0</v>
      </c>
      <c r="D758" s="26" t="s">
        <v>715</v>
      </c>
      <c r="E758" s="34">
        <v>45965.0</v>
      </c>
      <c r="F758" s="26" t="s">
        <v>431</v>
      </c>
      <c r="G758" s="23" t="s">
        <v>1163</v>
      </c>
      <c r="H758" s="10"/>
    </row>
    <row r="759">
      <c r="A759" s="11" t="s">
        <v>1164</v>
      </c>
      <c r="B759" s="26" t="s">
        <v>10</v>
      </c>
      <c r="C759" s="26">
        <v>2025.0</v>
      </c>
      <c r="D759" s="26" t="s">
        <v>1165</v>
      </c>
      <c r="E759" s="34">
        <v>45966.0</v>
      </c>
      <c r="F759" s="26" t="s">
        <v>300</v>
      </c>
      <c r="G759" s="23" t="s">
        <v>1163</v>
      </c>
      <c r="H759" s="10"/>
    </row>
    <row r="760">
      <c r="A760" s="11" t="s">
        <v>1166</v>
      </c>
      <c r="B760" s="26" t="s">
        <v>10</v>
      </c>
      <c r="C760" s="26">
        <v>2025.0</v>
      </c>
      <c r="D760" s="26" t="s">
        <v>116</v>
      </c>
      <c r="E760" s="33">
        <v>45966.0</v>
      </c>
      <c r="F760" s="26" t="s">
        <v>425</v>
      </c>
      <c r="G760" s="23" t="s">
        <v>1167</v>
      </c>
      <c r="H760" s="23" t="s">
        <v>1168</v>
      </c>
    </row>
    <row r="761">
      <c r="A761" s="11" t="s">
        <v>1169</v>
      </c>
      <c r="B761" s="26" t="s">
        <v>10</v>
      </c>
      <c r="C761" s="26">
        <v>2025.0</v>
      </c>
      <c r="D761" s="26" t="s">
        <v>1170</v>
      </c>
      <c r="E761" s="28"/>
      <c r="F761" s="26"/>
      <c r="G761" s="23"/>
      <c r="H761" s="10"/>
    </row>
    <row r="762">
      <c r="A762" s="11" t="s">
        <v>1171</v>
      </c>
      <c r="B762" s="26" t="s">
        <v>10</v>
      </c>
      <c r="C762" s="26">
        <v>2025.0</v>
      </c>
      <c r="D762" s="26" t="s">
        <v>1172</v>
      </c>
      <c r="E762" s="33">
        <v>45966.0</v>
      </c>
      <c r="F762" s="26" t="s">
        <v>393</v>
      </c>
      <c r="G762" s="23" t="s">
        <v>1167</v>
      </c>
      <c r="H762" s="10"/>
    </row>
    <row r="763">
      <c r="A763" s="11" t="s">
        <v>1173</v>
      </c>
      <c r="B763" s="26" t="s">
        <v>10</v>
      </c>
      <c r="C763" s="26">
        <v>2025.0</v>
      </c>
      <c r="D763" s="26" t="s">
        <v>981</v>
      </c>
      <c r="E763" s="33">
        <v>45965.0</v>
      </c>
      <c r="F763" s="26" t="s">
        <v>393</v>
      </c>
      <c r="G763" s="23" t="s">
        <v>1167</v>
      </c>
      <c r="H763" s="23" t="s">
        <v>1174</v>
      </c>
    </row>
    <row r="764">
      <c r="A764" s="11" t="s">
        <v>1175</v>
      </c>
      <c r="B764" s="26" t="s">
        <v>10</v>
      </c>
      <c r="C764" s="26">
        <v>2025.0</v>
      </c>
      <c r="D764" s="26" t="s">
        <v>872</v>
      </c>
      <c r="E764" s="33">
        <v>45969.0</v>
      </c>
      <c r="F764" s="26" t="s">
        <v>393</v>
      </c>
      <c r="G764" s="23" t="s">
        <v>1167</v>
      </c>
      <c r="H764" s="10"/>
    </row>
    <row r="765">
      <c r="A765" s="11" t="s">
        <v>1176</v>
      </c>
      <c r="B765" s="26" t="s">
        <v>10</v>
      </c>
      <c r="C765" s="26">
        <v>2025.0</v>
      </c>
      <c r="D765" s="26" t="s">
        <v>382</v>
      </c>
      <c r="E765" s="27">
        <v>45971.0</v>
      </c>
      <c r="F765" s="26" t="s">
        <v>1177</v>
      </c>
      <c r="G765" s="23" t="s">
        <v>1178</v>
      </c>
      <c r="H765" s="23" t="s">
        <v>1179</v>
      </c>
    </row>
    <row r="766">
      <c r="A766" s="11" t="s">
        <v>1180</v>
      </c>
      <c r="B766" s="26" t="s">
        <v>10</v>
      </c>
      <c r="C766" s="26">
        <v>2025.0</v>
      </c>
      <c r="D766" s="26" t="s">
        <v>778</v>
      </c>
      <c r="E766" s="33">
        <v>45975.0</v>
      </c>
      <c r="F766" s="26" t="s">
        <v>685</v>
      </c>
      <c r="G766" s="23" t="s">
        <v>1167</v>
      </c>
      <c r="H766" s="23" t="s">
        <v>1181</v>
      </c>
    </row>
    <row r="767">
      <c r="A767" s="11" t="s">
        <v>1182</v>
      </c>
      <c r="B767" s="32" t="s">
        <v>10</v>
      </c>
      <c r="C767" s="32">
        <v>2025.0</v>
      </c>
      <c r="D767" s="35" t="s">
        <v>1183</v>
      </c>
      <c r="E767" s="27">
        <v>45973.0</v>
      </c>
      <c r="F767" s="26" t="s">
        <v>393</v>
      </c>
      <c r="G767" s="23" t="s">
        <v>1184</v>
      </c>
      <c r="H767" s="10"/>
    </row>
    <row r="768">
      <c r="A768" s="11" t="s">
        <v>1185</v>
      </c>
      <c r="B768" s="26" t="s">
        <v>10</v>
      </c>
      <c r="C768" s="26">
        <v>2025.0</v>
      </c>
      <c r="D768" s="26" t="s">
        <v>1084</v>
      </c>
      <c r="E768" s="27">
        <v>45975.0</v>
      </c>
      <c r="F768" s="26" t="s">
        <v>393</v>
      </c>
      <c r="G768" s="23" t="s">
        <v>1167</v>
      </c>
      <c r="H768" s="23" t="s">
        <v>1186</v>
      </c>
    </row>
    <row r="769">
      <c r="A769" s="11" t="s">
        <v>1187</v>
      </c>
      <c r="B769" s="26" t="s">
        <v>10</v>
      </c>
      <c r="C769" s="26">
        <v>2025.0</v>
      </c>
      <c r="D769" s="26" t="s">
        <v>986</v>
      </c>
      <c r="E769" s="27">
        <v>45975.0</v>
      </c>
      <c r="F769" s="26" t="s">
        <v>685</v>
      </c>
      <c r="G769" s="23" t="s">
        <v>1167</v>
      </c>
      <c r="H769" s="23" t="s">
        <v>1188</v>
      </c>
    </row>
    <row r="770">
      <c r="A770" s="11" t="s">
        <v>1189</v>
      </c>
      <c r="B770" s="26" t="s">
        <v>10</v>
      </c>
      <c r="C770" s="26">
        <v>2025.0</v>
      </c>
      <c r="D770" s="26" t="s">
        <v>1090</v>
      </c>
      <c r="E770" s="27">
        <v>45976.0</v>
      </c>
      <c r="F770" s="26" t="s">
        <v>393</v>
      </c>
      <c r="G770" s="23" t="s">
        <v>1167</v>
      </c>
      <c r="H770" s="23" t="s">
        <v>1190</v>
      </c>
    </row>
    <row r="771">
      <c r="A771" s="11" t="s">
        <v>1191</v>
      </c>
      <c r="B771" s="26" t="s">
        <v>10</v>
      </c>
      <c r="C771" s="26">
        <v>2025.0</v>
      </c>
      <c r="D771" s="26" t="s">
        <v>1090</v>
      </c>
      <c r="E771" s="27">
        <v>45976.0</v>
      </c>
      <c r="F771" s="26" t="s">
        <v>393</v>
      </c>
      <c r="G771" s="23" t="s">
        <v>1167</v>
      </c>
      <c r="H771" s="23" t="s">
        <v>1190</v>
      </c>
    </row>
    <row r="772">
      <c r="A772" s="11" t="s">
        <v>1192</v>
      </c>
      <c r="B772" s="26" t="s">
        <v>10</v>
      </c>
      <c r="C772" s="26">
        <v>2025.0</v>
      </c>
      <c r="D772" s="26" t="s">
        <v>1144</v>
      </c>
      <c r="E772" s="27">
        <v>45976.0</v>
      </c>
      <c r="F772" s="26" t="s">
        <v>393</v>
      </c>
      <c r="G772" s="23" t="s">
        <v>1167</v>
      </c>
      <c r="H772" s="23" t="s">
        <v>1193</v>
      </c>
    </row>
    <row r="773">
      <c r="A773" s="11" t="s">
        <v>1194</v>
      </c>
      <c r="B773" s="26" t="s">
        <v>10</v>
      </c>
      <c r="C773" s="26">
        <v>2025.0</v>
      </c>
      <c r="D773" s="26" t="s">
        <v>1195</v>
      </c>
      <c r="E773" s="27">
        <v>45976.0</v>
      </c>
      <c r="F773" s="26" t="s">
        <v>393</v>
      </c>
      <c r="G773" s="23" t="s">
        <v>1167</v>
      </c>
      <c r="H773" s="23" t="s">
        <v>1196</v>
      </c>
    </row>
    <row r="774">
      <c r="A774" s="11" t="s">
        <v>1197</v>
      </c>
      <c r="B774" s="26" t="s">
        <v>10</v>
      </c>
      <c r="C774" s="26">
        <v>2025.0</v>
      </c>
      <c r="D774" s="26" t="s">
        <v>1090</v>
      </c>
      <c r="E774" s="27">
        <v>45976.0</v>
      </c>
      <c r="F774" s="26" t="s">
        <v>393</v>
      </c>
      <c r="G774" s="23" t="s">
        <v>1167</v>
      </c>
      <c r="H774" s="23" t="s">
        <v>1198</v>
      </c>
    </row>
    <row r="775">
      <c r="A775" s="11" t="s">
        <v>1199</v>
      </c>
      <c r="B775" s="26" t="s">
        <v>10</v>
      </c>
      <c r="C775" s="26">
        <v>2025.0</v>
      </c>
      <c r="D775" s="26" t="s">
        <v>546</v>
      </c>
      <c r="E775" s="27">
        <v>45978.0</v>
      </c>
      <c r="F775" s="26" t="s">
        <v>393</v>
      </c>
      <c r="G775" s="23" t="s">
        <v>1200</v>
      </c>
      <c r="H775" s="10"/>
    </row>
    <row r="776">
      <c r="A776" s="11" t="s">
        <v>1201</v>
      </c>
      <c r="B776" s="26" t="s">
        <v>10</v>
      </c>
      <c r="C776" s="26">
        <v>2025.0</v>
      </c>
      <c r="D776" s="26" t="s">
        <v>1202</v>
      </c>
      <c r="E776" s="27">
        <v>45978.0</v>
      </c>
      <c r="F776" s="26" t="s">
        <v>393</v>
      </c>
      <c r="G776" s="23" t="s">
        <v>1200</v>
      </c>
      <c r="H776" s="10"/>
    </row>
    <row r="777">
      <c r="A777" s="11" t="s">
        <v>1203</v>
      </c>
      <c r="B777" s="26" t="s">
        <v>10</v>
      </c>
      <c r="C777" s="26">
        <v>2025.0</v>
      </c>
      <c r="D777" s="26" t="s">
        <v>1090</v>
      </c>
      <c r="E777" s="27">
        <v>45979.0</v>
      </c>
      <c r="F777" s="26" t="s">
        <v>393</v>
      </c>
      <c r="G777" s="23" t="s">
        <v>1178</v>
      </c>
      <c r="H777" s="23" t="s">
        <v>1198</v>
      </c>
    </row>
    <row r="778">
      <c r="A778" s="11" t="s">
        <v>1204</v>
      </c>
      <c r="B778" s="26" t="s">
        <v>10</v>
      </c>
      <c r="C778" s="26">
        <v>2025.0</v>
      </c>
      <c r="D778" s="26" t="s">
        <v>1205</v>
      </c>
      <c r="E778" s="27">
        <v>45980.0</v>
      </c>
      <c r="F778" s="26" t="s">
        <v>393</v>
      </c>
      <c r="G778" s="10"/>
      <c r="H778" s="10"/>
    </row>
    <row r="779">
      <c r="A779" s="11" t="s">
        <v>1206</v>
      </c>
      <c r="B779" s="26" t="s">
        <v>10</v>
      </c>
      <c r="C779" s="26">
        <v>2025.0</v>
      </c>
      <c r="D779" s="26" t="s">
        <v>1207</v>
      </c>
      <c r="E779" s="27">
        <v>45983.0</v>
      </c>
      <c r="F779" s="26" t="s">
        <v>393</v>
      </c>
      <c r="G779" s="23" t="s">
        <v>1167</v>
      </c>
      <c r="H779" s="10"/>
    </row>
    <row r="780">
      <c r="A780" s="11" t="s">
        <v>1208</v>
      </c>
      <c r="B780" s="26" t="s">
        <v>10</v>
      </c>
      <c r="C780" s="26">
        <v>2025.0</v>
      </c>
      <c r="D780" s="26" t="s">
        <v>1153</v>
      </c>
      <c r="E780" s="27">
        <v>45984.0</v>
      </c>
      <c r="F780" s="26" t="s">
        <v>393</v>
      </c>
      <c r="G780" s="23" t="s">
        <v>1178</v>
      </c>
      <c r="H780" s="23" t="s">
        <v>1209</v>
      </c>
    </row>
    <row r="781">
      <c r="A781" s="11" t="s">
        <v>1210</v>
      </c>
      <c r="B781" s="26" t="s">
        <v>10</v>
      </c>
      <c r="C781" s="26">
        <v>2025.0</v>
      </c>
      <c r="D781" s="26" t="s">
        <v>1211</v>
      </c>
      <c r="E781" s="27">
        <v>45984.0</v>
      </c>
      <c r="F781" s="26" t="s">
        <v>393</v>
      </c>
      <c r="G781" s="23" t="s">
        <v>1122</v>
      </c>
      <c r="H781" s="23" t="s">
        <v>1212</v>
      </c>
    </row>
    <row r="782">
      <c r="A782" s="11" t="s">
        <v>1213</v>
      </c>
      <c r="B782" s="26" t="s">
        <v>10</v>
      </c>
      <c r="C782" s="26">
        <v>2025.0</v>
      </c>
      <c r="D782" s="26" t="s">
        <v>1214</v>
      </c>
      <c r="E782" s="27">
        <v>45985.0</v>
      </c>
      <c r="F782" s="26" t="s">
        <v>393</v>
      </c>
      <c r="G782" s="23" t="s">
        <v>1178</v>
      </c>
      <c r="H782" s="23" t="s">
        <v>1215</v>
      </c>
    </row>
    <row r="783">
      <c r="A783" s="11" t="s">
        <v>1216</v>
      </c>
      <c r="B783" s="26" t="s">
        <v>10</v>
      </c>
      <c r="C783" s="26">
        <v>2025.0</v>
      </c>
      <c r="D783" s="26" t="s">
        <v>1217</v>
      </c>
      <c r="E783" s="27">
        <v>45985.0</v>
      </c>
      <c r="F783" s="26" t="s">
        <v>393</v>
      </c>
      <c r="G783" s="23" t="s">
        <v>1178</v>
      </c>
      <c r="H783" s="23" t="s">
        <v>1218</v>
      </c>
    </row>
    <row r="784">
      <c r="A784" s="11" t="s">
        <v>1219</v>
      </c>
      <c r="B784" s="26" t="s">
        <v>10</v>
      </c>
      <c r="C784" s="26">
        <v>2025.0</v>
      </c>
      <c r="D784" s="26" t="s">
        <v>1220</v>
      </c>
      <c r="E784" s="27">
        <v>45986.0</v>
      </c>
      <c r="F784" s="26" t="s">
        <v>425</v>
      </c>
      <c r="G784" s="23" t="s">
        <v>1178</v>
      </c>
      <c r="H784" s="23" t="s">
        <v>1221</v>
      </c>
    </row>
    <row r="785">
      <c r="A785" s="11" t="s">
        <v>1222</v>
      </c>
      <c r="B785" s="26" t="s">
        <v>10</v>
      </c>
      <c r="C785" s="26">
        <v>2025.0</v>
      </c>
      <c r="D785" s="26" t="s">
        <v>23</v>
      </c>
      <c r="E785" s="27">
        <v>45986.0</v>
      </c>
      <c r="F785" s="26" t="s">
        <v>393</v>
      </c>
      <c r="G785" s="23" t="s">
        <v>1133</v>
      </c>
      <c r="H785" s="23" t="s">
        <v>1223</v>
      </c>
    </row>
    <row r="786">
      <c r="A786" s="11" t="s">
        <v>1224</v>
      </c>
      <c r="B786" s="26" t="s">
        <v>10</v>
      </c>
      <c r="C786" s="26">
        <v>2025.0</v>
      </c>
      <c r="D786" s="26" t="s">
        <v>691</v>
      </c>
      <c r="E786" s="27">
        <v>45986.0</v>
      </c>
      <c r="F786" s="26" t="s">
        <v>393</v>
      </c>
      <c r="G786" s="23" t="s">
        <v>1133</v>
      </c>
      <c r="H786" s="10"/>
    </row>
    <row r="787">
      <c r="A787" s="11" t="s">
        <v>1225</v>
      </c>
      <c r="B787" s="26" t="s">
        <v>10</v>
      </c>
      <c r="C787" s="26">
        <v>2025.0</v>
      </c>
      <c r="D787" s="26" t="s">
        <v>116</v>
      </c>
      <c r="E787" s="27">
        <v>45987.0</v>
      </c>
      <c r="F787" s="26" t="s">
        <v>393</v>
      </c>
      <c r="G787" s="23" t="s">
        <v>1133</v>
      </c>
      <c r="H787" s="23" t="s">
        <v>1226</v>
      </c>
    </row>
    <row r="788">
      <c r="A788" s="11" t="s">
        <v>1227</v>
      </c>
      <c r="B788" s="26" t="s">
        <v>10</v>
      </c>
      <c r="C788" s="26">
        <v>2025.0</v>
      </c>
      <c r="D788" s="26" t="s">
        <v>1090</v>
      </c>
      <c r="E788" s="27">
        <v>45988.0</v>
      </c>
      <c r="F788" s="26" t="s">
        <v>393</v>
      </c>
      <c r="G788" s="23" t="s">
        <v>1167</v>
      </c>
      <c r="H788" s="23" t="s">
        <v>1198</v>
      </c>
    </row>
    <row r="789">
      <c r="A789" s="11" t="s">
        <v>1228</v>
      </c>
      <c r="B789" s="26" t="s">
        <v>10</v>
      </c>
      <c r="C789" s="26">
        <v>2025.0</v>
      </c>
      <c r="D789" s="26" t="s">
        <v>23</v>
      </c>
      <c r="E789" s="27">
        <v>45988.0</v>
      </c>
      <c r="F789" s="26" t="s">
        <v>393</v>
      </c>
      <c r="G789" s="23" t="s">
        <v>1178</v>
      </c>
      <c r="H789" s="36" t="s">
        <v>1229</v>
      </c>
    </row>
    <row r="790">
      <c r="A790" s="11" t="s">
        <v>1230</v>
      </c>
      <c r="B790" s="26" t="s">
        <v>10</v>
      </c>
      <c r="C790" s="26">
        <v>2025.0</v>
      </c>
      <c r="D790" s="26" t="s">
        <v>23</v>
      </c>
      <c r="E790" s="27">
        <v>45988.0</v>
      </c>
      <c r="F790" s="26" t="s">
        <v>393</v>
      </c>
      <c r="G790" s="23" t="s">
        <v>1167</v>
      </c>
      <c r="H790" s="10"/>
    </row>
    <row r="791">
      <c r="A791" s="11" t="s">
        <v>1231</v>
      </c>
      <c r="B791" s="26" t="s">
        <v>10</v>
      </c>
      <c r="C791" s="26">
        <v>2025.0</v>
      </c>
      <c r="D791" s="26" t="s">
        <v>799</v>
      </c>
      <c r="E791" s="27">
        <v>45990.0</v>
      </c>
      <c r="F791" s="26" t="s">
        <v>425</v>
      </c>
      <c r="G791" s="23" t="s">
        <v>1167</v>
      </c>
      <c r="H791" s="10"/>
    </row>
    <row r="792">
      <c r="A792" s="11" t="s">
        <v>1232</v>
      </c>
      <c r="B792" s="26" t="s">
        <v>10</v>
      </c>
      <c r="C792" s="26">
        <v>2025.0</v>
      </c>
      <c r="D792" s="26" t="s">
        <v>1090</v>
      </c>
      <c r="E792" s="27"/>
      <c r="F792" s="26" t="s">
        <v>685</v>
      </c>
      <c r="G792" s="23" t="s">
        <v>1167</v>
      </c>
      <c r="H792" s="10"/>
    </row>
    <row r="793">
      <c r="A793" s="11" t="s">
        <v>1233</v>
      </c>
      <c r="B793" s="26" t="s">
        <v>10</v>
      </c>
      <c r="C793" s="26">
        <v>2025.0</v>
      </c>
      <c r="D793" s="26" t="s">
        <v>364</v>
      </c>
      <c r="E793" s="27" t="s">
        <v>1234</v>
      </c>
      <c r="F793" s="26" t="s">
        <v>425</v>
      </c>
      <c r="G793" s="23" t="s">
        <v>1200</v>
      </c>
      <c r="H793" s="10"/>
    </row>
    <row r="794">
      <c r="A794" s="11" t="s">
        <v>1235</v>
      </c>
      <c r="B794" s="26" t="s">
        <v>25</v>
      </c>
      <c r="C794" s="26">
        <v>2025.0</v>
      </c>
      <c r="D794" s="26" t="s">
        <v>1236</v>
      </c>
      <c r="E794" s="33">
        <v>45994.0</v>
      </c>
      <c r="F794" s="26" t="s">
        <v>393</v>
      </c>
      <c r="G794" s="23" t="s">
        <v>1167</v>
      </c>
      <c r="H794" s="10"/>
    </row>
    <row r="795">
      <c r="A795" s="11" t="s">
        <v>1237</v>
      </c>
      <c r="B795" s="26" t="s">
        <v>1238</v>
      </c>
      <c r="C795" s="26">
        <v>2025.0</v>
      </c>
      <c r="D795" s="26" t="s">
        <v>778</v>
      </c>
      <c r="E795" s="33">
        <v>45994.0</v>
      </c>
      <c r="F795" s="26" t="s">
        <v>685</v>
      </c>
      <c r="G795" s="23" t="s">
        <v>1167</v>
      </c>
      <c r="H795" s="10"/>
    </row>
    <row r="796">
      <c r="A796" s="11" t="s">
        <v>1239</v>
      </c>
      <c r="B796" s="26" t="s">
        <v>25</v>
      </c>
      <c r="C796" s="26">
        <v>2025.0</v>
      </c>
      <c r="D796" s="26" t="s">
        <v>691</v>
      </c>
      <c r="E796" s="33">
        <v>45994.0</v>
      </c>
      <c r="F796" s="26" t="s">
        <v>425</v>
      </c>
      <c r="G796" s="23" t="s">
        <v>1178</v>
      </c>
      <c r="H796" s="10"/>
    </row>
    <row r="797">
      <c r="A797" s="11" t="s">
        <v>1240</v>
      </c>
      <c r="B797" s="26" t="s">
        <v>25</v>
      </c>
      <c r="C797" s="26">
        <v>2025.0</v>
      </c>
      <c r="D797" s="26" t="s">
        <v>1241</v>
      </c>
      <c r="E797" s="33">
        <v>45995.0</v>
      </c>
      <c r="F797" s="26" t="s">
        <v>393</v>
      </c>
      <c r="G797" s="23" t="s">
        <v>1167</v>
      </c>
      <c r="H797" s="10"/>
    </row>
    <row r="798">
      <c r="A798" s="11" t="s">
        <v>1242</v>
      </c>
      <c r="B798" s="26" t="s">
        <v>25</v>
      </c>
      <c r="C798" s="28"/>
      <c r="D798" s="26" t="s">
        <v>1243</v>
      </c>
      <c r="E798" s="33">
        <v>45995.0</v>
      </c>
      <c r="F798" s="26" t="s">
        <v>393</v>
      </c>
      <c r="G798" s="23" t="s">
        <v>1244</v>
      </c>
      <c r="H798" s="10"/>
    </row>
    <row r="799">
      <c r="A799" s="11" t="s">
        <v>1245</v>
      </c>
      <c r="B799" s="26" t="s">
        <v>25</v>
      </c>
      <c r="C799" s="26">
        <v>2025.0</v>
      </c>
      <c r="D799" s="26" t="s">
        <v>1246</v>
      </c>
      <c r="E799" s="33">
        <v>45996.0</v>
      </c>
      <c r="F799" s="26" t="s">
        <v>425</v>
      </c>
      <c r="G799" s="23" t="s">
        <v>1167</v>
      </c>
      <c r="H799" s="10"/>
    </row>
    <row r="800">
      <c r="A800" s="11" t="s">
        <v>1247</v>
      </c>
      <c r="B800" s="26" t="s">
        <v>25</v>
      </c>
      <c r="C800" s="26">
        <v>2025.0</v>
      </c>
      <c r="D800" s="26" t="s">
        <v>1248</v>
      </c>
      <c r="E800" s="34">
        <v>45997.0</v>
      </c>
      <c r="F800" s="26" t="s">
        <v>393</v>
      </c>
      <c r="G800" s="23" t="s">
        <v>1184</v>
      </c>
      <c r="H800" s="23" t="s">
        <v>1249</v>
      </c>
    </row>
    <row r="801">
      <c r="A801" s="11" t="s">
        <v>1250</v>
      </c>
      <c r="B801" s="26" t="s">
        <v>25</v>
      </c>
      <c r="C801" s="26">
        <v>2025.0</v>
      </c>
      <c r="D801" s="26" t="s">
        <v>1251</v>
      </c>
      <c r="E801" s="37">
        <v>45998.0</v>
      </c>
      <c r="F801" s="26" t="s">
        <v>393</v>
      </c>
      <c r="G801" s="23" t="s">
        <v>1122</v>
      </c>
      <c r="H801" s="23" t="s">
        <v>1252</v>
      </c>
    </row>
    <row r="802">
      <c r="A802" s="11" t="s">
        <v>1253</v>
      </c>
      <c r="B802" s="26" t="s">
        <v>25</v>
      </c>
      <c r="C802" s="26">
        <v>2025.0</v>
      </c>
      <c r="D802" s="26" t="s">
        <v>271</v>
      </c>
      <c r="E802" s="33">
        <v>45999.0</v>
      </c>
      <c r="F802" s="26" t="s">
        <v>393</v>
      </c>
      <c r="G802" s="23" t="s">
        <v>1167</v>
      </c>
      <c r="H802" s="23" t="s">
        <v>1254</v>
      </c>
    </row>
    <row r="803">
      <c r="A803" s="11" t="s">
        <v>1255</v>
      </c>
      <c r="B803" s="26" t="s">
        <v>25</v>
      </c>
      <c r="C803" s="26">
        <v>2025.0</v>
      </c>
      <c r="D803" s="26" t="s">
        <v>1256</v>
      </c>
      <c r="E803" s="34">
        <v>46366.0</v>
      </c>
      <c r="F803" s="26" t="s">
        <v>393</v>
      </c>
      <c r="G803" s="23" t="s">
        <v>1184</v>
      </c>
      <c r="H803" s="23" t="s">
        <v>1257</v>
      </c>
    </row>
    <row r="804">
      <c r="A804" s="11" t="s">
        <v>1258</v>
      </c>
      <c r="B804" s="28"/>
      <c r="C804" s="28"/>
      <c r="D804" s="26" t="s">
        <v>834</v>
      </c>
      <c r="E804" s="28"/>
      <c r="F804" s="28"/>
      <c r="G804" s="10"/>
      <c r="H804" s="10"/>
    </row>
    <row r="805">
      <c r="A805" s="11" t="s">
        <v>1259</v>
      </c>
      <c r="B805" s="26" t="s">
        <v>25</v>
      </c>
      <c r="C805" s="26">
        <v>2025.0</v>
      </c>
      <c r="D805" s="26" t="s">
        <v>1260</v>
      </c>
      <c r="E805" s="33">
        <v>46003.0</v>
      </c>
      <c r="F805" s="26" t="s">
        <v>393</v>
      </c>
      <c r="G805" s="23" t="s">
        <v>1167</v>
      </c>
      <c r="H805" s="10"/>
    </row>
    <row r="806">
      <c r="A806" s="11" t="s">
        <v>1261</v>
      </c>
      <c r="B806" s="26" t="s">
        <v>25</v>
      </c>
      <c r="C806" s="26">
        <v>2025.0</v>
      </c>
      <c r="D806" s="26" t="s">
        <v>778</v>
      </c>
      <c r="E806" s="33">
        <v>46003.0</v>
      </c>
      <c r="F806" s="26" t="s">
        <v>425</v>
      </c>
      <c r="G806" s="23" t="s">
        <v>1167</v>
      </c>
      <c r="H806" s="23" t="s">
        <v>1262</v>
      </c>
    </row>
    <row r="807">
      <c r="A807" s="11" t="s">
        <v>1263</v>
      </c>
      <c r="B807" s="26" t="s">
        <v>25</v>
      </c>
      <c r="C807" s="26">
        <v>2025.0</v>
      </c>
      <c r="D807" s="26" t="s">
        <v>1241</v>
      </c>
      <c r="E807" s="33">
        <v>46004.0</v>
      </c>
      <c r="F807" s="26" t="s">
        <v>393</v>
      </c>
      <c r="G807" s="23" t="s">
        <v>1167</v>
      </c>
      <c r="H807" s="10"/>
    </row>
    <row r="808">
      <c r="A808" s="11" t="s">
        <v>1264</v>
      </c>
      <c r="B808" s="26" t="s">
        <v>25</v>
      </c>
      <c r="C808" s="26">
        <v>2025.0</v>
      </c>
      <c r="D808" s="26" t="s">
        <v>1265</v>
      </c>
      <c r="E808" s="34">
        <v>46006.0</v>
      </c>
      <c r="F808" s="26" t="s">
        <v>425</v>
      </c>
      <c r="G808" s="23" t="s">
        <v>1125</v>
      </c>
      <c r="H808" s="23" t="s">
        <v>1266</v>
      </c>
    </row>
    <row r="809">
      <c r="A809" s="11" t="s">
        <v>1267</v>
      </c>
      <c r="B809" s="26" t="s">
        <v>25</v>
      </c>
      <c r="C809" s="26">
        <v>2025.0</v>
      </c>
      <c r="D809" s="26" t="s">
        <v>648</v>
      </c>
      <c r="E809" s="34">
        <v>46005.0</v>
      </c>
      <c r="F809" s="26" t="s">
        <v>300</v>
      </c>
      <c r="G809" s="23" t="s">
        <v>1268</v>
      </c>
      <c r="H809" s="10"/>
    </row>
    <row r="810">
      <c r="A810" s="11" t="s">
        <v>1269</v>
      </c>
      <c r="B810" s="26" t="s">
        <v>25</v>
      </c>
      <c r="C810" s="26">
        <v>2025.0</v>
      </c>
      <c r="D810" s="26" t="s">
        <v>1270</v>
      </c>
      <c r="E810" s="34">
        <v>46006.0</v>
      </c>
      <c r="F810" s="26" t="s">
        <v>425</v>
      </c>
      <c r="G810" s="23" t="s">
        <v>1271</v>
      </c>
      <c r="H810" s="10"/>
    </row>
    <row r="811">
      <c r="A811" s="11" t="s">
        <v>1272</v>
      </c>
      <c r="B811" s="26" t="s">
        <v>25</v>
      </c>
      <c r="C811" s="26">
        <v>2025.0</v>
      </c>
      <c r="D811" s="26" t="s">
        <v>1273</v>
      </c>
      <c r="E811" s="33">
        <v>46006.0</v>
      </c>
      <c r="F811" s="26" t="s">
        <v>393</v>
      </c>
      <c r="G811" s="23" t="s">
        <v>1268</v>
      </c>
      <c r="H811" s="10"/>
    </row>
    <row r="812">
      <c r="A812" s="11" t="s">
        <v>1274</v>
      </c>
      <c r="B812" s="26" t="s">
        <v>25</v>
      </c>
      <c r="C812" s="26">
        <v>2025.0</v>
      </c>
      <c r="D812" s="26" t="s">
        <v>1275</v>
      </c>
      <c r="E812" s="34">
        <v>46007.0</v>
      </c>
      <c r="F812" s="26" t="s">
        <v>393</v>
      </c>
      <c r="G812" s="23" t="s">
        <v>1271</v>
      </c>
      <c r="H812" s="10"/>
    </row>
    <row r="813">
      <c r="A813" s="11" t="s">
        <v>1276</v>
      </c>
      <c r="B813" s="26" t="s">
        <v>25</v>
      </c>
      <c r="C813" s="26">
        <v>2025.0</v>
      </c>
      <c r="D813" s="26" t="s">
        <v>1236</v>
      </c>
      <c r="E813" s="34">
        <v>46008.0</v>
      </c>
      <c r="F813" s="26" t="s">
        <v>393</v>
      </c>
      <c r="G813" s="23" t="s">
        <v>1271</v>
      </c>
      <c r="H813" s="10"/>
    </row>
    <row r="814">
      <c r="A814" s="11" t="s">
        <v>1277</v>
      </c>
      <c r="B814" s="26" t="s">
        <v>25</v>
      </c>
      <c r="C814" s="26">
        <v>2025.0</v>
      </c>
      <c r="D814" s="26" t="s">
        <v>1278</v>
      </c>
      <c r="E814" s="34">
        <v>46009.0</v>
      </c>
      <c r="F814" s="26" t="s">
        <v>393</v>
      </c>
      <c r="G814" s="23" t="s">
        <v>1268</v>
      </c>
      <c r="H814" s="10"/>
    </row>
    <row r="815">
      <c r="A815" s="11" t="s">
        <v>1279</v>
      </c>
      <c r="B815" s="26" t="s">
        <v>25</v>
      </c>
      <c r="C815" s="26">
        <v>2025.0</v>
      </c>
      <c r="D815" s="26" t="s">
        <v>75</v>
      </c>
      <c r="E815" s="34">
        <v>46011.0</v>
      </c>
      <c r="F815" s="26" t="s">
        <v>393</v>
      </c>
      <c r="G815" s="23" t="s">
        <v>1268</v>
      </c>
      <c r="H815" s="10"/>
    </row>
    <row r="816">
      <c r="A816" s="11" t="s">
        <v>1280</v>
      </c>
      <c r="B816" s="26" t="s">
        <v>25</v>
      </c>
      <c r="C816" s="26">
        <v>2025.0</v>
      </c>
      <c r="D816" s="26" t="s">
        <v>127</v>
      </c>
      <c r="E816" s="34">
        <v>46012.0</v>
      </c>
      <c r="F816" s="26" t="s">
        <v>393</v>
      </c>
      <c r="G816" s="23" t="s">
        <v>1271</v>
      </c>
      <c r="H816" s="10"/>
    </row>
    <row r="817">
      <c r="A817" s="11" t="s">
        <v>1281</v>
      </c>
      <c r="B817" s="26" t="s">
        <v>25</v>
      </c>
      <c r="C817" s="26">
        <v>2025.0</v>
      </c>
      <c r="D817" s="26" t="s">
        <v>700</v>
      </c>
      <c r="E817" s="33">
        <v>46013.0</v>
      </c>
      <c r="F817" s="26" t="s">
        <v>1282</v>
      </c>
      <c r="G817" s="23" t="s">
        <v>1167</v>
      </c>
      <c r="H817" s="10"/>
    </row>
    <row r="818">
      <c r="A818" s="11" t="s">
        <v>1283</v>
      </c>
      <c r="B818" s="26" t="s">
        <v>25</v>
      </c>
      <c r="C818" s="26">
        <v>2025.0</v>
      </c>
      <c r="D818" s="26" t="s">
        <v>651</v>
      </c>
      <c r="E818" s="33">
        <v>46013.0</v>
      </c>
      <c r="F818" s="26" t="s">
        <v>1282</v>
      </c>
      <c r="G818" s="23" t="s">
        <v>1167</v>
      </c>
      <c r="H818" s="10"/>
    </row>
    <row r="819">
      <c r="A819" s="11" t="s">
        <v>1284</v>
      </c>
      <c r="B819" s="26" t="s">
        <v>25</v>
      </c>
      <c r="C819" s="26">
        <v>2025.0</v>
      </c>
      <c r="D819" s="26" t="s">
        <v>529</v>
      </c>
      <c r="E819" s="33">
        <v>46014.0</v>
      </c>
      <c r="F819" s="26" t="s">
        <v>393</v>
      </c>
      <c r="G819" s="23" t="s">
        <v>1178</v>
      </c>
      <c r="H819" s="38" t="s">
        <v>1285</v>
      </c>
    </row>
    <row r="820">
      <c r="A820" s="11" t="s">
        <v>1286</v>
      </c>
      <c r="B820" s="26" t="s">
        <v>25</v>
      </c>
      <c r="C820" s="26">
        <v>2025.0</v>
      </c>
      <c r="D820" s="26" t="s">
        <v>1287</v>
      </c>
      <c r="E820" s="33">
        <v>46014.0</v>
      </c>
      <c r="F820" s="26" t="s">
        <v>393</v>
      </c>
      <c r="G820" s="23" t="s">
        <v>1167</v>
      </c>
      <c r="H820" s="10"/>
    </row>
    <row r="821">
      <c r="A821" s="11" t="s">
        <v>1288</v>
      </c>
      <c r="B821" s="26" t="s">
        <v>25</v>
      </c>
      <c r="C821" s="26">
        <v>2025.0</v>
      </c>
      <c r="D821" s="26" t="s">
        <v>157</v>
      </c>
      <c r="E821" s="33">
        <v>46014.0</v>
      </c>
      <c r="F821" s="26" t="s">
        <v>425</v>
      </c>
      <c r="G821" s="23" t="s">
        <v>1167</v>
      </c>
      <c r="H821" s="10"/>
    </row>
    <row r="822">
      <c r="A822" s="11" t="s">
        <v>1289</v>
      </c>
      <c r="B822" s="26" t="s">
        <v>25</v>
      </c>
      <c r="C822" s="26">
        <v>2025.0</v>
      </c>
      <c r="D822" s="26" t="s">
        <v>1290</v>
      </c>
      <c r="E822" s="39">
        <v>46015.0</v>
      </c>
      <c r="F822" s="26" t="s">
        <v>393</v>
      </c>
      <c r="G822" s="23" t="s">
        <v>1178</v>
      </c>
      <c r="H822" s="23" t="s">
        <v>1291</v>
      </c>
    </row>
    <row r="823">
      <c r="A823" s="11" t="s">
        <v>1292</v>
      </c>
      <c r="B823" s="26" t="s">
        <v>25</v>
      </c>
      <c r="C823" s="26">
        <v>2025.0</v>
      </c>
      <c r="D823" s="26" t="s">
        <v>859</v>
      </c>
      <c r="E823" s="27">
        <v>46018.0</v>
      </c>
      <c r="F823" s="26" t="s">
        <v>393</v>
      </c>
      <c r="G823" s="23" t="s">
        <v>1167</v>
      </c>
      <c r="H823" s="10"/>
    </row>
    <row r="824">
      <c r="A824" s="11" t="s">
        <v>1293</v>
      </c>
      <c r="B824" s="26" t="s">
        <v>25</v>
      </c>
      <c r="C824" s="26">
        <v>2025.0</v>
      </c>
      <c r="D824" s="40" t="s">
        <v>986</v>
      </c>
      <c r="E824" s="27">
        <v>46019.0</v>
      </c>
      <c r="F824" s="26" t="s">
        <v>431</v>
      </c>
      <c r="G824" s="23" t="s">
        <v>1294</v>
      </c>
      <c r="H824" s="23" t="s">
        <v>1295</v>
      </c>
    </row>
    <row r="825">
      <c r="A825" s="11" t="s">
        <v>1296</v>
      </c>
      <c r="B825" s="26" t="s">
        <v>25</v>
      </c>
      <c r="C825" s="26">
        <v>2025.0</v>
      </c>
      <c r="D825" s="26" t="s">
        <v>529</v>
      </c>
      <c r="E825" s="27">
        <v>46021.0</v>
      </c>
      <c r="F825" s="26" t="s">
        <v>393</v>
      </c>
      <c r="G825" s="23" t="s">
        <v>1167</v>
      </c>
      <c r="H825" s="10"/>
    </row>
    <row r="826">
      <c r="A826" s="11" t="s">
        <v>1297</v>
      </c>
      <c r="B826" s="26" t="s">
        <v>25</v>
      </c>
      <c r="C826" s="26">
        <v>2025.0</v>
      </c>
      <c r="D826" s="26" t="s">
        <v>529</v>
      </c>
      <c r="E826" s="27">
        <v>46021.0</v>
      </c>
      <c r="F826" s="26" t="s">
        <v>425</v>
      </c>
      <c r="G826" s="23" t="s">
        <v>1167</v>
      </c>
      <c r="H826" s="10"/>
    </row>
    <row r="827">
      <c r="A827" s="11" t="s">
        <v>1298</v>
      </c>
      <c r="B827" s="26" t="s">
        <v>58</v>
      </c>
      <c r="C827" s="26">
        <v>2026.0</v>
      </c>
      <c r="D827" s="26" t="s">
        <v>1299</v>
      </c>
      <c r="E827" s="27">
        <v>46024.0</v>
      </c>
      <c r="F827" s="26" t="s">
        <v>393</v>
      </c>
      <c r="G827" s="23" t="s">
        <v>1167</v>
      </c>
      <c r="H827" s="10"/>
    </row>
    <row r="828">
      <c r="A828" s="11" t="s">
        <v>1300</v>
      </c>
      <c r="B828" s="26" t="s">
        <v>58</v>
      </c>
      <c r="C828" s="26">
        <v>2026.0</v>
      </c>
      <c r="D828" s="26" t="s">
        <v>778</v>
      </c>
      <c r="E828" s="27">
        <v>46030.0</v>
      </c>
      <c r="F828" s="26" t="s">
        <v>393</v>
      </c>
      <c r="G828" s="23" t="s">
        <v>1291</v>
      </c>
      <c r="H828" s="23" t="s">
        <v>1301</v>
      </c>
    </row>
    <row r="829">
      <c r="A829" s="11" t="s">
        <v>1302</v>
      </c>
      <c r="B829" s="26" t="s">
        <v>58</v>
      </c>
      <c r="C829" s="26">
        <v>2026.0</v>
      </c>
      <c r="D829" s="26" t="s">
        <v>1090</v>
      </c>
      <c r="E829" s="27">
        <v>46030.0</v>
      </c>
      <c r="F829" s="26" t="s">
        <v>393</v>
      </c>
      <c r="G829" s="23" t="s">
        <v>1167</v>
      </c>
      <c r="H829" s="23" t="s">
        <v>1198</v>
      </c>
    </row>
    <row r="830">
      <c r="A830" s="11" t="s">
        <v>1303</v>
      </c>
      <c r="B830" s="26" t="s">
        <v>58</v>
      </c>
      <c r="C830" s="26">
        <v>2026.0</v>
      </c>
      <c r="D830" s="26" t="s">
        <v>1304</v>
      </c>
      <c r="E830" s="27">
        <v>46031.0</v>
      </c>
      <c r="F830" s="26" t="s">
        <v>393</v>
      </c>
      <c r="G830" s="23" t="s">
        <v>1244</v>
      </c>
      <c r="H830" s="23" t="s">
        <v>1305</v>
      </c>
    </row>
    <row r="831">
      <c r="A831" s="11" t="s">
        <v>1306</v>
      </c>
      <c r="B831" s="26" t="s">
        <v>58</v>
      </c>
      <c r="C831" s="26">
        <v>2026.0</v>
      </c>
      <c r="D831" s="26" t="s">
        <v>1241</v>
      </c>
      <c r="E831" s="27">
        <v>46031.0</v>
      </c>
      <c r="F831" s="26" t="s">
        <v>393</v>
      </c>
      <c r="G831" s="23" t="s">
        <v>1167</v>
      </c>
      <c r="H831" s="10"/>
    </row>
    <row r="832">
      <c r="A832" s="11" t="s">
        <v>1307</v>
      </c>
      <c r="B832" s="26" t="s">
        <v>58</v>
      </c>
      <c r="C832" s="26">
        <v>2026.0</v>
      </c>
      <c r="D832" s="26" t="s">
        <v>1308</v>
      </c>
      <c r="E832" s="27">
        <v>46032.0</v>
      </c>
      <c r="F832" s="26" t="s">
        <v>319</v>
      </c>
      <c r="G832" s="23" t="s">
        <v>1133</v>
      </c>
      <c r="H832" s="10"/>
    </row>
    <row r="833">
      <c r="A833" s="11" t="s">
        <v>1309</v>
      </c>
      <c r="B833" s="26" t="s">
        <v>58</v>
      </c>
      <c r="C833" s="26">
        <v>2026.0</v>
      </c>
      <c r="D833" s="26" t="s">
        <v>702</v>
      </c>
      <c r="E833" s="27">
        <v>46035.0</v>
      </c>
      <c r="F833" s="26" t="s">
        <v>393</v>
      </c>
      <c r="G833" s="23" t="s">
        <v>1184</v>
      </c>
      <c r="H833" s="23" t="s">
        <v>1310</v>
      </c>
    </row>
    <row r="834">
      <c r="A834" s="11" t="s">
        <v>1311</v>
      </c>
      <c r="B834" s="26" t="s">
        <v>58</v>
      </c>
      <c r="C834" s="26">
        <v>2026.0</v>
      </c>
      <c r="D834" s="26" t="s">
        <v>778</v>
      </c>
      <c r="E834" s="27">
        <v>46037.0</v>
      </c>
      <c r="F834" s="26" t="s">
        <v>393</v>
      </c>
      <c r="G834" s="23" t="s">
        <v>1167</v>
      </c>
      <c r="H834" s="10"/>
    </row>
    <row r="835">
      <c r="A835" s="11" t="s">
        <v>1312</v>
      </c>
      <c r="B835" s="26" t="s">
        <v>58</v>
      </c>
      <c r="C835" s="26">
        <v>2026.0</v>
      </c>
      <c r="D835" s="26" t="s">
        <v>728</v>
      </c>
      <c r="E835" s="27">
        <v>46046.0</v>
      </c>
      <c r="F835" s="26" t="s">
        <v>393</v>
      </c>
      <c r="G835" s="23" t="s">
        <v>1167</v>
      </c>
      <c r="H835" s="23" t="s">
        <v>1188</v>
      </c>
    </row>
    <row r="836">
      <c r="A836" s="11" t="s">
        <v>1313</v>
      </c>
      <c r="B836" s="26" t="s">
        <v>58</v>
      </c>
      <c r="C836" s="26">
        <v>2026.0</v>
      </c>
      <c r="D836" s="26" t="s">
        <v>1314</v>
      </c>
      <c r="E836" s="27">
        <v>46051.0</v>
      </c>
      <c r="F836" s="26" t="s">
        <v>685</v>
      </c>
      <c r="G836" s="23" t="s">
        <v>1167</v>
      </c>
      <c r="H836" s="10"/>
    </row>
    <row r="837">
      <c r="A837" s="11" t="s">
        <v>1315</v>
      </c>
      <c r="B837" s="26" t="s">
        <v>58</v>
      </c>
      <c r="C837" s="26">
        <v>2026.0</v>
      </c>
      <c r="D837" s="28"/>
      <c r="E837" s="27">
        <v>46051.0</v>
      </c>
      <c r="F837" s="26" t="s">
        <v>393</v>
      </c>
      <c r="G837" s="23" t="s">
        <v>1167</v>
      </c>
      <c r="H837" s="10"/>
    </row>
    <row r="838">
      <c r="A838" s="11" t="s">
        <v>1316</v>
      </c>
      <c r="B838" s="26" t="s">
        <v>58</v>
      </c>
      <c r="C838" s="26">
        <v>2026.0</v>
      </c>
      <c r="D838" s="26" t="s">
        <v>1241</v>
      </c>
      <c r="E838" s="27">
        <v>46052.0</v>
      </c>
      <c r="F838" s="26" t="s">
        <v>393</v>
      </c>
      <c r="G838" s="23" t="s">
        <v>1167</v>
      </c>
      <c r="H838" s="10"/>
    </row>
    <row r="839">
      <c r="A839" s="11" t="s">
        <v>1317</v>
      </c>
      <c r="B839" s="26" t="s">
        <v>81</v>
      </c>
      <c r="C839" s="26">
        <v>2026.0</v>
      </c>
      <c r="D839" s="26" t="s">
        <v>1318</v>
      </c>
      <c r="E839" s="27">
        <v>46054.0</v>
      </c>
      <c r="F839" s="26" t="s">
        <v>393</v>
      </c>
      <c r="G839" s="23" t="s">
        <v>1271</v>
      </c>
      <c r="H839" s="10"/>
    </row>
    <row r="840">
      <c r="A840" s="11" t="s">
        <v>1319</v>
      </c>
      <c r="B840" s="26" t="s">
        <v>81</v>
      </c>
      <c r="C840" s="26">
        <v>2026.0</v>
      </c>
      <c r="D840" s="26" t="s">
        <v>1144</v>
      </c>
      <c r="E840" s="27">
        <v>46056.0</v>
      </c>
      <c r="F840" s="26" t="s">
        <v>393</v>
      </c>
      <c r="G840" s="23" t="s">
        <v>1167</v>
      </c>
      <c r="H840" s="23" t="s">
        <v>1320</v>
      </c>
    </row>
    <row r="841">
      <c r="A841" s="11" t="s">
        <v>1321</v>
      </c>
      <c r="B841" s="26" t="s">
        <v>81</v>
      </c>
      <c r="C841" s="26">
        <v>2026.0</v>
      </c>
      <c r="D841" s="26" t="s">
        <v>916</v>
      </c>
      <c r="E841" s="27">
        <v>46058.0</v>
      </c>
      <c r="F841" s="26" t="s">
        <v>393</v>
      </c>
      <c r="G841" s="23" t="s">
        <v>1167</v>
      </c>
      <c r="H841" s="10"/>
    </row>
    <row r="842">
      <c r="A842" s="11" t="s">
        <v>1322</v>
      </c>
      <c r="B842" s="26" t="s">
        <v>81</v>
      </c>
      <c r="C842" s="26">
        <v>2026.0</v>
      </c>
      <c r="D842" s="26" t="s">
        <v>1090</v>
      </c>
      <c r="E842" s="27" t="s">
        <v>1323</v>
      </c>
      <c r="F842" s="26" t="s">
        <v>393</v>
      </c>
      <c r="G842" s="23" t="s">
        <v>1271</v>
      </c>
      <c r="H842" s="10"/>
    </row>
    <row r="843">
      <c r="A843" s="11" t="s">
        <v>1324</v>
      </c>
      <c r="B843" s="28"/>
      <c r="C843" s="28"/>
      <c r="D843" s="26" t="s">
        <v>1325</v>
      </c>
      <c r="E843" s="27"/>
      <c r="F843" s="28"/>
      <c r="G843" s="10"/>
      <c r="H843" s="10"/>
    </row>
    <row r="844">
      <c r="A844" s="11" t="s">
        <v>1326</v>
      </c>
      <c r="B844" s="26" t="s">
        <v>81</v>
      </c>
      <c r="C844" s="26">
        <v>2026.0</v>
      </c>
      <c r="D844" s="26" t="s">
        <v>1236</v>
      </c>
      <c r="E844" s="27">
        <v>46063.0</v>
      </c>
      <c r="F844" s="26" t="s">
        <v>425</v>
      </c>
      <c r="G844" s="23" t="s">
        <v>1167</v>
      </c>
      <c r="H844" s="10"/>
    </row>
    <row r="845">
      <c r="A845" s="11" t="s">
        <v>1327</v>
      </c>
      <c r="B845" s="26" t="s">
        <v>81</v>
      </c>
      <c r="C845" s="26">
        <v>2026.0</v>
      </c>
      <c r="D845" s="26" t="s">
        <v>1328</v>
      </c>
      <c r="E845" s="33">
        <v>46065.0</v>
      </c>
      <c r="F845" s="26" t="s">
        <v>393</v>
      </c>
      <c r="G845" s="23" t="s">
        <v>1133</v>
      </c>
      <c r="H845" s="10"/>
    </row>
    <row r="846">
      <c r="A846" s="11" t="s">
        <v>1329</v>
      </c>
      <c r="B846" s="26" t="s">
        <v>81</v>
      </c>
      <c r="C846" s="26">
        <v>2026.0</v>
      </c>
      <c r="D846" s="26" t="s">
        <v>47</v>
      </c>
      <c r="E846" s="27">
        <v>46063.0</v>
      </c>
      <c r="F846" s="26" t="s">
        <v>393</v>
      </c>
      <c r="G846" s="23" t="s">
        <v>1167</v>
      </c>
      <c r="H846" s="10"/>
    </row>
    <row r="847">
      <c r="A847" s="11" t="s">
        <v>1330</v>
      </c>
      <c r="B847" s="26" t="s">
        <v>81</v>
      </c>
      <c r="C847" s="26">
        <v>2026.0</v>
      </c>
      <c r="D847" s="26" t="s">
        <v>1331</v>
      </c>
      <c r="E847" s="27">
        <v>46064.0</v>
      </c>
      <c r="F847" s="26" t="s">
        <v>393</v>
      </c>
      <c r="G847" s="23" t="s">
        <v>1178</v>
      </c>
      <c r="H847" s="23" t="s">
        <v>1332</v>
      </c>
    </row>
    <row r="848">
      <c r="A848" s="11" t="s">
        <v>1333</v>
      </c>
      <c r="B848" s="28"/>
      <c r="C848" s="26">
        <v>2026.0</v>
      </c>
      <c r="D848" s="26" t="s">
        <v>1334</v>
      </c>
      <c r="E848" s="27">
        <v>46064.0</v>
      </c>
      <c r="F848" s="26" t="s">
        <v>393</v>
      </c>
      <c r="G848" s="23" t="s">
        <v>1167</v>
      </c>
      <c r="H848" s="10"/>
    </row>
    <row r="849">
      <c r="A849" s="11" t="s">
        <v>1335</v>
      </c>
      <c r="B849" s="28"/>
      <c r="C849" s="26">
        <v>2026.0</v>
      </c>
      <c r="D849" s="26" t="s">
        <v>847</v>
      </c>
      <c r="E849" s="27">
        <v>46065.0</v>
      </c>
      <c r="F849" s="26" t="s">
        <v>425</v>
      </c>
      <c r="G849" s="23" t="s">
        <v>1167</v>
      </c>
      <c r="H849" s="10"/>
    </row>
    <row r="850">
      <c r="A850" s="11" t="s">
        <v>1336</v>
      </c>
      <c r="B850" s="26" t="s">
        <v>81</v>
      </c>
      <c r="C850" s="26">
        <v>2026.0</v>
      </c>
      <c r="D850" s="26" t="s">
        <v>715</v>
      </c>
      <c r="E850" s="27">
        <v>46066.0</v>
      </c>
      <c r="F850" s="26" t="s">
        <v>393</v>
      </c>
      <c r="G850" s="23" t="s">
        <v>1167</v>
      </c>
      <c r="H850" s="10"/>
    </row>
    <row r="851">
      <c r="A851" s="11" t="s">
        <v>1337</v>
      </c>
      <c r="B851" s="28"/>
      <c r="C851" s="28"/>
      <c r="D851" s="26" t="s">
        <v>916</v>
      </c>
      <c r="E851" s="27"/>
      <c r="F851" s="28"/>
      <c r="G851" s="10"/>
      <c r="H851" s="10"/>
    </row>
    <row r="852">
      <c r="A852" s="11" t="s">
        <v>1338</v>
      </c>
      <c r="B852" s="26" t="s">
        <v>81</v>
      </c>
      <c r="C852" s="26">
        <v>2026.0</v>
      </c>
      <c r="D852" s="26" t="s">
        <v>1090</v>
      </c>
      <c r="E852" s="27">
        <v>46066.0</v>
      </c>
      <c r="F852" s="26" t="s">
        <v>425</v>
      </c>
      <c r="G852" s="23" t="s">
        <v>1167</v>
      </c>
      <c r="H852" s="10"/>
    </row>
    <row r="853">
      <c r="A853" s="11" t="s">
        <v>1339</v>
      </c>
      <c r="B853" s="26" t="s">
        <v>81</v>
      </c>
      <c r="C853" s="26">
        <v>2026.0</v>
      </c>
      <c r="D853" s="26" t="s">
        <v>1241</v>
      </c>
      <c r="E853" s="27">
        <v>46067.0</v>
      </c>
      <c r="F853" s="26" t="s">
        <v>393</v>
      </c>
      <c r="G853" s="23" t="s">
        <v>1291</v>
      </c>
      <c r="H853" s="10"/>
    </row>
    <row r="854">
      <c r="A854" s="11" t="s">
        <v>1340</v>
      </c>
      <c r="B854" s="26" t="s">
        <v>81</v>
      </c>
      <c r="C854" s="26">
        <v>2026.0</v>
      </c>
      <c r="D854" s="26" t="s">
        <v>1341</v>
      </c>
      <c r="E854" s="27">
        <v>46067.0</v>
      </c>
      <c r="F854" s="26" t="s">
        <v>393</v>
      </c>
      <c r="G854" s="23" t="s">
        <v>1167</v>
      </c>
      <c r="H854" s="10"/>
    </row>
    <row r="855">
      <c r="A855" s="11" t="s">
        <v>1342</v>
      </c>
      <c r="B855" s="26" t="s">
        <v>81</v>
      </c>
      <c r="C855" s="26">
        <v>2026.0</v>
      </c>
      <c r="D855" s="26" t="s">
        <v>47</v>
      </c>
      <c r="E855" s="27">
        <v>46067.0</v>
      </c>
      <c r="F855" s="26" t="s">
        <v>425</v>
      </c>
      <c r="G855" s="23" t="s">
        <v>1167</v>
      </c>
      <c r="H855" s="10"/>
    </row>
    <row r="856">
      <c r="A856" s="11" t="s">
        <v>1343</v>
      </c>
      <c r="B856" s="26" t="s">
        <v>81</v>
      </c>
      <c r="C856" s="26">
        <v>2026.0</v>
      </c>
      <c r="D856" s="26" t="s">
        <v>1344</v>
      </c>
      <c r="E856" s="27">
        <v>45707.0</v>
      </c>
      <c r="F856" s="26" t="s">
        <v>425</v>
      </c>
      <c r="G856" s="23" t="s">
        <v>1167</v>
      </c>
      <c r="H856" s="10"/>
    </row>
    <row r="857">
      <c r="A857" s="11" t="s">
        <v>1345</v>
      </c>
      <c r="B857" s="26" t="s">
        <v>81</v>
      </c>
      <c r="C857" s="26">
        <v>2026.0</v>
      </c>
      <c r="D857" s="26" t="s">
        <v>421</v>
      </c>
      <c r="E857" s="27">
        <v>46078.0</v>
      </c>
      <c r="F857" s="26" t="s">
        <v>393</v>
      </c>
      <c r="G857" s="23" t="s">
        <v>1244</v>
      </c>
      <c r="H857" s="23" t="s">
        <v>1346</v>
      </c>
    </row>
    <row r="858">
      <c r="A858" s="11" t="s">
        <v>1347</v>
      </c>
      <c r="B858" s="26" t="s">
        <v>81</v>
      </c>
      <c r="C858" s="26">
        <v>2026.0</v>
      </c>
      <c r="D858" s="26" t="s">
        <v>529</v>
      </c>
      <c r="E858" s="27">
        <v>46078.0</v>
      </c>
      <c r="F858" s="26" t="s">
        <v>425</v>
      </c>
      <c r="G858" s="23" t="s">
        <v>308</v>
      </c>
      <c r="H858" s="23" t="s">
        <v>1346</v>
      </c>
    </row>
    <row r="859">
      <c r="A859" s="11" t="s">
        <v>1348</v>
      </c>
      <c r="B859" s="28"/>
      <c r="C859" s="28"/>
      <c r="D859" s="26" t="s">
        <v>1096</v>
      </c>
      <c r="E859" s="27"/>
      <c r="F859" s="28"/>
      <c r="G859" s="10"/>
      <c r="H859" s="10"/>
    </row>
    <row r="860">
      <c r="A860" s="11" t="s">
        <v>1349</v>
      </c>
      <c r="B860" s="26" t="s">
        <v>81</v>
      </c>
      <c r="C860" s="26">
        <v>2026.0</v>
      </c>
      <c r="D860" s="26" t="s">
        <v>1013</v>
      </c>
      <c r="E860" s="27">
        <v>46079.0</v>
      </c>
      <c r="F860" s="26" t="s">
        <v>425</v>
      </c>
      <c r="G860" s="23" t="s">
        <v>1167</v>
      </c>
      <c r="H860" s="10"/>
    </row>
    <row r="861">
      <c r="A861" s="11" t="s">
        <v>1350</v>
      </c>
      <c r="B861" s="26" t="s">
        <v>81</v>
      </c>
      <c r="C861" s="26">
        <v>2026.0</v>
      </c>
      <c r="D861" s="26" t="s">
        <v>1351</v>
      </c>
      <c r="E861" s="27">
        <v>46083.0</v>
      </c>
      <c r="F861" s="26" t="s">
        <v>1352</v>
      </c>
      <c r="G861" s="23" t="s">
        <v>1178</v>
      </c>
      <c r="H861" s="10"/>
    </row>
    <row r="862">
      <c r="A862" s="11" t="s">
        <v>1353</v>
      </c>
      <c r="B862" s="26" t="s">
        <v>101</v>
      </c>
      <c r="C862" s="26">
        <v>2026.0</v>
      </c>
      <c r="D862" s="26" t="s">
        <v>1354</v>
      </c>
      <c r="E862" s="27">
        <v>46085.0</v>
      </c>
      <c r="F862" s="26" t="s">
        <v>1355</v>
      </c>
      <c r="G862" s="23" t="s">
        <v>1167</v>
      </c>
      <c r="H862" s="10"/>
    </row>
    <row r="863">
      <c r="A863" s="11" t="s">
        <v>1356</v>
      </c>
      <c r="B863" s="26" t="s">
        <v>101</v>
      </c>
      <c r="C863" s="26">
        <v>2026.0</v>
      </c>
      <c r="D863" s="26" t="s">
        <v>1357</v>
      </c>
      <c r="E863" s="27">
        <v>46088.0</v>
      </c>
      <c r="F863" s="26" t="s">
        <v>1355</v>
      </c>
      <c r="G863" s="23" t="s">
        <v>1167</v>
      </c>
      <c r="H863" s="10"/>
    </row>
    <row r="864">
      <c r="A864" s="11" t="s">
        <v>1358</v>
      </c>
      <c r="B864" s="26" t="s">
        <v>101</v>
      </c>
      <c r="C864" s="26">
        <v>2026.0</v>
      </c>
      <c r="D864" s="26" t="s">
        <v>1029</v>
      </c>
      <c r="E864" s="27">
        <v>46088.0</v>
      </c>
      <c r="F864" s="26" t="s">
        <v>1355</v>
      </c>
      <c r="G864" s="10"/>
      <c r="H864" s="10"/>
    </row>
    <row r="865">
      <c r="A865" s="11" t="s">
        <v>1359</v>
      </c>
      <c r="B865" s="26" t="s">
        <v>101</v>
      </c>
      <c r="C865" s="26">
        <v>2026.0</v>
      </c>
      <c r="D865" s="26" t="s">
        <v>981</v>
      </c>
      <c r="E865" s="27">
        <v>46091.0</v>
      </c>
      <c r="F865" s="26" t="s">
        <v>393</v>
      </c>
      <c r="G865" s="23" t="s">
        <v>1200</v>
      </c>
      <c r="H865" s="10"/>
    </row>
    <row r="866">
      <c r="A866" s="11" t="s">
        <v>1360</v>
      </c>
      <c r="B866" s="26" t="s">
        <v>101</v>
      </c>
      <c r="C866" s="26">
        <v>2026.0</v>
      </c>
      <c r="D866" s="26" t="s">
        <v>1361</v>
      </c>
      <c r="E866" s="27">
        <v>46092.0</v>
      </c>
      <c r="F866" s="26" t="s">
        <v>393</v>
      </c>
      <c r="G866" s="23" t="s">
        <v>1200</v>
      </c>
      <c r="H866" s="10"/>
    </row>
    <row r="867">
      <c r="A867" s="11" t="s">
        <v>1362</v>
      </c>
      <c r="B867" s="26" t="s">
        <v>101</v>
      </c>
      <c r="C867" s="26">
        <v>2026.0</v>
      </c>
      <c r="D867" s="26" t="s">
        <v>1363</v>
      </c>
      <c r="E867" s="27">
        <v>46108.0</v>
      </c>
      <c r="F867" s="26" t="s">
        <v>393</v>
      </c>
      <c r="G867" s="23" t="s">
        <v>1167</v>
      </c>
      <c r="H867" s="10"/>
    </row>
    <row r="868">
      <c r="A868" s="11" t="s">
        <v>1364</v>
      </c>
      <c r="B868" s="26" t="s">
        <v>101</v>
      </c>
      <c r="C868" s="26">
        <v>2026.0</v>
      </c>
      <c r="D868" s="26" t="s">
        <v>1365</v>
      </c>
      <c r="E868" s="27">
        <v>46108.0</v>
      </c>
      <c r="F868" s="26" t="s">
        <v>393</v>
      </c>
      <c r="G868" s="23" t="s">
        <v>1167</v>
      </c>
      <c r="H868" s="10"/>
    </row>
    <row r="869">
      <c r="A869" s="11" t="s">
        <v>1366</v>
      </c>
      <c r="B869" s="26" t="s">
        <v>101</v>
      </c>
      <c r="C869" s="26">
        <v>2026.0</v>
      </c>
      <c r="D869" s="26" t="s">
        <v>1365</v>
      </c>
      <c r="E869" s="27">
        <v>46109.0</v>
      </c>
      <c r="F869" s="26" t="s">
        <v>393</v>
      </c>
      <c r="G869" s="23" t="s">
        <v>1200</v>
      </c>
      <c r="H869" s="10"/>
    </row>
    <row r="870">
      <c r="A870" s="11" t="s">
        <v>1367</v>
      </c>
      <c r="B870" s="26" t="s">
        <v>124</v>
      </c>
      <c r="C870" s="26">
        <v>2026.0</v>
      </c>
      <c r="D870" s="26" t="s">
        <v>1368</v>
      </c>
      <c r="E870" s="27">
        <v>46114.0</v>
      </c>
      <c r="F870" s="26" t="s">
        <v>425</v>
      </c>
      <c r="G870" s="23" t="s">
        <v>1167</v>
      </c>
      <c r="H870" s="10"/>
    </row>
    <row r="871">
      <c r="A871" s="11" t="s">
        <v>1369</v>
      </c>
      <c r="B871" s="26" t="s">
        <v>124</v>
      </c>
      <c r="C871" s="26">
        <v>2026.0</v>
      </c>
      <c r="D871" s="26" t="s">
        <v>271</v>
      </c>
      <c r="E871" s="27">
        <v>46119.0</v>
      </c>
      <c r="F871" s="26" t="s">
        <v>425</v>
      </c>
      <c r="G871" s="23" t="s">
        <v>1167</v>
      </c>
      <c r="H871" s="10"/>
    </row>
    <row r="872">
      <c r="A872" s="11" t="s">
        <v>1370</v>
      </c>
      <c r="B872" s="26" t="s">
        <v>124</v>
      </c>
      <c r="C872" s="26">
        <v>2026.0</v>
      </c>
      <c r="D872" s="26" t="s">
        <v>382</v>
      </c>
      <c r="E872" s="27">
        <v>46121.0</v>
      </c>
      <c r="F872" s="26" t="s">
        <v>393</v>
      </c>
      <c r="G872" s="23" t="s">
        <v>1167</v>
      </c>
      <c r="H872" s="10"/>
    </row>
    <row r="873">
      <c r="A873" s="11" t="s">
        <v>1371</v>
      </c>
      <c r="B873" s="26" t="s">
        <v>124</v>
      </c>
      <c r="C873" s="26">
        <v>2026.0</v>
      </c>
      <c r="D873" s="26" t="s">
        <v>1372</v>
      </c>
      <c r="E873" s="27">
        <v>46121.0</v>
      </c>
      <c r="F873" s="26" t="s">
        <v>393</v>
      </c>
      <c r="G873" s="23" t="s">
        <v>1200</v>
      </c>
      <c r="H873" s="10"/>
    </row>
    <row r="874">
      <c r="A874" s="11" t="s">
        <v>1373</v>
      </c>
      <c r="B874" s="26" t="s">
        <v>124</v>
      </c>
      <c r="C874" s="26">
        <v>2026.0</v>
      </c>
      <c r="D874" s="26" t="s">
        <v>732</v>
      </c>
      <c r="E874" s="27">
        <v>46121.0</v>
      </c>
      <c r="F874" s="26" t="s">
        <v>393</v>
      </c>
      <c r="G874" s="23" t="s">
        <v>1200</v>
      </c>
      <c r="H874" s="10"/>
    </row>
    <row r="875">
      <c r="A875" s="11" t="s">
        <v>1374</v>
      </c>
      <c r="B875" s="26" t="s">
        <v>124</v>
      </c>
      <c r="C875" s="26">
        <v>2026.0</v>
      </c>
      <c r="D875" s="26" t="s">
        <v>116</v>
      </c>
      <c r="E875" s="27">
        <v>46125.0</v>
      </c>
      <c r="F875" s="26" t="s">
        <v>393</v>
      </c>
      <c r="G875" s="23" t="s">
        <v>1167</v>
      </c>
      <c r="H875" s="23" t="s">
        <v>1375</v>
      </c>
    </row>
    <row r="876">
      <c r="A876" s="11" t="s">
        <v>1376</v>
      </c>
      <c r="B876" s="28"/>
      <c r="C876" s="28"/>
      <c r="D876" s="28"/>
      <c r="E876" s="27"/>
      <c r="F876" s="28"/>
      <c r="G876" s="10"/>
      <c r="H876" s="10"/>
    </row>
    <row r="877">
      <c r="A877" s="11" t="s">
        <v>1377</v>
      </c>
      <c r="B877" s="28"/>
      <c r="C877" s="28"/>
      <c r="D877" s="28"/>
      <c r="E877" s="27"/>
      <c r="F877" s="28"/>
      <c r="G877" s="10"/>
      <c r="H877" s="10"/>
    </row>
    <row r="878">
      <c r="A878" s="11" t="s">
        <v>1378</v>
      </c>
      <c r="B878" s="28"/>
      <c r="C878" s="28"/>
      <c r="D878" s="28"/>
      <c r="E878" s="27"/>
      <c r="F878" s="28"/>
      <c r="G878" s="10"/>
      <c r="H878" s="10"/>
    </row>
    <row r="879">
      <c r="A879" s="11" t="s">
        <v>1379</v>
      </c>
      <c r="B879" s="28"/>
      <c r="C879" s="28"/>
      <c r="D879" s="28"/>
      <c r="E879" s="27"/>
      <c r="F879" s="28"/>
      <c r="G879" s="10"/>
      <c r="H879" s="10"/>
    </row>
    <row r="880">
      <c r="A880" s="11" t="s">
        <v>1380</v>
      </c>
      <c r="B880" s="28"/>
      <c r="C880" s="28"/>
      <c r="D880" s="28"/>
      <c r="E880" s="27"/>
      <c r="F880" s="28"/>
      <c r="G880" s="10"/>
      <c r="H880" s="10"/>
    </row>
    <row r="881">
      <c r="A881" s="11" t="s">
        <v>1381</v>
      </c>
      <c r="B881" s="28"/>
      <c r="C881" s="28"/>
      <c r="D881" s="28"/>
      <c r="E881" s="27"/>
      <c r="F881" s="28"/>
      <c r="G881" s="10"/>
      <c r="H881" s="10"/>
    </row>
    <row r="882">
      <c r="A882" s="11" t="s">
        <v>1382</v>
      </c>
      <c r="B882" s="28"/>
      <c r="C882" s="28"/>
      <c r="D882" s="28"/>
      <c r="E882" s="27"/>
      <c r="F882" s="28"/>
      <c r="G882" s="10"/>
      <c r="H882" s="10"/>
    </row>
    <row r="883">
      <c r="A883" s="11" t="s">
        <v>1383</v>
      </c>
      <c r="B883" s="28"/>
      <c r="C883" s="28"/>
      <c r="D883" s="28"/>
      <c r="E883" s="27"/>
      <c r="F883" s="28"/>
      <c r="G883" s="10"/>
      <c r="H883" s="10"/>
    </row>
    <row r="884">
      <c r="A884" s="11" t="s">
        <v>1384</v>
      </c>
      <c r="B884" s="28"/>
      <c r="C884" s="28"/>
      <c r="D884" s="28"/>
      <c r="E884" s="27"/>
      <c r="F884" s="28"/>
      <c r="G884" s="10"/>
      <c r="H884" s="10"/>
    </row>
    <row r="885">
      <c r="A885" s="11" t="s">
        <v>1385</v>
      </c>
      <c r="B885" s="28"/>
      <c r="C885" s="28"/>
      <c r="D885" s="28"/>
      <c r="E885" s="27"/>
      <c r="F885" s="28"/>
      <c r="G885" s="10"/>
      <c r="H885" s="10"/>
    </row>
    <row r="886">
      <c r="A886" s="11" t="s">
        <v>1386</v>
      </c>
      <c r="B886" s="28"/>
      <c r="C886" s="28"/>
      <c r="D886" s="28"/>
      <c r="E886" s="27"/>
      <c r="F886" s="28"/>
      <c r="G886" s="10"/>
      <c r="H886" s="10"/>
    </row>
    <row r="887">
      <c r="A887" s="28"/>
      <c r="B887" s="28"/>
      <c r="C887" s="28"/>
      <c r="D887" s="28"/>
      <c r="E887" s="27"/>
      <c r="F887" s="28"/>
      <c r="G887" s="10"/>
      <c r="H887" s="10"/>
    </row>
    <row r="888">
      <c r="A888" s="28"/>
      <c r="B888" s="28"/>
      <c r="C888" s="28"/>
      <c r="D888" s="28"/>
      <c r="E888" s="27"/>
      <c r="F888" s="28"/>
      <c r="G888" s="10"/>
      <c r="H888" s="10"/>
    </row>
    <row r="889">
      <c r="A889" s="28"/>
      <c r="B889" s="28"/>
      <c r="C889" s="28"/>
      <c r="D889" s="28"/>
      <c r="E889" s="27"/>
      <c r="F889" s="28"/>
      <c r="G889" s="10"/>
      <c r="H889" s="10"/>
    </row>
    <row r="890">
      <c r="A890" s="28"/>
      <c r="B890" s="28"/>
      <c r="C890" s="28"/>
      <c r="D890" s="28"/>
      <c r="E890" s="27"/>
      <c r="F890" s="28"/>
      <c r="G890" s="10"/>
      <c r="H890" s="10"/>
    </row>
    <row r="891">
      <c r="A891" s="28"/>
      <c r="B891" s="28"/>
      <c r="C891" s="28"/>
      <c r="D891" s="28"/>
      <c r="E891" s="27"/>
      <c r="F891" s="28"/>
      <c r="G891" s="10"/>
      <c r="H891" s="10"/>
    </row>
    <row r="892">
      <c r="A892" s="28"/>
      <c r="B892" s="28"/>
      <c r="C892" s="28"/>
      <c r="D892" s="28"/>
      <c r="E892" s="27"/>
      <c r="F892" s="28"/>
      <c r="G892" s="10"/>
      <c r="H892" s="10"/>
    </row>
    <row r="893">
      <c r="A893" s="28"/>
      <c r="B893" s="28"/>
      <c r="C893" s="28"/>
      <c r="D893" s="28"/>
      <c r="E893" s="27"/>
      <c r="F893" s="28"/>
      <c r="G893" s="10"/>
      <c r="H893" s="10"/>
    </row>
    <row r="894">
      <c r="A894" s="28"/>
      <c r="B894" s="28"/>
      <c r="C894" s="28"/>
      <c r="D894" s="28"/>
      <c r="E894" s="27"/>
      <c r="F894" s="28"/>
      <c r="G894" s="10"/>
      <c r="H894" s="10"/>
    </row>
    <row r="895">
      <c r="A895" s="28"/>
      <c r="B895" s="28"/>
      <c r="C895" s="28"/>
      <c r="D895" s="28"/>
      <c r="E895" s="27"/>
      <c r="F895" s="28"/>
      <c r="G895" s="10"/>
      <c r="H895" s="10"/>
    </row>
    <row r="896">
      <c r="A896" s="28"/>
      <c r="B896" s="28"/>
      <c r="C896" s="28"/>
      <c r="D896" s="28"/>
      <c r="E896" s="27"/>
      <c r="F896" s="28"/>
      <c r="G896" s="10"/>
      <c r="H896" s="10"/>
    </row>
    <row r="897">
      <c r="A897" s="28"/>
      <c r="B897" s="28"/>
      <c r="C897" s="28"/>
      <c r="D897" s="28"/>
      <c r="E897" s="27"/>
      <c r="F897" s="28"/>
      <c r="G897" s="10"/>
      <c r="H897" s="10"/>
    </row>
    <row r="898">
      <c r="A898" s="28"/>
      <c r="B898" s="28"/>
      <c r="C898" s="28"/>
      <c r="D898" s="28"/>
      <c r="E898" s="27"/>
      <c r="F898" s="28"/>
      <c r="G898" s="10"/>
      <c r="H898" s="10"/>
    </row>
    <row r="899">
      <c r="A899" s="28"/>
      <c r="B899" s="28"/>
      <c r="C899" s="28"/>
      <c r="D899" s="28"/>
      <c r="E899" s="27"/>
      <c r="F899" s="28"/>
      <c r="G899" s="10"/>
      <c r="H899" s="10"/>
    </row>
    <row r="900">
      <c r="A900" s="28"/>
      <c r="B900" s="28"/>
      <c r="C900" s="28"/>
      <c r="D900" s="28"/>
      <c r="E900" s="27"/>
      <c r="F900" s="28"/>
      <c r="G900" s="10"/>
      <c r="H900" s="10"/>
    </row>
    <row r="901">
      <c r="A901" s="28"/>
      <c r="B901" s="28"/>
      <c r="C901" s="28"/>
      <c r="D901" s="28"/>
      <c r="E901" s="27"/>
      <c r="F901" s="28"/>
      <c r="G901" s="10"/>
      <c r="H901" s="10"/>
    </row>
    <row r="902">
      <c r="A902" s="28"/>
      <c r="B902" s="28"/>
      <c r="C902" s="28"/>
      <c r="D902" s="28"/>
      <c r="E902" s="27"/>
      <c r="F902" s="28"/>
      <c r="G902" s="10"/>
      <c r="H902" s="10"/>
    </row>
    <row r="903">
      <c r="A903" s="28"/>
      <c r="B903" s="28"/>
      <c r="C903" s="28"/>
      <c r="D903" s="28"/>
      <c r="E903" s="27"/>
      <c r="F903" s="28"/>
      <c r="G903" s="10"/>
      <c r="H903" s="10"/>
    </row>
    <row r="904">
      <c r="A904" s="28"/>
      <c r="B904" s="28"/>
      <c r="C904" s="28"/>
      <c r="D904" s="28"/>
      <c r="E904" s="27"/>
      <c r="F904" s="28"/>
      <c r="G904" s="10"/>
      <c r="H904" s="10"/>
    </row>
    <row r="905">
      <c r="A905" s="28"/>
      <c r="B905" s="28"/>
      <c r="C905" s="28"/>
      <c r="D905" s="28"/>
      <c r="E905" s="27"/>
      <c r="F905" s="28"/>
      <c r="G905" s="10"/>
      <c r="H905" s="10"/>
    </row>
    <row r="906">
      <c r="A906" s="28"/>
      <c r="B906" s="28"/>
      <c r="C906" s="28"/>
      <c r="D906" s="28"/>
      <c r="E906" s="27"/>
      <c r="F906" s="28"/>
      <c r="G906" s="10"/>
      <c r="H906" s="10"/>
    </row>
    <row r="907">
      <c r="A907" s="28"/>
      <c r="B907" s="28"/>
      <c r="C907" s="28"/>
      <c r="D907" s="28"/>
      <c r="E907" s="27"/>
      <c r="F907" s="28"/>
      <c r="G907" s="10"/>
      <c r="H907" s="10"/>
    </row>
    <row r="908">
      <c r="A908" s="28"/>
      <c r="B908" s="28"/>
      <c r="C908" s="28"/>
      <c r="D908" s="28"/>
      <c r="E908" s="27"/>
      <c r="F908" s="28"/>
      <c r="G908" s="10"/>
      <c r="H908" s="10"/>
    </row>
    <row r="909">
      <c r="A909" s="28"/>
      <c r="B909" s="28"/>
      <c r="C909" s="28"/>
      <c r="D909" s="28"/>
      <c r="E909" s="27"/>
      <c r="F909" s="28"/>
      <c r="G909" s="10"/>
      <c r="H909" s="10"/>
    </row>
    <row r="910">
      <c r="A910" s="28"/>
      <c r="B910" s="28"/>
      <c r="C910" s="28"/>
      <c r="D910" s="28"/>
      <c r="E910" s="27"/>
      <c r="F910" s="28"/>
      <c r="G910" s="10"/>
      <c r="H910" s="10"/>
    </row>
    <row r="911">
      <c r="A911" s="28"/>
      <c r="B911" s="28"/>
      <c r="C911" s="28"/>
      <c r="D911" s="28"/>
      <c r="E911" s="27"/>
      <c r="F911" s="28"/>
      <c r="G911" s="10"/>
      <c r="H911" s="10"/>
    </row>
    <row r="912">
      <c r="A912" s="28"/>
      <c r="B912" s="28"/>
      <c r="C912" s="28"/>
      <c r="D912" s="28"/>
      <c r="E912" s="27"/>
      <c r="F912" s="28"/>
      <c r="G912" s="10"/>
      <c r="H912" s="10"/>
    </row>
    <row r="913">
      <c r="A913" s="28"/>
      <c r="B913" s="28"/>
      <c r="C913" s="28"/>
      <c r="D913" s="28"/>
      <c r="E913" s="27"/>
      <c r="F913" s="28"/>
      <c r="G913" s="10"/>
      <c r="H913" s="10"/>
    </row>
    <row r="914">
      <c r="A914" s="28"/>
      <c r="B914" s="28"/>
      <c r="C914" s="28"/>
      <c r="D914" s="28"/>
      <c r="E914" s="27"/>
      <c r="F914" s="28"/>
      <c r="G914" s="10"/>
      <c r="H914" s="10"/>
    </row>
    <row r="915">
      <c r="A915" s="28"/>
      <c r="B915" s="28"/>
      <c r="C915" s="28"/>
      <c r="D915" s="28"/>
      <c r="E915" s="27"/>
      <c r="F915" s="28"/>
      <c r="G915" s="10"/>
      <c r="H915" s="10"/>
    </row>
    <row r="916">
      <c r="A916" s="28"/>
      <c r="B916" s="28"/>
      <c r="C916" s="28"/>
      <c r="D916" s="28"/>
      <c r="E916" s="27"/>
      <c r="F916" s="28"/>
      <c r="G916" s="10"/>
      <c r="H916" s="10"/>
    </row>
    <row r="917">
      <c r="A917" s="28"/>
      <c r="B917" s="28"/>
      <c r="C917" s="28"/>
      <c r="D917" s="28"/>
      <c r="E917" s="27"/>
      <c r="F917" s="28"/>
      <c r="G917" s="10"/>
      <c r="H917" s="10"/>
    </row>
    <row r="918">
      <c r="A918" s="28"/>
      <c r="B918" s="28"/>
      <c r="C918" s="28"/>
      <c r="D918" s="28"/>
      <c r="E918" s="27"/>
      <c r="F918" s="28"/>
      <c r="G918" s="10"/>
      <c r="H918" s="10"/>
    </row>
    <row r="919">
      <c r="A919" s="28"/>
      <c r="B919" s="28"/>
      <c r="C919" s="28"/>
      <c r="D919" s="28"/>
      <c r="E919" s="27"/>
      <c r="F919" s="28"/>
      <c r="G919" s="10"/>
      <c r="H919" s="10"/>
    </row>
    <row r="920">
      <c r="A920" s="28"/>
      <c r="B920" s="28"/>
      <c r="C920" s="28"/>
      <c r="D920" s="28"/>
      <c r="E920" s="27"/>
      <c r="F920" s="28"/>
      <c r="G920" s="10"/>
      <c r="H920" s="10"/>
    </row>
    <row r="921">
      <c r="A921" s="28"/>
      <c r="B921" s="28"/>
      <c r="C921" s="28"/>
      <c r="D921" s="28"/>
      <c r="E921" s="27"/>
      <c r="F921" s="28"/>
      <c r="G921" s="10"/>
      <c r="H921" s="10"/>
    </row>
    <row r="922">
      <c r="A922" s="28"/>
      <c r="B922" s="28"/>
      <c r="C922" s="28"/>
      <c r="D922" s="28"/>
      <c r="E922" s="27"/>
      <c r="F922" s="28"/>
      <c r="G922" s="10"/>
      <c r="H922" s="10"/>
    </row>
    <row r="923">
      <c r="A923" s="28"/>
      <c r="B923" s="28"/>
      <c r="C923" s="28"/>
      <c r="D923" s="28"/>
      <c r="E923" s="27"/>
      <c r="F923" s="28"/>
      <c r="G923" s="10"/>
      <c r="H923" s="10"/>
    </row>
    <row r="924">
      <c r="A924" s="28"/>
      <c r="B924" s="28"/>
      <c r="C924" s="28"/>
      <c r="D924" s="28"/>
      <c r="E924" s="27"/>
      <c r="F924" s="28"/>
      <c r="G924" s="10"/>
      <c r="H924" s="10"/>
    </row>
    <row r="925">
      <c r="A925" s="28"/>
      <c r="B925" s="28"/>
      <c r="C925" s="28"/>
      <c r="D925" s="28"/>
      <c r="E925" s="27"/>
      <c r="F925" s="28"/>
      <c r="G925" s="10"/>
      <c r="H925" s="10"/>
    </row>
    <row r="926">
      <c r="A926" s="28"/>
      <c r="B926" s="28"/>
      <c r="C926" s="28"/>
      <c r="D926" s="28"/>
      <c r="E926" s="27"/>
      <c r="F926" s="28"/>
      <c r="G926" s="10"/>
      <c r="H926" s="10"/>
    </row>
    <row r="927">
      <c r="A927" s="28"/>
      <c r="B927" s="28"/>
      <c r="C927" s="28"/>
      <c r="D927" s="28"/>
      <c r="E927" s="27"/>
      <c r="F927" s="28"/>
      <c r="G927" s="10"/>
      <c r="H927" s="10"/>
    </row>
    <row r="928">
      <c r="A928" s="28"/>
      <c r="B928" s="28"/>
      <c r="C928" s="28"/>
      <c r="D928" s="28"/>
      <c r="E928" s="27"/>
      <c r="F928" s="28"/>
      <c r="G928" s="10"/>
      <c r="H928" s="10"/>
    </row>
    <row r="929">
      <c r="A929" s="28"/>
      <c r="B929" s="28"/>
      <c r="C929" s="28"/>
      <c r="D929" s="28"/>
      <c r="E929" s="27"/>
      <c r="F929" s="28"/>
      <c r="G929" s="10"/>
      <c r="H929" s="10"/>
    </row>
    <row r="930">
      <c r="A930" s="28"/>
      <c r="B930" s="28"/>
      <c r="C930" s="28"/>
      <c r="D930" s="28"/>
      <c r="E930" s="27"/>
      <c r="F930" s="28"/>
      <c r="G930" s="10"/>
      <c r="H930" s="10"/>
    </row>
    <row r="931">
      <c r="A931" s="28"/>
      <c r="B931" s="28"/>
      <c r="C931" s="28"/>
      <c r="D931" s="28"/>
      <c r="E931" s="27"/>
      <c r="F931" s="28"/>
      <c r="G931" s="10"/>
      <c r="H931" s="10"/>
    </row>
    <row r="932">
      <c r="A932" s="28"/>
      <c r="B932" s="28"/>
      <c r="C932" s="28"/>
      <c r="D932" s="28"/>
      <c r="E932" s="27"/>
      <c r="F932" s="28"/>
      <c r="G932" s="10"/>
      <c r="H932" s="10"/>
    </row>
    <row r="933">
      <c r="A933" s="28"/>
      <c r="B933" s="28"/>
      <c r="C933" s="28"/>
      <c r="D933" s="28"/>
      <c r="E933" s="27"/>
      <c r="F933" s="28"/>
      <c r="G933" s="10"/>
      <c r="H933" s="10"/>
    </row>
    <row r="934">
      <c r="A934" s="28"/>
      <c r="B934" s="28"/>
      <c r="C934" s="28"/>
      <c r="D934" s="28"/>
      <c r="E934" s="27"/>
      <c r="F934" s="28"/>
      <c r="G934" s="10"/>
      <c r="H934" s="10"/>
    </row>
    <row r="935">
      <c r="A935" s="28"/>
      <c r="B935" s="28"/>
      <c r="C935" s="28"/>
      <c r="D935" s="28"/>
      <c r="E935" s="27"/>
      <c r="F935" s="28"/>
      <c r="G935" s="10"/>
      <c r="H935" s="10"/>
    </row>
    <row r="936">
      <c r="A936" s="28"/>
      <c r="B936" s="28"/>
      <c r="C936" s="28"/>
      <c r="D936" s="28"/>
      <c r="E936" s="27"/>
      <c r="F936" s="28"/>
      <c r="G936" s="10"/>
      <c r="H936" s="10"/>
    </row>
    <row r="937">
      <c r="A937" s="28"/>
      <c r="B937" s="28"/>
      <c r="C937" s="28"/>
      <c r="D937" s="28"/>
      <c r="E937" s="27"/>
      <c r="F937" s="28"/>
      <c r="G937" s="10"/>
      <c r="H937" s="10"/>
    </row>
    <row r="938">
      <c r="A938" s="28"/>
      <c r="B938" s="28"/>
      <c r="C938" s="28"/>
      <c r="D938" s="28"/>
      <c r="E938" s="27"/>
      <c r="F938" s="28"/>
      <c r="G938" s="10"/>
      <c r="H938" s="10"/>
    </row>
    <row r="939">
      <c r="A939" s="28"/>
      <c r="B939" s="28"/>
      <c r="C939" s="28"/>
      <c r="D939" s="28"/>
      <c r="E939" s="27"/>
      <c r="F939" s="28"/>
      <c r="G939" s="10"/>
      <c r="H939" s="10"/>
    </row>
    <row r="940">
      <c r="A940" s="28"/>
      <c r="B940" s="28"/>
      <c r="C940" s="28"/>
      <c r="D940" s="28"/>
      <c r="E940" s="27"/>
      <c r="F940" s="28"/>
      <c r="G940" s="10"/>
      <c r="H940" s="10"/>
    </row>
    <row r="941">
      <c r="A941" s="28"/>
      <c r="B941" s="28"/>
      <c r="C941" s="28"/>
      <c r="D941" s="28"/>
      <c r="E941" s="27"/>
      <c r="F941" s="28"/>
      <c r="G941" s="10"/>
      <c r="H941" s="10"/>
    </row>
    <row r="942">
      <c r="A942" s="28"/>
      <c r="B942" s="28"/>
      <c r="C942" s="28"/>
      <c r="D942" s="28"/>
      <c r="E942" s="27"/>
      <c r="F942" s="28"/>
      <c r="G942" s="10"/>
      <c r="H942" s="10"/>
    </row>
    <row r="943">
      <c r="A943" s="28"/>
      <c r="B943" s="28"/>
      <c r="C943" s="28"/>
      <c r="D943" s="28"/>
      <c r="E943" s="27"/>
      <c r="F943" s="28"/>
      <c r="G943" s="10"/>
      <c r="H943" s="10"/>
    </row>
    <row r="944">
      <c r="A944" s="28"/>
      <c r="B944" s="28"/>
      <c r="C944" s="28"/>
      <c r="D944" s="28"/>
      <c r="E944" s="27"/>
      <c r="F944" s="28"/>
      <c r="G944" s="10"/>
      <c r="H944" s="10"/>
    </row>
    <row r="945">
      <c r="A945" s="28"/>
      <c r="B945" s="28"/>
      <c r="C945" s="28"/>
      <c r="D945" s="28"/>
      <c r="E945" s="27"/>
      <c r="F945" s="28"/>
      <c r="G945" s="10"/>
      <c r="H945" s="10"/>
    </row>
    <row r="946">
      <c r="A946" s="28"/>
      <c r="B946" s="28"/>
      <c r="C946" s="28"/>
      <c r="D946" s="28"/>
      <c r="E946" s="27"/>
      <c r="F946" s="28"/>
      <c r="G946" s="10"/>
      <c r="H946" s="10"/>
    </row>
    <row r="947">
      <c r="A947" s="28"/>
      <c r="B947" s="28"/>
      <c r="C947" s="28"/>
      <c r="D947" s="28"/>
      <c r="E947" s="27"/>
      <c r="F947" s="28"/>
      <c r="G947" s="10"/>
      <c r="H947" s="10"/>
    </row>
    <row r="948">
      <c r="A948" s="28"/>
      <c r="B948" s="28"/>
      <c r="C948" s="28"/>
      <c r="D948" s="28"/>
      <c r="E948" s="27"/>
      <c r="F948" s="28"/>
      <c r="G948" s="10"/>
      <c r="H948" s="10"/>
    </row>
    <row r="949">
      <c r="A949" s="28"/>
      <c r="B949" s="28"/>
      <c r="C949" s="28"/>
      <c r="D949" s="28"/>
      <c r="E949" s="27"/>
      <c r="F949" s="28"/>
      <c r="G949" s="10"/>
      <c r="H949" s="10"/>
    </row>
    <row r="950">
      <c r="A950" s="28"/>
      <c r="B950" s="28"/>
      <c r="C950" s="28"/>
      <c r="D950" s="28"/>
      <c r="E950" s="27"/>
      <c r="F950" s="28"/>
      <c r="G950" s="10"/>
      <c r="H950" s="10"/>
    </row>
    <row r="951">
      <c r="A951" s="28"/>
      <c r="B951" s="28"/>
      <c r="C951" s="28"/>
      <c r="D951" s="28"/>
      <c r="E951" s="27"/>
      <c r="F951" s="28"/>
      <c r="G951" s="10"/>
      <c r="H951" s="10"/>
    </row>
    <row r="952">
      <c r="A952" s="28"/>
      <c r="B952" s="28"/>
      <c r="C952" s="28"/>
      <c r="D952" s="28"/>
      <c r="E952" s="27"/>
      <c r="F952" s="28"/>
      <c r="G952" s="10"/>
      <c r="H952" s="10"/>
    </row>
    <row r="953">
      <c r="A953" s="28"/>
      <c r="B953" s="28"/>
      <c r="C953" s="28"/>
      <c r="D953" s="28"/>
      <c r="E953" s="27"/>
      <c r="F953" s="28"/>
      <c r="G953" s="10"/>
      <c r="H953" s="10"/>
    </row>
    <row r="954">
      <c r="A954" s="28"/>
      <c r="B954" s="28"/>
      <c r="C954" s="28"/>
      <c r="D954" s="28"/>
      <c r="E954" s="27"/>
      <c r="F954" s="28"/>
      <c r="G954" s="10"/>
      <c r="H954" s="10"/>
    </row>
    <row r="955">
      <c r="A955" s="28"/>
      <c r="B955" s="28"/>
      <c r="C955" s="28"/>
      <c r="D955" s="28"/>
      <c r="E955" s="27"/>
      <c r="F955" s="28"/>
      <c r="G955" s="10"/>
      <c r="H955" s="10"/>
    </row>
    <row r="956">
      <c r="A956" s="28"/>
      <c r="B956" s="28"/>
      <c r="C956" s="28"/>
      <c r="D956" s="28"/>
      <c r="E956" s="27"/>
      <c r="F956" s="28"/>
      <c r="G956" s="10"/>
      <c r="H956" s="10"/>
    </row>
    <row r="957">
      <c r="A957" s="28"/>
      <c r="B957" s="28"/>
      <c r="C957" s="28"/>
      <c r="D957" s="28"/>
      <c r="E957" s="27"/>
      <c r="F957" s="28"/>
      <c r="G957" s="10"/>
      <c r="H957" s="10"/>
    </row>
    <row r="958">
      <c r="A958" s="28"/>
      <c r="B958" s="28"/>
      <c r="C958" s="28"/>
      <c r="D958" s="28"/>
      <c r="E958" s="27"/>
      <c r="F958" s="28"/>
      <c r="G958" s="10"/>
      <c r="H958" s="10"/>
    </row>
    <row r="959">
      <c r="A959" s="28"/>
      <c r="B959" s="28"/>
      <c r="C959" s="28"/>
      <c r="D959" s="28"/>
      <c r="E959" s="27"/>
      <c r="F959" s="28"/>
      <c r="G959" s="10"/>
      <c r="H959" s="10"/>
    </row>
    <row r="960">
      <c r="A960" s="28"/>
      <c r="B960" s="28"/>
      <c r="C960" s="28"/>
      <c r="D960" s="28"/>
      <c r="E960" s="27"/>
      <c r="F960" s="28"/>
      <c r="G960" s="10"/>
      <c r="H960" s="10"/>
    </row>
    <row r="961">
      <c r="A961" s="28"/>
      <c r="B961" s="28"/>
      <c r="C961" s="28"/>
      <c r="D961" s="28"/>
      <c r="E961" s="27"/>
      <c r="F961" s="28"/>
      <c r="G961" s="10"/>
      <c r="H961" s="10"/>
    </row>
    <row r="962">
      <c r="A962" s="28"/>
      <c r="B962" s="28"/>
      <c r="C962" s="28"/>
      <c r="D962" s="28"/>
      <c r="E962" s="27"/>
      <c r="F962" s="28"/>
      <c r="G962" s="10"/>
      <c r="H962" s="10"/>
    </row>
    <row r="963">
      <c r="A963" s="28"/>
      <c r="B963" s="28"/>
      <c r="C963" s="28"/>
      <c r="D963" s="28"/>
      <c r="E963" s="27"/>
      <c r="F963" s="28"/>
      <c r="G963" s="10"/>
      <c r="H963" s="10"/>
    </row>
    <row r="964">
      <c r="A964" s="28"/>
      <c r="B964" s="28"/>
      <c r="C964" s="28"/>
      <c r="D964" s="28"/>
      <c r="E964" s="27"/>
      <c r="F964" s="28"/>
      <c r="G964" s="10"/>
      <c r="H964" s="10"/>
    </row>
    <row r="965">
      <c r="A965" s="28"/>
      <c r="B965" s="28"/>
      <c r="C965" s="28"/>
      <c r="D965" s="28"/>
      <c r="E965" s="27"/>
      <c r="F965" s="28"/>
      <c r="G965" s="10"/>
      <c r="H965" s="10"/>
    </row>
    <row r="966">
      <c r="A966" s="28"/>
      <c r="B966" s="28"/>
      <c r="C966" s="28"/>
      <c r="D966" s="28"/>
      <c r="E966" s="27"/>
      <c r="F966" s="28"/>
      <c r="G966" s="10"/>
      <c r="H966" s="10"/>
    </row>
    <row r="967">
      <c r="A967" s="28"/>
      <c r="B967" s="28"/>
      <c r="C967" s="28"/>
      <c r="D967" s="28"/>
      <c r="E967" s="27"/>
      <c r="F967" s="28"/>
      <c r="G967" s="10"/>
      <c r="H967" s="10"/>
    </row>
    <row r="968">
      <c r="A968" s="28"/>
      <c r="B968" s="28"/>
      <c r="C968" s="28"/>
      <c r="D968" s="28"/>
      <c r="E968" s="27"/>
      <c r="F968" s="28"/>
      <c r="G968" s="10"/>
      <c r="H968" s="10"/>
    </row>
    <row r="969">
      <c r="A969" s="28"/>
      <c r="B969" s="28"/>
      <c r="C969" s="28"/>
      <c r="D969" s="28"/>
      <c r="E969" s="27"/>
      <c r="F969" s="28"/>
      <c r="G969" s="10"/>
      <c r="H969" s="10"/>
    </row>
    <row r="970">
      <c r="A970" s="28"/>
      <c r="B970" s="28"/>
      <c r="C970" s="28"/>
      <c r="D970" s="28"/>
      <c r="E970" s="27"/>
      <c r="F970" s="28"/>
      <c r="G970" s="10"/>
      <c r="H970" s="10"/>
    </row>
    <row r="971">
      <c r="A971" s="28"/>
      <c r="B971" s="28"/>
      <c r="C971" s="28"/>
      <c r="D971" s="28"/>
      <c r="E971" s="27"/>
      <c r="F971" s="28"/>
      <c r="G971" s="10"/>
      <c r="H971" s="10"/>
    </row>
    <row r="972">
      <c r="A972" s="28"/>
      <c r="B972" s="28"/>
      <c r="C972" s="28"/>
      <c r="D972" s="28"/>
      <c r="E972" s="27"/>
      <c r="F972" s="28"/>
      <c r="G972" s="10"/>
      <c r="H972" s="10"/>
    </row>
    <row r="973">
      <c r="A973" s="28"/>
      <c r="B973" s="28"/>
      <c r="C973" s="28"/>
      <c r="D973" s="28"/>
      <c r="E973" s="27"/>
      <c r="F973" s="28"/>
      <c r="G973" s="10"/>
      <c r="H973" s="10"/>
    </row>
    <row r="974">
      <c r="A974" s="28"/>
      <c r="B974" s="28"/>
      <c r="C974" s="28"/>
      <c r="D974" s="28"/>
      <c r="E974" s="27"/>
      <c r="F974" s="28"/>
      <c r="G974" s="10"/>
      <c r="H974" s="10"/>
    </row>
    <row r="975">
      <c r="A975" s="28"/>
      <c r="B975" s="28"/>
      <c r="C975" s="28"/>
      <c r="D975" s="28"/>
      <c r="E975" s="27"/>
      <c r="F975" s="28"/>
      <c r="G975" s="10"/>
      <c r="H975" s="10"/>
    </row>
    <row r="976">
      <c r="A976" s="28"/>
      <c r="B976" s="28"/>
      <c r="C976" s="28"/>
      <c r="D976" s="28"/>
      <c r="E976" s="27"/>
      <c r="F976" s="28"/>
      <c r="G976" s="10"/>
      <c r="H976" s="10"/>
    </row>
    <row r="977">
      <c r="A977" s="28"/>
      <c r="B977" s="28"/>
      <c r="C977" s="28"/>
      <c r="D977" s="28"/>
      <c r="E977" s="27"/>
      <c r="F977" s="28"/>
      <c r="G977" s="10"/>
      <c r="H977" s="10"/>
    </row>
    <row r="978">
      <c r="A978" s="28"/>
      <c r="B978" s="28"/>
      <c r="C978" s="28"/>
      <c r="D978" s="28"/>
      <c r="E978" s="27"/>
      <c r="F978" s="28"/>
      <c r="G978" s="10"/>
      <c r="H978" s="10"/>
    </row>
    <row r="979">
      <c r="A979" s="28"/>
      <c r="B979" s="28"/>
      <c r="C979" s="28"/>
      <c r="D979" s="28"/>
      <c r="E979" s="27"/>
      <c r="F979" s="28"/>
      <c r="G979" s="10"/>
      <c r="H979" s="10"/>
    </row>
    <row r="980">
      <c r="A980" s="28"/>
      <c r="B980" s="28"/>
      <c r="C980" s="28"/>
      <c r="D980" s="28"/>
      <c r="E980" s="27"/>
      <c r="F980" s="28"/>
      <c r="G980" s="10"/>
      <c r="H980" s="10"/>
    </row>
    <row r="981">
      <c r="A981" s="28"/>
      <c r="B981" s="28"/>
      <c r="C981" s="28"/>
      <c r="D981" s="28"/>
      <c r="E981" s="27"/>
      <c r="F981" s="28"/>
      <c r="G981" s="10"/>
      <c r="H981" s="10"/>
    </row>
    <row r="982">
      <c r="A982" s="28"/>
      <c r="B982" s="28"/>
      <c r="C982" s="28"/>
      <c r="D982" s="28"/>
      <c r="E982" s="27"/>
      <c r="F982" s="28"/>
      <c r="G982" s="10"/>
      <c r="H982" s="10"/>
    </row>
    <row r="983">
      <c r="A983" s="28"/>
      <c r="B983" s="28"/>
      <c r="C983" s="28"/>
      <c r="D983" s="28"/>
      <c r="E983" s="27"/>
      <c r="F983" s="28"/>
      <c r="G983" s="10"/>
      <c r="H983" s="10"/>
    </row>
    <row r="984">
      <c r="A984" s="28"/>
      <c r="B984" s="28"/>
      <c r="C984" s="28"/>
      <c r="D984" s="28"/>
      <c r="E984" s="27"/>
      <c r="F984" s="28"/>
      <c r="G984" s="10"/>
      <c r="H984" s="10"/>
    </row>
    <row r="985">
      <c r="A985" s="28"/>
      <c r="B985" s="28"/>
      <c r="C985" s="28"/>
      <c r="D985" s="28"/>
      <c r="E985" s="27"/>
      <c r="F985" s="28"/>
      <c r="G985" s="10"/>
      <c r="H985" s="10"/>
    </row>
    <row r="986">
      <c r="A986" s="28"/>
      <c r="B986" s="28"/>
      <c r="C986" s="28"/>
      <c r="D986" s="28"/>
      <c r="E986" s="27"/>
      <c r="F986" s="28"/>
      <c r="G986" s="10"/>
      <c r="H986" s="10"/>
    </row>
    <row r="987">
      <c r="A987" s="28"/>
      <c r="B987" s="28"/>
      <c r="C987" s="28"/>
      <c r="D987" s="28"/>
      <c r="E987" s="27"/>
      <c r="F987" s="28"/>
      <c r="G987" s="10"/>
      <c r="H987" s="10"/>
    </row>
    <row r="988">
      <c r="A988" s="28"/>
      <c r="B988" s="28"/>
      <c r="C988" s="28"/>
      <c r="D988" s="28"/>
      <c r="E988" s="27"/>
      <c r="F988" s="28"/>
      <c r="G988" s="10"/>
      <c r="H988" s="10"/>
    </row>
    <row r="989">
      <c r="A989" s="28"/>
      <c r="B989" s="28"/>
      <c r="C989" s="28"/>
      <c r="D989" s="28"/>
      <c r="E989" s="27"/>
      <c r="F989" s="28"/>
      <c r="G989" s="10"/>
      <c r="H989" s="10"/>
    </row>
    <row r="990">
      <c r="A990" s="28"/>
      <c r="B990" s="28"/>
      <c r="C990" s="28"/>
      <c r="D990" s="28"/>
      <c r="E990" s="27"/>
      <c r="F990" s="28"/>
      <c r="G990" s="10"/>
      <c r="H990" s="10"/>
    </row>
    <row r="991">
      <c r="A991" s="28"/>
      <c r="B991" s="28"/>
      <c r="C991" s="28"/>
      <c r="D991" s="28"/>
      <c r="E991" s="27"/>
      <c r="F991" s="28"/>
      <c r="G991" s="10"/>
      <c r="H991" s="10"/>
    </row>
    <row r="992">
      <c r="A992" s="28"/>
      <c r="B992" s="28"/>
      <c r="C992" s="28"/>
      <c r="D992" s="28"/>
      <c r="E992" s="27"/>
      <c r="F992" s="28"/>
      <c r="G992" s="10"/>
      <c r="H992" s="10"/>
    </row>
    <row r="993">
      <c r="A993" s="28"/>
      <c r="B993" s="28"/>
      <c r="C993" s="28"/>
      <c r="D993" s="28"/>
      <c r="E993" s="27"/>
      <c r="F993" s="28"/>
      <c r="G993" s="10"/>
      <c r="H993" s="10"/>
    </row>
    <row r="994">
      <c r="A994" s="28"/>
      <c r="B994" s="28"/>
      <c r="C994" s="28"/>
      <c r="D994" s="28"/>
      <c r="E994" s="27"/>
      <c r="F994" s="28"/>
      <c r="G994" s="10"/>
      <c r="H994" s="10"/>
    </row>
    <row r="995">
      <c r="A995" s="28"/>
      <c r="B995" s="28"/>
      <c r="C995" s="28"/>
      <c r="D995" s="28"/>
      <c r="E995" s="27"/>
      <c r="F995" s="28"/>
      <c r="G995" s="10"/>
      <c r="H995" s="10"/>
    </row>
    <row r="996">
      <c r="A996" s="28"/>
      <c r="B996" s="28"/>
      <c r="C996" s="28"/>
      <c r="D996" s="28"/>
      <c r="E996" s="27"/>
      <c r="F996" s="28"/>
      <c r="G996" s="10"/>
      <c r="H996" s="10"/>
    </row>
    <row r="997">
      <c r="A997" s="28"/>
      <c r="B997" s="28"/>
      <c r="C997" s="28"/>
      <c r="D997" s="28"/>
      <c r="E997" s="27"/>
      <c r="F997" s="28"/>
      <c r="G997" s="10"/>
      <c r="H997" s="10"/>
    </row>
    <row r="998">
      <c r="A998" s="28"/>
      <c r="B998" s="28"/>
      <c r="C998" s="28"/>
      <c r="D998" s="28"/>
      <c r="E998" s="27"/>
      <c r="F998" s="28"/>
      <c r="G998" s="10"/>
      <c r="H998" s="10"/>
    </row>
    <row r="999">
      <c r="A999" s="28"/>
      <c r="B999" s="28"/>
      <c r="C999" s="28"/>
      <c r="D999" s="28"/>
      <c r="E999" s="27"/>
      <c r="F999" s="28"/>
      <c r="G999" s="10"/>
      <c r="H999" s="10"/>
    </row>
    <row r="1000">
      <c r="A1000" s="28"/>
      <c r="B1000" s="28"/>
      <c r="C1000" s="28"/>
      <c r="D1000" s="28"/>
      <c r="E1000" s="27"/>
      <c r="F1000" s="28"/>
      <c r="G1000" s="10"/>
      <c r="H1000" s="10"/>
    </row>
  </sheetData>
  <mergeCells count="1">
    <mergeCell ref="A1:H1"/>
  </mergeCells>
  <hyperlinks>
    <hyperlink r:id="rId1" ref="D65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6.14"/>
    <col customWidth="1" min="6" max="6" width="62.29"/>
  </cols>
  <sheetData>
    <row r="1">
      <c r="A1" s="1" t="s">
        <v>1387</v>
      </c>
      <c r="B1" s="2"/>
      <c r="C1" s="2"/>
      <c r="D1" s="2"/>
      <c r="E1" s="2"/>
      <c r="F1" s="3"/>
    </row>
    <row r="2">
      <c r="A2" s="41" t="s">
        <v>1388</v>
      </c>
      <c r="B2" s="42" t="s">
        <v>2</v>
      </c>
      <c r="C2" s="42" t="s">
        <v>3</v>
      </c>
      <c r="D2" s="43" t="s">
        <v>1389</v>
      </c>
      <c r="E2" s="42" t="s">
        <v>5</v>
      </c>
      <c r="F2" s="43" t="s">
        <v>1390</v>
      </c>
    </row>
    <row r="3">
      <c r="A3" s="44"/>
      <c r="B3" s="45"/>
      <c r="C3" s="45"/>
      <c r="D3" s="45"/>
      <c r="E3" s="46"/>
      <c r="F3" s="47"/>
    </row>
    <row r="4">
      <c r="A4" s="48"/>
      <c r="B4" s="45"/>
      <c r="C4" s="45"/>
      <c r="D4" s="45"/>
      <c r="E4" s="46"/>
      <c r="F4" s="47"/>
    </row>
    <row r="5">
      <c r="A5" s="48"/>
      <c r="B5" s="45"/>
      <c r="C5" s="45"/>
      <c r="D5" s="45"/>
      <c r="E5" s="46"/>
      <c r="F5" s="47"/>
    </row>
    <row r="6">
      <c r="A6" s="48"/>
      <c r="B6" s="45"/>
      <c r="C6" s="45"/>
      <c r="D6" s="45"/>
      <c r="E6" s="46"/>
      <c r="F6" s="47"/>
    </row>
    <row r="7">
      <c r="A7" s="48"/>
      <c r="B7" s="45"/>
      <c r="C7" s="45"/>
      <c r="D7" s="45"/>
      <c r="E7" s="46"/>
      <c r="F7" s="47"/>
    </row>
    <row r="8">
      <c r="A8" s="48"/>
      <c r="B8" s="45"/>
      <c r="C8" s="45"/>
      <c r="D8" s="45"/>
      <c r="E8" s="46"/>
      <c r="F8" s="47"/>
    </row>
    <row r="9">
      <c r="A9" s="48"/>
      <c r="B9" s="45"/>
      <c r="C9" s="45"/>
      <c r="D9" s="45"/>
      <c r="E9" s="46"/>
      <c r="F9" s="47"/>
    </row>
    <row r="10">
      <c r="A10" s="48"/>
      <c r="B10" s="45"/>
      <c r="C10" s="45"/>
      <c r="D10" s="45"/>
      <c r="E10" s="46"/>
      <c r="F10" s="47"/>
    </row>
    <row r="11">
      <c r="A11" s="48"/>
      <c r="B11" s="45"/>
      <c r="C11" s="45"/>
      <c r="D11" s="45"/>
      <c r="E11" s="46"/>
      <c r="F11" s="47"/>
    </row>
    <row r="12">
      <c r="A12" s="48"/>
      <c r="B12" s="45"/>
      <c r="C12" s="45"/>
      <c r="D12" s="45"/>
      <c r="E12" s="46"/>
      <c r="F12" s="47"/>
    </row>
    <row r="13">
      <c r="A13" s="48"/>
      <c r="B13" s="45"/>
      <c r="C13" s="45"/>
      <c r="D13" s="45"/>
      <c r="E13" s="46"/>
      <c r="F13" s="47"/>
    </row>
    <row r="14">
      <c r="A14" s="48"/>
      <c r="B14" s="45"/>
      <c r="C14" s="45"/>
      <c r="D14" s="45"/>
      <c r="E14" s="46"/>
      <c r="F14" s="47"/>
    </row>
    <row r="15">
      <c r="A15" s="48"/>
      <c r="B15" s="45"/>
      <c r="C15" s="45"/>
      <c r="D15" s="45"/>
      <c r="E15" s="46"/>
      <c r="F15" s="47"/>
    </row>
    <row r="16">
      <c r="A16" s="48"/>
      <c r="B16" s="45"/>
      <c r="C16" s="45"/>
      <c r="D16" s="45"/>
      <c r="E16" s="46"/>
      <c r="F16" s="47"/>
    </row>
    <row r="17">
      <c r="A17" s="48"/>
      <c r="B17" s="45"/>
      <c r="C17" s="45"/>
      <c r="D17" s="45"/>
      <c r="E17" s="46"/>
      <c r="F17" s="47"/>
    </row>
    <row r="18">
      <c r="A18" s="48"/>
      <c r="B18" s="45"/>
      <c r="C18" s="45"/>
      <c r="D18" s="45"/>
      <c r="E18" s="46"/>
      <c r="F18" s="47"/>
    </row>
    <row r="19">
      <c r="A19" s="48"/>
      <c r="B19" s="45"/>
      <c r="C19" s="45"/>
      <c r="D19" s="45"/>
      <c r="E19" s="46"/>
      <c r="F19" s="47"/>
    </row>
    <row r="20">
      <c r="A20" s="48"/>
      <c r="B20" s="45"/>
      <c r="C20" s="45"/>
      <c r="D20" s="45"/>
      <c r="E20" s="46"/>
      <c r="F20" s="47"/>
    </row>
    <row r="21">
      <c r="A21" s="48"/>
      <c r="B21" s="45"/>
      <c r="C21" s="45"/>
      <c r="D21" s="45"/>
      <c r="E21" s="46"/>
      <c r="F21" s="47"/>
    </row>
    <row r="22">
      <c r="A22" s="48"/>
      <c r="B22" s="45"/>
      <c r="C22" s="45"/>
      <c r="D22" s="45"/>
      <c r="E22" s="46"/>
      <c r="F22" s="47"/>
    </row>
    <row r="23">
      <c r="A23" s="48"/>
      <c r="B23" s="45"/>
      <c r="C23" s="45"/>
      <c r="D23" s="45"/>
      <c r="E23" s="46"/>
      <c r="F23" s="47"/>
    </row>
    <row r="24">
      <c r="A24" s="48"/>
      <c r="B24" s="45"/>
      <c r="C24" s="45"/>
      <c r="D24" s="45"/>
      <c r="E24" s="46"/>
      <c r="F24" s="47"/>
    </row>
    <row r="25">
      <c r="A25" s="48"/>
      <c r="B25" s="45"/>
      <c r="C25" s="45"/>
      <c r="D25" s="45"/>
      <c r="E25" s="46"/>
      <c r="F25" s="47"/>
    </row>
    <row r="26">
      <c r="A26" s="48"/>
      <c r="B26" s="45"/>
      <c r="C26" s="45"/>
      <c r="D26" s="45"/>
      <c r="E26" s="46"/>
      <c r="F26" s="47"/>
    </row>
    <row r="27">
      <c r="A27" s="48"/>
      <c r="B27" s="45"/>
      <c r="C27" s="45"/>
      <c r="D27" s="45"/>
      <c r="E27" s="46"/>
      <c r="F27" s="47"/>
    </row>
    <row r="28">
      <c r="A28" s="48"/>
      <c r="B28" s="45"/>
      <c r="C28" s="45"/>
      <c r="D28" s="45"/>
      <c r="E28" s="46"/>
      <c r="F28" s="47"/>
    </row>
    <row r="29">
      <c r="A29" s="48"/>
      <c r="B29" s="45"/>
      <c r="C29" s="45"/>
      <c r="D29" s="45"/>
      <c r="E29" s="46"/>
      <c r="F29" s="47"/>
    </row>
    <row r="30">
      <c r="A30" s="48"/>
      <c r="B30" s="45"/>
      <c r="C30" s="45"/>
      <c r="D30" s="45"/>
      <c r="E30" s="46"/>
      <c r="F30" s="47"/>
    </row>
    <row r="31">
      <c r="A31" s="48"/>
      <c r="B31" s="45"/>
      <c r="C31" s="45"/>
      <c r="D31" s="45"/>
      <c r="E31" s="46"/>
      <c r="F31" s="47"/>
    </row>
    <row r="32">
      <c r="A32" s="48"/>
      <c r="B32" s="45"/>
      <c r="C32" s="45"/>
      <c r="D32" s="45"/>
      <c r="E32" s="46"/>
      <c r="F32" s="47"/>
    </row>
    <row r="33">
      <c r="A33" s="48"/>
      <c r="B33" s="45"/>
      <c r="C33" s="45"/>
      <c r="D33" s="45"/>
      <c r="E33" s="46"/>
      <c r="F33" s="47"/>
    </row>
    <row r="34">
      <c r="A34" s="48"/>
      <c r="B34" s="45"/>
      <c r="C34" s="45"/>
      <c r="D34" s="49"/>
      <c r="E34" s="46"/>
      <c r="F34" s="47"/>
    </row>
    <row r="35">
      <c r="A35" s="48"/>
      <c r="B35" s="45"/>
      <c r="C35" s="45"/>
      <c r="D35" s="49"/>
      <c r="E35" s="50"/>
      <c r="F35" s="47"/>
    </row>
    <row r="36">
      <c r="A36" s="48"/>
      <c r="B36" s="49"/>
      <c r="C36" s="49"/>
      <c r="D36" s="49"/>
      <c r="E36" s="50"/>
      <c r="F36" s="47"/>
    </row>
    <row r="37">
      <c r="A37" s="48"/>
      <c r="B37" s="49"/>
      <c r="C37" s="49"/>
      <c r="D37" s="49"/>
      <c r="E37" s="50"/>
      <c r="F37" s="47"/>
    </row>
    <row r="38">
      <c r="A38" s="48"/>
      <c r="B38" s="45"/>
      <c r="C38" s="45"/>
      <c r="D38" s="45"/>
      <c r="E38" s="50"/>
      <c r="F38" s="47"/>
    </row>
    <row r="39">
      <c r="A39" s="48"/>
      <c r="B39" s="45"/>
      <c r="C39" s="45"/>
      <c r="D39" s="49"/>
      <c r="E39" s="50"/>
      <c r="F39" s="47"/>
    </row>
    <row r="40">
      <c r="A40" s="48"/>
      <c r="B40" s="45"/>
      <c r="C40" s="45"/>
      <c r="D40" s="49"/>
      <c r="E40" s="50"/>
      <c r="F40" s="47"/>
    </row>
    <row r="41">
      <c r="A41" s="48"/>
      <c r="B41" s="45"/>
      <c r="C41" s="45"/>
      <c r="D41" s="49"/>
      <c r="E41" s="50"/>
      <c r="F41" s="47"/>
    </row>
    <row r="42">
      <c r="A42" s="48"/>
      <c r="B42" s="45"/>
      <c r="C42" s="45"/>
      <c r="D42" s="49"/>
      <c r="E42" s="50"/>
      <c r="F42" s="47"/>
    </row>
    <row r="43">
      <c r="A43" s="48"/>
      <c r="B43" s="45"/>
      <c r="C43" s="45"/>
      <c r="D43" s="49"/>
      <c r="E43" s="51"/>
      <c r="F43" s="47"/>
    </row>
    <row r="44">
      <c r="A44" s="48"/>
      <c r="B44" s="45"/>
      <c r="C44" s="45"/>
      <c r="D44" s="49"/>
      <c r="E44" s="51"/>
      <c r="F44" s="47"/>
    </row>
    <row r="45">
      <c r="A45" s="48"/>
      <c r="B45" s="49"/>
      <c r="C45" s="49"/>
      <c r="D45" s="45"/>
      <c r="E45" s="50"/>
      <c r="F45" s="47"/>
    </row>
    <row r="46">
      <c r="A46" s="48"/>
      <c r="B46" s="49"/>
      <c r="C46" s="49"/>
      <c r="D46" s="49"/>
      <c r="E46" s="50"/>
      <c r="F46" s="47"/>
    </row>
    <row r="47">
      <c r="A47" s="48"/>
      <c r="B47" s="49"/>
      <c r="C47" s="49"/>
      <c r="D47" s="49"/>
      <c r="E47" s="50"/>
      <c r="F47" s="47"/>
    </row>
    <row r="48">
      <c r="A48" s="48"/>
      <c r="B48" s="49"/>
      <c r="C48" s="49"/>
      <c r="D48" s="49"/>
      <c r="E48" s="50"/>
      <c r="F48" s="47"/>
    </row>
    <row r="49">
      <c r="A49" s="48"/>
      <c r="B49" s="49"/>
      <c r="C49" s="49"/>
      <c r="D49" s="45"/>
      <c r="E49" s="50"/>
      <c r="F49" s="47"/>
    </row>
    <row r="50">
      <c r="A50" s="48"/>
      <c r="B50" s="49"/>
      <c r="C50" s="49"/>
      <c r="D50" s="45"/>
      <c r="E50" s="50"/>
      <c r="F50" s="47"/>
    </row>
    <row r="51">
      <c r="A51" s="48"/>
      <c r="B51" s="49"/>
      <c r="C51" s="49"/>
      <c r="D51" s="49"/>
      <c r="E51" s="50"/>
      <c r="F51" s="47"/>
    </row>
    <row r="52">
      <c r="A52" s="48"/>
      <c r="B52" s="49"/>
      <c r="C52" s="49"/>
      <c r="D52" s="49"/>
      <c r="E52" s="50"/>
      <c r="F52" s="47"/>
    </row>
    <row r="53">
      <c r="A53" s="48"/>
      <c r="B53" s="49"/>
      <c r="C53" s="49"/>
      <c r="D53" s="49"/>
      <c r="E53" s="50"/>
      <c r="F53" s="47"/>
    </row>
    <row r="54">
      <c r="A54" s="48"/>
      <c r="B54" s="49"/>
      <c r="C54" s="49"/>
      <c r="D54" s="49"/>
      <c r="E54" s="50"/>
      <c r="F54" s="47"/>
    </row>
    <row r="55">
      <c r="A55" s="48"/>
      <c r="B55" s="49"/>
      <c r="C55" s="49"/>
      <c r="D55" s="49"/>
      <c r="E55" s="50"/>
      <c r="F55" s="47"/>
    </row>
    <row r="56">
      <c r="A56" s="48"/>
      <c r="B56" s="49"/>
      <c r="C56" s="49"/>
      <c r="D56" s="49"/>
      <c r="E56" s="50"/>
      <c r="F56" s="47"/>
    </row>
    <row r="57">
      <c r="A57" s="48"/>
      <c r="B57" s="49"/>
      <c r="C57" s="49"/>
      <c r="D57" s="49"/>
      <c r="E57" s="50"/>
      <c r="F57" s="47"/>
    </row>
    <row r="58">
      <c r="A58" s="48"/>
      <c r="B58" s="49"/>
      <c r="C58" s="49"/>
      <c r="D58" s="49"/>
      <c r="E58" s="50"/>
      <c r="F58" s="47"/>
    </row>
    <row r="59">
      <c r="A59" s="48"/>
      <c r="B59" s="49"/>
      <c r="C59" s="49"/>
      <c r="D59" s="49"/>
      <c r="E59" s="50"/>
      <c r="F59" s="47"/>
    </row>
    <row r="60">
      <c r="A60" s="48"/>
      <c r="B60" s="49"/>
      <c r="C60" s="49"/>
      <c r="D60" s="49"/>
      <c r="E60" s="50"/>
      <c r="F60" s="47"/>
    </row>
    <row r="61">
      <c r="A61" s="48"/>
      <c r="B61" s="49"/>
      <c r="C61" s="49"/>
      <c r="D61" s="49"/>
      <c r="E61" s="50"/>
      <c r="F61" s="47"/>
    </row>
    <row r="62">
      <c r="A62" s="48"/>
      <c r="B62" s="49"/>
      <c r="C62" s="49"/>
      <c r="D62" s="49"/>
      <c r="E62" s="50"/>
      <c r="F62" s="47"/>
    </row>
    <row r="63">
      <c r="A63" s="48"/>
      <c r="B63" s="49"/>
      <c r="C63" s="49"/>
      <c r="D63" s="49"/>
      <c r="E63" s="50"/>
      <c r="F63" s="47"/>
    </row>
    <row r="64">
      <c r="A64" s="48"/>
      <c r="B64" s="49"/>
      <c r="C64" s="49"/>
      <c r="D64" s="49"/>
      <c r="E64" s="50"/>
      <c r="F64" s="47"/>
    </row>
    <row r="65">
      <c r="A65" s="48"/>
      <c r="B65" s="49"/>
      <c r="C65" s="49"/>
      <c r="D65" s="49"/>
      <c r="E65" s="50"/>
      <c r="F65" s="47"/>
    </row>
    <row r="66">
      <c r="A66" s="48"/>
      <c r="B66" s="49"/>
      <c r="C66" s="49"/>
      <c r="D66" s="49"/>
      <c r="E66" s="50"/>
      <c r="F66" s="47"/>
    </row>
    <row r="67">
      <c r="A67" s="48"/>
      <c r="B67" s="49"/>
      <c r="C67" s="49"/>
      <c r="D67" s="49"/>
      <c r="E67" s="50"/>
      <c r="F67" s="47"/>
    </row>
    <row r="68">
      <c r="A68" s="48"/>
      <c r="B68" s="49"/>
      <c r="C68" s="49"/>
      <c r="D68" s="49"/>
      <c r="E68" s="49"/>
      <c r="F68" s="47"/>
    </row>
    <row r="69">
      <c r="A69" s="48"/>
      <c r="B69" s="49"/>
      <c r="C69" s="49"/>
      <c r="D69" s="49"/>
      <c r="E69" s="49"/>
      <c r="F69" s="47"/>
    </row>
    <row r="70">
      <c r="A70" s="48"/>
      <c r="B70" s="49"/>
      <c r="C70" s="49"/>
      <c r="D70" s="49"/>
      <c r="E70" s="50"/>
      <c r="F70" s="47"/>
    </row>
    <row r="71">
      <c r="A71" s="48"/>
      <c r="B71" s="49"/>
      <c r="C71" s="49"/>
      <c r="D71" s="49"/>
      <c r="E71" s="50"/>
      <c r="F71" s="47"/>
    </row>
    <row r="72">
      <c r="A72" s="48"/>
      <c r="B72" s="49"/>
      <c r="C72" s="49"/>
      <c r="D72" s="49"/>
      <c r="E72" s="50"/>
      <c r="F72" s="47"/>
    </row>
    <row r="73">
      <c r="A73" s="48"/>
      <c r="B73" s="49"/>
      <c r="C73" s="49"/>
      <c r="D73" s="49"/>
      <c r="E73" s="50"/>
      <c r="F73" s="47"/>
    </row>
    <row r="74">
      <c r="A74" s="48"/>
      <c r="B74" s="49"/>
      <c r="C74" s="49"/>
      <c r="D74" s="45"/>
      <c r="E74" s="50"/>
      <c r="F74" s="47"/>
    </row>
    <row r="75">
      <c r="A75" s="48"/>
      <c r="B75" s="49"/>
      <c r="C75" s="49"/>
      <c r="D75" s="49"/>
      <c r="E75" s="50"/>
      <c r="F75" s="47"/>
    </row>
    <row r="76">
      <c r="A76" s="48"/>
      <c r="B76" s="49"/>
      <c r="C76" s="49"/>
      <c r="D76" s="49"/>
      <c r="E76" s="50"/>
      <c r="F76" s="47"/>
    </row>
    <row r="77">
      <c r="A77" s="48"/>
      <c r="B77" s="49"/>
      <c r="C77" s="49"/>
      <c r="D77" s="49"/>
      <c r="E77" s="50"/>
      <c r="F77" s="47"/>
    </row>
    <row r="78">
      <c r="A78" s="48"/>
      <c r="B78" s="49"/>
      <c r="C78" s="49"/>
      <c r="D78" s="49"/>
      <c r="E78" s="50"/>
      <c r="F78" s="47"/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2.71"/>
    <col customWidth="1" min="3" max="3" width="33.86"/>
    <col customWidth="1" min="4" max="4" width="36.57"/>
  </cols>
  <sheetData>
    <row r="1">
      <c r="A1" s="52" t="s">
        <v>1391</v>
      </c>
      <c r="B1" s="2"/>
      <c r="C1" s="2"/>
      <c r="D1" s="2"/>
      <c r="E1" s="3"/>
    </row>
    <row r="2">
      <c r="A2" s="23" t="s">
        <v>1392</v>
      </c>
      <c r="B2" s="23" t="s">
        <v>1393</v>
      </c>
      <c r="C2" s="53" t="s">
        <v>1394</v>
      </c>
      <c r="D2" s="53" t="s">
        <v>1395</v>
      </c>
      <c r="E2" s="23" t="s">
        <v>1396</v>
      </c>
    </row>
    <row r="3">
      <c r="A3" s="54" t="s">
        <v>1397</v>
      </c>
      <c r="B3" s="23" t="s">
        <v>1398</v>
      </c>
      <c r="C3" s="53">
        <v>44969.854166666664</v>
      </c>
      <c r="D3" s="55"/>
      <c r="E3" s="10"/>
    </row>
    <row r="4">
      <c r="A4" s="54" t="s">
        <v>1399</v>
      </c>
      <c r="B4" s="23" t="s">
        <v>1398</v>
      </c>
      <c r="C4" s="56"/>
      <c r="D4" s="55"/>
      <c r="E4" s="10"/>
    </row>
    <row r="5">
      <c r="A5" s="23" t="s">
        <v>1400</v>
      </c>
      <c r="B5" s="23"/>
      <c r="C5" s="56"/>
      <c r="D5" s="55"/>
      <c r="E5" s="10"/>
    </row>
    <row r="6">
      <c r="A6" s="23" t="s">
        <v>1401</v>
      </c>
      <c r="B6" s="23"/>
      <c r="C6" s="56"/>
      <c r="D6" s="55"/>
      <c r="E6" s="10"/>
    </row>
    <row r="7">
      <c r="A7" s="23" t="s">
        <v>1402</v>
      </c>
      <c r="B7" s="23" t="s">
        <v>1398</v>
      </c>
      <c r="C7" s="57"/>
      <c r="D7" s="55"/>
      <c r="E7" s="23"/>
    </row>
    <row r="8">
      <c r="A8" s="54" t="s">
        <v>1403</v>
      </c>
      <c r="B8" s="23"/>
      <c r="C8" s="56"/>
      <c r="D8" s="55"/>
      <c r="E8" s="10"/>
    </row>
    <row r="9">
      <c r="A9" s="23" t="s">
        <v>1404</v>
      </c>
      <c r="B9" s="23"/>
      <c r="C9" s="56"/>
      <c r="D9" s="55"/>
      <c r="E9" s="10"/>
    </row>
    <row r="10">
      <c r="A10" s="54" t="s">
        <v>1405</v>
      </c>
      <c r="B10" s="23" t="s">
        <v>1398</v>
      </c>
      <c r="C10" s="56"/>
      <c r="D10" s="55"/>
      <c r="E10" s="10"/>
    </row>
    <row r="11">
      <c r="A11" s="23" t="s">
        <v>1406</v>
      </c>
      <c r="B11" s="23"/>
      <c r="C11" s="56"/>
      <c r="D11" s="55"/>
      <c r="E11" s="10"/>
    </row>
    <row r="12">
      <c r="A12" s="23" t="s">
        <v>1407</v>
      </c>
      <c r="B12" s="23"/>
      <c r="C12" s="56"/>
      <c r="D12" s="55"/>
      <c r="E12" s="10"/>
    </row>
    <row r="13">
      <c r="A13" s="23" t="s">
        <v>1408</v>
      </c>
      <c r="B13" s="23"/>
      <c r="C13" s="56"/>
      <c r="D13" s="55"/>
      <c r="E13" s="10"/>
    </row>
    <row r="14">
      <c r="A14" s="54" t="s">
        <v>1409</v>
      </c>
      <c r="B14" s="23"/>
      <c r="C14" s="56"/>
      <c r="D14" s="55"/>
      <c r="E14" s="10"/>
    </row>
    <row r="15">
      <c r="A15" s="23" t="s">
        <v>1410</v>
      </c>
      <c r="B15" s="23"/>
      <c r="C15" s="56"/>
      <c r="D15" s="55"/>
      <c r="E15" s="10"/>
    </row>
    <row r="16">
      <c r="A16" s="23" t="s">
        <v>1411</v>
      </c>
      <c r="B16" s="23"/>
      <c r="C16" s="56"/>
      <c r="D16" s="55"/>
      <c r="E16" s="10"/>
    </row>
    <row r="17">
      <c r="A17" s="23" t="s">
        <v>1412</v>
      </c>
      <c r="B17" s="23"/>
      <c r="C17" s="56"/>
      <c r="D17" s="55"/>
      <c r="E17" s="23" t="s">
        <v>1413</v>
      </c>
    </row>
    <row r="18">
      <c r="A18" s="54" t="s">
        <v>1414</v>
      </c>
      <c r="B18" s="23" t="s">
        <v>1398</v>
      </c>
      <c r="C18" s="56"/>
      <c r="D18" s="55"/>
      <c r="E18" s="10"/>
    </row>
    <row r="19">
      <c r="A19" s="54" t="s">
        <v>1415</v>
      </c>
      <c r="B19" s="23"/>
      <c r="C19" s="56"/>
      <c r="D19" s="55"/>
      <c r="E19" s="10"/>
    </row>
    <row r="20">
      <c r="A20" s="23" t="s">
        <v>1416</v>
      </c>
      <c r="B20" s="23"/>
      <c r="C20" s="56"/>
      <c r="D20" s="55"/>
      <c r="E20" s="10"/>
    </row>
    <row r="21">
      <c r="A21" s="23" t="s">
        <v>1417</v>
      </c>
      <c r="B21" s="23"/>
      <c r="C21" s="56"/>
      <c r="D21" s="55"/>
      <c r="E21" s="10"/>
    </row>
    <row r="22">
      <c r="A22" s="23" t="s">
        <v>1418</v>
      </c>
      <c r="B22" s="23"/>
      <c r="C22" s="56"/>
      <c r="D22" s="55"/>
      <c r="E22" s="10"/>
    </row>
    <row r="23">
      <c r="A23" s="23" t="s">
        <v>1419</v>
      </c>
      <c r="B23" s="10"/>
      <c r="C23" s="56"/>
      <c r="D23" s="55"/>
      <c r="E23" s="10"/>
    </row>
    <row r="24">
      <c r="A24" s="23" t="s">
        <v>1420</v>
      </c>
      <c r="B24" s="10"/>
      <c r="C24" s="56"/>
      <c r="D24" s="55"/>
      <c r="E24" s="10"/>
    </row>
    <row r="25">
      <c r="A25" s="23" t="s">
        <v>1421</v>
      </c>
      <c r="B25" s="10"/>
      <c r="C25" s="56"/>
      <c r="D25" s="55"/>
      <c r="E25" s="10"/>
    </row>
    <row r="26">
      <c r="A26" s="23" t="s">
        <v>1422</v>
      </c>
      <c r="B26" s="10"/>
      <c r="C26" s="56"/>
      <c r="D26" s="55"/>
      <c r="E26" s="10"/>
    </row>
    <row r="27">
      <c r="A27" s="23" t="s">
        <v>1423</v>
      </c>
      <c r="B27" s="10"/>
      <c r="C27" s="56"/>
      <c r="D27" s="55"/>
      <c r="E27" s="10"/>
    </row>
    <row r="28">
      <c r="A28" s="58"/>
      <c r="B28" s="58"/>
      <c r="C28" s="59"/>
      <c r="D28" s="60"/>
      <c r="E28" s="58"/>
    </row>
    <row r="29">
      <c r="A29" s="58"/>
      <c r="B29" s="58"/>
      <c r="C29" s="59"/>
      <c r="D29" s="60"/>
      <c r="E29" s="58"/>
    </row>
    <row r="30">
      <c r="A30" s="58"/>
      <c r="B30" s="58"/>
      <c r="C30" s="59"/>
      <c r="D30" s="60"/>
      <c r="E30" s="58"/>
    </row>
    <row r="31">
      <c r="A31" s="58"/>
      <c r="B31" s="58"/>
      <c r="C31" s="59"/>
      <c r="D31" s="60"/>
      <c r="E31" s="58"/>
    </row>
    <row r="32">
      <c r="A32" s="58"/>
      <c r="B32" s="58"/>
      <c r="C32" s="59"/>
      <c r="D32" s="60"/>
      <c r="E32" s="58"/>
    </row>
    <row r="33">
      <c r="A33" s="58"/>
      <c r="B33" s="58"/>
      <c r="C33" s="59"/>
      <c r="D33" s="60"/>
      <c r="E33" s="58"/>
    </row>
    <row r="34">
      <c r="A34" s="58"/>
      <c r="B34" s="58"/>
      <c r="C34" s="59"/>
      <c r="D34" s="60"/>
      <c r="E34" s="58"/>
    </row>
    <row r="35">
      <c r="A35" s="58"/>
      <c r="B35" s="61" t="s">
        <v>1424</v>
      </c>
      <c r="C35" s="61" t="s">
        <v>1425</v>
      </c>
      <c r="D35" s="60"/>
      <c r="E35" s="58"/>
    </row>
    <row r="36">
      <c r="A36" s="58"/>
      <c r="B36" s="61" t="s">
        <v>1426</v>
      </c>
      <c r="C36" s="61" t="s">
        <v>1427</v>
      </c>
      <c r="D36" s="60"/>
      <c r="E36" s="58"/>
    </row>
    <row r="37">
      <c r="A37" s="58"/>
      <c r="B37" s="61" t="s">
        <v>1428</v>
      </c>
      <c r="C37" s="61" t="s">
        <v>1429</v>
      </c>
      <c r="D37" s="60"/>
      <c r="E37" s="58"/>
    </row>
    <row r="38">
      <c r="A38" s="58"/>
      <c r="B38" s="61" t="s">
        <v>1430</v>
      </c>
      <c r="C38" s="61" t="s">
        <v>1431</v>
      </c>
      <c r="D38" s="60"/>
      <c r="E38" s="58"/>
    </row>
    <row r="39">
      <c r="A39" s="58"/>
      <c r="B39" s="61" t="s">
        <v>1432</v>
      </c>
      <c r="C39" s="59"/>
      <c r="D39" s="60"/>
      <c r="E39" s="58"/>
    </row>
    <row r="40">
      <c r="A40" s="58"/>
      <c r="B40" s="61" t="s">
        <v>1433</v>
      </c>
      <c r="C40" s="59"/>
      <c r="D40" s="60"/>
      <c r="E40" s="58"/>
    </row>
    <row r="41">
      <c r="A41" s="58"/>
      <c r="B41" s="58"/>
      <c r="C41" s="59"/>
      <c r="D41" s="60"/>
      <c r="E41" s="58"/>
    </row>
    <row r="42">
      <c r="A42" s="58"/>
      <c r="B42" s="58"/>
      <c r="C42" s="59"/>
      <c r="D42" s="60"/>
      <c r="E42" s="58"/>
    </row>
    <row r="43">
      <c r="A43" s="58"/>
      <c r="B43" s="58"/>
      <c r="C43" s="59"/>
      <c r="D43" s="60"/>
      <c r="E43" s="58"/>
    </row>
    <row r="44">
      <c r="A44" s="58"/>
      <c r="B44" s="58"/>
      <c r="C44" s="59"/>
      <c r="D44" s="60"/>
      <c r="E44" s="58"/>
    </row>
    <row r="45">
      <c r="A45" s="58"/>
      <c r="B45" s="58"/>
      <c r="C45" s="59"/>
      <c r="D45" s="60"/>
      <c r="E45" s="58"/>
    </row>
    <row r="46">
      <c r="A46" s="58"/>
      <c r="B46" s="58"/>
      <c r="C46" s="59"/>
      <c r="D46" s="60"/>
      <c r="E46" s="58"/>
    </row>
    <row r="47">
      <c r="A47" s="58"/>
      <c r="B47" s="58"/>
      <c r="C47" s="59"/>
      <c r="D47" s="60"/>
      <c r="E47" s="58"/>
    </row>
    <row r="48">
      <c r="A48" s="58"/>
      <c r="B48" s="58"/>
      <c r="C48" s="59"/>
      <c r="D48" s="60"/>
      <c r="E48" s="58"/>
    </row>
    <row r="49">
      <c r="A49" s="58"/>
      <c r="B49" s="58"/>
      <c r="C49" s="59"/>
      <c r="D49" s="60"/>
      <c r="E49" s="58"/>
    </row>
    <row r="50">
      <c r="A50" s="58"/>
      <c r="B50" s="58"/>
      <c r="C50" s="59"/>
      <c r="D50" s="60"/>
      <c r="E50" s="58"/>
    </row>
    <row r="51">
      <c r="A51" s="58"/>
      <c r="B51" s="58"/>
      <c r="C51" s="59"/>
      <c r="D51" s="60"/>
      <c r="E51" s="58"/>
    </row>
    <row r="52">
      <c r="A52" s="58"/>
      <c r="B52" s="58"/>
      <c r="C52" s="59"/>
      <c r="D52" s="60"/>
      <c r="E52" s="58"/>
    </row>
    <row r="53">
      <c r="A53" s="58"/>
      <c r="B53" s="58"/>
      <c r="C53" s="59"/>
      <c r="D53" s="60"/>
      <c r="E53" s="58"/>
    </row>
    <row r="54">
      <c r="A54" s="58"/>
      <c r="B54" s="58"/>
      <c r="C54" s="59"/>
      <c r="D54" s="60"/>
      <c r="E54" s="58"/>
    </row>
    <row r="55">
      <c r="A55" s="58"/>
      <c r="B55" s="58"/>
      <c r="C55" s="59"/>
      <c r="D55" s="60"/>
      <c r="E55" s="58"/>
    </row>
    <row r="56">
      <c r="A56" s="58"/>
      <c r="B56" s="58"/>
      <c r="C56" s="59"/>
      <c r="D56" s="60"/>
      <c r="E56" s="58"/>
    </row>
    <row r="57">
      <c r="A57" s="58"/>
      <c r="B57" s="58"/>
      <c r="C57" s="59"/>
      <c r="D57" s="60"/>
      <c r="E57" s="58"/>
    </row>
    <row r="58">
      <c r="A58" s="58"/>
      <c r="B58" s="58"/>
      <c r="C58" s="59"/>
      <c r="D58" s="60"/>
      <c r="E58" s="58"/>
    </row>
    <row r="59">
      <c r="A59" s="58"/>
      <c r="B59" s="58"/>
      <c r="C59" s="59"/>
      <c r="D59" s="60"/>
      <c r="E59" s="58"/>
    </row>
    <row r="60">
      <c r="A60" s="58"/>
      <c r="B60" s="58"/>
      <c r="C60" s="59"/>
      <c r="D60" s="60"/>
      <c r="E60" s="58"/>
    </row>
    <row r="61">
      <c r="A61" s="58"/>
      <c r="B61" s="58"/>
      <c r="C61" s="59"/>
      <c r="D61" s="60"/>
      <c r="E61" s="58"/>
    </row>
    <row r="62">
      <c r="A62" s="58"/>
      <c r="B62" s="58"/>
      <c r="C62" s="59"/>
      <c r="D62" s="60"/>
      <c r="E62" s="58"/>
    </row>
    <row r="63">
      <c r="A63" s="58"/>
      <c r="B63" s="58"/>
      <c r="C63" s="59"/>
      <c r="D63" s="60"/>
      <c r="E63" s="58"/>
    </row>
    <row r="64">
      <c r="A64" s="58"/>
      <c r="B64" s="58"/>
      <c r="C64" s="59"/>
      <c r="D64" s="60"/>
      <c r="E64" s="58"/>
    </row>
    <row r="65">
      <c r="A65" s="58"/>
      <c r="B65" s="58"/>
      <c r="C65" s="59"/>
      <c r="D65" s="60"/>
      <c r="E65" s="58"/>
    </row>
    <row r="66">
      <c r="A66" s="58"/>
      <c r="B66" s="58"/>
      <c r="C66" s="59"/>
      <c r="D66" s="60"/>
      <c r="E66" s="58"/>
    </row>
    <row r="67">
      <c r="A67" s="58"/>
      <c r="B67" s="58"/>
      <c r="C67" s="59"/>
      <c r="D67" s="60"/>
      <c r="E67" s="58"/>
    </row>
    <row r="68">
      <c r="A68" s="58"/>
      <c r="B68" s="58"/>
      <c r="C68" s="59"/>
      <c r="D68" s="60"/>
      <c r="E68" s="58"/>
    </row>
    <row r="69">
      <c r="A69" s="58"/>
      <c r="B69" s="58"/>
      <c r="C69" s="59"/>
      <c r="D69" s="60"/>
      <c r="E69" s="58"/>
    </row>
    <row r="70">
      <c r="A70" s="58"/>
      <c r="B70" s="58"/>
      <c r="C70" s="59"/>
      <c r="D70" s="60"/>
      <c r="E70" s="58"/>
    </row>
    <row r="71">
      <c r="A71" s="58"/>
      <c r="B71" s="58"/>
      <c r="C71" s="59"/>
      <c r="D71" s="60"/>
      <c r="E71" s="58"/>
    </row>
    <row r="72">
      <c r="A72" s="58"/>
      <c r="B72" s="58"/>
      <c r="C72" s="59"/>
      <c r="D72" s="60"/>
      <c r="E72" s="58"/>
    </row>
    <row r="73">
      <c r="A73" s="58"/>
      <c r="B73" s="58"/>
      <c r="C73" s="59"/>
      <c r="D73" s="60"/>
      <c r="E73" s="58"/>
    </row>
    <row r="74">
      <c r="A74" s="58"/>
      <c r="B74" s="58"/>
      <c r="C74" s="59"/>
      <c r="D74" s="60"/>
      <c r="E74" s="58"/>
    </row>
    <row r="75">
      <c r="A75" s="58"/>
      <c r="B75" s="58"/>
      <c r="C75" s="59"/>
      <c r="D75" s="60"/>
      <c r="E75" s="58"/>
    </row>
    <row r="76">
      <c r="A76" s="58"/>
      <c r="B76" s="58"/>
      <c r="C76" s="59"/>
      <c r="D76" s="60"/>
      <c r="E76" s="58"/>
    </row>
    <row r="77">
      <c r="A77" s="58"/>
      <c r="B77" s="58"/>
      <c r="C77" s="59"/>
      <c r="D77" s="60"/>
      <c r="E77" s="58"/>
    </row>
    <row r="78">
      <c r="A78" s="58"/>
      <c r="B78" s="58"/>
      <c r="C78" s="59"/>
      <c r="D78" s="60"/>
      <c r="E78" s="58"/>
    </row>
    <row r="79">
      <c r="A79" s="58"/>
      <c r="B79" s="58"/>
      <c r="C79" s="59"/>
      <c r="D79" s="60"/>
      <c r="E79" s="58"/>
    </row>
    <row r="80">
      <c r="A80" s="58"/>
      <c r="B80" s="58"/>
      <c r="C80" s="59"/>
      <c r="D80" s="60"/>
      <c r="E80" s="58"/>
    </row>
    <row r="81">
      <c r="A81" s="58"/>
      <c r="B81" s="58"/>
      <c r="C81" s="59"/>
      <c r="D81" s="60"/>
      <c r="E81" s="58"/>
    </row>
    <row r="82">
      <c r="A82" s="58"/>
      <c r="B82" s="58"/>
      <c r="C82" s="59"/>
      <c r="D82" s="60"/>
      <c r="E82" s="58"/>
    </row>
    <row r="83">
      <c r="A83" s="58"/>
      <c r="B83" s="58"/>
      <c r="C83" s="59"/>
      <c r="D83" s="60"/>
      <c r="E83" s="58"/>
    </row>
    <row r="84">
      <c r="A84" s="58"/>
      <c r="B84" s="58"/>
      <c r="C84" s="59"/>
      <c r="D84" s="60"/>
      <c r="E84" s="58"/>
    </row>
    <row r="85">
      <c r="A85" s="58"/>
      <c r="B85" s="58"/>
      <c r="C85" s="59"/>
      <c r="D85" s="60"/>
      <c r="E85" s="58"/>
    </row>
    <row r="86">
      <c r="A86" s="58"/>
      <c r="B86" s="58"/>
      <c r="C86" s="59"/>
      <c r="D86" s="60"/>
      <c r="E86" s="58"/>
    </row>
    <row r="87">
      <c r="A87" s="58"/>
      <c r="B87" s="58"/>
      <c r="C87" s="59"/>
      <c r="D87" s="60"/>
      <c r="E87" s="58"/>
    </row>
    <row r="88">
      <c r="A88" s="58"/>
      <c r="B88" s="58"/>
      <c r="C88" s="59"/>
      <c r="D88" s="60"/>
      <c r="E88" s="58"/>
    </row>
    <row r="89">
      <c r="A89" s="58"/>
      <c r="B89" s="58"/>
      <c r="C89" s="59"/>
      <c r="D89" s="60"/>
      <c r="E89" s="58"/>
    </row>
    <row r="90">
      <c r="A90" s="58"/>
      <c r="B90" s="58"/>
      <c r="C90" s="59"/>
      <c r="D90" s="60"/>
      <c r="E90" s="58"/>
    </row>
    <row r="91">
      <c r="A91" s="58"/>
      <c r="B91" s="58"/>
      <c r="C91" s="59"/>
      <c r="D91" s="60"/>
      <c r="E91" s="58"/>
    </row>
    <row r="92">
      <c r="A92" s="58"/>
      <c r="B92" s="58"/>
      <c r="C92" s="59"/>
      <c r="D92" s="60"/>
      <c r="E92" s="58"/>
    </row>
    <row r="93">
      <c r="A93" s="58"/>
      <c r="B93" s="58"/>
      <c r="C93" s="59"/>
      <c r="D93" s="60"/>
      <c r="E93" s="58"/>
    </row>
    <row r="94">
      <c r="A94" s="58"/>
      <c r="B94" s="58"/>
      <c r="C94" s="59"/>
      <c r="D94" s="60"/>
      <c r="E94" s="58"/>
    </row>
    <row r="95">
      <c r="A95" s="58"/>
      <c r="B95" s="58"/>
      <c r="C95" s="59"/>
      <c r="D95" s="60"/>
      <c r="E95" s="58"/>
    </row>
    <row r="96">
      <c r="A96" s="58"/>
      <c r="B96" s="58"/>
      <c r="C96" s="59"/>
      <c r="D96" s="60"/>
      <c r="E96" s="58"/>
    </row>
    <row r="97">
      <c r="A97" s="58"/>
      <c r="B97" s="58"/>
      <c r="C97" s="59"/>
      <c r="D97" s="60"/>
      <c r="E97" s="58"/>
    </row>
    <row r="98">
      <c r="A98" s="58"/>
      <c r="B98" s="58"/>
      <c r="C98" s="59"/>
      <c r="D98" s="60"/>
      <c r="E98" s="58"/>
    </row>
    <row r="99">
      <c r="A99" s="58"/>
      <c r="B99" s="58"/>
      <c r="C99" s="59"/>
      <c r="D99" s="60"/>
      <c r="E99" s="58"/>
    </row>
    <row r="100">
      <c r="A100" s="58"/>
      <c r="B100" s="58"/>
      <c r="C100" s="59"/>
      <c r="D100" s="60"/>
      <c r="E100" s="58"/>
    </row>
    <row r="101">
      <c r="A101" s="58"/>
      <c r="B101" s="58"/>
      <c r="C101" s="59"/>
      <c r="D101" s="60"/>
      <c r="E101" s="58"/>
    </row>
    <row r="102">
      <c r="A102" s="58"/>
      <c r="B102" s="58"/>
      <c r="C102" s="59"/>
      <c r="D102" s="60"/>
      <c r="E102" s="58"/>
    </row>
    <row r="103">
      <c r="A103" s="58"/>
      <c r="B103" s="58"/>
      <c r="C103" s="59"/>
      <c r="D103" s="60"/>
      <c r="E103" s="58"/>
    </row>
    <row r="104">
      <c r="A104" s="58"/>
      <c r="B104" s="58"/>
      <c r="C104" s="59"/>
      <c r="D104" s="60"/>
      <c r="E104" s="58"/>
    </row>
    <row r="105">
      <c r="A105" s="58"/>
      <c r="B105" s="58"/>
      <c r="C105" s="59"/>
      <c r="D105" s="60"/>
      <c r="E105" s="58"/>
    </row>
    <row r="106">
      <c r="A106" s="58"/>
      <c r="B106" s="58"/>
      <c r="C106" s="59"/>
      <c r="D106" s="60"/>
      <c r="E106" s="58"/>
    </row>
    <row r="107">
      <c r="A107" s="58"/>
      <c r="B107" s="58"/>
      <c r="C107" s="59"/>
      <c r="D107" s="60"/>
      <c r="E107" s="58"/>
    </row>
    <row r="108">
      <c r="A108" s="58"/>
      <c r="B108" s="58"/>
      <c r="C108" s="59"/>
      <c r="D108" s="60"/>
      <c r="E108" s="58"/>
    </row>
    <row r="109">
      <c r="A109" s="58"/>
      <c r="B109" s="58"/>
      <c r="C109" s="59"/>
      <c r="D109" s="60"/>
      <c r="E109" s="58"/>
    </row>
    <row r="110">
      <c r="A110" s="58"/>
      <c r="B110" s="58"/>
      <c r="C110" s="59"/>
      <c r="D110" s="60"/>
      <c r="E110" s="58"/>
    </row>
    <row r="111">
      <c r="A111" s="58"/>
      <c r="B111" s="58"/>
      <c r="C111" s="59"/>
      <c r="D111" s="60"/>
      <c r="E111" s="58"/>
    </row>
    <row r="112">
      <c r="A112" s="58"/>
      <c r="B112" s="58"/>
      <c r="C112" s="59"/>
      <c r="D112" s="60"/>
      <c r="E112" s="58"/>
    </row>
    <row r="113">
      <c r="A113" s="58"/>
      <c r="B113" s="58"/>
      <c r="C113" s="59"/>
      <c r="D113" s="60"/>
      <c r="E113" s="58"/>
    </row>
    <row r="114">
      <c r="A114" s="58"/>
      <c r="B114" s="58"/>
      <c r="C114" s="59"/>
      <c r="D114" s="60"/>
      <c r="E114" s="58"/>
    </row>
    <row r="115">
      <c r="A115" s="58"/>
      <c r="B115" s="58"/>
      <c r="C115" s="59"/>
      <c r="D115" s="60"/>
      <c r="E115" s="58"/>
    </row>
    <row r="116">
      <c r="A116" s="58"/>
      <c r="B116" s="58"/>
      <c r="C116" s="59"/>
      <c r="D116" s="60"/>
      <c r="E116" s="58"/>
    </row>
    <row r="117">
      <c r="A117" s="58"/>
      <c r="B117" s="58"/>
      <c r="C117" s="59"/>
      <c r="D117" s="60"/>
      <c r="E117" s="58"/>
    </row>
    <row r="118">
      <c r="A118" s="58"/>
      <c r="B118" s="58"/>
      <c r="C118" s="59"/>
      <c r="D118" s="60"/>
      <c r="E118" s="58"/>
    </row>
    <row r="119">
      <c r="A119" s="58"/>
      <c r="B119" s="58"/>
      <c r="C119" s="59"/>
      <c r="D119" s="60"/>
      <c r="E119" s="58"/>
    </row>
    <row r="120">
      <c r="A120" s="58"/>
      <c r="B120" s="58"/>
      <c r="C120" s="59"/>
      <c r="D120" s="60"/>
      <c r="E120" s="58"/>
    </row>
    <row r="121">
      <c r="A121" s="58"/>
      <c r="B121" s="58"/>
      <c r="C121" s="59"/>
      <c r="D121" s="60"/>
      <c r="E121" s="58"/>
    </row>
    <row r="122">
      <c r="A122" s="58"/>
      <c r="B122" s="58"/>
      <c r="C122" s="59"/>
      <c r="D122" s="60"/>
      <c r="E122" s="58"/>
    </row>
    <row r="123">
      <c r="A123" s="58"/>
      <c r="B123" s="58"/>
      <c r="C123" s="59"/>
      <c r="D123" s="60"/>
      <c r="E123" s="58"/>
    </row>
    <row r="124">
      <c r="A124" s="58"/>
      <c r="B124" s="58"/>
      <c r="C124" s="59"/>
      <c r="D124" s="60"/>
      <c r="E124" s="58"/>
    </row>
    <row r="125">
      <c r="A125" s="58"/>
      <c r="B125" s="58"/>
      <c r="C125" s="59"/>
      <c r="D125" s="60"/>
      <c r="E125" s="58"/>
    </row>
    <row r="126">
      <c r="A126" s="58"/>
      <c r="B126" s="58"/>
      <c r="C126" s="59"/>
      <c r="D126" s="60"/>
      <c r="E126" s="58"/>
    </row>
    <row r="127">
      <c r="A127" s="58"/>
      <c r="B127" s="58"/>
      <c r="C127" s="59"/>
      <c r="D127" s="60"/>
      <c r="E127" s="58"/>
    </row>
    <row r="128">
      <c r="A128" s="58"/>
      <c r="B128" s="58"/>
      <c r="C128" s="59"/>
      <c r="D128" s="60"/>
      <c r="E128" s="58"/>
    </row>
    <row r="129">
      <c r="A129" s="58"/>
      <c r="B129" s="58"/>
      <c r="C129" s="59"/>
      <c r="D129" s="60"/>
      <c r="E129" s="58"/>
    </row>
    <row r="130">
      <c r="A130" s="58"/>
      <c r="B130" s="58"/>
      <c r="C130" s="59"/>
      <c r="D130" s="60"/>
      <c r="E130" s="58"/>
    </row>
    <row r="131">
      <c r="A131" s="58"/>
      <c r="B131" s="58"/>
      <c r="C131" s="59"/>
      <c r="D131" s="60"/>
      <c r="E131" s="58"/>
    </row>
    <row r="132">
      <c r="A132" s="58"/>
      <c r="B132" s="58"/>
      <c r="C132" s="59"/>
      <c r="D132" s="60"/>
      <c r="E132" s="58"/>
    </row>
    <row r="133">
      <c r="A133" s="58"/>
      <c r="B133" s="58"/>
      <c r="C133" s="59"/>
      <c r="D133" s="60"/>
      <c r="E133" s="58"/>
    </row>
    <row r="134">
      <c r="A134" s="58"/>
      <c r="B134" s="58"/>
      <c r="C134" s="59"/>
      <c r="D134" s="60"/>
      <c r="E134" s="58"/>
    </row>
    <row r="135">
      <c r="A135" s="58"/>
      <c r="B135" s="58"/>
      <c r="C135" s="59"/>
      <c r="D135" s="60"/>
      <c r="E135" s="58"/>
    </row>
    <row r="136">
      <c r="A136" s="58"/>
      <c r="B136" s="58"/>
      <c r="C136" s="59"/>
      <c r="D136" s="60"/>
      <c r="E136" s="58"/>
    </row>
    <row r="137">
      <c r="A137" s="58"/>
      <c r="B137" s="58"/>
      <c r="C137" s="59"/>
      <c r="D137" s="60"/>
      <c r="E137" s="58"/>
    </row>
    <row r="138">
      <c r="A138" s="58"/>
      <c r="B138" s="58"/>
      <c r="C138" s="59"/>
      <c r="D138" s="60"/>
      <c r="E138" s="58"/>
    </row>
    <row r="139">
      <c r="A139" s="58"/>
      <c r="B139" s="58"/>
      <c r="C139" s="59"/>
      <c r="D139" s="60"/>
      <c r="E139" s="58"/>
    </row>
    <row r="140">
      <c r="A140" s="58"/>
      <c r="B140" s="58"/>
      <c r="C140" s="59"/>
      <c r="D140" s="60"/>
      <c r="E140" s="58"/>
    </row>
    <row r="141">
      <c r="A141" s="58"/>
      <c r="B141" s="58"/>
      <c r="C141" s="59"/>
      <c r="D141" s="60"/>
      <c r="E141" s="58"/>
    </row>
    <row r="142">
      <c r="A142" s="58"/>
      <c r="B142" s="58"/>
      <c r="C142" s="59"/>
      <c r="D142" s="60"/>
      <c r="E142" s="58"/>
    </row>
    <row r="143">
      <c r="A143" s="58"/>
      <c r="B143" s="58"/>
      <c r="C143" s="59"/>
      <c r="D143" s="60"/>
      <c r="E143" s="58"/>
    </row>
    <row r="144">
      <c r="A144" s="58"/>
      <c r="B144" s="58"/>
      <c r="C144" s="59"/>
      <c r="D144" s="60"/>
      <c r="E144" s="58"/>
    </row>
    <row r="145">
      <c r="A145" s="58"/>
      <c r="B145" s="58"/>
      <c r="C145" s="59"/>
      <c r="D145" s="60"/>
      <c r="E145" s="58"/>
    </row>
    <row r="146">
      <c r="A146" s="58"/>
      <c r="B146" s="58"/>
      <c r="C146" s="59"/>
      <c r="D146" s="60"/>
      <c r="E146" s="58"/>
    </row>
    <row r="147">
      <c r="A147" s="58"/>
      <c r="B147" s="58"/>
      <c r="C147" s="59"/>
      <c r="D147" s="60"/>
      <c r="E147" s="58"/>
    </row>
    <row r="148">
      <c r="A148" s="58"/>
      <c r="B148" s="58"/>
      <c r="C148" s="59"/>
      <c r="D148" s="60"/>
      <c r="E148" s="58"/>
    </row>
    <row r="149">
      <c r="A149" s="58"/>
      <c r="B149" s="58"/>
      <c r="C149" s="59"/>
      <c r="D149" s="60"/>
      <c r="E149" s="58"/>
    </row>
    <row r="150">
      <c r="A150" s="58"/>
      <c r="B150" s="58"/>
      <c r="C150" s="59"/>
      <c r="D150" s="60"/>
      <c r="E150" s="58"/>
    </row>
    <row r="151">
      <c r="A151" s="58"/>
      <c r="B151" s="58"/>
      <c r="C151" s="59"/>
      <c r="D151" s="60"/>
      <c r="E151" s="58"/>
    </row>
    <row r="152">
      <c r="A152" s="58"/>
      <c r="B152" s="58"/>
      <c r="C152" s="59"/>
      <c r="D152" s="60"/>
      <c r="E152" s="58"/>
    </row>
    <row r="153">
      <c r="A153" s="58"/>
      <c r="B153" s="58"/>
      <c r="C153" s="59"/>
      <c r="D153" s="60"/>
      <c r="E153" s="58"/>
    </row>
    <row r="154">
      <c r="A154" s="58"/>
      <c r="B154" s="58"/>
      <c r="C154" s="59"/>
      <c r="D154" s="60"/>
      <c r="E154" s="58"/>
    </row>
    <row r="155">
      <c r="A155" s="58"/>
      <c r="B155" s="58"/>
      <c r="C155" s="59"/>
      <c r="D155" s="60"/>
      <c r="E155" s="58"/>
    </row>
    <row r="156">
      <c r="A156" s="58"/>
      <c r="B156" s="58"/>
      <c r="C156" s="59"/>
      <c r="D156" s="60"/>
      <c r="E156" s="58"/>
    </row>
    <row r="157">
      <c r="A157" s="58"/>
      <c r="B157" s="58"/>
      <c r="C157" s="59"/>
      <c r="D157" s="60"/>
      <c r="E157" s="58"/>
    </row>
    <row r="158">
      <c r="A158" s="58"/>
      <c r="B158" s="58"/>
      <c r="C158" s="59"/>
      <c r="D158" s="60"/>
      <c r="E158" s="58"/>
    </row>
    <row r="159">
      <c r="A159" s="58"/>
      <c r="B159" s="58"/>
      <c r="C159" s="59"/>
      <c r="D159" s="60"/>
      <c r="E159" s="58"/>
    </row>
    <row r="160">
      <c r="A160" s="58"/>
      <c r="B160" s="58"/>
      <c r="C160" s="59"/>
      <c r="D160" s="60"/>
      <c r="E160" s="58"/>
    </row>
    <row r="161">
      <c r="A161" s="58"/>
      <c r="B161" s="58"/>
      <c r="C161" s="59"/>
      <c r="D161" s="60"/>
      <c r="E161" s="58"/>
    </row>
    <row r="162">
      <c r="A162" s="58"/>
      <c r="B162" s="58"/>
      <c r="C162" s="59"/>
      <c r="D162" s="60"/>
      <c r="E162" s="58"/>
    </row>
    <row r="163">
      <c r="A163" s="58"/>
      <c r="B163" s="58"/>
      <c r="C163" s="59"/>
      <c r="D163" s="60"/>
      <c r="E163" s="58"/>
    </row>
    <row r="164">
      <c r="A164" s="58"/>
      <c r="B164" s="58"/>
      <c r="C164" s="59"/>
      <c r="D164" s="60"/>
      <c r="E164" s="58"/>
    </row>
    <row r="165">
      <c r="A165" s="58"/>
      <c r="B165" s="58"/>
      <c r="C165" s="59"/>
      <c r="D165" s="60"/>
      <c r="E165" s="58"/>
    </row>
    <row r="166">
      <c r="A166" s="58"/>
      <c r="B166" s="58"/>
      <c r="C166" s="59"/>
      <c r="D166" s="60"/>
      <c r="E166" s="58"/>
    </row>
    <row r="167">
      <c r="A167" s="58"/>
      <c r="B167" s="58"/>
      <c r="C167" s="59"/>
      <c r="D167" s="60"/>
      <c r="E167" s="58"/>
    </row>
    <row r="168">
      <c r="A168" s="58"/>
      <c r="B168" s="58"/>
      <c r="C168" s="59"/>
      <c r="D168" s="60"/>
      <c r="E168" s="58"/>
    </row>
    <row r="169">
      <c r="A169" s="58"/>
      <c r="B169" s="58"/>
      <c r="C169" s="59"/>
      <c r="D169" s="60"/>
      <c r="E169" s="58"/>
    </row>
    <row r="170">
      <c r="A170" s="58"/>
      <c r="B170" s="58"/>
      <c r="C170" s="59"/>
      <c r="D170" s="60"/>
      <c r="E170" s="58"/>
    </row>
    <row r="171">
      <c r="A171" s="58"/>
      <c r="B171" s="58"/>
      <c r="C171" s="59"/>
      <c r="D171" s="60"/>
      <c r="E171" s="58"/>
    </row>
    <row r="172">
      <c r="A172" s="58"/>
      <c r="B172" s="58"/>
      <c r="C172" s="59"/>
      <c r="D172" s="60"/>
      <c r="E172" s="58"/>
    </row>
    <row r="173">
      <c r="A173" s="58"/>
      <c r="B173" s="58"/>
      <c r="C173" s="59"/>
      <c r="D173" s="60"/>
      <c r="E173" s="58"/>
    </row>
    <row r="174">
      <c r="A174" s="58"/>
      <c r="B174" s="58"/>
      <c r="C174" s="59"/>
      <c r="D174" s="60"/>
      <c r="E174" s="58"/>
    </row>
    <row r="175">
      <c r="A175" s="58"/>
      <c r="B175" s="58"/>
      <c r="C175" s="59"/>
      <c r="D175" s="60"/>
      <c r="E175" s="58"/>
    </row>
    <row r="176">
      <c r="A176" s="58"/>
      <c r="B176" s="58"/>
      <c r="C176" s="59"/>
      <c r="D176" s="60"/>
      <c r="E176" s="58"/>
    </row>
    <row r="177">
      <c r="A177" s="58"/>
      <c r="B177" s="58"/>
      <c r="C177" s="59"/>
      <c r="D177" s="60"/>
      <c r="E177" s="58"/>
    </row>
    <row r="178">
      <c r="A178" s="58"/>
      <c r="B178" s="58"/>
      <c r="C178" s="59"/>
      <c r="D178" s="60"/>
      <c r="E178" s="58"/>
    </row>
    <row r="179">
      <c r="A179" s="58"/>
      <c r="B179" s="58"/>
      <c r="C179" s="59"/>
      <c r="D179" s="60"/>
      <c r="E179" s="58"/>
    </row>
    <row r="180">
      <c r="A180" s="58"/>
      <c r="B180" s="58"/>
      <c r="C180" s="59"/>
      <c r="D180" s="60"/>
      <c r="E180" s="58"/>
    </row>
    <row r="181">
      <c r="A181" s="58"/>
      <c r="B181" s="58"/>
      <c r="C181" s="59"/>
      <c r="D181" s="60"/>
      <c r="E181" s="58"/>
    </row>
    <row r="182">
      <c r="A182" s="58"/>
      <c r="B182" s="58"/>
      <c r="C182" s="59"/>
      <c r="D182" s="60"/>
      <c r="E182" s="58"/>
    </row>
    <row r="183">
      <c r="A183" s="58"/>
      <c r="B183" s="58"/>
      <c r="C183" s="59"/>
      <c r="D183" s="60"/>
      <c r="E183" s="58"/>
    </row>
    <row r="184">
      <c r="A184" s="58"/>
      <c r="B184" s="58"/>
      <c r="C184" s="59"/>
      <c r="D184" s="60"/>
      <c r="E184" s="58"/>
    </row>
    <row r="185">
      <c r="A185" s="58"/>
      <c r="B185" s="58"/>
      <c r="C185" s="59"/>
      <c r="D185" s="60"/>
      <c r="E185" s="58"/>
    </row>
    <row r="186">
      <c r="A186" s="58"/>
      <c r="B186" s="58"/>
      <c r="C186" s="59"/>
      <c r="D186" s="60"/>
      <c r="E186" s="58"/>
    </row>
    <row r="187">
      <c r="A187" s="58"/>
      <c r="B187" s="58"/>
      <c r="C187" s="59"/>
      <c r="D187" s="60"/>
      <c r="E187" s="58"/>
    </row>
    <row r="188">
      <c r="A188" s="58"/>
      <c r="B188" s="58"/>
      <c r="C188" s="59"/>
      <c r="D188" s="60"/>
      <c r="E188" s="58"/>
    </row>
    <row r="189">
      <c r="A189" s="58"/>
      <c r="B189" s="58"/>
      <c r="C189" s="59"/>
      <c r="D189" s="60"/>
      <c r="E189" s="58"/>
    </row>
    <row r="190">
      <c r="A190" s="58"/>
      <c r="B190" s="58"/>
      <c r="C190" s="59"/>
      <c r="D190" s="60"/>
      <c r="E190" s="58"/>
    </row>
    <row r="191">
      <c r="A191" s="58"/>
      <c r="B191" s="58"/>
      <c r="C191" s="59"/>
      <c r="D191" s="60"/>
      <c r="E191" s="58"/>
    </row>
    <row r="192">
      <c r="A192" s="58"/>
      <c r="B192" s="58"/>
      <c r="C192" s="59"/>
      <c r="D192" s="60"/>
      <c r="E192" s="58"/>
    </row>
    <row r="193">
      <c r="A193" s="58"/>
      <c r="B193" s="58"/>
      <c r="C193" s="59"/>
      <c r="D193" s="60"/>
      <c r="E193" s="58"/>
    </row>
    <row r="194">
      <c r="A194" s="58"/>
      <c r="B194" s="58"/>
      <c r="C194" s="59"/>
      <c r="D194" s="60"/>
      <c r="E194" s="58"/>
    </row>
    <row r="195">
      <c r="A195" s="58"/>
      <c r="B195" s="58"/>
      <c r="C195" s="59"/>
      <c r="D195" s="60"/>
      <c r="E195" s="58"/>
    </row>
    <row r="196">
      <c r="A196" s="58"/>
      <c r="B196" s="58"/>
      <c r="C196" s="59"/>
      <c r="D196" s="60"/>
      <c r="E196" s="58"/>
    </row>
    <row r="197">
      <c r="A197" s="58"/>
      <c r="B197" s="58"/>
      <c r="C197" s="59"/>
      <c r="D197" s="60"/>
      <c r="E197" s="58"/>
    </row>
    <row r="198">
      <c r="A198" s="58"/>
      <c r="B198" s="58"/>
      <c r="C198" s="59"/>
      <c r="D198" s="60"/>
      <c r="E198" s="58"/>
    </row>
    <row r="199">
      <c r="A199" s="58"/>
      <c r="B199" s="58"/>
      <c r="C199" s="59"/>
      <c r="D199" s="60"/>
      <c r="E199" s="58"/>
    </row>
    <row r="200">
      <c r="A200" s="58"/>
      <c r="B200" s="58"/>
      <c r="C200" s="59"/>
      <c r="D200" s="60"/>
      <c r="E200" s="58"/>
    </row>
    <row r="201">
      <c r="A201" s="58"/>
      <c r="B201" s="58"/>
      <c r="C201" s="59"/>
      <c r="D201" s="60"/>
      <c r="E201" s="58"/>
    </row>
    <row r="202">
      <c r="A202" s="58"/>
      <c r="B202" s="58"/>
      <c r="C202" s="59"/>
      <c r="D202" s="60"/>
      <c r="E202" s="58"/>
    </row>
    <row r="203">
      <c r="A203" s="58"/>
      <c r="B203" s="58"/>
      <c r="C203" s="59"/>
      <c r="D203" s="60"/>
      <c r="E203" s="58"/>
    </row>
    <row r="204">
      <c r="A204" s="58"/>
      <c r="B204" s="58"/>
      <c r="C204" s="59"/>
      <c r="D204" s="60"/>
      <c r="E204" s="58"/>
    </row>
    <row r="205">
      <c r="A205" s="58"/>
      <c r="B205" s="58"/>
      <c r="C205" s="59"/>
      <c r="D205" s="60"/>
      <c r="E205" s="58"/>
    </row>
    <row r="206">
      <c r="A206" s="58"/>
      <c r="B206" s="58"/>
      <c r="C206" s="59"/>
      <c r="D206" s="60"/>
      <c r="E206" s="58"/>
    </row>
    <row r="207">
      <c r="A207" s="58"/>
      <c r="B207" s="58"/>
      <c r="C207" s="59"/>
      <c r="D207" s="60"/>
      <c r="E207" s="58"/>
    </row>
    <row r="208">
      <c r="A208" s="58"/>
      <c r="B208" s="58"/>
      <c r="C208" s="59"/>
      <c r="D208" s="60"/>
      <c r="E208" s="58"/>
    </row>
    <row r="209">
      <c r="A209" s="58"/>
      <c r="B209" s="58"/>
      <c r="C209" s="59"/>
      <c r="D209" s="60"/>
      <c r="E209" s="58"/>
    </row>
    <row r="210">
      <c r="A210" s="58"/>
      <c r="B210" s="58"/>
      <c r="C210" s="59"/>
      <c r="D210" s="60"/>
      <c r="E210" s="58"/>
    </row>
    <row r="211">
      <c r="A211" s="58"/>
      <c r="B211" s="58"/>
      <c r="C211" s="59"/>
      <c r="D211" s="60"/>
      <c r="E211" s="58"/>
    </row>
    <row r="212">
      <c r="A212" s="58"/>
      <c r="B212" s="58"/>
      <c r="C212" s="59"/>
      <c r="D212" s="60"/>
      <c r="E212" s="58"/>
    </row>
    <row r="213">
      <c r="A213" s="58"/>
      <c r="B213" s="58"/>
      <c r="C213" s="59"/>
      <c r="D213" s="60"/>
      <c r="E213" s="58"/>
    </row>
    <row r="214">
      <c r="A214" s="58"/>
      <c r="B214" s="58"/>
      <c r="C214" s="59"/>
      <c r="D214" s="60"/>
      <c r="E214" s="58"/>
    </row>
    <row r="215">
      <c r="A215" s="58"/>
      <c r="B215" s="58"/>
      <c r="C215" s="59"/>
      <c r="D215" s="60"/>
      <c r="E215" s="58"/>
    </row>
    <row r="216">
      <c r="A216" s="58"/>
      <c r="B216" s="58"/>
      <c r="C216" s="59"/>
      <c r="D216" s="60"/>
      <c r="E216" s="58"/>
    </row>
    <row r="217">
      <c r="A217" s="58"/>
      <c r="B217" s="58"/>
      <c r="C217" s="59"/>
      <c r="D217" s="60"/>
      <c r="E217" s="58"/>
    </row>
    <row r="218">
      <c r="A218" s="58"/>
      <c r="B218" s="58"/>
      <c r="C218" s="59"/>
      <c r="D218" s="60"/>
      <c r="E218" s="58"/>
    </row>
    <row r="219">
      <c r="A219" s="58"/>
      <c r="B219" s="58"/>
      <c r="C219" s="59"/>
      <c r="D219" s="60"/>
      <c r="E219" s="58"/>
    </row>
    <row r="220">
      <c r="A220" s="58"/>
      <c r="B220" s="58"/>
      <c r="C220" s="59"/>
      <c r="D220" s="60"/>
      <c r="E220" s="58"/>
    </row>
    <row r="221">
      <c r="A221" s="58"/>
      <c r="B221" s="58"/>
      <c r="C221" s="59"/>
      <c r="D221" s="60"/>
      <c r="E221" s="58"/>
    </row>
    <row r="222">
      <c r="A222" s="58"/>
      <c r="B222" s="58"/>
      <c r="C222" s="59"/>
      <c r="D222" s="60"/>
      <c r="E222" s="58"/>
    </row>
    <row r="223">
      <c r="A223" s="58"/>
      <c r="B223" s="58"/>
      <c r="C223" s="59"/>
      <c r="D223" s="60"/>
      <c r="E223" s="58"/>
    </row>
    <row r="224">
      <c r="A224" s="58"/>
      <c r="B224" s="58"/>
      <c r="C224" s="59"/>
      <c r="D224" s="60"/>
      <c r="E224" s="58"/>
    </row>
    <row r="225">
      <c r="A225" s="58"/>
      <c r="B225" s="58"/>
      <c r="C225" s="59"/>
      <c r="D225" s="60"/>
      <c r="E225" s="58"/>
    </row>
    <row r="226">
      <c r="A226" s="58"/>
      <c r="B226" s="58"/>
      <c r="C226" s="59"/>
      <c r="D226" s="60"/>
      <c r="E226" s="58"/>
    </row>
    <row r="227">
      <c r="A227" s="58"/>
      <c r="B227" s="58"/>
      <c r="C227" s="59"/>
      <c r="D227" s="60"/>
      <c r="E227" s="58"/>
    </row>
    <row r="228">
      <c r="A228" s="58"/>
      <c r="B228" s="58"/>
      <c r="C228" s="59"/>
      <c r="D228" s="60"/>
      <c r="E228" s="58"/>
    </row>
    <row r="229">
      <c r="A229" s="58"/>
      <c r="B229" s="58"/>
      <c r="C229" s="59"/>
      <c r="D229" s="60"/>
      <c r="E229" s="58"/>
    </row>
    <row r="230">
      <c r="A230" s="58"/>
      <c r="B230" s="58"/>
      <c r="C230" s="59"/>
      <c r="D230" s="60"/>
      <c r="E230" s="58"/>
    </row>
    <row r="231">
      <c r="A231" s="58"/>
      <c r="B231" s="58"/>
      <c r="C231" s="59"/>
      <c r="D231" s="60"/>
      <c r="E231" s="58"/>
    </row>
    <row r="232">
      <c r="A232" s="58"/>
      <c r="B232" s="58"/>
      <c r="C232" s="59"/>
      <c r="D232" s="60"/>
      <c r="E232" s="58"/>
    </row>
    <row r="233">
      <c r="A233" s="58"/>
      <c r="B233" s="58"/>
      <c r="C233" s="59"/>
      <c r="D233" s="60"/>
      <c r="E233" s="58"/>
    </row>
    <row r="234">
      <c r="A234" s="58"/>
      <c r="B234" s="58"/>
      <c r="C234" s="59"/>
      <c r="D234" s="60"/>
      <c r="E234" s="58"/>
    </row>
    <row r="235">
      <c r="A235" s="58"/>
      <c r="B235" s="58"/>
      <c r="C235" s="59"/>
      <c r="D235" s="60"/>
      <c r="E235" s="58"/>
    </row>
    <row r="236">
      <c r="A236" s="58"/>
      <c r="B236" s="58"/>
      <c r="C236" s="59"/>
      <c r="D236" s="60"/>
      <c r="E236" s="58"/>
    </row>
    <row r="237">
      <c r="A237" s="58"/>
      <c r="B237" s="58"/>
      <c r="C237" s="59"/>
      <c r="D237" s="60"/>
      <c r="E237" s="58"/>
    </row>
    <row r="238">
      <c r="A238" s="58"/>
      <c r="B238" s="58"/>
      <c r="C238" s="59"/>
      <c r="D238" s="60"/>
      <c r="E238" s="58"/>
    </row>
    <row r="239">
      <c r="A239" s="58"/>
      <c r="B239" s="58"/>
      <c r="C239" s="59"/>
      <c r="D239" s="60"/>
      <c r="E239" s="58"/>
    </row>
    <row r="240">
      <c r="A240" s="58"/>
      <c r="B240" s="58"/>
      <c r="C240" s="59"/>
      <c r="D240" s="60"/>
      <c r="E240" s="58"/>
    </row>
    <row r="241">
      <c r="A241" s="58"/>
      <c r="B241" s="58"/>
      <c r="C241" s="59"/>
      <c r="D241" s="60"/>
      <c r="E241" s="58"/>
    </row>
    <row r="242">
      <c r="A242" s="58"/>
      <c r="B242" s="58"/>
      <c r="C242" s="59"/>
      <c r="D242" s="60"/>
      <c r="E242" s="58"/>
    </row>
    <row r="243">
      <c r="A243" s="58"/>
      <c r="B243" s="58"/>
      <c r="C243" s="59"/>
      <c r="D243" s="60"/>
      <c r="E243" s="58"/>
    </row>
    <row r="244">
      <c r="A244" s="58"/>
      <c r="B244" s="58"/>
      <c r="C244" s="59"/>
      <c r="D244" s="60"/>
      <c r="E244" s="58"/>
    </row>
    <row r="245">
      <c r="A245" s="58"/>
      <c r="B245" s="58"/>
      <c r="C245" s="59"/>
      <c r="D245" s="60"/>
      <c r="E245" s="58"/>
    </row>
    <row r="246">
      <c r="A246" s="58"/>
      <c r="B246" s="58"/>
      <c r="C246" s="59"/>
      <c r="D246" s="60"/>
      <c r="E246" s="58"/>
    </row>
    <row r="247">
      <c r="A247" s="58"/>
      <c r="B247" s="58"/>
      <c r="C247" s="59"/>
      <c r="D247" s="60"/>
      <c r="E247" s="58"/>
    </row>
    <row r="248">
      <c r="A248" s="58"/>
      <c r="B248" s="58"/>
      <c r="C248" s="59"/>
      <c r="D248" s="60"/>
      <c r="E248" s="58"/>
    </row>
    <row r="249">
      <c r="A249" s="58"/>
      <c r="B249" s="58"/>
      <c r="C249" s="59"/>
      <c r="D249" s="60"/>
      <c r="E249" s="58"/>
    </row>
    <row r="250">
      <c r="A250" s="58"/>
      <c r="B250" s="58"/>
      <c r="C250" s="59"/>
      <c r="D250" s="60"/>
      <c r="E250" s="58"/>
    </row>
    <row r="251">
      <c r="A251" s="58"/>
      <c r="B251" s="58"/>
      <c r="C251" s="59"/>
      <c r="D251" s="60"/>
      <c r="E251" s="58"/>
    </row>
    <row r="252">
      <c r="A252" s="58"/>
      <c r="B252" s="58"/>
      <c r="C252" s="59"/>
      <c r="D252" s="60"/>
      <c r="E252" s="58"/>
    </row>
    <row r="253">
      <c r="A253" s="58"/>
      <c r="B253" s="58"/>
      <c r="C253" s="59"/>
      <c r="D253" s="60"/>
      <c r="E253" s="58"/>
    </row>
    <row r="254">
      <c r="A254" s="58"/>
      <c r="B254" s="58"/>
      <c r="C254" s="59"/>
      <c r="D254" s="60"/>
      <c r="E254" s="58"/>
    </row>
    <row r="255">
      <c r="A255" s="58"/>
      <c r="B255" s="58"/>
      <c r="C255" s="59"/>
      <c r="D255" s="60"/>
      <c r="E255" s="58"/>
    </row>
    <row r="256">
      <c r="A256" s="58"/>
      <c r="B256" s="58"/>
      <c r="C256" s="59"/>
      <c r="D256" s="60"/>
      <c r="E256" s="58"/>
    </row>
    <row r="257">
      <c r="A257" s="58"/>
      <c r="B257" s="58"/>
      <c r="C257" s="59"/>
      <c r="D257" s="60"/>
      <c r="E257" s="58"/>
    </row>
    <row r="258">
      <c r="A258" s="58"/>
      <c r="B258" s="58"/>
      <c r="C258" s="59"/>
      <c r="D258" s="60"/>
      <c r="E258" s="58"/>
    </row>
    <row r="259">
      <c r="A259" s="58"/>
      <c r="B259" s="58"/>
      <c r="C259" s="59"/>
      <c r="D259" s="60"/>
      <c r="E259" s="58"/>
    </row>
    <row r="260">
      <c r="A260" s="58"/>
      <c r="B260" s="58"/>
      <c r="C260" s="59"/>
      <c r="D260" s="60"/>
      <c r="E260" s="58"/>
    </row>
    <row r="261">
      <c r="A261" s="58"/>
      <c r="B261" s="58"/>
      <c r="C261" s="59"/>
      <c r="D261" s="60"/>
      <c r="E261" s="58"/>
    </row>
    <row r="262">
      <c r="A262" s="58"/>
      <c r="B262" s="58"/>
      <c r="C262" s="59"/>
      <c r="D262" s="60"/>
      <c r="E262" s="58"/>
    </row>
    <row r="263">
      <c r="A263" s="58"/>
      <c r="B263" s="58"/>
      <c r="C263" s="59"/>
      <c r="D263" s="60"/>
      <c r="E263" s="58"/>
    </row>
    <row r="264">
      <c r="A264" s="58"/>
      <c r="B264" s="58"/>
      <c r="C264" s="59"/>
      <c r="D264" s="60"/>
      <c r="E264" s="58"/>
    </row>
    <row r="265">
      <c r="A265" s="58"/>
      <c r="B265" s="58"/>
      <c r="C265" s="59"/>
      <c r="D265" s="60"/>
      <c r="E265" s="58"/>
    </row>
    <row r="266">
      <c r="A266" s="58"/>
      <c r="B266" s="58"/>
      <c r="C266" s="59"/>
      <c r="D266" s="60"/>
      <c r="E266" s="58"/>
    </row>
    <row r="267">
      <c r="A267" s="58"/>
      <c r="B267" s="58"/>
      <c r="C267" s="59"/>
      <c r="D267" s="60"/>
      <c r="E267" s="58"/>
    </row>
    <row r="268">
      <c r="A268" s="58"/>
      <c r="B268" s="58"/>
      <c r="C268" s="59"/>
      <c r="D268" s="60"/>
      <c r="E268" s="58"/>
    </row>
    <row r="269">
      <c r="A269" s="58"/>
      <c r="B269" s="58"/>
      <c r="C269" s="59"/>
      <c r="D269" s="60"/>
      <c r="E269" s="58"/>
    </row>
    <row r="270">
      <c r="A270" s="58"/>
      <c r="B270" s="58"/>
      <c r="C270" s="59"/>
      <c r="D270" s="60"/>
      <c r="E270" s="58"/>
    </row>
    <row r="271">
      <c r="A271" s="58"/>
      <c r="B271" s="58"/>
      <c r="C271" s="59"/>
      <c r="D271" s="60"/>
      <c r="E271" s="58"/>
    </row>
    <row r="272">
      <c r="A272" s="58"/>
      <c r="B272" s="58"/>
      <c r="C272" s="59"/>
      <c r="D272" s="60"/>
      <c r="E272" s="58"/>
    </row>
    <row r="273">
      <c r="A273" s="58"/>
      <c r="B273" s="58"/>
      <c r="C273" s="59"/>
      <c r="D273" s="60"/>
      <c r="E273" s="58"/>
    </row>
    <row r="274">
      <c r="A274" s="58"/>
      <c r="B274" s="58"/>
      <c r="C274" s="59"/>
      <c r="D274" s="60"/>
      <c r="E274" s="58"/>
    </row>
    <row r="275">
      <c r="A275" s="58"/>
      <c r="B275" s="58"/>
      <c r="C275" s="59"/>
      <c r="D275" s="60"/>
      <c r="E275" s="58"/>
    </row>
    <row r="276">
      <c r="A276" s="58"/>
      <c r="B276" s="58"/>
      <c r="C276" s="59"/>
      <c r="D276" s="60"/>
      <c r="E276" s="58"/>
    </row>
    <row r="277">
      <c r="A277" s="58"/>
      <c r="B277" s="58"/>
      <c r="C277" s="59"/>
      <c r="D277" s="60"/>
      <c r="E277" s="58"/>
    </row>
    <row r="278">
      <c r="A278" s="58"/>
      <c r="B278" s="58"/>
      <c r="C278" s="59"/>
      <c r="D278" s="60"/>
      <c r="E278" s="58"/>
    </row>
    <row r="279">
      <c r="A279" s="58"/>
      <c r="B279" s="58"/>
      <c r="C279" s="59"/>
      <c r="D279" s="60"/>
      <c r="E279" s="58"/>
    </row>
    <row r="280">
      <c r="A280" s="58"/>
      <c r="B280" s="58"/>
      <c r="C280" s="59"/>
      <c r="D280" s="60"/>
      <c r="E280" s="58"/>
    </row>
    <row r="281">
      <c r="A281" s="58"/>
      <c r="B281" s="58"/>
      <c r="C281" s="59"/>
      <c r="D281" s="60"/>
      <c r="E281" s="58"/>
    </row>
    <row r="282">
      <c r="A282" s="58"/>
      <c r="B282" s="58"/>
      <c r="C282" s="59"/>
      <c r="D282" s="60"/>
      <c r="E282" s="58"/>
    </row>
    <row r="283">
      <c r="A283" s="58"/>
      <c r="B283" s="58"/>
      <c r="C283" s="59"/>
      <c r="D283" s="60"/>
      <c r="E283" s="58"/>
    </row>
    <row r="284">
      <c r="A284" s="58"/>
      <c r="B284" s="58"/>
      <c r="C284" s="59"/>
      <c r="D284" s="60"/>
      <c r="E284" s="58"/>
    </row>
    <row r="285">
      <c r="A285" s="58"/>
      <c r="B285" s="58"/>
      <c r="C285" s="59"/>
      <c r="D285" s="60"/>
      <c r="E285" s="58"/>
    </row>
    <row r="286">
      <c r="A286" s="58"/>
      <c r="B286" s="58"/>
      <c r="C286" s="59"/>
      <c r="D286" s="60"/>
      <c r="E286" s="58"/>
    </row>
    <row r="287">
      <c r="A287" s="58"/>
      <c r="B287" s="58"/>
      <c r="C287" s="59"/>
      <c r="D287" s="60"/>
      <c r="E287" s="58"/>
    </row>
    <row r="288">
      <c r="A288" s="58"/>
      <c r="B288" s="58"/>
      <c r="C288" s="59"/>
      <c r="D288" s="60"/>
      <c r="E288" s="58"/>
    </row>
    <row r="289">
      <c r="A289" s="58"/>
      <c r="B289" s="58"/>
      <c r="C289" s="59"/>
      <c r="D289" s="60"/>
      <c r="E289" s="58"/>
    </row>
    <row r="290">
      <c r="A290" s="58"/>
      <c r="B290" s="58"/>
      <c r="C290" s="59"/>
      <c r="D290" s="60"/>
      <c r="E290" s="58"/>
    </row>
    <row r="291">
      <c r="A291" s="58"/>
      <c r="B291" s="58"/>
      <c r="C291" s="59"/>
      <c r="D291" s="60"/>
      <c r="E291" s="58"/>
    </row>
    <row r="292">
      <c r="A292" s="58"/>
      <c r="B292" s="58"/>
      <c r="C292" s="59"/>
      <c r="D292" s="60"/>
      <c r="E292" s="58"/>
    </row>
    <row r="293">
      <c r="A293" s="58"/>
      <c r="B293" s="58"/>
      <c r="C293" s="59"/>
      <c r="D293" s="60"/>
      <c r="E293" s="58"/>
    </row>
    <row r="294">
      <c r="A294" s="58"/>
      <c r="B294" s="58"/>
      <c r="C294" s="59"/>
      <c r="D294" s="60"/>
      <c r="E294" s="58"/>
    </row>
    <row r="295">
      <c r="A295" s="58"/>
      <c r="B295" s="58"/>
      <c r="C295" s="59"/>
      <c r="D295" s="60"/>
      <c r="E295" s="58"/>
    </row>
    <row r="296">
      <c r="A296" s="58"/>
      <c r="B296" s="58"/>
      <c r="C296" s="59"/>
      <c r="D296" s="60"/>
      <c r="E296" s="58"/>
    </row>
    <row r="297">
      <c r="A297" s="58"/>
      <c r="B297" s="58"/>
      <c r="C297" s="59"/>
      <c r="D297" s="60"/>
      <c r="E297" s="58"/>
    </row>
    <row r="298">
      <c r="A298" s="58"/>
      <c r="B298" s="58"/>
      <c r="C298" s="59"/>
      <c r="D298" s="60"/>
      <c r="E298" s="58"/>
    </row>
    <row r="299">
      <c r="A299" s="58"/>
      <c r="B299" s="58"/>
      <c r="C299" s="59"/>
      <c r="D299" s="60"/>
      <c r="E299" s="58"/>
    </row>
    <row r="300">
      <c r="A300" s="58"/>
      <c r="B300" s="58"/>
      <c r="C300" s="59"/>
      <c r="D300" s="60"/>
      <c r="E300" s="58"/>
    </row>
    <row r="301">
      <c r="A301" s="58"/>
      <c r="B301" s="58"/>
      <c r="C301" s="59"/>
      <c r="D301" s="60"/>
      <c r="E301" s="58"/>
    </row>
    <row r="302">
      <c r="A302" s="58"/>
      <c r="B302" s="58"/>
      <c r="C302" s="59"/>
      <c r="D302" s="60"/>
      <c r="E302" s="58"/>
    </row>
    <row r="303">
      <c r="A303" s="58"/>
      <c r="B303" s="58"/>
      <c r="C303" s="59"/>
      <c r="D303" s="60"/>
      <c r="E303" s="58"/>
    </row>
    <row r="304">
      <c r="A304" s="58"/>
      <c r="B304" s="58"/>
      <c r="C304" s="59"/>
      <c r="D304" s="60"/>
      <c r="E304" s="58"/>
    </row>
    <row r="305">
      <c r="A305" s="58"/>
      <c r="B305" s="58"/>
      <c r="C305" s="59"/>
      <c r="D305" s="60"/>
      <c r="E305" s="58"/>
    </row>
    <row r="306">
      <c r="A306" s="58"/>
      <c r="B306" s="58"/>
      <c r="C306" s="59"/>
      <c r="D306" s="60"/>
      <c r="E306" s="58"/>
    </row>
    <row r="307">
      <c r="A307" s="58"/>
      <c r="B307" s="58"/>
      <c r="C307" s="59"/>
      <c r="D307" s="60"/>
      <c r="E307" s="58"/>
    </row>
    <row r="308">
      <c r="A308" s="58"/>
      <c r="B308" s="58"/>
      <c r="C308" s="59"/>
      <c r="D308" s="60"/>
      <c r="E308" s="58"/>
    </row>
    <row r="309">
      <c r="A309" s="58"/>
      <c r="B309" s="58"/>
      <c r="C309" s="59"/>
      <c r="D309" s="60"/>
      <c r="E309" s="58"/>
    </row>
    <row r="310">
      <c r="A310" s="58"/>
      <c r="B310" s="58"/>
      <c r="C310" s="59"/>
      <c r="D310" s="60"/>
      <c r="E310" s="58"/>
    </row>
    <row r="311">
      <c r="A311" s="58"/>
      <c r="B311" s="58"/>
      <c r="C311" s="59"/>
      <c r="D311" s="60"/>
      <c r="E311" s="58"/>
    </row>
    <row r="312">
      <c r="A312" s="58"/>
      <c r="B312" s="58"/>
      <c r="C312" s="59"/>
      <c r="D312" s="60"/>
      <c r="E312" s="58"/>
    </row>
    <row r="313">
      <c r="A313" s="58"/>
      <c r="B313" s="58"/>
      <c r="C313" s="59"/>
      <c r="D313" s="60"/>
      <c r="E313" s="58"/>
    </row>
    <row r="314">
      <c r="A314" s="58"/>
      <c r="B314" s="58"/>
      <c r="C314" s="59"/>
      <c r="D314" s="60"/>
      <c r="E314" s="58"/>
    </row>
    <row r="315">
      <c r="A315" s="58"/>
      <c r="B315" s="58"/>
      <c r="C315" s="59"/>
      <c r="D315" s="60"/>
      <c r="E315" s="58"/>
    </row>
    <row r="316">
      <c r="A316" s="58"/>
      <c r="B316" s="58"/>
      <c r="C316" s="59"/>
      <c r="D316" s="60"/>
      <c r="E316" s="58"/>
    </row>
    <row r="317">
      <c r="A317" s="58"/>
      <c r="B317" s="58"/>
      <c r="C317" s="59"/>
      <c r="D317" s="60"/>
      <c r="E317" s="58"/>
    </row>
    <row r="318">
      <c r="A318" s="58"/>
      <c r="B318" s="58"/>
      <c r="C318" s="59"/>
      <c r="D318" s="60"/>
      <c r="E318" s="58"/>
    </row>
    <row r="319">
      <c r="A319" s="58"/>
      <c r="B319" s="58"/>
      <c r="C319" s="59"/>
      <c r="D319" s="60"/>
      <c r="E319" s="58"/>
    </row>
    <row r="320">
      <c r="A320" s="58"/>
      <c r="B320" s="58"/>
      <c r="C320" s="59"/>
      <c r="D320" s="60"/>
      <c r="E320" s="58"/>
    </row>
    <row r="321">
      <c r="A321" s="58"/>
      <c r="B321" s="58"/>
      <c r="C321" s="59"/>
      <c r="D321" s="60"/>
      <c r="E321" s="58"/>
    </row>
    <row r="322">
      <c r="A322" s="58"/>
      <c r="B322" s="58"/>
      <c r="C322" s="59"/>
      <c r="D322" s="60"/>
      <c r="E322" s="58"/>
    </row>
    <row r="323">
      <c r="A323" s="58"/>
      <c r="B323" s="58"/>
      <c r="C323" s="59"/>
      <c r="D323" s="60"/>
      <c r="E323" s="58"/>
    </row>
    <row r="324">
      <c r="A324" s="58"/>
      <c r="B324" s="58"/>
      <c r="C324" s="59"/>
      <c r="D324" s="60"/>
      <c r="E324" s="58"/>
    </row>
    <row r="325">
      <c r="A325" s="58"/>
      <c r="B325" s="58"/>
      <c r="C325" s="59"/>
      <c r="D325" s="60"/>
      <c r="E325" s="58"/>
    </row>
    <row r="326">
      <c r="A326" s="58"/>
      <c r="B326" s="58"/>
      <c r="C326" s="59"/>
      <c r="D326" s="60"/>
      <c r="E326" s="58"/>
    </row>
    <row r="327">
      <c r="A327" s="58"/>
      <c r="B327" s="58"/>
      <c r="C327" s="59"/>
      <c r="D327" s="60"/>
      <c r="E327" s="58"/>
    </row>
    <row r="328">
      <c r="A328" s="58"/>
      <c r="B328" s="58"/>
      <c r="C328" s="59"/>
      <c r="D328" s="60"/>
      <c r="E328" s="58"/>
    </row>
    <row r="329">
      <c r="A329" s="58"/>
      <c r="B329" s="58"/>
      <c r="C329" s="59"/>
      <c r="D329" s="60"/>
      <c r="E329" s="58"/>
    </row>
    <row r="330">
      <c r="A330" s="58"/>
      <c r="B330" s="58"/>
      <c r="C330" s="59"/>
      <c r="D330" s="60"/>
      <c r="E330" s="58"/>
    </row>
    <row r="331">
      <c r="A331" s="58"/>
      <c r="B331" s="58"/>
      <c r="C331" s="59"/>
      <c r="D331" s="60"/>
      <c r="E331" s="58"/>
    </row>
    <row r="332">
      <c r="A332" s="58"/>
      <c r="B332" s="58"/>
      <c r="C332" s="59"/>
      <c r="D332" s="60"/>
      <c r="E332" s="58"/>
    </row>
    <row r="333">
      <c r="A333" s="58"/>
      <c r="B333" s="58"/>
      <c r="C333" s="59"/>
      <c r="D333" s="60"/>
      <c r="E333" s="58"/>
    </row>
    <row r="334">
      <c r="A334" s="58"/>
      <c r="B334" s="58"/>
      <c r="C334" s="59"/>
      <c r="D334" s="60"/>
      <c r="E334" s="58"/>
    </row>
    <row r="335">
      <c r="A335" s="58"/>
      <c r="B335" s="58"/>
      <c r="C335" s="59"/>
      <c r="D335" s="60"/>
      <c r="E335" s="58"/>
    </row>
    <row r="336">
      <c r="A336" s="58"/>
      <c r="B336" s="58"/>
      <c r="C336" s="59"/>
      <c r="D336" s="60"/>
      <c r="E336" s="58"/>
    </row>
    <row r="337">
      <c r="A337" s="58"/>
      <c r="B337" s="58"/>
      <c r="C337" s="59"/>
      <c r="D337" s="60"/>
      <c r="E337" s="58"/>
    </row>
    <row r="338">
      <c r="A338" s="58"/>
      <c r="B338" s="58"/>
      <c r="C338" s="59"/>
      <c r="D338" s="60"/>
      <c r="E338" s="58"/>
    </row>
    <row r="339">
      <c r="A339" s="58"/>
      <c r="B339" s="58"/>
      <c r="C339" s="59"/>
      <c r="D339" s="60"/>
      <c r="E339" s="58"/>
    </row>
    <row r="340">
      <c r="A340" s="58"/>
      <c r="B340" s="58"/>
      <c r="C340" s="59"/>
      <c r="D340" s="60"/>
      <c r="E340" s="58"/>
    </row>
    <row r="341">
      <c r="A341" s="58"/>
      <c r="B341" s="58"/>
      <c r="C341" s="59"/>
      <c r="D341" s="60"/>
      <c r="E341" s="58"/>
    </row>
    <row r="342">
      <c r="A342" s="58"/>
      <c r="B342" s="58"/>
      <c r="C342" s="59"/>
      <c r="D342" s="60"/>
      <c r="E342" s="58"/>
    </row>
    <row r="343">
      <c r="A343" s="58"/>
      <c r="B343" s="58"/>
      <c r="C343" s="59"/>
      <c r="D343" s="60"/>
      <c r="E343" s="58"/>
    </row>
    <row r="344">
      <c r="A344" s="58"/>
      <c r="B344" s="58"/>
      <c r="C344" s="59"/>
      <c r="D344" s="60"/>
      <c r="E344" s="58"/>
    </row>
    <row r="345">
      <c r="A345" s="58"/>
      <c r="B345" s="58"/>
      <c r="C345" s="59"/>
      <c r="D345" s="60"/>
      <c r="E345" s="58"/>
    </row>
    <row r="346">
      <c r="A346" s="58"/>
      <c r="B346" s="58"/>
      <c r="C346" s="59"/>
      <c r="D346" s="60"/>
      <c r="E346" s="58"/>
    </row>
    <row r="347">
      <c r="A347" s="58"/>
      <c r="B347" s="58"/>
      <c r="C347" s="59"/>
      <c r="D347" s="60"/>
      <c r="E347" s="58"/>
    </row>
    <row r="348">
      <c r="A348" s="58"/>
      <c r="B348" s="58"/>
      <c r="C348" s="59"/>
      <c r="D348" s="60"/>
      <c r="E348" s="58"/>
    </row>
    <row r="349">
      <c r="A349" s="58"/>
      <c r="B349" s="58"/>
      <c r="C349" s="59"/>
      <c r="D349" s="60"/>
      <c r="E349" s="58"/>
    </row>
    <row r="350">
      <c r="A350" s="58"/>
      <c r="B350" s="58"/>
      <c r="C350" s="59"/>
      <c r="D350" s="60"/>
      <c r="E350" s="58"/>
    </row>
    <row r="351">
      <c r="A351" s="58"/>
      <c r="B351" s="58"/>
      <c r="C351" s="59"/>
      <c r="D351" s="60"/>
      <c r="E351" s="58"/>
    </row>
    <row r="352">
      <c r="A352" s="58"/>
      <c r="B352" s="58"/>
      <c r="C352" s="59"/>
      <c r="D352" s="60"/>
      <c r="E352" s="58"/>
    </row>
    <row r="353">
      <c r="A353" s="58"/>
      <c r="B353" s="58"/>
      <c r="C353" s="59"/>
      <c r="D353" s="60"/>
      <c r="E353" s="58"/>
    </row>
    <row r="354">
      <c r="A354" s="58"/>
      <c r="B354" s="58"/>
      <c r="C354" s="59"/>
      <c r="D354" s="60"/>
      <c r="E354" s="58"/>
    </row>
    <row r="355">
      <c r="A355" s="58"/>
      <c r="B355" s="58"/>
      <c r="C355" s="59"/>
      <c r="D355" s="60"/>
      <c r="E355" s="58"/>
    </row>
    <row r="356">
      <c r="A356" s="58"/>
      <c r="B356" s="58"/>
      <c r="C356" s="59"/>
      <c r="D356" s="60"/>
      <c r="E356" s="58"/>
    </row>
    <row r="357">
      <c r="A357" s="58"/>
      <c r="B357" s="58"/>
      <c r="C357" s="59"/>
      <c r="D357" s="60"/>
      <c r="E357" s="58"/>
    </row>
    <row r="358">
      <c r="A358" s="58"/>
      <c r="B358" s="58"/>
      <c r="C358" s="59"/>
      <c r="D358" s="60"/>
      <c r="E358" s="58"/>
    </row>
    <row r="359">
      <c r="A359" s="58"/>
      <c r="B359" s="58"/>
      <c r="C359" s="59"/>
      <c r="D359" s="60"/>
      <c r="E359" s="58"/>
    </row>
    <row r="360">
      <c r="A360" s="58"/>
      <c r="B360" s="58"/>
      <c r="C360" s="59"/>
      <c r="D360" s="60"/>
      <c r="E360" s="58"/>
    </row>
    <row r="361">
      <c r="A361" s="58"/>
      <c r="B361" s="58"/>
      <c r="C361" s="59"/>
      <c r="D361" s="60"/>
      <c r="E361" s="58"/>
    </row>
    <row r="362">
      <c r="A362" s="58"/>
      <c r="B362" s="58"/>
      <c r="C362" s="59"/>
      <c r="D362" s="60"/>
      <c r="E362" s="58"/>
    </row>
    <row r="363">
      <c r="A363" s="58"/>
      <c r="B363" s="58"/>
      <c r="C363" s="59"/>
      <c r="D363" s="60"/>
      <c r="E363" s="58"/>
    </row>
    <row r="364">
      <c r="A364" s="58"/>
      <c r="B364" s="58"/>
      <c r="C364" s="59"/>
      <c r="D364" s="60"/>
      <c r="E364" s="58"/>
    </row>
    <row r="365">
      <c r="A365" s="58"/>
      <c r="B365" s="58"/>
      <c r="C365" s="59"/>
      <c r="D365" s="60"/>
      <c r="E365" s="58"/>
    </row>
    <row r="366">
      <c r="A366" s="58"/>
      <c r="B366" s="58"/>
      <c r="C366" s="59"/>
      <c r="D366" s="60"/>
      <c r="E366" s="58"/>
    </row>
    <row r="367">
      <c r="A367" s="58"/>
      <c r="B367" s="58"/>
      <c r="C367" s="59"/>
      <c r="D367" s="60"/>
      <c r="E367" s="58"/>
    </row>
    <row r="368">
      <c r="A368" s="58"/>
      <c r="B368" s="58"/>
      <c r="C368" s="59"/>
      <c r="D368" s="60"/>
      <c r="E368" s="58"/>
    </row>
    <row r="369">
      <c r="A369" s="58"/>
      <c r="B369" s="58"/>
      <c r="C369" s="59"/>
      <c r="D369" s="60"/>
      <c r="E369" s="58"/>
    </row>
    <row r="370">
      <c r="A370" s="58"/>
      <c r="B370" s="58"/>
      <c r="C370" s="59"/>
      <c r="D370" s="60"/>
      <c r="E370" s="58"/>
    </row>
    <row r="371">
      <c r="A371" s="58"/>
      <c r="B371" s="58"/>
      <c r="C371" s="59"/>
      <c r="D371" s="60"/>
      <c r="E371" s="58"/>
    </row>
    <row r="372">
      <c r="A372" s="58"/>
      <c r="B372" s="58"/>
      <c r="C372" s="59"/>
      <c r="D372" s="60"/>
      <c r="E372" s="58"/>
    </row>
    <row r="373">
      <c r="A373" s="58"/>
      <c r="B373" s="58"/>
      <c r="C373" s="59"/>
      <c r="D373" s="60"/>
      <c r="E373" s="58"/>
    </row>
    <row r="374">
      <c r="A374" s="58"/>
      <c r="B374" s="58"/>
      <c r="C374" s="59"/>
      <c r="D374" s="60"/>
      <c r="E374" s="58"/>
    </row>
    <row r="375">
      <c r="A375" s="58"/>
      <c r="B375" s="58"/>
      <c r="C375" s="59"/>
      <c r="D375" s="60"/>
      <c r="E375" s="58"/>
    </row>
    <row r="376">
      <c r="A376" s="58"/>
      <c r="B376" s="58"/>
      <c r="C376" s="59"/>
      <c r="D376" s="60"/>
      <c r="E376" s="58"/>
    </row>
    <row r="377">
      <c r="A377" s="58"/>
      <c r="B377" s="58"/>
      <c r="C377" s="59"/>
      <c r="D377" s="60"/>
      <c r="E377" s="58"/>
    </row>
    <row r="378">
      <c r="A378" s="58"/>
      <c r="B378" s="58"/>
      <c r="C378" s="59"/>
      <c r="D378" s="60"/>
      <c r="E378" s="58"/>
    </row>
    <row r="379">
      <c r="A379" s="58"/>
      <c r="B379" s="58"/>
      <c r="C379" s="59"/>
      <c r="D379" s="60"/>
      <c r="E379" s="58"/>
    </row>
    <row r="380">
      <c r="A380" s="58"/>
      <c r="B380" s="58"/>
      <c r="C380" s="59"/>
      <c r="D380" s="60"/>
      <c r="E380" s="58"/>
    </row>
    <row r="381">
      <c r="A381" s="58"/>
      <c r="B381" s="58"/>
      <c r="C381" s="59"/>
      <c r="D381" s="60"/>
      <c r="E381" s="58"/>
    </row>
    <row r="382">
      <c r="A382" s="58"/>
      <c r="B382" s="58"/>
      <c r="C382" s="59"/>
      <c r="D382" s="60"/>
      <c r="E382" s="58"/>
    </row>
    <row r="383">
      <c r="A383" s="58"/>
      <c r="B383" s="58"/>
      <c r="C383" s="59"/>
      <c r="D383" s="60"/>
      <c r="E383" s="58"/>
    </row>
    <row r="384">
      <c r="A384" s="58"/>
      <c r="B384" s="58"/>
      <c r="C384" s="59"/>
      <c r="D384" s="60"/>
      <c r="E384" s="58"/>
    </row>
    <row r="385">
      <c r="A385" s="58"/>
      <c r="B385" s="58"/>
      <c r="C385" s="59"/>
      <c r="D385" s="60"/>
      <c r="E385" s="58"/>
    </row>
    <row r="386">
      <c r="A386" s="58"/>
      <c r="B386" s="58"/>
      <c r="C386" s="59"/>
      <c r="D386" s="60"/>
      <c r="E386" s="58"/>
    </row>
    <row r="387">
      <c r="A387" s="58"/>
      <c r="B387" s="58"/>
      <c r="C387" s="59"/>
      <c r="D387" s="60"/>
      <c r="E387" s="58"/>
    </row>
    <row r="388">
      <c r="A388" s="58"/>
      <c r="B388" s="58"/>
      <c r="C388" s="59"/>
      <c r="D388" s="60"/>
      <c r="E388" s="58"/>
    </row>
    <row r="389">
      <c r="A389" s="58"/>
      <c r="B389" s="58"/>
      <c r="C389" s="59"/>
      <c r="D389" s="60"/>
      <c r="E389" s="58"/>
    </row>
    <row r="390">
      <c r="A390" s="58"/>
      <c r="B390" s="58"/>
      <c r="C390" s="59"/>
      <c r="D390" s="60"/>
      <c r="E390" s="58"/>
    </row>
    <row r="391">
      <c r="A391" s="58"/>
      <c r="B391" s="58"/>
      <c r="C391" s="59"/>
      <c r="D391" s="60"/>
      <c r="E391" s="58"/>
    </row>
    <row r="392">
      <c r="A392" s="58"/>
      <c r="B392" s="58"/>
      <c r="C392" s="59"/>
      <c r="D392" s="60"/>
      <c r="E392" s="58"/>
    </row>
    <row r="393">
      <c r="A393" s="58"/>
      <c r="B393" s="58"/>
      <c r="C393" s="59"/>
      <c r="D393" s="60"/>
      <c r="E393" s="58"/>
    </row>
    <row r="394">
      <c r="A394" s="58"/>
      <c r="B394" s="58"/>
      <c r="C394" s="59"/>
      <c r="D394" s="60"/>
      <c r="E394" s="58"/>
    </row>
    <row r="395">
      <c r="A395" s="58"/>
      <c r="B395" s="58"/>
      <c r="C395" s="59"/>
      <c r="D395" s="60"/>
      <c r="E395" s="58"/>
    </row>
    <row r="396">
      <c r="A396" s="58"/>
      <c r="B396" s="58"/>
      <c r="C396" s="59"/>
      <c r="D396" s="60"/>
      <c r="E396" s="58"/>
    </row>
    <row r="397">
      <c r="A397" s="58"/>
      <c r="B397" s="58"/>
      <c r="C397" s="59"/>
      <c r="D397" s="60"/>
      <c r="E397" s="58"/>
    </row>
    <row r="398">
      <c r="A398" s="58"/>
      <c r="B398" s="58"/>
      <c r="C398" s="59"/>
      <c r="D398" s="60"/>
      <c r="E398" s="58"/>
    </row>
    <row r="399">
      <c r="A399" s="58"/>
      <c r="B399" s="58"/>
      <c r="C399" s="59"/>
      <c r="D399" s="60"/>
      <c r="E399" s="58"/>
    </row>
    <row r="400">
      <c r="A400" s="58"/>
      <c r="B400" s="58"/>
      <c r="C400" s="59"/>
      <c r="D400" s="60"/>
      <c r="E400" s="58"/>
    </row>
    <row r="401">
      <c r="A401" s="58"/>
      <c r="B401" s="58"/>
      <c r="C401" s="59"/>
      <c r="D401" s="60"/>
      <c r="E401" s="58"/>
    </row>
    <row r="402">
      <c r="A402" s="58"/>
      <c r="B402" s="58"/>
      <c r="C402" s="59"/>
      <c r="D402" s="60"/>
      <c r="E402" s="58"/>
    </row>
    <row r="403">
      <c r="A403" s="58"/>
      <c r="B403" s="58"/>
      <c r="C403" s="59"/>
      <c r="D403" s="60"/>
      <c r="E403" s="58"/>
    </row>
    <row r="404">
      <c r="A404" s="58"/>
      <c r="B404" s="58"/>
      <c r="C404" s="59"/>
      <c r="D404" s="60"/>
      <c r="E404" s="58"/>
    </row>
    <row r="405">
      <c r="A405" s="58"/>
      <c r="B405" s="58"/>
      <c r="C405" s="59"/>
      <c r="D405" s="60"/>
      <c r="E405" s="58"/>
    </row>
    <row r="406">
      <c r="A406" s="58"/>
      <c r="B406" s="58"/>
      <c r="C406" s="59"/>
      <c r="D406" s="60"/>
      <c r="E406" s="58"/>
    </row>
    <row r="407">
      <c r="A407" s="58"/>
      <c r="B407" s="58"/>
      <c r="C407" s="59"/>
      <c r="D407" s="60"/>
      <c r="E407" s="58"/>
    </row>
    <row r="408">
      <c r="A408" s="58"/>
      <c r="B408" s="58"/>
      <c r="C408" s="59"/>
      <c r="D408" s="60"/>
      <c r="E408" s="58"/>
    </row>
    <row r="409">
      <c r="A409" s="58"/>
      <c r="B409" s="58"/>
      <c r="C409" s="59"/>
      <c r="D409" s="60"/>
      <c r="E409" s="58"/>
    </row>
    <row r="410">
      <c r="A410" s="58"/>
      <c r="B410" s="58"/>
      <c r="C410" s="59"/>
      <c r="D410" s="60"/>
      <c r="E410" s="58"/>
    </row>
    <row r="411">
      <c r="A411" s="58"/>
      <c r="B411" s="58"/>
      <c r="C411" s="59"/>
      <c r="D411" s="60"/>
      <c r="E411" s="58"/>
    </row>
    <row r="412">
      <c r="A412" s="58"/>
      <c r="B412" s="58"/>
      <c r="C412" s="59"/>
      <c r="D412" s="60"/>
      <c r="E412" s="58"/>
    </row>
    <row r="413">
      <c r="A413" s="58"/>
      <c r="B413" s="58"/>
      <c r="C413" s="59"/>
      <c r="D413" s="60"/>
      <c r="E413" s="58"/>
    </row>
    <row r="414">
      <c r="A414" s="58"/>
      <c r="B414" s="58"/>
      <c r="C414" s="59"/>
      <c r="D414" s="60"/>
      <c r="E414" s="58"/>
    </row>
    <row r="415">
      <c r="A415" s="58"/>
      <c r="B415" s="58"/>
      <c r="C415" s="59"/>
      <c r="D415" s="60"/>
      <c r="E415" s="58"/>
    </row>
    <row r="416">
      <c r="A416" s="58"/>
      <c r="B416" s="58"/>
      <c r="C416" s="59"/>
      <c r="D416" s="60"/>
      <c r="E416" s="58"/>
    </row>
    <row r="417">
      <c r="A417" s="58"/>
      <c r="B417" s="58"/>
      <c r="C417" s="59"/>
      <c r="D417" s="60"/>
      <c r="E417" s="58"/>
    </row>
    <row r="418">
      <c r="A418" s="58"/>
      <c r="B418" s="58"/>
      <c r="C418" s="59"/>
      <c r="D418" s="60"/>
      <c r="E418" s="58"/>
    </row>
    <row r="419">
      <c r="A419" s="58"/>
      <c r="B419" s="58"/>
      <c r="C419" s="59"/>
      <c r="D419" s="60"/>
      <c r="E419" s="58"/>
    </row>
    <row r="420">
      <c r="A420" s="58"/>
      <c r="B420" s="58"/>
      <c r="C420" s="59"/>
      <c r="D420" s="60"/>
      <c r="E420" s="58"/>
    </row>
    <row r="421">
      <c r="A421" s="58"/>
      <c r="B421" s="58"/>
      <c r="C421" s="59"/>
      <c r="D421" s="60"/>
      <c r="E421" s="58"/>
    </row>
    <row r="422">
      <c r="A422" s="58"/>
      <c r="B422" s="58"/>
      <c r="C422" s="59"/>
      <c r="D422" s="60"/>
      <c r="E422" s="58"/>
    </row>
    <row r="423">
      <c r="A423" s="58"/>
      <c r="B423" s="58"/>
      <c r="C423" s="59"/>
      <c r="D423" s="60"/>
      <c r="E423" s="58"/>
    </row>
    <row r="424">
      <c r="A424" s="58"/>
      <c r="B424" s="58"/>
      <c r="C424" s="59"/>
      <c r="D424" s="60"/>
      <c r="E424" s="58"/>
    </row>
    <row r="425">
      <c r="A425" s="58"/>
      <c r="B425" s="58"/>
      <c r="C425" s="59"/>
      <c r="D425" s="60"/>
      <c r="E425" s="58"/>
    </row>
    <row r="426">
      <c r="A426" s="58"/>
      <c r="B426" s="58"/>
      <c r="C426" s="59"/>
      <c r="D426" s="60"/>
      <c r="E426" s="58"/>
    </row>
    <row r="427">
      <c r="A427" s="58"/>
      <c r="B427" s="58"/>
      <c r="C427" s="59"/>
      <c r="D427" s="60"/>
      <c r="E427" s="58"/>
    </row>
    <row r="428">
      <c r="A428" s="58"/>
      <c r="B428" s="58"/>
      <c r="C428" s="59"/>
      <c r="D428" s="60"/>
      <c r="E428" s="58"/>
    </row>
    <row r="429">
      <c r="A429" s="58"/>
      <c r="B429" s="58"/>
      <c r="C429" s="59"/>
      <c r="D429" s="60"/>
      <c r="E429" s="58"/>
    </row>
    <row r="430">
      <c r="A430" s="58"/>
      <c r="B430" s="58"/>
      <c r="C430" s="59"/>
      <c r="D430" s="60"/>
      <c r="E430" s="58"/>
    </row>
    <row r="431">
      <c r="A431" s="58"/>
      <c r="B431" s="58"/>
      <c r="C431" s="59"/>
      <c r="D431" s="60"/>
      <c r="E431" s="58"/>
    </row>
    <row r="432">
      <c r="A432" s="58"/>
      <c r="B432" s="58"/>
      <c r="C432" s="59"/>
      <c r="D432" s="60"/>
      <c r="E432" s="58"/>
    </row>
    <row r="433">
      <c r="A433" s="58"/>
      <c r="B433" s="58"/>
      <c r="C433" s="59"/>
      <c r="D433" s="60"/>
      <c r="E433" s="58"/>
    </row>
    <row r="434">
      <c r="A434" s="58"/>
      <c r="B434" s="58"/>
      <c r="C434" s="59"/>
      <c r="D434" s="60"/>
      <c r="E434" s="58"/>
    </row>
    <row r="435">
      <c r="A435" s="58"/>
      <c r="B435" s="58"/>
      <c r="C435" s="59"/>
      <c r="D435" s="60"/>
      <c r="E435" s="58"/>
    </row>
    <row r="436">
      <c r="A436" s="58"/>
      <c r="B436" s="58"/>
      <c r="C436" s="59"/>
      <c r="D436" s="60"/>
      <c r="E436" s="58"/>
    </row>
    <row r="437">
      <c r="A437" s="58"/>
      <c r="B437" s="58"/>
      <c r="C437" s="59"/>
      <c r="D437" s="60"/>
      <c r="E437" s="58"/>
    </row>
    <row r="438">
      <c r="A438" s="58"/>
      <c r="B438" s="58"/>
      <c r="C438" s="59"/>
      <c r="D438" s="60"/>
      <c r="E438" s="58"/>
    </row>
    <row r="439">
      <c r="A439" s="58"/>
      <c r="B439" s="58"/>
      <c r="C439" s="59"/>
      <c r="D439" s="60"/>
      <c r="E439" s="58"/>
    </row>
    <row r="440">
      <c r="A440" s="58"/>
      <c r="B440" s="58"/>
      <c r="C440" s="59"/>
      <c r="D440" s="60"/>
      <c r="E440" s="58"/>
    </row>
    <row r="441">
      <c r="A441" s="58"/>
      <c r="B441" s="58"/>
      <c r="C441" s="59"/>
      <c r="D441" s="60"/>
      <c r="E441" s="58"/>
    </row>
    <row r="442">
      <c r="A442" s="58"/>
      <c r="B442" s="58"/>
      <c r="C442" s="59"/>
      <c r="D442" s="60"/>
      <c r="E442" s="58"/>
    </row>
    <row r="443">
      <c r="A443" s="58"/>
      <c r="B443" s="58"/>
      <c r="C443" s="59"/>
      <c r="D443" s="60"/>
      <c r="E443" s="58"/>
    </row>
    <row r="444">
      <c r="A444" s="58"/>
      <c r="B444" s="58"/>
      <c r="C444" s="59"/>
      <c r="D444" s="60"/>
      <c r="E444" s="58"/>
    </row>
    <row r="445">
      <c r="A445" s="58"/>
      <c r="B445" s="58"/>
      <c r="C445" s="59"/>
      <c r="D445" s="60"/>
      <c r="E445" s="58"/>
    </row>
    <row r="446">
      <c r="A446" s="58"/>
      <c r="B446" s="58"/>
      <c r="C446" s="59"/>
      <c r="D446" s="60"/>
      <c r="E446" s="58"/>
    </row>
    <row r="447">
      <c r="A447" s="58"/>
      <c r="B447" s="58"/>
      <c r="C447" s="59"/>
      <c r="D447" s="60"/>
      <c r="E447" s="58"/>
    </row>
    <row r="448">
      <c r="A448" s="58"/>
      <c r="B448" s="58"/>
      <c r="C448" s="59"/>
      <c r="D448" s="60"/>
      <c r="E448" s="58"/>
    </row>
    <row r="449">
      <c r="A449" s="58"/>
      <c r="B449" s="58"/>
      <c r="C449" s="59"/>
      <c r="D449" s="60"/>
      <c r="E449" s="58"/>
    </row>
    <row r="450">
      <c r="A450" s="58"/>
      <c r="B450" s="58"/>
      <c r="C450" s="59"/>
      <c r="D450" s="60"/>
      <c r="E450" s="58"/>
    </row>
    <row r="451">
      <c r="A451" s="58"/>
      <c r="B451" s="58"/>
      <c r="C451" s="59"/>
      <c r="D451" s="60"/>
      <c r="E451" s="58"/>
    </row>
    <row r="452">
      <c r="A452" s="58"/>
      <c r="B452" s="58"/>
      <c r="C452" s="59"/>
      <c r="D452" s="60"/>
      <c r="E452" s="58"/>
    </row>
    <row r="453">
      <c r="A453" s="58"/>
      <c r="B453" s="58"/>
      <c r="C453" s="59"/>
      <c r="D453" s="60"/>
      <c r="E453" s="58"/>
    </row>
    <row r="454">
      <c r="A454" s="58"/>
      <c r="B454" s="58"/>
      <c r="C454" s="59"/>
      <c r="D454" s="60"/>
      <c r="E454" s="58"/>
    </row>
    <row r="455">
      <c r="A455" s="58"/>
      <c r="B455" s="58"/>
      <c r="C455" s="59"/>
      <c r="D455" s="60"/>
      <c r="E455" s="58"/>
    </row>
    <row r="456">
      <c r="A456" s="58"/>
      <c r="B456" s="58"/>
      <c r="C456" s="59"/>
      <c r="D456" s="60"/>
      <c r="E456" s="58"/>
    </row>
    <row r="457">
      <c r="A457" s="58"/>
      <c r="B457" s="58"/>
      <c r="C457" s="59"/>
      <c r="D457" s="60"/>
      <c r="E457" s="58"/>
    </row>
    <row r="458">
      <c r="A458" s="58"/>
      <c r="B458" s="58"/>
      <c r="C458" s="59"/>
      <c r="D458" s="60"/>
      <c r="E458" s="58"/>
    </row>
    <row r="459">
      <c r="A459" s="58"/>
      <c r="B459" s="58"/>
      <c r="C459" s="59"/>
      <c r="D459" s="60"/>
      <c r="E459" s="58"/>
    </row>
    <row r="460">
      <c r="A460" s="58"/>
      <c r="B460" s="58"/>
      <c r="C460" s="59"/>
      <c r="D460" s="60"/>
      <c r="E460" s="58"/>
    </row>
    <row r="461">
      <c r="A461" s="58"/>
      <c r="B461" s="58"/>
      <c r="C461" s="59"/>
      <c r="D461" s="60"/>
      <c r="E461" s="58"/>
    </row>
    <row r="462">
      <c r="A462" s="58"/>
      <c r="B462" s="58"/>
      <c r="C462" s="59"/>
      <c r="D462" s="60"/>
      <c r="E462" s="58"/>
    </row>
    <row r="463">
      <c r="A463" s="58"/>
      <c r="B463" s="58"/>
      <c r="C463" s="59"/>
      <c r="D463" s="60"/>
      <c r="E463" s="58"/>
    </row>
    <row r="464">
      <c r="A464" s="58"/>
      <c r="B464" s="58"/>
      <c r="C464" s="59"/>
      <c r="D464" s="60"/>
      <c r="E464" s="58"/>
    </row>
    <row r="465">
      <c r="A465" s="58"/>
      <c r="B465" s="58"/>
      <c r="C465" s="59"/>
      <c r="D465" s="60"/>
      <c r="E465" s="58"/>
    </row>
    <row r="466">
      <c r="A466" s="58"/>
      <c r="B466" s="58"/>
      <c r="C466" s="59"/>
      <c r="D466" s="60"/>
      <c r="E466" s="58"/>
    </row>
    <row r="467">
      <c r="A467" s="58"/>
      <c r="B467" s="58"/>
      <c r="C467" s="59"/>
      <c r="D467" s="60"/>
      <c r="E467" s="58"/>
    </row>
    <row r="468">
      <c r="A468" s="58"/>
      <c r="B468" s="58"/>
      <c r="C468" s="59"/>
      <c r="D468" s="60"/>
      <c r="E468" s="58"/>
    </row>
    <row r="469">
      <c r="A469" s="58"/>
      <c r="B469" s="58"/>
      <c r="C469" s="59"/>
      <c r="D469" s="60"/>
      <c r="E469" s="58"/>
    </row>
    <row r="470">
      <c r="A470" s="58"/>
      <c r="B470" s="58"/>
      <c r="C470" s="59"/>
      <c r="D470" s="60"/>
      <c r="E470" s="58"/>
    </row>
    <row r="471">
      <c r="A471" s="58"/>
      <c r="B471" s="58"/>
      <c r="C471" s="59"/>
      <c r="D471" s="60"/>
      <c r="E471" s="58"/>
    </row>
    <row r="472">
      <c r="A472" s="58"/>
      <c r="B472" s="58"/>
      <c r="C472" s="59"/>
      <c r="D472" s="60"/>
      <c r="E472" s="58"/>
    </row>
    <row r="473">
      <c r="A473" s="58"/>
      <c r="B473" s="58"/>
      <c r="C473" s="59"/>
      <c r="D473" s="60"/>
      <c r="E473" s="58"/>
    </row>
    <row r="474">
      <c r="A474" s="58"/>
      <c r="B474" s="58"/>
      <c r="C474" s="59"/>
      <c r="D474" s="60"/>
      <c r="E474" s="58"/>
    </row>
    <row r="475">
      <c r="A475" s="58"/>
      <c r="B475" s="58"/>
      <c r="C475" s="59"/>
      <c r="D475" s="60"/>
      <c r="E475" s="58"/>
    </row>
    <row r="476">
      <c r="A476" s="58"/>
      <c r="B476" s="58"/>
      <c r="C476" s="59"/>
      <c r="D476" s="60"/>
      <c r="E476" s="58"/>
    </row>
    <row r="477">
      <c r="A477" s="58"/>
      <c r="B477" s="58"/>
      <c r="C477" s="59"/>
      <c r="D477" s="60"/>
      <c r="E477" s="58"/>
    </row>
    <row r="478">
      <c r="A478" s="58"/>
      <c r="B478" s="58"/>
      <c r="C478" s="59"/>
      <c r="D478" s="60"/>
      <c r="E478" s="58"/>
    </row>
    <row r="479">
      <c r="A479" s="58"/>
      <c r="B479" s="58"/>
      <c r="C479" s="59"/>
      <c r="D479" s="60"/>
      <c r="E479" s="58"/>
    </row>
    <row r="480">
      <c r="A480" s="58"/>
      <c r="B480" s="58"/>
      <c r="C480" s="59"/>
      <c r="D480" s="60"/>
      <c r="E480" s="58"/>
    </row>
    <row r="481">
      <c r="A481" s="58"/>
      <c r="B481" s="58"/>
      <c r="C481" s="59"/>
      <c r="D481" s="60"/>
      <c r="E481" s="58"/>
    </row>
    <row r="482">
      <c r="A482" s="58"/>
      <c r="B482" s="58"/>
      <c r="C482" s="59"/>
      <c r="D482" s="60"/>
      <c r="E482" s="58"/>
    </row>
    <row r="483">
      <c r="A483" s="58"/>
      <c r="B483" s="58"/>
      <c r="C483" s="59"/>
      <c r="D483" s="60"/>
      <c r="E483" s="58"/>
    </row>
    <row r="484">
      <c r="A484" s="58"/>
      <c r="B484" s="58"/>
      <c r="C484" s="59"/>
      <c r="D484" s="60"/>
      <c r="E484" s="58"/>
    </row>
    <row r="485">
      <c r="A485" s="58"/>
      <c r="B485" s="58"/>
      <c r="C485" s="59"/>
      <c r="D485" s="60"/>
      <c r="E485" s="58"/>
    </row>
    <row r="486">
      <c r="A486" s="58"/>
      <c r="B486" s="58"/>
      <c r="C486" s="59"/>
      <c r="D486" s="60"/>
      <c r="E486" s="58"/>
    </row>
    <row r="487">
      <c r="A487" s="58"/>
      <c r="B487" s="58"/>
      <c r="C487" s="59"/>
      <c r="D487" s="60"/>
      <c r="E487" s="58"/>
    </row>
    <row r="488">
      <c r="A488" s="58"/>
      <c r="B488" s="58"/>
      <c r="C488" s="59"/>
      <c r="D488" s="60"/>
      <c r="E488" s="58"/>
    </row>
    <row r="489">
      <c r="A489" s="58"/>
      <c r="B489" s="58"/>
      <c r="C489" s="59"/>
      <c r="D489" s="60"/>
      <c r="E489" s="58"/>
    </row>
    <row r="490">
      <c r="A490" s="58"/>
      <c r="B490" s="58"/>
      <c r="C490" s="59"/>
      <c r="D490" s="60"/>
      <c r="E490" s="58"/>
    </row>
    <row r="491">
      <c r="A491" s="58"/>
      <c r="B491" s="58"/>
      <c r="C491" s="59"/>
      <c r="D491" s="60"/>
      <c r="E491" s="58"/>
    </row>
    <row r="492">
      <c r="A492" s="58"/>
      <c r="B492" s="58"/>
      <c r="C492" s="59"/>
      <c r="D492" s="60"/>
      <c r="E492" s="58"/>
    </row>
    <row r="493">
      <c r="A493" s="58"/>
      <c r="B493" s="58"/>
      <c r="C493" s="59"/>
      <c r="D493" s="60"/>
      <c r="E493" s="58"/>
    </row>
    <row r="494">
      <c r="A494" s="58"/>
      <c r="B494" s="58"/>
      <c r="C494" s="59"/>
      <c r="D494" s="60"/>
      <c r="E494" s="58"/>
    </row>
    <row r="495">
      <c r="A495" s="58"/>
      <c r="B495" s="58"/>
      <c r="C495" s="59"/>
      <c r="D495" s="60"/>
      <c r="E495" s="58"/>
    </row>
    <row r="496">
      <c r="A496" s="58"/>
      <c r="B496" s="58"/>
      <c r="C496" s="59"/>
      <c r="D496" s="60"/>
      <c r="E496" s="58"/>
    </row>
    <row r="497">
      <c r="A497" s="58"/>
      <c r="B497" s="58"/>
      <c r="C497" s="59"/>
      <c r="D497" s="60"/>
      <c r="E497" s="58"/>
    </row>
    <row r="498">
      <c r="A498" s="58"/>
      <c r="B498" s="58"/>
      <c r="C498" s="59"/>
      <c r="D498" s="60"/>
      <c r="E498" s="58"/>
    </row>
    <row r="499">
      <c r="A499" s="58"/>
      <c r="B499" s="58"/>
      <c r="C499" s="59"/>
      <c r="D499" s="60"/>
      <c r="E499" s="58"/>
    </row>
    <row r="500">
      <c r="A500" s="58"/>
      <c r="B500" s="58"/>
      <c r="C500" s="59"/>
      <c r="D500" s="60"/>
      <c r="E500" s="58"/>
    </row>
    <row r="501">
      <c r="A501" s="58"/>
      <c r="B501" s="58"/>
      <c r="C501" s="59"/>
      <c r="D501" s="60"/>
      <c r="E501" s="58"/>
    </row>
    <row r="502">
      <c r="A502" s="58"/>
      <c r="B502" s="58"/>
      <c r="C502" s="59"/>
      <c r="D502" s="60"/>
      <c r="E502" s="58"/>
    </row>
    <row r="503">
      <c r="A503" s="58"/>
      <c r="B503" s="58"/>
      <c r="C503" s="59"/>
      <c r="D503" s="60"/>
      <c r="E503" s="58"/>
    </row>
    <row r="504">
      <c r="A504" s="58"/>
      <c r="B504" s="58"/>
      <c r="C504" s="59"/>
      <c r="D504" s="60"/>
      <c r="E504" s="58"/>
    </row>
    <row r="505">
      <c r="A505" s="58"/>
      <c r="B505" s="58"/>
      <c r="C505" s="59"/>
      <c r="D505" s="60"/>
      <c r="E505" s="58"/>
    </row>
    <row r="506">
      <c r="A506" s="58"/>
      <c r="B506" s="58"/>
      <c r="C506" s="59"/>
      <c r="D506" s="60"/>
      <c r="E506" s="58"/>
    </row>
    <row r="507">
      <c r="A507" s="58"/>
      <c r="B507" s="58"/>
      <c r="C507" s="59"/>
      <c r="D507" s="60"/>
      <c r="E507" s="58"/>
    </row>
    <row r="508">
      <c r="A508" s="58"/>
      <c r="B508" s="58"/>
      <c r="C508" s="59"/>
      <c r="D508" s="60"/>
      <c r="E508" s="58"/>
    </row>
    <row r="509">
      <c r="A509" s="58"/>
      <c r="B509" s="58"/>
      <c r="C509" s="59"/>
      <c r="D509" s="60"/>
      <c r="E509" s="58"/>
    </row>
    <row r="510">
      <c r="A510" s="58"/>
      <c r="B510" s="58"/>
      <c r="C510" s="59"/>
      <c r="D510" s="60"/>
      <c r="E510" s="58"/>
    </row>
    <row r="511">
      <c r="A511" s="58"/>
      <c r="B511" s="58"/>
      <c r="C511" s="59"/>
      <c r="D511" s="60"/>
      <c r="E511" s="58"/>
    </row>
    <row r="512">
      <c r="A512" s="58"/>
      <c r="B512" s="58"/>
      <c r="C512" s="59"/>
      <c r="D512" s="60"/>
      <c r="E512" s="58"/>
    </row>
    <row r="513">
      <c r="A513" s="58"/>
      <c r="B513" s="58"/>
      <c r="C513" s="59"/>
      <c r="D513" s="60"/>
      <c r="E513" s="58"/>
    </row>
    <row r="514">
      <c r="A514" s="58"/>
      <c r="B514" s="58"/>
      <c r="C514" s="59"/>
      <c r="D514" s="60"/>
      <c r="E514" s="58"/>
    </row>
    <row r="515">
      <c r="A515" s="58"/>
      <c r="B515" s="58"/>
      <c r="C515" s="59"/>
      <c r="D515" s="60"/>
      <c r="E515" s="58"/>
    </row>
    <row r="516">
      <c r="A516" s="58"/>
      <c r="B516" s="58"/>
      <c r="C516" s="59"/>
      <c r="D516" s="60"/>
      <c r="E516" s="58"/>
    </row>
    <row r="517">
      <c r="A517" s="58"/>
      <c r="B517" s="58"/>
      <c r="C517" s="59"/>
      <c r="D517" s="60"/>
      <c r="E517" s="58"/>
    </row>
    <row r="518">
      <c r="A518" s="58"/>
      <c r="B518" s="58"/>
      <c r="C518" s="59"/>
      <c r="D518" s="60"/>
      <c r="E518" s="58"/>
    </row>
    <row r="519">
      <c r="A519" s="58"/>
      <c r="B519" s="58"/>
      <c r="C519" s="59"/>
      <c r="D519" s="60"/>
      <c r="E519" s="58"/>
    </row>
    <row r="520">
      <c r="A520" s="58"/>
      <c r="B520" s="58"/>
      <c r="C520" s="59"/>
      <c r="D520" s="60"/>
      <c r="E520" s="58"/>
    </row>
    <row r="521">
      <c r="A521" s="58"/>
      <c r="B521" s="58"/>
      <c r="C521" s="59"/>
      <c r="D521" s="60"/>
      <c r="E521" s="58"/>
    </row>
    <row r="522">
      <c r="A522" s="58"/>
      <c r="B522" s="58"/>
      <c r="C522" s="59"/>
      <c r="D522" s="60"/>
      <c r="E522" s="58"/>
    </row>
    <row r="523">
      <c r="A523" s="58"/>
      <c r="B523" s="58"/>
      <c r="C523" s="59"/>
      <c r="D523" s="60"/>
      <c r="E523" s="58"/>
    </row>
    <row r="524">
      <c r="A524" s="58"/>
      <c r="B524" s="58"/>
      <c r="C524" s="59"/>
      <c r="D524" s="60"/>
      <c r="E524" s="58"/>
    </row>
    <row r="525">
      <c r="A525" s="58"/>
      <c r="B525" s="58"/>
      <c r="C525" s="59"/>
      <c r="D525" s="60"/>
      <c r="E525" s="58"/>
    </row>
    <row r="526">
      <c r="A526" s="58"/>
      <c r="B526" s="58"/>
      <c r="C526" s="59"/>
      <c r="D526" s="60"/>
      <c r="E526" s="58"/>
    </row>
    <row r="527">
      <c r="A527" s="58"/>
      <c r="B527" s="58"/>
      <c r="C527" s="59"/>
      <c r="D527" s="60"/>
      <c r="E527" s="58"/>
    </row>
    <row r="528">
      <c r="A528" s="58"/>
      <c r="B528" s="58"/>
      <c r="C528" s="59"/>
      <c r="D528" s="60"/>
      <c r="E528" s="58"/>
    </row>
    <row r="529">
      <c r="A529" s="58"/>
      <c r="B529" s="58"/>
      <c r="C529" s="59"/>
      <c r="D529" s="60"/>
      <c r="E529" s="58"/>
    </row>
    <row r="530">
      <c r="A530" s="58"/>
      <c r="B530" s="58"/>
      <c r="C530" s="59"/>
      <c r="D530" s="60"/>
      <c r="E530" s="58"/>
    </row>
    <row r="531">
      <c r="A531" s="58"/>
      <c r="B531" s="58"/>
      <c r="C531" s="59"/>
      <c r="D531" s="60"/>
      <c r="E531" s="58"/>
    </row>
    <row r="532">
      <c r="A532" s="58"/>
      <c r="B532" s="58"/>
      <c r="C532" s="59"/>
      <c r="D532" s="60"/>
      <c r="E532" s="58"/>
    </row>
    <row r="533">
      <c r="A533" s="58"/>
      <c r="B533" s="58"/>
      <c r="C533" s="59"/>
      <c r="D533" s="60"/>
      <c r="E533" s="58"/>
    </row>
    <row r="534">
      <c r="A534" s="58"/>
      <c r="B534" s="58"/>
      <c r="C534" s="59"/>
      <c r="D534" s="60"/>
      <c r="E534" s="58"/>
    </row>
    <row r="535">
      <c r="A535" s="58"/>
      <c r="B535" s="58"/>
      <c r="C535" s="59"/>
      <c r="D535" s="60"/>
      <c r="E535" s="58"/>
    </row>
    <row r="536">
      <c r="A536" s="58"/>
      <c r="B536" s="58"/>
      <c r="C536" s="59"/>
      <c r="D536" s="60"/>
      <c r="E536" s="58"/>
    </row>
    <row r="537">
      <c r="A537" s="58"/>
      <c r="B537" s="58"/>
      <c r="C537" s="59"/>
      <c r="D537" s="60"/>
      <c r="E537" s="58"/>
    </row>
    <row r="538">
      <c r="A538" s="58"/>
      <c r="B538" s="58"/>
      <c r="C538" s="59"/>
      <c r="D538" s="60"/>
      <c r="E538" s="58"/>
    </row>
    <row r="539">
      <c r="A539" s="58"/>
      <c r="B539" s="58"/>
      <c r="C539" s="59"/>
      <c r="D539" s="60"/>
      <c r="E539" s="58"/>
    </row>
    <row r="540">
      <c r="A540" s="58"/>
      <c r="B540" s="58"/>
      <c r="C540" s="59"/>
      <c r="D540" s="60"/>
      <c r="E540" s="58"/>
    </row>
    <row r="541">
      <c r="A541" s="58"/>
      <c r="B541" s="58"/>
      <c r="C541" s="59"/>
      <c r="D541" s="60"/>
      <c r="E541" s="58"/>
    </row>
    <row r="542">
      <c r="A542" s="58"/>
      <c r="B542" s="58"/>
      <c r="C542" s="59"/>
      <c r="D542" s="60"/>
      <c r="E542" s="58"/>
    </row>
    <row r="543">
      <c r="A543" s="58"/>
      <c r="B543" s="58"/>
      <c r="C543" s="59"/>
      <c r="D543" s="60"/>
      <c r="E543" s="58"/>
    </row>
    <row r="544">
      <c r="A544" s="58"/>
      <c r="B544" s="58"/>
      <c r="C544" s="59"/>
      <c r="D544" s="60"/>
      <c r="E544" s="58"/>
    </row>
    <row r="545">
      <c r="A545" s="58"/>
      <c r="B545" s="58"/>
      <c r="C545" s="59"/>
      <c r="D545" s="60"/>
      <c r="E545" s="58"/>
    </row>
    <row r="546">
      <c r="A546" s="58"/>
      <c r="B546" s="58"/>
      <c r="C546" s="59"/>
      <c r="D546" s="60"/>
      <c r="E546" s="58"/>
    </row>
    <row r="547">
      <c r="A547" s="58"/>
      <c r="B547" s="58"/>
      <c r="C547" s="59"/>
      <c r="D547" s="60"/>
      <c r="E547" s="58"/>
    </row>
    <row r="548">
      <c r="A548" s="58"/>
      <c r="B548" s="58"/>
      <c r="C548" s="59"/>
      <c r="D548" s="60"/>
      <c r="E548" s="58"/>
    </row>
    <row r="549">
      <c r="A549" s="58"/>
      <c r="B549" s="58"/>
      <c r="C549" s="59"/>
      <c r="D549" s="60"/>
      <c r="E549" s="58"/>
    </row>
    <row r="550">
      <c r="A550" s="58"/>
      <c r="B550" s="58"/>
      <c r="C550" s="59"/>
      <c r="D550" s="60"/>
      <c r="E550" s="58"/>
    </row>
    <row r="551">
      <c r="A551" s="58"/>
      <c r="B551" s="58"/>
      <c r="C551" s="59"/>
      <c r="D551" s="60"/>
      <c r="E551" s="58"/>
    </row>
    <row r="552">
      <c r="A552" s="58"/>
      <c r="B552" s="58"/>
      <c r="C552" s="59"/>
      <c r="D552" s="60"/>
      <c r="E552" s="58"/>
    </row>
    <row r="553">
      <c r="A553" s="58"/>
      <c r="B553" s="58"/>
      <c r="C553" s="59"/>
      <c r="D553" s="60"/>
      <c r="E553" s="58"/>
    </row>
    <row r="554">
      <c r="A554" s="58"/>
      <c r="B554" s="58"/>
      <c r="C554" s="59"/>
      <c r="D554" s="60"/>
      <c r="E554" s="58"/>
    </row>
    <row r="555">
      <c r="A555" s="58"/>
      <c r="B555" s="58"/>
      <c r="C555" s="59"/>
      <c r="D555" s="60"/>
      <c r="E555" s="58"/>
    </row>
    <row r="556">
      <c r="A556" s="58"/>
      <c r="B556" s="58"/>
      <c r="C556" s="59"/>
      <c r="D556" s="60"/>
      <c r="E556" s="58"/>
    </row>
    <row r="557">
      <c r="A557" s="58"/>
      <c r="B557" s="58"/>
      <c r="C557" s="59"/>
      <c r="D557" s="60"/>
      <c r="E557" s="58"/>
    </row>
    <row r="558">
      <c r="A558" s="58"/>
      <c r="B558" s="58"/>
      <c r="C558" s="59"/>
      <c r="D558" s="60"/>
      <c r="E558" s="58"/>
    </row>
    <row r="559">
      <c r="A559" s="58"/>
      <c r="B559" s="58"/>
      <c r="C559" s="59"/>
      <c r="D559" s="60"/>
      <c r="E559" s="58"/>
    </row>
    <row r="560">
      <c r="A560" s="58"/>
      <c r="B560" s="58"/>
      <c r="C560" s="59"/>
      <c r="D560" s="60"/>
      <c r="E560" s="58"/>
    </row>
    <row r="561">
      <c r="A561" s="58"/>
      <c r="B561" s="58"/>
      <c r="C561" s="59"/>
      <c r="D561" s="60"/>
      <c r="E561" s="58"/>
    </row>
    <row r="562">
      <c r="A562" s="58"/>
      <c r="B562" s="58"/>
      <c r="C562" s="59"/>
      <c r="D562" s="60"/>
      <c r="E562" s="58"/>
    </row>
    <row r="563">
      <c r="A563" s="58"/>
      <c r="B563" s="58"/>
      <c r="C563" s="59"/>
      <c r="D563" s="60"/>
      <c r="E563" s="58"/>
    </row>
    <row r="564">
      <c r="A564" s="58"/>
      <c r="B564" s="58"/>
      <c r="C564" s="59"/>
      <c r="D564" s="60"/>
      <c r="E564" s="58"/>
    </row>
    <row r="565">
      <c r="A565" s="58"/>
      <c r="B565" s="58"/>
      <c r="C565" s="59"/>
      <c r="D565" s="60"/>
      <c r="E565" s="58"/>
    </row>
    <row r="566">
      <c r="A566" s="58"/>
      <c r="B566" s="58"/>
      <c r="C566" s="59"/>
      <c r="D566" s="60"/>
      <c r="E566" s="58"/>
    </row>
    <row r="567">
      <c r="A567" s="58"/>
      <c r="B567" s="58"/>
      <c r="C567" s="59"/>
      <c r="D567" s="60"/>
      <c r="E567" s="58"/>
    </row>
    <row r="568">
      <c r="A568" s="58"/>
      <c r="B568" s="58"/>
      <c r="C568" s="59"/>
      <c r="D568" s="60"/>
      <c r="E568" s="58"/>
    </row>
    <row r="569">
      <c r="A569" s="58"/>
      <c r="B569" s="58"/>
      <c r="C569" s="59"/>
      <c r="D569" s="60"/>
      <c r="E569" s="58"/>
    </row>
    <row r="570">
      <c r="A570" s="58"/>
      <c r="B570" s="58"/>
      <c r="C570" s="59"/>
      <c r="D570" s="60"/>
      <c r="E570" s="58"/>
    </row>
    <row r="571">
      <c r="A571" s="58"/>
      <c r="B571" s="58"/>
      <c r="C571" s="59"/>
      <c r="D571" s="60"/>
      <c r="E571" s="58"/>
    </row>
    <row r="572">
      <c r="A572" s="58"/>
      <c r="B572" s="58"/>
      <c r="C572" s="59"/>
      <c r="D572" s="60"/>
      <c r="E572" s="58"/>
    </row>
    <row r="573">
      <c r="A573" s="58"/>
      <c r="B573" s="58"/>
      <c r="C573" s="59"/>
      <c r="D573" s="60"/>
      <c r="E573" s="58"/>
    </row>
    <row r="574">
      <c r="A574" s="58"/>
      <c r="B574" s="58"/>
      <c r="C574" s="59"/>
      <c r="D574" s="60"/>
      <c r="E574" s="58"/>
    </row>
    <row r="575">
      <c r="A575" s="58"/>
      <c r="B575" s="58"/>
      <c r="C575" s="59"/>
      <c r="D575" s="60"/>
      <c r="E575" s="58"/>
    </row>
    <row r="576">
      <c r="A576" s="58"/>
      <c r="B576" s="58"/>
      <c r="C576" s="59"/>
      <c r="D576" s="60"/>
      <c r="E576" s="58"/>
    </row>
    <row r="577">
      <c r="A577" s="58"/>
      <c r="B577" s="58"/>
      <c r="C577" s="59"/>
      <c r="D577" s="60"/>
      <c r="E577" s="58"/>
    </row>
    <row r="578">
      <c r="A578" s="58"/>
      <c r="B578" s="58"/>
      <c r="C578" s="59"/>
      <c r="D578" s="60"/>
      <c r="E578" s="58"/>
    </row>
    <row r="579">
      <c r="A579" s="58"/>
      <c r="B579" s="58"/>
      <c r="C579" s="59"/>
      <c r="D579" s="60"/>
      <c r="E579" s="58"/>
    </row>
    <row r="580">
      <c r="A580" s="58"/>
      <c r="B580" s="58"/>
      <c r="C580" s="59"/>
      <c r="D580" s="60"/>
      <c r="E580" s="58"/>
    </row>
    <row r="581">
      <c r="A581" s="58"/>
      <c r="B581" s="58"/>
      <c r="C581" s="59"/>
      <c r="D581" s="60"/>
      <c r="E581" s="58"/>
    </row>
    <row r="582">
      <c r="A582" s="58"/>
      <c r="B582" s="58"/>
      <c r="C582" s="59"/>
      <c r="D582" s="60"/>
      <c r="E582" s="58"/>
    </row>
    <row r="583">
      <c r="A583" s="58"/>
      <c r="B583" s="58"/>
      <c r="C583" s="59"/>
      <c r="D583" s="60"/>
      <c r="E583" s="58"/>
    </row>
    <row r="584">
      <c r="A584" s="58"/>
      <c r="B584" s="58"/>
      <c r="C584" s="59"/>
      <c r="D584" s="60"/>
      <c r="E584" s="58"/>
    </row>
    <row r="585">
      <c r="A585" s="58"/>
      <c r="B585" s="58"/>
      <c r="C585" s="59"/>
      <c r="D585" s="60"/>
      <c r="E585" s="58"/>
    </row>
    <row r="586">
      <c r="A586" s="58"/>
      <c r="B586" s="58"/>
      <c r="C586" s="59"/>
      <c r="D586" s="60"/>
      <c r="E586" s="58"/>
    </row>
    <row r="587">
      <c r="A587" s="58"/>
      <c r="B587" s="58"/>
      <c r="C587" s="59"/>
      <c r="D587" s="60"/>
      <c r="E587" s="58"/>
    </row>
    <row r="588">
      <c r="A588" s="58"/>
      <c r="B588" s="58"/>
      <c r="C588" s="59"/>
      <c r="D588" s="60"/>
      <c r="E588" s="58"/>
    </row>
    <row r="589">
      <c r="A589" s="58"/>
      <c r="B589" s="58"/>
      <c r="C589" s="59"/>
      <c r="D589" s="60"/>
      <c r="E589" s="58"/>
    </row>
    <row r="590">
      <c r="A590" s="58"/>
      <c r="B590" s="58"/>
      <c r="C590" s="59"/>
      <c r="D590" s="60"/>
      <c r="E590" s="58"/>
    </row>
    <row r="591">
      <c r="A591" s="58"/>
      <c r="B591" s="58"/>
      <c r="C591" s="59"/>
      <c r="D591" s="60"/>
      <c r="E591" s="58"/>
    </row>
    <row r="592">
      <c r="A592" s="58"/>
      <c r="B592" s="58"/>
      <c r="C592" s="59"/>
      <c r="D592" s="60"/>
      <c r="E592" s="58"/>
    </row>
    <row r="593">
      <c r="A593" s="58"/>
      <c r="B593" s="58"/>
      <c r="C593" s="59"/>
      <c r="D593" s="60"/>
      <c r="E593" s="58"/>
    </row>
    <row r="594">
      <c r="A594" s="58"/>
      <c r="B594" s="58"/>
      <c r="C594" s="59"/>
      <c r="D594" s="60"/>
      <c r="E594" s="58"/>
    </row>
    <row r="595">
      <c r="A595" s="58"/>
      <c r="B595" s="58"/>
      <c r="C595" s="59"/>
      <c r="D595" s="60"/>
      <c r="E595" s="58"/>
    </row>
    <row r="596">
      <c r="A596" s="58"/>
      <c r="B596" s="58"/>
      <c r="C596" s="59"/>
      <c r="D596" s="60"/>
      <c r="E596" s="58"/>
    </row>
    <row r="597">
      <c r="A597" s="58"/>
      <c r="B597" s="58"/>
      <c r="C597" s="59"/>
      <c r="D597" s="60"/>
      <c r="E597" s="58"/>
    </row>
    <row r="598">
      <c r="A598" s="58"/>
      <c r="B598" s="58"/>
      <c r="C598" s="59"/>
      <c r="D598" s="60"/>
      <c r="E598" s="58"/>
    </row>
    <row r="599">
      <c r="A599" s="58"/>
      <c r="B599" s="58"/>
      <c r="C599" s="59"/>
      <c r="D599" s="60"/>
      <c r="E599" s="58"/>
    </row>
    <row r="600">
      <c r="A600" s="58"/>
      <c r="B600" s="58"/>
      <c r="C600" s="59"/>
      <c r="D600" s="60"/>
      <c r="E600" s="58"/>
    </row>
    <row r="601">
      <c r="A601" s="58"/>
      <c r="B601" s="58"/>
      <c r="C601" s="59"/>
      <c r="D601" s="60"/>
      <c r="E601" s="58"/>
    </row>
    <row r="602">
      <c r="A602" s="58"/>
      <c r="B602" s="58"/>
      <c r="C602" s="59"/>
      <c r="D602" s="60"/>
      <c r="E602" s="58"/>
    </row>
    <row r="603">
      <c r="A603" s="58"/>
      <c r="B603" s="58"/>
      <c r="C603" s="59"/>
      <c r="D603" s="60"/>
      <c r="E603" s="58"/>
    </row>
    <row r="604">
      <c r="A604" s="58"/>
      <c r="B604" s="58"/>
      <c r="C604" s="59"/>
      <c r="D604" s="60"/>
      <c r="E604" s="58"/>
    </row>
    <row r="605">
      <c r="A605" s="58"/>
      <c r="B605" s="58"/>
      <c r="C605" s="59"/>
      <c r="D605" s="60"/>
      <c r="E605" s="58"/>
    </row>
    <row r="606">
      <c r="A606" s="58"/>
      <c r="B606" s="58"/>
      <c r="C606" s="59"/>
      <c r="D606" s="60"/>
      <c r="E606" s="58"/>
    </row>
    <row r="607">
      <c r="A607" s="58"/>
      <c r="B607" s="58"/>
      <c r="C607" s="59"/>
      <c r="D607" s="60"/>
      <c r="E607" s="58"/>
    </row>
    <row r="608">
      <c r="A608" s="58"/>
      <c r="B608" s="58"/>
      <c r="C608" s="59"/>
      <c r="D608" s="60"/>
      <c r="E608" s="58"/>
    </row>
    <row r="609">
      <c r="A609" s="58"/>
      <c r="B609" s="58"/>
      <c r="C609" s="59"/>
      <c r="D609" s="60"/>
      <c r="E609" s="58"/>
    </row>
    <row r="610">
      <c r="A610" s="58"/>
      <c r="B610" s="58"/>
      <c r="C610" s="59"/>
      <c r="D610" s="60"/>
      <c r="E610" s="58"/>
    </row>
    <row r="611">
      <c r="A611" s="58"/>
      <c r="B611" s="58"/>
      <c r="C611" s="59"/>
      <c r="D611" s="60"/>
      <c r="E611" s="58"/>
    </row>
    <row r="612">
      <c r="A612" s="58"/>
      <c r="B612" s="58"/>
      <c r="C612" s="59"/>
      <c r="D612" s="60"/>
      <c r="E612" s="58"/>
    </row>
    <row r="613">
      <c r="A613" s="58"/>
      <c r="B613" s="58"/>
      <c r="C613" s="59"/>
      <c r="D613" s="60"/>
      <c r="E613" s="58"/>
    </row>
    <row r="614">
      <c r="A614" s="58"/>
      <c r="B614" s="58"/>
      <c r="C614" s="59"/>
      <c r="D614" s="60"/>
      <c r="E614" s="58"/>
    </row>
    <row r="615">
      <c r="A615" s="58"/>
      <c r="B615" s="58"/>
      <c r="C615" s="59"/>
      <c r="D615" s="60"/>
      <c r="E615" s="58"/>
    </row>
    <row r="616">
      <c r="A616" s="58"/>
      <c r="B616" s="58"/>
      <c r="C616" s="59"/>
      <c r="D616" s="60"/>
      <c r="E616" s="58"/>
    </row>
    <row r="617">
      <c r="A617" s="58"/>
      <c r="B617" s="58"/>
      <c r="C617" s="59"/>
      <c r="D617" s="60"/>
      <c r="E617" s="58"/>
    </row>
    <row r="618">
      <c r="A618" s="58"/>
      <c r="B618" s="58"/>
      <c r="C618" s="59"/>
      <c r="D618" s="60"/>
      <c r="E618" s="58"/>
    </row>
    <row r="619">
      <c r="A619" s="58"/>
      <c r="B619" s="58"/>
      <c r="C619" s="59"/>
      <c r="D619" s="60"/>
      <c r="E619" s="58"/>
    </row>
    <row r="620">
      <c r="A620" s="58"/>
      <c r="B620" s="58"/>
      <c r="C620" s="59"/>
      <c r="D620" s="60"/>
      <c r="E620" s="58"/>
    </row>
    <row r="621">
      <c r="A621" s="58"/>
      <c r="B621" s="58"/>
      <c r="C621" s="59"/>
      <c r="D621" s="60"/>
      <c r="E621" s="58"/>
    </row>
    <row r="622">
      <c r="A622" s="58"/>
      <c r="B622" s="58"/>
      <c r="C622" s="59"/>
      <c r="D622" s="60"/>
      <c r="E622" s="58"/>
    </row>
    <row r="623">
      <c r="A623" s="58"/>
      <c r="B623" s="58"/>
      <c r="C623" s="59"/>
      <c r="D623" s="60"/>
      <c r="E623" s="58"/>
    </row>
    <row r="624">
      <c r="A624" s="58"/>
      <c r="B624" s="58"/>
      <c r="C624" s="59"/>
      <c r="D624" s="60"/>
      <c r="E624" s="58"/>
    </row>
    <row r="625">
      <c r="A625" s="58"/>
      <c r="B625" s="58"/>
      <c r="C625" s="59"/>
      <c r="D625" s="60"/>
      <c r="E625" s="58"/>
    </row>
    <row r="626">
      <c r="A626" s="58"/>
      <c r="B626" s="58"/>
      <c r="C626" s="59"/>
      <c r="D626" s="60"/>
      <c r="E626" s="58"/>
    </row>
    <row r="627">
      <c r="A627" s="58"/>
      <c r="B627" s="58"/>
      <c r="C627" s="59"/>
      <c r="D627" s="60"/>
      <c r="E627" s="58"/>
    </row>
    <row r="628">
      <c r="A628" s="58"/>
      <c r="B628" s="58"/>
      <c r="C628" s="59"/>
      <c r="D628" s="60"/>
      <c r="E628" s="58"/>
    </row>
    <row r="629">
      <c r="A629" s="58"/>
      <c r="B629" s="58"/>
      <c r="C629" s="59"/>
      <c r="D629" s="60"/>
      <c r="E629" s="58"/>
    </row>
    <row r="630">
      <c r="A630" s="58"/>
      <c r="B630" s="58"/>
      <c r="C630" s="59"/>
      <c r="D630" s="60"/>
      <c r="E630" s="58"/>
    </row>
    <row r="631">
      <c r="A631" s="58"/>
      <c r="B631" s="58"/>
      <c r="C631" s="59"/>
      <c r="D631" s="60"/>
      <c r="E631" s="58"/>
    </row>
    <row r="632">
      <c r="A632" s="58"/>
      <c r="B632" s="58"/>
      <c r="C632" s="59"/>
      <c r="D632" s="60"/>
      <c r="E632" s="58"/>
    </row>
    <row r="633">
      <c r="A633" s="58"/>
      <c r="B633" s="58"/>
      <c r="C633" s="59"/>
      <c r="D633" s="60"/>
      <c r="E633" s="58"/>
    </row>
    <row r="634">
      <c r="A634" s="58"/>
      <c r="B634" s="58"/>
      <c r="C634" s="59"/>
      <c r="D634" s="60"/>
      <c r="E634" s="58"/>
    </row>
    <row r="635">
      <c r="A635" s="58"/>
      <c r="B635" s="58"/>
      <c r="C635" s="59"/>
      <c r="D635" s="60"/>
      <c r="E635" s="58"/>
    </row>
    <row r="636">
      <c r="A636" s="58"/>
      <c r="B636" s="58"/>
      <c r="C636" s="59"/>
      <c r="D636" s="60"/>
      <c r="E636" s="58"/>
    </row>
    <row r="637">
      <c r="A637" s="58"/>
      <c r="B637" s="58"/>
      <c r="C637" s="59"/>
      <c r="D637" s="60"/>
      <c r="E637" s="58"/>
    </row>
    <row r="638">
      <c r="A638" s="58"/>
      <c r="B638" s="58"/>
      <c r="C638" s="59"/>
      <c r="D638" s="60"/>
      <c r="E638" s="58"/>
    </row>
    <row r="639">
      <c r="A639" s="58"/>
      <c r="B639" s="58"/>
      <c r="C639" s="59"/>
      <c r="D639" s="60"/>
      <c r="E639" s="58"/>
    </row>
    <row r="640">
      <c r="A640" s="58"/>
      <c r="B640" s="58"/>
      <c r="C640" s="59"/>
      <c r="D640" s="60"/>
      <c r="E640" s="58"/>
    </row>
    <row r="641">
      <c r="A641" s="58"/>
      <c r="B641" s="58"/>
      <c r="C641" s="59"/>
      <c r="D641" s="60"/>
      <c r="E641" s="58"/>
    </row>
    <row r="642">
      <c r="A642" s="58"/>
      <c r="B642" s="58"/>
      <c r="C642" s="59"/>
      <c r="D642" s="60"/>
      <c r="E642" s="58"/>
    </row>
    <row r="643">
      <c r="A643" s="58"/>
      <c r="B643" s="58"/>
      <c r="C643" s="59"/>
      <c r="D643" s="60"/>
      <c r="E643" s="58"/>
    </row>
    <row r="644">
      <c r="A644" s="58"/>
      <c r="B644" s="58"/>
      <c r="C644" s="59"/>
      <c r="D644" s="60"/>
      <c r="E644" s="58"/>
    </row>
    <row r="645">
      <c r="A645" s="58"/>
      <c r="B645" s="58"/>
      <c r="C645" s="59"/>
      <c r="D645" s="60"/>
      <c r="E645" s="58"/>
    </row>
    <row r="646">
      <c r="A646" s="58"/>
      <c r="B646" s="58"/>
      <c r="C646" s="59"/>
      <c r="D646" s="60"/>
      <c r="E646" s="58"/>
    </row>
    <row r="647">
      <c r="A647" s="58"/>
      <c r="B647" s="58"/>
      <c r="C647" s="59"/>
      <c r="D647" s="60"/>
      <c r="E647" s="58"/>
    </row>
    <row r="648">
      <c r="A648" s="58"/>
      <c r="B648" s="58"/>
      <c r="C648" s="59"/>
      <c r="D648" s="60"/>
      <c r="E648" s="58"/>
    </row>
    <row r="649">
      <c r="A649" s="58"/>
      <c r="B649" s="58"/>
      <c r="C649" s="59"/>
      <c r="D649" s="60"/>
      <c r="E649" s="58"/>
    </row>
    <row r="650">
      <c r="A650" s="58"/>
      <c r="B650" s="58"/>
      <c r="C650" s="59"/>
      <c r="D650" s="60"/>
      <c r="E650" s="58"/>
    </row>
    <row r="651">
      <c r="A651" s="58"/>
      <c r="B651" s="58"/>
      <c r="C651" s="59"/>
      <c r="D651" s="60"/>
      <c r="E651" s="58"/>
    </row>
    <row r="652">
      <c r="A652" s="58"/>
      <c r="B652" s="58"/>
      <c r="C652" s="59"/>
      <c r="D652" s="60"/>
      <c r="E652" s="58"/>
    </row>
    <row r="653">
      <c r="A653" s="58"/>
      <c r="B653" s="58"/>
      <c r="C653" s="59"/>
      <c r="D653" s="60"/>
      <c r="E653" s="58"/>
    </row>
    <row r="654">
      <c r="A654" s="58"/>
      <c r="B654" s="58"/>
      <c r="C654" s="59"/>
      <c r="D654" s="60"/>
      <c r="E654" s="58"/>
    </row>
    <row r="655">
      <c r="A655" s="58"/>
      <c r="B655" s="58"/>
      <c r="C655" s="59"/>
      <c r="D655" s="60"/>
      <c r="E655" s="58"/>
    </row>
    <row r="656">
      <c r="A656" s="58"/>
      <c r="B656" s="58"/>
      <c r="C656" s="59"/>
      <c r="D656" s="60"/>
      <c r="E656" s="58"/>
    </row>
    <row r="657">
      <c r="A657" s="58"/>
      <c r="B657" s="58"/>
      <c r="C657" s="59"/>
      <c r="D657" s="60"/>
      <c r="E657" s="58"/>
    </row>
    <row r="658">
      <c r="A658" s="58"/>
      <c r="B658" s="58"/>
      <c r="C658" s="59"/>
      <c r="D658" s="60"/>
      <c r="E658" s="58"/>
    </row>
    <row r="659">
      <c r="A659" s="58"/>
      <c r="B659" s="58"/>
      <c r="C659" s="59"/>
      <c r="D659" s="60"/>
      <c r="E659" s="58"/>
    </row>
    <row r="660">
      <c r="A660" s="58"/>
      <c r="B660" s="58"/>
      <c r="C660" s="59"/>
      <c r="D660" s="60"/>
      <c r="E660" s="58"/>
    </row>
    <row r="661">
      <c r="A661" s="58"/>
      <c r="B661" s="58"/>
      <c r="C661" s="59"/>
      <c r="D661" s="60"/>
      <c r="E661" s="58"/>
    </row>
    <row r="662">
      <c r="A662" s="58"/>
      <c r="B662" s="58"/>
      <c r="C662" s="59"/>
      <c r="D662" s="60"/>
      <c r="E662" s="58"/>
    </row>
    <row r="663">
      <c r="A663" s="58"/>
      <c r="B663" s="58"/>
      <c r="C663" s="59"/>
      <c r="D663" s="60"/>
      <c r="E663" s="58"/>
    </row>
    <row r="664">
      <c r="A664" s="58"/>
      <c r="B664" s="58"/>
      <c r="C664" s="59"/>
      <c r="D664" s="60"/>
      <c r="E664" s="58"/>
    </row>
    <row r="665">
      <c r="A665" s="58"/>
      <c r="B665" s="58"/>
      <c r="C665" s="59"/>
      <c r="D665" s="60"/>
      <c r="E665" s="58"/>
    </row>
    <row r="666">
      <c r="A666" s="58"/>
      <c r="B666" s="58"/>
      <c r="C666" s="59"/>
      <c r="D666" s="60"/>
      <c r="E666" s="58"/>
    </row>
    <row r="667">
      <c r="A667" s="58"/>
      <c r="B667" s="58"/>
      <c r="C667" s="59"/>
      <c r="D667" s="60"/>
      <c r="E667" s="58"/>
    </row>
    <row r="668">
      <c r="A668" s="58"/>
      <c r="B668" s="58"/>
      <c r="C668" s="59"/>
      <c r="D668" s="60"/>
      <c r="E668" s="58"/>
    </row>
    <row r="669">
      <c r="A669" s="58"/>
      <c r="B669" s="58"/>
      <c r="C669" s="59"/>
      <c r="D669" s="60"/>
      <c r="E669" s="58"/>
    </row>
    <row r="670">
      <c r="A670" s="58"/>
      <c r="B670" s="58"/>
      <c r="C670" s="59"/>
      <c r="D670" s="60"/>
      <c r="E670" s="58"/>
    </row>
    <row r="671">
      <c r="A671" s="58"/>
      <c r="B671" s="58"/>
      <c r="C671" s="59"/>
      <c r="D671" s="60"/>
      <c r="E671" s="58"/>
    </row>
    <row r="672">
      <c r="A672" s="58"/>
      <c r="B672" s="58"/>
      <c r="C672" s="59"/>
      <c r="D672" s="60"/>
      <c r="E672" s="58"/>
    </row>
    <row r="673">
      <c r="A673" s="58"/>
      <c r="B673" s="58"/>
      <c r="C673" s="59"/>
      <c r="D673" s="60"/>
      <c r="E673" s="58"/>
    </row>
    <row r="674">
      <c r="A674" s="58"/>
      <c r="B674" s="58"/>
      <c r="C674" s="59"/>
      <c r="D674" s="60"/>
      <c r="E674" s="58"/>
    </row>
    <row r="675">
      <c r="A675" s="58"/>
      <c r="B675" s="58"/>
      <c r="C675" s="59"/>
      <c r="D675" s="60"/>
      <c r="E675" s="58"/>
    </row>
    <row r="676">
      <c r="A676" s="58"/>
      <c r="B676" s="58"/>
      <c r="C676" s="59"/>
      <c r="D676" s="60"/>
      <c r="E676" s="58"/>
    </row>
    <row r="677">
      <c r="A677" s="58"/>
      <c r="B677" s="58"/>
      <c r="C677" s="59"/>
      <c r="D677" s="60"/>
      <c r="E677" s="58"/>
    </row>
    <row r="678">
      <c r="A678" s="58"/>
      <c r="B678" s="58"/>
      <c r="C678" s="59"/>
      <c r="D678" s="60"/>
      <c r="E678" s="58"/>
    </row>
    <row r="679">
      <c r="A679" s="58"/>
      <c r="B679" s="58"/>
      <c r="C679" s="59"/>
      <c r="D679" s="60"/>
      <c r="E679" s="58"/>
    </row>
    <row r="680">
      <c r="A680" s="58"/>
      <c r="B680" s="58"/>
      <c r="C680" s="59"/>
      <c r="D680" s="60"/>
      <c r="E680" s="58"/>
    </row>
    <row r="681">
      <c r="A681" s="58"/>
      <c r="B681" s="58"/>
      <c r="C681" s="59"/>
      <c r="D681" s="60"/>
      <c r="E681" s="58"/>
    </row>
    <row r="682">
      <c r="A682" s="58"/>
      <c r="B682" s="58"/>
      <c r="C682" s="59"/>
      <c r="D682" s="60"/>
      <c r="E682" s="58"/>
    </row>
    <row r="683">
      <c r="A683" s="58"/>
      <c r="B683" s="58"/>
      <c r="C683" s="59"/>
      <c r="D683" s="60"/>
      <c r="E683" s="58"/>
    </row>
    <row r="684">
      <c r="A684" s="58"/>
      <c r="B684" s="58"/>
      <c r="C684" s="59"/>
      <c r="D684" s="60"/>
      <c r="E684" s="58"/>
    </row>
    <row r="685">
      <c r="A685" s="58"/>
      <c r="B685" s="58"/>
      <c r="C685" s="59"/>
      <c r="D685" s="60"/>
      <c r="E685" s="58"/>
    </row>
    <row r="686">
      <c r="A686" s="58"/>
      <c r="B686" s="58"/>
      <c r="C686" s="59"/>
      <c r="D686" s="60"/>
      <c r="E686" s="58"/>
    </row>
    <row r="687">
      <c r="A687" s="58"/>
      <c r="B687" s="58"/>
      <c r="C687" s="59"/>
      <c r="D687" s="60"/>
      <c r="E687" s="58"/>
    </row>
    <row r="688">
      <c r="A688" s="58"/>
      <c r="B688" s="58"/>
      <c r="C688" s="59"/>
      <c r="D688" s="60"/>
      <c r="E688" s="58"/>
    </row>
    <row r="689">
      <c r="A689" s="58"/>
      <c r="B689" s="58"/>
      <c r="C689" s="59"/>
      <c r="D689" s="60"/>
      <c r="E689" s="58"/>
    </row>
    <row r="690">
      <c r="A690" s="58"/>
      <c r="B690" s="58"/>
      <c r="C690" s="59"/>
      <c r="D690" s="60"/>
      <c r="E690" s="58"/>
    </row>
    <row r="691">
      <c r="A691" s="58"/>
      <c r="B691" s="58"/>
      <c r="C691" s="59"/>
      <c r="D691" s="60"/>
      <c r="E691" s="58"/>
    </row>
    <row r="692">
      <c r="A692" s="58"/>
      <c r="B692" s="58"/>
      <c r="C692" s="59"/>
      <c r="D692" s="60"/>
      <c r="E692" s="58"/>
    </row>
    <row r="693">
      <c r="A693" s="58"/>
      <c r="B693" s="58"/>
      <c r="C693" s="59"/>
      <c r="D693" s="60"/>
      <c r="E693" s="58"/>
    </row>
    <row r="694">
      <c r="A694" s="58"/>
      <c r="B694" s="58"/>
      <c r="C694" s="59"/>
      <c r="D694" s="60"/>
      <c r="E694" s="58"/>
    </row>
    <row r="695">
      <c r="A695" s="58"/>
      <c r="B695" s="58"/>
      <c r="C695" s="59"/>
      <c r="D695" s="60"/>
      <c r="E695" s="58"/>
    </row>
    <row r="696">
      <c r="A696" s="58"/>
      <c r="B696" s="58"/>
      <c r="C696" s="59"/>
      <c r="D696" s="60"/>
      <c r="E696" s="58"/>
    </row>
    <row r="697">
      <c r="A697" s="58"/>
      <c r="B697" s="58"/>
      <c r="C697" s="59"/>
      <c r="D697" s="60"/>
      <c r="E697" s="58"/>
    </row>
    <row r="698">
      <c r="A698" s="58"/>
      <c r="B698" s="58"/>
      <c r="C698" s="59"/>
      <c r="D698" s="60"/>
      <c r="E698" s="58"/>
    </row>
    <row r="699">
      <c r="A699" s="58"/>
      <c r="B699" s="58"/>
      <c r="C699" s="59"/>
      <c r="D699" s="60"/>
      <c r="E699" s="58"/>
    </row>
    <row r="700">
      <c r="A700" s="58"/>
      <c r="B700" s="58"/>
      <c r="C700" s="59"/>
      <c r="D700" s="60"/>
      <c r="E700" s="58"/>
    </row>
    <row r="701">
      <c r="A701" s="58"/>
      <c r="B701" s="58"/>
      <c r="C701" s="59"/>
      <c r="D701" s="60"/>
      <c r="E701" s="58"/>
    </row>
    <row r="702">
      <c r="A702" s="58"/>
      <c r="B702" s="58"/>
      <c r="C702" s="59"/>
      <c r="D702" s="60"/>
      <c r="E702" s="58"/>
    </row>
    <row r="703">
      <c r="A703" s="58"/>
      <c r="B703" s="58"/>
      <c r="C703" s="59"/>
      <c r="D703" s="60"/>
      <c r="E703" s="58"/>
    </row>
    <row r="704">
      <c r="A704" s="58"/>
      <c r="B704" s="58"/>
      <c r="C704" s="59"/>
      <c r="D704" s="60"/>
      <c r="E704" s="58"/>
    </row>
    <row r="705">
      <c r="A705" s="58"/>
      <c r="B705" s="58"/>
      <c r="C705" s="59"/>
      <c r="D705" s="60"/>
      <c r="E705" s="58"/>
    </row>
    <row r="706">
      <c r="A706" s="58"/>
      <c r="B706" s="58"/>
      <c r="C706" s="59"/>
      <c r="D706" s="60"/>
      <c r="E706" s="58"/>
    </row>
    <row r="707">
      <c r="A707" s="58"/>
      <c r="B707" s="58"/>
      <c r="C707" s="59"/>
      <c r="D707" s="60"/>
      <c r="E707" s="58"/>
    </row>
    <row r="708">
      <c r="A708" s="58"/>
      <c r="B708" s="58"/>
      <c r="C708" s="59"/>
      <c r="D708" s="60"/>
      <c r="E708" s="58"/>
    </row>
    <row r="709">
      <c r="A709" s="58"/>
      <c r="B709" s="58"/>
      <c r="C709" s="59"/>
      <c r="D709" s="60"/>
      <c r="E709" s="58"/>
    </row>
    <row r="710">
      <c r="A710" s="58"/>
      <c r="B710" s="58"/>
      <c r="C710" s="59"/>
      <c r="D710" s="60"/>
      <c r="E710" s="58"/>
    </row>
    <row r="711">
      <c r="A711" s="58"/>
      <c r="B711" s="58"/>
      <c r="C711" s="59"/>
      <c r="D711" s="60"/>
      <c r="E711" s="58"/>
    </row>
    <row r="712">
      <c r="A712" s="58"/>
      <c r="B712" s="58"/>
      <c r="C712" s="59"/>
      <c r="D712" s="60"/>
      <c r="E712" s="58"/>
    </row>
    <row r="713">
      <c r="A713" s="58"/>
      <c r="B713" s="58"/>
      <c r="C713" s="59"/>
      <c r="D713" s="60"/>
      <c r="E713" s="58"/>
    </row>
    <row r="714">
      <c r="A714" s="58"/>
      <c r="B714" s="58"/>
      <c r="C714" s="59"/>
      <c r="D714" s="60"/>
      <c r="E714" s="58"/>
    </row>
    <row r="715">
      <c r="A715" s="58"/>
      <c r="B715" s="58"/>
      <c r="C715" s="59"/>
      <c r="D715" s="60"/>
      <c r="E715" s="58"/>
    </row>
    <row r="716">
      <c r="A716" s="58"/>
      <c r="B716" s="58"/>
      <c r="C716" s="59"/>
      <c r="D716" s="60"/>
      <c r="E716" s="58"/>
    </row>
    <row r="717">
      <c r="A717" s="58"/>
      <c r="B717" s="58"/>
      <c r="C717" s="59"/>
      <c r="D717" s="60"/>
      <c r="E717" s="58"/>
    </row>
    <row r="718">
      <c r="A718" s="58"/>
      <c r="B718" s="58"/>
      <c r="C718" s="59"/>
      <c r="D718" s="60"/>
      <c r="E718" s="58"/>
    </row>
    <row r="719">
      <c r="A719" s="58"/>
      <c r="B719" s="58"/>
      <c r="C719" s="59"/>
      <c r="D719" s="60"/>
      <c r="E719" s="58"/>
    </row>
    <row r="720">
      <c r="A720" s="58"/>
      <c r="B720" s="58"/>
      <c r="C720" s="59"/>
      <c r="D720" s="60"/>
      <c r="E720" s="58"/>
    </row>
    <row r="721">
      <c r="A721" s="58"/>
      <c r="B721" s="58"/>
      <c r="C721" s="59"/>
      <c r="D721" s="60"/>
      <c r="E721" s="58"/>
    </row>
    <row r="722">
      <c r="A722" s="58"/>
      <c r="B722" s="58"/>
      <c r="C722" s="59"/>
      <c r="D722" s="60"/>
      <c r="E722" s="58"/>
    </row>
    <row r="723">
      <c r="A723" s="58"/>
      <c r="B723" s="58"/>
      <c r="C723" s="59"/>
      <c r="D723" s="60"/>
      <c r="E723" s="58"/>
    </row>
    <row r="724">
      <c r="A724" s="58"/>
      <c r="B724" s="58"/>
      <c r="C724" s="59"/>
      <c r="D724" s="60"/>
      <c r="E724" s="58"/>
    </row>
    <row r="725">
      <c r="A725" s="58"/>
      <c r="B725" s="58"/>
      <c r="C725" s="59"/>
      <c r="D725" s="60"/>
      <c r="E725" s="58"/>
    </row>
    <row r="726">
      <c r="A726" s="58"/>
      <c r="B726" s="58"/>
      <c r="C726" s="59"/>
      <c r="D726" s="60"/>
      <c r="E726" s="58"/>
    </row>
    <row r="727">
      <c r="A727" s="58"/>
      <c r="B727" s="58"/>
      <c r="C727" s="59"/>
      <c r="D727" s="60"/>
      <c r="E727" s="58"/>
    </row>
    <row r="728">
      <c r="A728" s="58"/>
      <c r="B728" s="58"/>
      <c r="C728" s="59"/>
      <c r="D728" s="60"/>
      <c r="E728" s="58"/>
    </row>
    <row r="729">
      <c r="A729" s="58"/>
      <c r="B729" s="58"/>
      <c r="C729" s="59"/>
      <c r="D729" s="60"/>
      <c r="E729" s="58"/>
    </row>
    <row r="730">
      <c r="A730" s="58"/>
      <c r="B730" s="58"/>
      <c r="C730" s="59"/>
      <c r="D730" s="60"/>
      <c r="E730" s="58"/>
    </row>
    <row r="731">
      <c r="A731" s="58"/>
      <c r="B731" s="58"/>
      <c r="C731" s="59"/>
      <c r="D731" s="60"/>
      <c r="E731" s="58"/>
    </row>
    <row r="732">
      <c r="A732" s="58"/>
      <c r="B732" s="58"/>
      <c r="C732" s="59"/>
      <c r="D732" s="60"/>
      <c r="E732" s="58"/>
    </row>
    <row r="733">
      <c r="A733" s="58"/>
      <c r="B733" s="58"/>
      <c r="C733" s="59"/>
      <c r="D733" s="60"/>
      <c r="E733" s="58"/>
    </row>
    <row r="734">
      <c r="A734" s="58"/>
      <c r="B734" s="58"/>
      <c r="C734" s="59"/>
      <c r="D734" s="60"/>
      <c r="E734" s="58"/>
    </row>
    <row r="735">
      <c r="A735" s="58"/>
      <c r="B735" s="58"/>
      <c r="C735" s="59"/>
      <c r="D735" s="60"/>
      <c r="E735" s="58"/>
    </row>
    <row r="736">
      <c r="A736" s="58"/>
      <c r="B736" s="58"/>
      <c r="C736" s="59"/>
      <c r="D736" s="60"/>
      <c r="E736" s="58"/>
    </row>
    <row r="737">
      <c r="A737" s="58"/>
      <c r="B737" s="58"/>
      <c r="C737" s="59"/>
      <c r="D737" s="60"/>
      <c r="E737" s="58"/>
    </row>
    <row r="738">
      <c r="A738" s="58"/>
      <c r="B738" s="58"/>
      <c r="C738" s="59"/>
      <c r="D738" s="60"/>
      <c r="E738" s="58"/>
    </row>
    <row r="739">
      <c r="A739" s="58"/>
      <c r="B739" s="58"/>
      <c r="C739" s="59"/>
      <c r="D739" s="60"/>
      <c r="E739" s="58"/>
    </row>
    <row r="740">
      <c r="A740" s="58"/>
      <c r="B740" s="58"/>
      <c r="C740" s="59"/>
      <c r="D740" s="60"/>
      <c r="E740" s="58"/>
    </row>
    <row r="741">
      <c r="A741" s="58"/>
      <c r="B741" s="58"/>
      <c r="C741" s="59"/>
      <c r="D741" s="60"/>
      <c r="E741" s="58"/>
    </row>
    <row r="742">
      <c r="A742" s="58"/>
      <c r="B742" s="58"/>
      <c r="C742" s="59"/>
      <c r="D742" s="60"/>
      <c r="E742" s="58"/>
    </row>
    <row r="743">
      <c r="A743" s="58"/>
      <c r="B743" s="58"/>
      <c r="C743" s="59"/>
      <c r="D743" s="60"/>
      <c r="E743" s="58"/>
    </row>
    <row r="744">
      <c r="A744" s="58"/>
      <c r="B744" s="58"/>
      <c r="C744" s="59"/>
      <c r="D744" s="60"/>
      <c r="E744" s="58"/>
    </row>
    <row r="745">
      <c r="A745" s="58"/>
      <c r="B745" s="58"/>
      <c r="C745" s="59"/>
      <c r="D745" s="60"/>
      <c r="E745" s="58"/>
    </row>
    <row r="746">
      <c r="A746" s="58"/>
      <c r="B746" s="58"/>
      <c r="C746" s="59"/>
      <c r="D746" s="60"/>
      <c r="E746" s="58"/>
    </row>
    <row r="747">
      <c r="A747" s="58"/>
      <c r="B747" s="58"/>
      <c r="C747" s="59"/>
      <c r="D747" s="60"/>
      <c r="E747" s="58"/>
    </row>
    <row r="748">
      <c r="A748" s="58"/>
      <c r="B748" s="58"/>
      <c r="C748" s="59"/>
      <c r="D748" s="60"/>
      <c r="E748" s="58"/>
    </row>
    <row r="749">
      <c r="A749" s="58"/>
      <c r="B749" s="58"/>
      <c r="C749" s="59"/>
      <c r="D749" s="60"/>
      <c r="E749" s="58"/>
    </row>
    <row r="750">
      <c r="A750" s="58"/>
      <c r="B750" s="58"/>
      <c r="C750" s="59"/>
      <c r="D750" s="60"/>
      <c r="E750" s="58"/>
    </row>
    <row r="751">
      <c r="A751" s="58"/>
      <c r="B751" s="58"/>
      <c r="C751" s="59"/>
      <c r="D751" s="60"/>
      <c r="E751" s="58"/>
    </row>
    <row r="752">
      <c r="A752" s="58"/>
      <c r="B752" s="58"/>
      <c r="C752" s="59"/>
      <c r="D752" s="60"/>
      <c r="E752" s="58"/>
    </row>
    <row r="753">
      <c r="A753" s="58"/>
      <c r="B753" s="58"/>
      <c r="C753" s="59"/>
      <c r="D753" s="60"/>
      <c r="E753" s="58"/>
    </row>
    <row r="754">
      <c r="A754" s="58"/>
      <c r="B754" s="58"/>
      <c r="C754" s="59"/>
      <c r="D754" s="60"/>
      <c r="E754" s="58"/>
    </row>
    <row r="755">
      <c r="A755" s="58"/>
      <c r="B755" s="58"/>
      <c r="C755" s="59"/>
      <c r="D755" s="60"/>
      <c r="E755" s="58"/>
    </row>
    <row r="756">
      <c r="A756" s="58"/>
      <c r="B756" s="58"/>
      <c r="C756" s="59"/>
      <c r="D756" s="60"/>
      <c r="E756" s="58"/>
    </row>
    <row r="757">
      <c r="A757" s="58"/>
      <c r="B757" s="58"/>
      <c r="C757" s="59"/>
      <c r="D757" s="60"/>
      <c r="E757" s="58"/>
    </row>
    <row r="758">
      <c r="A758" s="58"/>
      <c r="B758" s="58"/>
      <c r="C758" s="59"/>
      <c r="D758" s="60"/>
      <c r="E758" s="58"/>
    </row>
    <row r="759">
      <c r="A759" s="58"/>
      <c r="B759" s="58"/>
      <c r="C759" s="59"/>
      <c r="D759" s="60"/>
      <c r="E759" s="58"/>
    </row>
    <row r="760">
      <c r="A760" s="58"/>
      <c r="B760" s="58"/>
      <c r="C760" s="59"/>
      <c r="D760" s="60"/>
      <c r="E760" s="58"/>
    </row>
    <row r="761">
      <c r="A761" s="58"/>
      <c r="B761" s="58"/>
      <c r="C761" s="59"/>
      <c r="D761" s="60"/>
      <c r="E761" s="58"/>
    </row>
    <row r="762">
      <c r="A762" s="58"/>
      <c r="B762" s="58"/>
      <c r="C762" s="59"/>
      <c r="D762" s="60"/>
      <c r="E762" s="58"/>
    </row>
    <row r="763">
      <c r="A763" s="58"/>
      <c r="B763" s="58"/>
      <c r="C763" s="59"/>
      <c r="D763" s="60"/>
      <c r="E763" s="58"/>
    </row>
    <row r="764">
      <c r="A764" s="58"/>
      <c r="B764" s="58"/>
      <c r="C764" s="59"/>
      <c r="D764" s="60"/>
      <c r="E764" s="58"/>
    </row>
    <row r="765">
      <c r="A765" s="58"/>
      <c r="B765" s="58"/>
      <c r="C765" s="59"/>
      <c r="D765" s="60"/>
      <c r="E765" s="58"/>
    </row>
    <row r="766">
      <c r="A766" s="58"/>
      <c r="B766" s="58"/>
      <c r="C766" s="59"/>
      <c r="D766" s="60"/>
      <c r="E766" s="58"/>
    </row>
    <row r="767">
      <c r="A767" s="58"/>
      <c r="B767" s="58"/>
      <c r="C767" s="59"/>
      <c r="D767" s="60"/>
      <c r="E767" s="58"/>
    </row>
    <row r="768">
      <c r="A768" s="58"/>
      <c r="B768" s="58"/>
      <c r="C768" s="59"/>
      <c r="D768" s="60"/>
      <c r="E768" s="58"/>
    </row>
    <row r="769">
      <c r="A769" s="58"/>
      <c r="B769" s="58"/>
      <c r="C769" s="59"/>
      <c r="D769" s="60"/>
      <c r="E769" s="58"/>
    </row>
    <row r="770">
      <c r="A770" s="58"/>
      <c r="B770" s="58"/>
      <c r="C770" s="59"/>
      <c r="D770" s="60"/>
      <c r="E770" s="58"/>
    </row>
    <row r="771">
      <c r="A771" s="58"/>
      <c r="B771" s="58"/>
      <c r="C771" s="59"/>
      <c r="D771" s="60"/>
      <c r="E771" s="58"/>
    </row>
    <row r="772">
      <c r="A772" s="58"/>
      <c r="B772" s="58"/>
      <c r="C772" s="59"/>
      <c r="D772" s="60"/>
      <c r="E772" s="58"/>
    </row>
    <row r="773">
      <c r="A773" s="58"/>
      <c r="B773" s="58"/>
      <c r="C773" s="59"/>
      <c r="D773" s="60"/>
      <c r="E773" s="58"/>
    </row>
    <row r="774">
      <c r="A774" s="58"/>
      <c r="B774" s="58"/>
      <c r="C774" s="59"/>
      <c r="D774" s="60"/>
      <c r="E774" s="58"/>
    </row>
    <row r="775">
      <c r="A775" s="58"/>
      <c r="B775" s="58"/>
      <c r="C775" s="59"/>
      <c r="D775" s="60"/>
      <c r="E775" s="58"/>
    </row>
    <row r="776">
      <c r="A776" s="58"/>
      <c r="B776" s="58"/>
      <c r="C776" s="59"/>
      <c r="D776" s="60"/>
      <c r="E776" s="58"/>
    </row>
    <row r="777">
      <c r="A777" s="58"/>
      <c r="B777" s="58"/>
      <c r="C777" s="59"/>
      <c r="D777" s="60"/>
      <c r="E777" s="58"/>
    </row>
    <row r="778">
      <c r="A778" s="58"/>
      <c r="B778" s="58"/>
      <c r="C778" s="59"/>
      <c r="D778" s="60"/>
      <c r="E778" s="58"/>
    </row>
    <row r="779">
      <c r="A779" s="58"/>
      <c r="B779" s="58"/>
      <c r="C779" s="59"/>
      <c r="D779" s="60"/>
      <c r="E779" s="58"/>
    </row>
    <row r="780">
      <c r="A780" s="58"/>
      <c r="B780" s="58"/>
      <c r="C780" s="59"/>
      <c r="D780" s="60"/>
      <c r="E780" s="58"/>
    </row>
    <row r="781">
      <c r="A781" s="58"/>
      <c r="B781" s="58"/>
      <c r="C781" s="59"/>
      <c r="D781" s="60"/>
      <c r="E781" s="58"/>
    </row>
    <row r="782">
      <c r="A782" s="58"/>
      <c r="B782" s="58"/>
      <c r="C782" s="59"/>
      <c r="D782" s="60"/>
      <c r="E782" s="58"/>
    </row>
    <row r="783">
      <c r="A783" s="58"/>
      <c r="B783" s="58"/>
      <c r="C783" s="59"/>
      <c r="D783" s="60"/>
      <c r="E783" s="58"/>
    </row>
    <row r="784">
      <c r="A784" s="58"/>
      <c r="B784" s="58"/>
      <c r="C784" s="59"/>
      <c r="D784" s="60"/>
      <c r="E784" s="58"/>
    </row>
    <row r="785">
      <c r="A785" s="58"/>
      <c r="B785" s="58"/>
      <c r="C785" s="59"/>
      <c r="D785" s="60"/>
      <c r="E785" s="58"/>
    </row>
    <row r="786">
      <c r="A786" s="58"/>
      <c r="B786" s="58"/>
      <c r="C786" s="59"/>
      <c r="D786" s="60"/>
      <c r="E786" s="58"/>
    </row>
    <row r="787">
      <c r="A787" s="58"/>
      <c r="B787" s="58"/>
      <c r="C787" s="59"/>
      <c r="D787" s="60"/>
      <c r="E787" s="58"/>
    </row>
    <row r="788">
      <c r="A788" s="58"/>
      <c r="B788" s="58"/>
      <c r="C788" s="59"/>
      <c r="D788" s="60"/>
      <c r="E788" s="58"/>
    </row>
    <row r="789">
      <c r="A789" s="58"/>
      <c r="B789" s="58"/>
      <c r="C789" s="59"/>
      <c r="D789" s="60"/>
      <c r="E789" s="58"/>
    </row>
    <row r="790">
      <c r="A790" s="58"/>
      <c r="B790" s="58"/>
      <c r="C790" s="59"/>
      <c r="D790" s="60"/>
      <c r="E790" s="58"/>
    </row>
    <row r="791">
      <c r="A791" s="58"/>
      <c r="B791" s="58"/>
      <c r="C791" s="59"/>
      <c r="D791" s="60"/>
      <c r="E791" s="58"/>
    </row>
    <row r="792">
      <c r="A792" s="58"/>
      <c r="B792" s="58"/>
      <c r="C792" s="59"/>
      <c r="D792" s="60"/>
      <c r="E792" s="58"/>
    </row>
    <row r="793">
      <c r="A793" s="58"/>
      <c r="B793" s="58"/>
      <c r="C793" s="59"/>
      <c r="D793" s="60"/>
      <c r="E793" s="58"/>
    </row>
    <row r="794">
      <c r="A794" s="58"/>
      <c r="B794" s="58"/>
      <c r="C794" s="59"/>
      <c r="D794" s="60"/>
      <c r="E794" s="58"/>
    </row>
    <row r="795">
      <c r="A795" s="58"/>
      <c r="B795" s="58"/>
      <c r="C795" s="59"/>
      <c r="D795" s="60"/>
      <c r="E795" s="58"/>
    </row>
    <row r="796">
      <c r="A796" s="58"/>
      <c r="B796" s="58"/>
      <c r="C796" s="59"/>
      <c r="D796" s="60"/>
      <c r="E796" s="58"/>
    </row>
    <row r="797">
      <c r="A797" s="58"/>
      <c r="B797" s="58"/>
      <c r="C797" s="59"/>
      <c r="D797" s="60"/>
      <c r="E797" s="58"/>
    </row>
    <row r="798">
      <c r="A798" s="58"/>
      <c r="B798" s="58"/>
      <c r="C798" s="59"/>
      <c r="D798" s="60"/>
      <c r="E798" s="58"/>
    </row>
    <row r="799">
      <c r="A799" s="58"/>
      <c r="B799" s="58"/>
      <c r="C799" s="59"/>
      <c r="D799" s="60"/>
      <c r="E799" s="58"/>
    </row>
    <row r="800">
      <c r="A800" s="58"/>
      <c r="B800" s="58"/>
      <c r="C800" s="59"/>
      <c r="D800" s="60"/>
      <c r="E800" s="58"/>
    </row>
    <row r="801">
      <c r="A801" s="58"/>
      <c r="B801" s="58"/>
      <c r="C801" s="59"/>
      <c r="D801" s="60"/>
      <c r="E801" s="58"/>
    </row>
    <row r="802">
      <c r="A802" s="58"/>
      <c r="B802" s="58"/>
      <c r="C802" s="59"/>
      <c r="D802" s="60"/>
      <c r="E802" s="58"/>
    </row>
    <row r="803">
      <c r="A803" s="58"/>
      <c r="B803" s="58"/>
      <c r="C803" s="59"/>
      <c r="D803" s="60"/>
      <c r="E803" s="58"/>
    </row>
    <row r="804">
      <c r="A804" s="58"/>
      <c r="B804" s="58"/>
      <c r="C804" s="59"/>
      <c r="D804" s="60"/>
      <c r="E804" s="58"/>
    </row>
    <row r="805">
      <c r="A805" s="58"/>
      <c r="B805" s="58"/>
      <c r="C805" s="59"/>
      <c r="D805" s="60"/>
      <c r="E805" s="58"/>
    </row>
    <row r="806">
      <c r="A806" s="58"/>
      <c r="B806" s="58"/>
      <c r="C806" s="59"/>
      <c r="D806" s="60"/>
      <c r="E806" s="58"/>
    </row>
    <row r="807">
      <c r="A807" s="58"/>
      <c r="B807" s="58"/>
      <c r="C807" s="59"/>
      <c r="D807" s="60"/>
      <c r="E807" s="58"/>
    </row>
    <row r="808">
      <c r="A808" s="58"/>
      <c r="B808" s="58"/>
      <c r="C808" s="59"/>
      <c r="D808" s="60"/>
      <c r="E808" s="58"/>
    </row>
    <row r="809">
      <c r="A809" s="58"/>
      <c r="B809" s="58"/>
      <c r="C809" s="59"/>
      <c r="D809" s="60"/>
      <c r="E809" s="58"/>
    </row>
    <row r="810">
      <c r="A810" s="58"/>
      <c r="B810" s="58"/>
      <c r="C810" s="59"/>
      <c r="D810" s="60"/>
      <c r="E810" s="58"/>
    </row>
    <row r="811">
      <c r="A811" s="58"/>
      <c r="B811" s="58"/>
      <c r="C811" s="59"/>
      <c r="D811" s="60"/>
      <c r="E811" s="58"/>
    </row>
    <row r="812">
      <c r="A812" s="58"/>
      <c r="B812" s="58"/>
      <c r="C812" s="59"/>
      <c r="D812" s="60"/>
      <c r="E812" s="58"/>
    </row>
    <row r="813">
      <c r="A813" s="58"/>
      <c r="B813" s="58"/>
      <c r="C813" s="59"/>
      <c r="D813" s="60"/>
      <c r="E813" s="58"/>
    </row>
    <row r="814">
      <c r="A814" s="58"/>
      <c r="B814" s="58"/>
      <c r="C814" s="59"/>
      <c r="D814" s="60"/>
      <c r="E814" s="58"/>
    </row>
    <row r="815">
      <c r="A815" s="58"/>
      <c r="B815" s="58"/>
      <c r="C815" s="59"/>
      <c r="D815" s="60"/>
      <c r="E815" s="58"/>
    </row>
    <row r="816">
      <c r="A816" s="58"/>
      <c r="B816" s="58"/>
      <c r="C816" s="59"/>
      <c r="D816" s="60"/>
      <c r="E816" s="58"/>
    </row>
    <row r="817">
      <c r="A817" s="58"/>
      <c r="B817" s="58"/>
      <c r="C817" s="59"/>
      <c r="D817" s="60"/>
      <c r="E817" s="58"/>
    </row>
    <row r="818">
      <c r="A818" s="58"/>
      <c r="B818" s="58"/>
      <c r="C818" s="59"/>
      <c r="D818" s="60"/>
      <c r="E818" s="58"/>
    </row>
    <row r="819">
      <c r="A819" s="58"/>
      <c r="B819" s="58"/>
      <c r="C819" s="59"/>
      <c r="D819" s="60"/>
      <c r="E819" s="58"/>
    </row>
    <row r="820">
      <c r="A820" s="58"/>
      <c r="B820" s="58"/>
      <c r="C820" s="59"/>
      <c r="D820" s="60"/>
      <c r="E820" s="58"/>
    </row>
    <row r="821">
      <c r="A821" s="58"/>
      <c r="B821" s="58"/>
      <c r="C821" s="59"/>
      <c r="D821" s="60"/>
      <c r="E821" s="58"/>
    </row>
    <row r="822">
      <c r="A822" s="58"/>
      <c r="B822" s="58"/>
      <c r="C822" s="59"/>
      <c r="D822" s="60"/>
      <c r="E822" s="58"/>
    </row>
    <row r="823">
      <c r="A823" s="58"/>
      <c r="B823" s="58"/>
      <c r="C823" s="59"/>
      <c r="D823" s="60"/>
      <c r="E823" s="58"/>
    </row>
    <row r="824">
      <c r="A824" s="58"/>
      <c r="B824" s="58"/>
      <c r="C824" s="59"/>
      <c r="D824" s="60"/>
      <c r="E824" s="58"/>
    </row>
    <row r="825">
      <c r="A825" s="58"/>
      <c r="B825" s="58"/>
      <c r="C825" s="59"/>
      <c r="D825" s="60"/>
      <c r="E825" s="58"/>
    </row>
    <row r="826">
      <c r="A826" s="58"/>
      <c r="B826" s="58"/>
      <c r="C826" s="59"/>
      <c r="D826" s="60"/>
      <c r="E826" s="58"/>
    </row>
    <row r="827">
      <c r="A827" s="58"/>
      <c r="B827" s="58"/>
      <c r="C827" s="59"/>
      <c r="D827" s="60"/>
      <c r="E827" s="58"/>
    </row>
    <row r="828">
      <c r="A828" s="58"/>
      <c r="B828" s="58"/>
      <c r="C828" s="59"/>
      <c r="D828" s="60"/>
      <c r="E828" s="58"/>
    </row>
    <row r="829">
      <c r="A829" s="58"/>
      <c r="B829" s="58"/>
      <c r="C829" s="59"/>
      <c r="D829" s="60"/>
      <c r="E829" s="58"/>
    </row>
    <row r="830">
      <c r="A830" s="58"/>
      <c r="B830" s="58"/>
      <c r="C830" s="59"/>
      <c r="D830" s="60"/>
      <c r="E830" s="58"/>
    </row>
    <row r="831">
      <c r="A831" s="58"/>
      <c r="B831" s="58"/>
      <c r="C831" s="59"/>
      <c r="D831" s="60"/>
      <c r="E831" s="58"/>
    </row>
    <row r="832">
      <c r="A832" s="58"/>
      <c r="B832" s="58"/>
      <c r="C832" s="59"/>
      <c r="D832" s="60"/>
      <c r="E832" s="58"/>
    </row>
    <row r="833">
      <c r="A833" s="58"/>
      <c r="B833" s="58"/>
      <c r="C833" s="59"/>
      <c r="D833" s="60"/>
      <c r="E833" s="58"/>
    </row>
    <row r="834">
      <c r="A834" s="58"/>
      <c r="B834" s="58"/>
      <c r="C834" s="59"/>
      <c r="D834" s="60"/>
      <c r="E834" s="58"/>
    </row>
    <row r="835">
      <c r="A835" s="58"/>
      <c r="B835" s="58"/>
      <c r="C835" s="59"/>
      <c r="D835" s="60"/>
      <c r="E835" s="58"/>
    </row>
    <row r="836">
      <c r="A836" s="58"/>
      <c r="B836" s="58"/>
      <c r="C836" s="59"/>
      <c r="D836" s="60"/>
      <c r="E836" s="58"/>
    </row>
    <row r="837">
      <c r="A837" s="58"/>
      <c r="B837" s="58"/>
      <c r="C837" s="59"/>
      <c r="D837" s="60"/>
      <c r="E837" s="58"/>
    </row>
    <row r="838">
      <c r="A838" s="58"/>
      <c r="B838" s="58"/>
      <c r="C838" s="59"/>
      <c r="D838" s="60"/>
      <c r="E838" s="58"/>
    </row>
    <row r="839">
      <c r="A839" s="58"/>
      <c r="B839" s="58"/>
      <c r="C839" s="59"/>
      <c r="D839" s="60"/>
      <c r="E839" s="58"/>
    </row>
    <row r="840">
      <c r="A840" s="58"/>
      <c r="B840" s="58"/>
      <c r="C840" s="59"/>
      <c r="D840" s="60"/>
      <c r="E840" s="58"/>
    </row>
    <row r="841">
      <c r="A841" s="58"/>
      <c r="B841" s="58"/>
      <c r="C841" s="59"/>
      <c r="D841" s="60"/>
      <c r="E841" s="58"/>
    </row>
    <row r="842">
      <c r="A842" s="58"/>
      <c r="B842" s="58"/>
      <c r="C842" s="59"/>
      <c r="D842" s="60"/>
      <c r="E842" s="58"/>
    </row>
    <row r="843">
      <c r="A843" s="58"/>
      <c r="B843" s="58"/>
      <c r="C843" s="59"/>
      <c r="D843" s="60"/>
      <c r="E843" s="58"/>
    </row>
    <row r="844">
      <c r="A844" s="58"/>
      <c r="B844" s="58"/>
      <c r="C844" s="59"/>
      <c r="D844" s="60"/>
      <c r="E844" s="58"/>
    </row>
    <row r="845">
      <c r="A845" s="58"/>
      <c r="B845" s="58"/>
      <c r="C845" s="59"/>
      <c r="D845" s="60"/>
      <c r="E845" s="58"/>
    </row>
    <row r="846">
      <c r="A846" s="58"/>
      <c r="B846" s="58"/>
      <c r="C846" s="59"/>
      <c r="D846" s="60"/>
      <c r="E846" s="58"/>
    </row>
    <row r="847">
      <c r="A847" s="58"/>
      <c r="B847" s="58"/>
      <c r="C847" s="59"/>
      <c r="D847" s="60"/>
      <c r="E847" s="58"/>
    </row>
    <row r="848">
      <c r="A848" s="58"/>
      <c r="B848" s="58"/>
      <c r="C848" s="59"/>
      <c r="D848" s="60"/>
      <c r="E848" s="58"/>
    </row>
    <row r="849">
      <c r="A849" s="58"/>
      <c r="B849" s="58"/>
      <c r="C849" s="59"/>
      <c r="D849" s="60"/>
      <c r="E849" s="58"/>
    </row>
    <row r="850">
      <c r="A850" s="58"/>
      <c r="B850" s="58"/>
      <c r="C850" s="59"/>
      <c r="D850" s="60"/>
      <c r="E850" s="58"/>
    </row>
    <row r="851">
      <c r="A851" s="58"/>
      <c r="B851" s="58"/>
      <c r="C851" s="59"/>
      <c r="D851" s="60"/>
      <c r="E851" s="58"/>
    </row>
    <row r="852">
      <c r="A852" s="58"/>
      <c r="B852" s="58"/>
      <c r="C852" s="59"/>
      <c r="D852" s="60"/>
      <c r="E852" s="58"/>
    </row>
    <row r="853">
      <c r="A853" s="58"/>
      <c r="B853" s="58"/>
      <c r="C853" s="59"/>
      <c r="D853" s="60"/>
      <c r="E853" s="58"/>
    </row>
    <row r="854">
      <c r="A854" s="58"/>
      <c r="B854" s="58"/>
      <c r="C854" s="59"/>
      <c r="D854" s="60"/>
      <c r="E854" s="58"/>
    </row>
    <row r="855">
      <c r="A855" s="58"/>
      <c r="B855" s="58"/>
      <c r="C855" s="59"/>
      <c r="D855" s="60"/>
      <c r="E855" s="58"/>
    </row>
    <row r="856">
      <c r="A856" s="58"/>
      <c r="B856" s="58"/>
      <c r="C856" s="59"/>
      <c r="D856" s="60"/>
      <c r="E856" s="58"/>
    </row>
    <row r="857">
      <c r="A857" s="58"/>
      <c r="B857" s="58"/>
      <c r="C857" s="59"/>
      <c r="D857" s="60"/>
      <c r="E857" s="58"/>
    </row>
    <row r="858">
      <c r="A858" s="58"/>
      <c r="B858" s="58"/>
      <c r="C858" s="59"/>
      <c r="D858" s="60"/>
      <c r="E858" s="58"/>
    </row>
    <row r="859">
      <c r="A859" s="58"/>
      <c r="B859" s="58"/>
      <c r="C859" s="59"/>
      <c r="D859" s="60"/>
      <c r="E859" s="58"/>
    </row>
    <row r="860">
      <c r="A860" s="58"/>
      <c r="B860" s="58"/>
      <c r="C860" s="59"/>
      <c r="D860" s="60"/>
      <c r="E860" s="58"/>
    </row>
    <row r="861">
      <c r="A861" s="58"/>
      <c r="B861" s="58"/>
      <c r="C861" s="59"/>
      <c r="D861" s="60"/>
      <c r="E861" s="58"/>
    </row>
    <row r="862">
      <c r="A862" s="58"/>
      <c r="B862" s="58"/>
      <c r="C862" s="59"/>
      <c r="D862" s="60"/>
      <c r="E862" s="58"/>
    </row>
    <row r="863">
      <c r="A863" s="58"/>
      <c r="B863" s="58"/>
      <c r="C863" s="59"/>
      <c r="D863" s="60"/>
      <c r="E863" s="58"/>
    </row>
    <row r="864">
      <c r="A864" s="58"/>
      <c r="B864" s="58"/>
      <c r="C864" s="59"/>
      <c r="D864" s="60"/>
      <c r="E864" s="58"/>
    </row>
    <row r="865">
      <c r="A865" s="58"/>
      <c r="B865" s="58"/>
      <c r="C865" s="59"/>
      <c r="D865" s="60"/>
      <c r="E865" s="58"/>
    </row>
    <row r="866">
      <c r="A866" s="58"/>
      <c r="B866" s="58"/>
      <c r="C866" s="59"/>
      <c r="D866" s="60"/>
      <c r="E866" s="58"/>
    </row>
    <row r="867">
      <c r="A867" s="58"/>
      <c r="B867" s="58"/>
      <c r="C867" s="59"/>
      <c r="D867" s="60"/>
      <c r="E867" s="58"/>
    </row>
    <row r="868">
      <c r="A868" s="58"/>
      <c r="B868" s="58"/>
      <c r="C868" s="59"/>
      <c r="D868" s="60"/>
      <c r="E868" s="58"/>
    </row>
    <row r="869">
      <c r="A869" s="58"/>
      <c r="B869" s="58"/>
      <c r="C869" s="59"/>
      <c r="D869" s="60"/>
      <c r="E869" s="58"/>
    </row>
    <row r="870">
      <c r="A870" s="58"/>
      <c r="B870" s="58"/>
      <c r="C870" s="59"/>
      <c r="D870" s="60"/>
      <c r="E870" s="58"/>
    </row>
    <row r="871">
      <c r="A871" s="58"/>
      <c r="B871" s="58"/>
      <c r="C871" s="59"/>
      <c r="D871" s="60"/>
      <c r="E871" s="58"/>
    </row>
    <row r="872">
      <c r="A872" s="58"/>
      <c r="B872" s="58"/>
      <c r="C872" s="59"/>
      <c r="D872" s="60"/>
      <c r="E872" s="58"/>
    </row>
    <row r="873">
      <c r="A873" s="58"/>
      <c r="B873" s="58"/>
      <c r="C873" s="59"/>
      <c r="D873" s="60"/>
      <c r="E873" s="58"/>
    </row>
    <row r="874">
      <c r="A874" s="58"/>
      <c r="B874" s="58"/>
      <c r="C874" s="59"/>
      <c r="D874" s="60"/>
      <c r="E874" s="58"/>
    </row>
    <row r="875">
      <c r="A875" s="58"/>
      <c r="B875" s="58"/>
      <c r="C875" s="59"/>
      <c r="D875" s="60"/>
      <c r="E875" s="58"/>
    </row>
    <row r="876">
      <c r="A876" s="58"/>
      <c r="B876" s="58"/>
      <c r="C876" s="59"/>
      <c r="D876" s="60"/>
      <c r="E876" s="58"/>
    </row>
    <row r="877">
      <c r="A877" s="58"/>
      <c r="B877" s="58"/>
      <c r="C877" s="59"/>
      <c r="D877" s="60"/>
      <c r="E877" s="58"/>
    </row>
    <row r="878">
      <c r="A878" s="58"/>
      <c r="B878" s="58"/>
      <c r="C878" s="59"/>
      <c r="D878" s="60"/>
      <c r="E878" s="58"/>
    </row>
    <row r="879">
      <c r="A879" s="58"/>
      <c r="B879" s="58"/>
      <c r="C879" s="59"/>
      <c r="D879" s="60"/>
      <c r="E879" s="58"/>
    </row>
    <row r="880">
      <c r="A880" s="58"/>
      <c r="B880" s="58"/>
      <c r="C880" s="59"/>
      <c r="D880" s="60"/>
      <c r="E880" s="58"/>
    </row>
    <row r="881">
      <c r="A881" s="58"/>
      <c r="B881" s="58"/>
      <c r="C881" s="59"/>
      <c r="D881" s="60"/>
      <c r="E881" s="58"/>
    </row>
    <row r="882">
      <c r="A882" s="58"/>
      <c r="B882" s="58"/>
      <c r="C882" s="59"/>
      <c r="D882" s="60"/>
      <c r="E882" s="58"/>
    </row>
    <row r="883">
      <c r="A883" s="58"/>
      <c r="B883" s="58"/>
      <c r="C883" s="59"/>
      <c r="D883" s="60"/>
      <c r="E883" s="58"/>
    </row>
    <row r="884">
      <c r="A884" s="58"/>
      <c r="B884" s="58"/>
      <c r="C884" s="59"/>
      <c r="D884" s="60"/>
      <c r="E884" s="58"/>
    </row>
    <row r="885">
      <c r="A885" s="58"/>
      <c r="B885" s="58"/>
      <c r="C885" s="59"/>
      <c r="D885" s="60"/>
      <c r="E885" s="58"/>
    </row>
    <row r="886">
      <c r="A886" s="58"/>
      <c r="B886" s="58"/>
      <c r="C886" s="59"/>
      <c r="D886" s="60"/>
      <c r="E886" s="58"/>
    </row>
    <row r="887">
      <c r="A887" s="58"/>
      <c r="B887" s="58"/>
      <c r="C887" s="59"/>
      <c r="D887" s="60"/>
      <c r="E887" s="58"/>
    </row>
    <row r="888">
      <c r="A888" s="58"/>
      <c r="B888" s="58"/>
      <c r="C888" s="59"/>
      <c r="D888" s="60"/>
      <c r="E888" s="58"/>
    </row>
    <row r="889">
      <c r="A889" s="58"/>
      <c r="B889" s="58"/>
      <c r="C889" s="59"/>
      <c r="D889" s="60"/>
      <c r="E889" s="58"/>
    </row>
    <row r="890">
      <c r="A890" s="58"/>
      <c r="B890" s="58"/>
      <c r="C890" s="59"/>
      <c r="D890" s="60"/>
      <c r="E890" s="58"/>
    </row>
    <row r="891">
      <c r="A891" s="58"/>
      <c r="B891" s="58"/>
      <c r="C891" s="59"/>
      <c r="D891" s="60"/>
      <c r="E891" s="58"/>
    </row>
    <row r="892">
      <c r="A892" s="58"/>
      <c r="B892" s="58"/>
      <c r="C892" s="59"/>
      <c r="D892" s="60"/>
      <c r="E892" s="58"/>
    </row>
    <row r="893">
      <c r="A893" s="58"/>
      <c r="B893" s="58"/>
      <c r="C893" s="59"/>
      <c r="D893" s="60"/>
      <c r="E893" s="58"/>
    </row>
    <row r="894">
      <c r="A894" s="58"/>
      <c r="B894" s="58"/>
      <c r="C894" s="59"/>
      <c r="D894" s="60"/>
      <c r="E894" s="58"/>
    </row>
    <row r="895">
      <c r="A895" s="58"/>
      <c r="B895" s="58"/>
      <c r="C895" s="59"/>
      <c r="D895" s="60"/>
      <c r="E895" s="58"/>
    </row>
    <row r="896">
      <c r="A896" s="58"/>
      <c r="B896" s="58"/>
      <c r="C896" s="59"/>
      <c r="D896" s="60"/>
      <c r="E896" s="58"/>
    </row>
    <row r="897">
      <c r="A897" s="58"/>
      <c r="B897" s="58"/>
      <c r="C897" s="59"/>
      <c r="D897" s="60"/>
      <c r="E897" s="58"/>
    </row>
    <row r="898">
      <c r="A898" s="58"/>
      <c r="B898" s="58"/>
      <c r="C898" s="59"/>
      <c r="D898" s="60"/>
      <c r="E898" s="58"/>
    </row>
    <row r="899">
      <c r="A899" s="58"/>
      <c r="B899" s="58"/>
      <c r="C899" s="59"/>
      <c r="D899" s="60"/>
      <c r="E899" s="58"/>
    </row>
    <row r="900">
      <c r="A900" s="58"/>
      <c r="B900" s="58"/>
      <c r="C900" s="59"/>
      <c r="D900" s="60"/>
      <c r="E900" s="58"/>
    </row>
    <row r="901">
      <c r="A901" s="58"/>
      <c r="B901" s="58"/>
      <c r="C901" s="59"/>
      <c r="D901" s="60"/>
      <c r="E901" s="58"/>
    </row>
    <row r="902">
      <c r="A902" s="58"/>
      <c r="B902" s="58"/>
      <c r="C902" s="59"/>
      <c r="D902" s="60"/>
      <c r="E902" s="58"/>
    </row>
    <row r="903">
      <c r="A903" s="58"/>
      <c r="B903" s="58"/>
      <c r="C903" s="59"/>
      <c r="D903" s="60"/>
      <c r="E903" s="58"/>
    </row>
    <row r="904">
      <c r="A904" s="58"/>
      <c r="B904" s="58"/>
      <c r="C904" s="59"/>
      <c r="D904" s="60"/>
      <c r="E904" s="58"/>
    </row>
    <row r="905">
      <c r="A905" s="58"/>
      <c r="B905" s="58"/>
      <c r="C905" s="59"/>
      <c r="D905" s="60"/>
      <c r="E905" s="58"/>
    </row>
    <row r="906">
      <c r="A906" s="58"/>
      <c r="B906" s="58"/>
      <c r="C906" s="59"/>
      <c r="D906" s="60"/>
      <c r="E906" s="58"/>
    </row>
    <row r="907">
      <c r="A907" s="58"/>
      <c r="B907" s="58"/>
      <c r="C907" s="59"/>
      <c r="D907" s="60"/>
      <c r="E907" s="58"/>
    </row>
    <row r="908">
      <c r="A908" s="58"/>
      <c r="B908" s="58"/>
      <c r="C908" s="59"/>
      <c r="D908" s="60"/>
      <c r="E908" s="58"/>
    </row>
    <row r="909">
      <c r="A909" s="58"/>
      <c r="B909" s="58"/>
      <c r="C909" s="59"/>
      <c r="D909" s="60"/>
      <c r="E909" s="58"/>
    </row>
    <row r="910">
      <c r="A910" s="58"/>
      <c r="B910" s="58"/>
      <c r="C910" s="59"/>
      <c r="D910" s="60"/>
      <c r="E910" s="58"/>
    </row>
    <row r="911">
      <c r="A911" s="58"/>
      <c r="B911" s="58"/>
      <c r="C911" s="59"/>
      <c r="D911" s="60"/>
      <c r="E911" s="58"/>
    </row>
    <row r="912">
      <c r="A912" s="58"/>
      <c r="B912" s="58"/>
      <c r="C912" s="59"/>
      <c r="D912" s="60"/>
      <c r="E912" s="58"/>
    </row>
    <row r="913">
      <c r="A913" s="58"/>
      <c r="B913" s="58"/>
      <c r="C913" s="59"/>
      <c r="D913" s="60"/>
      <c r="E913" s="58"/>
    </row>
    <row r="914">
      <c r="A914" s="58"/>
      <c r="B914" s="58"/>
      <c r="C914" s="59"/>
      <c r="D914" s="60"/>
      <c r="E914" s="58"/>
    </row>
    <row r="915">
      <c r="A915" s="58"/>
      <c r="B915" s="58"/>
      <c r="C915" s="59"/>
      <c r="D915" s="60"/>
      <c r="E915" s="58"/>
    </row>
    <row r="916">
      <c r="A916" s="58"/>
      <c r="B916" s="58"/>
      <c r="C916" s="59"/>
      <c r="D916" s="60"/>
      <c r="E916" s="58"/>
    </row>
    <row r="917">
      <c r="A917" s="58"/>
      <c r="B917" s="58"/>
      <c r="C917" s="59"/>
      <c r="D917" s="60"/>
      <c r="E917" s="58"/>
    </row>
    <row r="918">
      <c r="A918" s="58"/>
      <c r="B918" s="58"/>
      <c r="C918" s="59"/>
      <c r="D918" s="60"/>
      <c r="E918" s="58"/>
    </row>
    <row r="919">
      <c r="A919" s="58"/>
      <c r="B919" s="58"/>
      <c r="C919" s="59"/>
      <c r="D919" s="60"/>
      <c r="E919" s="58"/>
    </row>
    <row r="920">
      <c r="A920" s="58"/>
      <c r="B920" s="58"/>
      <c r="C920" s="59"/>
      <c r="D920" s="60"/>
      <c r="E920" s="58"/>
    </row>
    <row r="921">
      <c r="A921" s="58"/>
      <c r="B921" s="58"/>
      <c r="C921" s="59"/>
      <c r="D921" s="60"/>
      <c r="E921" s="58"/>
    </row>
    <row r="922">
      <c r="A922" s="58"/>
      <c r="B922" s="58"/>
      <c r="C922" s="59"/>
      <c r="D922" s="60"/>
      <c r="E922" s="58"/>
    </row>
    <row r="923">
      <c r="A923" s="58"/>
      <c r="B923" s="58"/>
      <c r="C923" s="59"/>
      <c r="D923" s="60"/>
      <c r="E923" s="58"/>
    </row>
    <row r="924">
      <c r="A924" s="58"/>
      <c r="B924" s="58"/>
      <c r="C924" s="59"/>
      <c r="D924" s="60"/>
      <c r="E924" s="58"/>
    </row>
    <row r="925">
      <c r="A925" s="58"/>
      <c r="B925" s="58"/>
      <c r="C925" s="59"/>
      <c r="D925" s="60"/>
      <c r="E925" s="58"/>
    </row>
    <row r="926">
      <c r="A926" s="58"/>
      <c r="B926" s="58"/>
      <c r="C926" s="59"/>
      <c r="D926" s="60"/>
      <c r="E926" s="58"/>
    </row>
    <row r="927">
      <c r="A927" s="58"/>
      <c r="B927" s="58"/>
      <c r="C927" s="59"/>
      <c r="D927" s="60"/>
      <c r="E927" s="58"/>
    </row>
    <row r="928">
      <c r="A928" s="58"/>
      <c r="B928" s="58"/>
      <c r="C928" s="59"/>
      <c r="D928" s="60"/>
      <c r="E928" s="58"/>
    </row>
    <row r="929">
      <c r="A929" s="58"/>
      <c r="B929" s="58"/>
      <c r="C929" s="59"/>
      <c r="D929" s="60"/>
      <c r="E929" s="58"/>
    </row>
    <row r="930">
      <c r="A930" s="58"/>
      <c r="B930" s="58"/>
      <c r="C930" s="59"/>
      <c r="D930" s="60"/>
      <c r="E930" s="58"/>
    </row>
    <row r="931">
      <c r="A931" s="58"/>
      <c r="B931" s="58"/>
      <c r="C931" s="59"/>
      <c r="D931" s="60"/>
      <c r="E931" s="58"/>
    </row>
    <row r="932">
      <c r="A932" s="58"/>
      <c r="B932" s="58"/>
      <c r="C932" s="59"/>
      <c r="D932" s="60"/>
      <c r="E932" s="58"/>
    </row>
    <row r="933">
      <c r="A933" s="58"/>
      <c r="B933" s="58"/>
      <c r="C933" s="59"/>
      <c r="D933" s="60"/>
      <c r="E933" s="58"/>
    </row>
    <row r="934">
      <c r="A934" s="58"/>
      <c r="B934" s="58"/>
      <c r="C934" s="59"/>
      <c r="D934" s="60"/>
      <c r="E934" s="58"/>
    </row>
    <row r="935">
      <c r="A935" s="58"/>
      <c r="B935" s="58"/>
      <c r="C935" s="59"/>
      <c r="D935" s="60"/>
      <c r="E935" s="58"/>
    </row>
    <row r="936">
      <c r="A936" s="58"/>
      <c r="B936" s="58"/>
      <c r="C936" s="59"/>
      <c r="D936" s="60"/>
      <c r="E936" s="58"/>
    </row>
    <row r="937">
      <c r="A937" s="58"/>
      <c r="B937" s="58"/>
      <c r="C937" s="59"/>
      <c r="D937" s="60"/>
      <c r="E937" s="58"/>
    </row>
    <row r="938">
      <c r="A938" s="58"/>
      <c r="B938" s="58"/>
      <c r="C938" s="59"/>
      <c r="D938" s="60"/>
      <c r="E938" s="58"/>
    </row>
    <row r="939">
      <c r="A939" s="58"/>
      <c r="B939" s="58"/>
      <c r="C939" s="59"/>
      <c r="D939" s="60"/>
      <c r="E939" s="58"/>
    </row>
    <row r="940">
      <c r="A940" s="58"/>
      <c r="B940" s="58"/>
      <c r="C940" s="59"/>
      <c r="D940" s="60"/>
      <c r="E940" s="58"/>
    </row>
    <row r="941">
      <c r="A941" s="58"/>
      <c r="B941" s="58"/>
      <c r="C941" s="59"/>
      <c r="D941" s="60"/>
      <c r="E941" s="58"/>
    </row>
    <row r="942">
      <c r="A942" s="58"/>
      <c r="B942" s="58"/>
      <c r="C942" s="59"/>
      <c r="D942" s="60"/>
      <c r="E942" s="58"/>
    </row>
    <row r="943">
      <c r="A943" s="58"/>
      <c r="B943" s="58"/>
      <c r="C943" s="59"/>
      <c r="D943" s="60"/>
      <c r="E943" s="58"/>
    </row>
    <row r="944">
      <c r="A944" s="58"/>
      <c r="B944" s="58"/>
      <c r="C944" s="59"/>
      <c r="D944" s="60"/>
      <c r="E944" s="58"/>
    </row>
    <row r="945">
      <c r="A945" s="58"/>
      <c r="B945" s="58"/>
      <c r="C945" s="59"/>
      <c r="D945" s="60"/>
      <c r="E945" s="58"/>
    </row>
    <row r="946">
      <c r="A946" s="58"/>
      <c r="B946" s="58"/>
      <c r="C946" s="59"/>
      <c r="D946" s="60"/>
      <c r="E946" s="58"/>
    </row>
    <row r="947">
      <c r="A947" s="58"/>
      <c r="B947" s="58"/>
      <c r="C947" s="59"/>
      <c r="D947" s="60"/>
      <c r="E947" s="58"/>
    </row>
    <row r="948">
      <c r="A948" s="58"/>
      <c r="B948" s="58"/>
      <c r="C948" s="59"/>
      <c r="D948" s="60"/>
      <c r="E948" s="58"/>
    </row>
    <row r="949">
      <c r="A949" s="58"/>
      <c r="B949" s="58"/>
      <c r="C949" s="59"/>
      <c r="D949" s="60"/>
      <c r="E949" s="58"/>
    </row>
    <row r="950">
      <c r="A950" s="58"/>
      <c r="B950" s="58"/>
      <c r="C950" s="59"/>
      <c r="D950" s="60"/>
      <c r="E950" s="58"/>
    </row>
    <row r="951">
      <c r="A951" s="58"/>
      <c r="B951" s="58"/>
      <c r="C951" s="59"/>
      <c r="D951" s="60"/>
      <c r="E951" s="58"/>
    </row>
    <row r="952">
      <c r="A952" s="58"/>
      <c r="B952" s="58"/>
      <c r="C952" s="59"/>
      <c r="D952" s="60"/>
      <c r="E952" s="58"/>
    </row>
    <row r="953">
      <c r="A953" s="58"/>
      <c r="B953" s="58"/>
      <c r="C953" s="59"/>
      <c r="D953" s="60"/>
      <c r="E953" s="58"/>
    </row>
    <row r="954">
      <c r="A954" s="58"/>
      <c r="B954" s="58"/>
      <c r="C954" s="59"/>
      <c r="D954" s="60"/>
      <c r="E954" s="58"/>
    </row>
    <row r="955">
      <c r="A955" s="58"/>
      <c r="B955" s="58"/>
      <c r="C955" s="59"/>
      <c r="D955" s="60"/>
      <c r="E955" s="58"/>
    </row>
    <row r="956">
      <c r="A956" s="58"/>
      <c r="B956" s="58"/>
      <c r="C956" s="59"/>
      <c r="D956" s="60"/>
      <c r="E956" s="58"/>
    </row>
    <row r="957">
      <c r="A957" s="58"/>
      <c r="B957" s="58"/>
      <c r="C957" s="59"/>
      <c r="D957" s="60"/>
      <c r="E957" s="58"/>
    </row>
    <row r="958">
      <c r="A958" s="58"/>
      <c r="B958" s="58"/>
      <c r="C958" s="59"/>
      <c r="D958" s="60"/>
      <c r="E958" s="58"/>
    </row>
    <row r="959">
      <c r="A959" s="58"/>
      <c r="B959" s="58"/>
      <c r="C959" s="59"/>
      <c r="D959" s="60"/>
      <c r="E959" s="58"/>
    </row>
    <row r="960">
      <c r="A960" s="58"/>
      <c r="B960" s="58"/>
      <c r="C960" s="59"/>
      <c r="D960" s="60"/>
      <c r="E960" s="58"/>
    </row>
    <row r="961">
      <c r="A961" s="58"/>
      <c r="B961" s="58"/>
      <c r="C961" s="59"/>
      <c r="D961" s="60"/>
      <c r="E961" s="58"/>
    </row>
    <row r="962">
      <c r="A962" s="58"/>
      <c r="B962" s="58"/>
      <c r="C962" s="59"/>
      <c r="D962" s="60"/>
      <c r="E962" s="58"/>
    </row>
    <row r="963">
      <c r="A963" s="58"/>
      <c r="B963" s="58"/>
      <c r="C963" s="59"/>
      <c r="D963" s="60"/>
      <c r="E963" s="58"/>
    </row>
    <row r="964">
      <c r="A964" s="58"/>
      <c r="B964" s="58"/>
      <c r="C964" s="59"/>
      <c r="D964" s="60"/>
      <c r="E964" s="58"/>
    </row>
    <row r="965">
      <c r="A965" s="58"/>
      <c r="B965" s="58"/>
      <c r="C965" s="59"/>
      <c r="D965" s="60"/>
      <c r="E965" s="58"/>
    </row>
    <row r="966">
      <c r="A966" s="58"/>
      <c r="B966" s="58"/>
      <c r="C966" s="59"/>
      <c r="D966" s="60"/>
      <c r="E966" s="58"/>
    </row>
    <row r="967">
      <c r="A967" s="58"/>
      <c r="B967" s="58"/>
      <c r="C967" s="59"/>
      <c r="D967" s="60"/>
      <c r="E967" s="58"/>
    </row>
    <row r="968">
      <c r="A968" s="58"/>
      <c r="B968" s="58"/>
      <c r="C968" s="59"/>
      <c r="D968" s="60"/>
      <c r="E968" s="58"/>
    </row>
    <row r="969">
      <c r="A969" s="58"/>
      <c r="B969" s="58"/>
      <c r="C969" s="59"/>
      <c r="D969" s="60"/>
      <c r="E969" s="58"/>
    </row>
    <row r="970">
      <c r="A970" s="58"/>
      <c r="B970" s="58"/>
      <c r="C970" s="59"/>
      <c r="D970" s="60"/>
      <c r="E970" s="58"/>
    </row>
    <row r="971">
      <c r="A971" s="58"/>
      <c r="B971" s="58"/>
      <c r="C971" s="59"/>
      <c r="D971" s="60"/>
      <c r="E971" s="58"/>
    </row>
    <row r="972">
      <c r="A972" s="58"/>
      <c r="B972" s="58"/>
      <c r="C972" s="59"/>
      <c r="D972" s="60"/>
      <c r="E972" s="58"/>
    </row>
    <row r="973">
      <c r="A973" s="58"/>
      <c r="B973" s="58"/>
      <c r="C973" s="59"/>
      <c r="D973" s="60"/>
      <c r="E973" s="58"/>
    </row>
    <row r="974">
      <c r="A974" s="58"/>
      <c r="B974" s="58"/>
      <c r="C974" s="59"/>
      <c r="D974" s="60"/>
      <c r="E974" s="58"/>
    </row>
    <row r="975">
      <c r="A975" s="58"/>
      <c r="B975" s="58"/>
      <c r="C975" s="59"/>
      <c r="D975" s="60"/>
      <c r="E975" s="58"/>
    </row>
    <row r="976">
      <c r="A976" s="58"/>
      <c r="B976" s="58"/>
      <c r="C976" s="59"/>
      <c r="D976" s="60"/>
      <c r="E976" s="58"/>
    </row>
    <row r="977">
      <c r="A977" s="58"/>
      <c r="B977" s="58"/>
      <c r="C977" s="59"/>
      <c r="D977" s="60"/>
      <c r="E977" s="58"/>
    </row>
    <row r="978">
      <c r="A978" s="58"/>
      <c r="B978" s="58"/>
      <c r="C978" s="59"/>
      <c r="D978" s="60"/>
      <c r="E978" s="58"/>
    </row>
    <row r="979">
      <c r="A979" s="58"/>
      <c r="B979" s="58"/>
      <c r="C979" s="59"/>
      <c r="D979" s="60"/>
      <c r="E979" s="58"/>
    </row>
    <row r="980">
      <c r="A980" s="58"/>
      <c r="B980" s="58"/>
      <c r="C980" s="59"/>
      <c r="D980" s="60"/>
      <c r="E980" s="58"/>
    </row>
    <row r="981">
      <c r="A981" s="58"/>
      <c r="B981" s="58"/>
      <c r="C981" s="59"/>
      <c r="D981" s="60"/>
      <c r="E981" s="58"/>
    </row>
    <row r="982">
      <c r="A982" s="58"/>
      <c r="B982" s="58"/>
      <c r="C982" s="59"/>
      <c r="D982" s="60"/>
      <c r="E982" s="58"/>
    </row>
    <row r="983">
      <c r="A983" s="58"/>
      <c r="B983" s="58"/>
      <c r="C983" s="59"/>
      <c r="D983" s="60"/>
      <c r="E983" s="58"/>
    </row>
    <row r="984">
      <c r="A984" s="58"/>
      <c r="B984" s="58"/>
      <c r="C984" s="59"/>
      <c r="D984" s="60"/>
      <c r="E984" s="58"/>
    </row>
    <row r="985">
      <c r="A985" s="58"/>
      <c r="B985" s="58"/>
      <c r="C985" s="59"/>
      <c r="D985" s="60"/>
      <c r="E985" s="58"/>
    </row>
    <row r="986">
      <c r="A986" s="58"/>
      <c r="B986" s="58"/>
      <c r="C986" s="59"/>
      <c r="D986" s="60"/>
      <c r="E986" s="58"/>
    </row>
    <row r="987">
      <c r="A987" s="58"/>
      <c r="B987" s="58"/>
      <c r="C987" s="59"/>
      <c r="D987" s="60"/>
      <c r="E987" s="58"/>
    </row>
    <row r="988">
      <c r="A988" s="58"/>
      <c r="B988" s="58"/>
      <c r="C988" s="59"/>
      <c r="D988" s="60"/>
      <c r="E988" s="58"/>
    </row>
    <row r="989">
      <c r="A989" s="58"/>
      <c r="B989" s="58"/>
      <c r="C989" s="59"/>
      <c r="D989" s="60"/>
      <c r="E989" s="58"/>
    </row>
    <row r="990">
      <c r="A990" s="58"/>
      <c r="B990" s="58"/>
      <c r="C990" s="59"/>
      <c r="D990" s="60"/>
      <c r="E990" s="58"/>
    </row>
    <row r="991">
      <c r="A991" s="58"/>
      <c r="B991" s="58"/>
      <c r="C991" s="59"/>
      <c r="D991" s="60"/>
      <c r="E991" s="58"/>
    </row>
    <row r="992">
      <c r="A992" s="58"/>
      <c r="B992" s="58"/>
      <c r="C992" s="59"/>
      <c r="D992" s="60"/>
      <c r="E992" s="58"/>
    </row>
    <row r="993">
      <c r="A993" s="58"/>
      <c r="B993" s="58"/>
      <c r="C993" s="59"/>
      <c r="D993" s="60"/>
      <c r="E993" s="58"/>
    </row>
    <row r="994">
      <c r="A994" s="58"/>
      <c r="B994" s="58"/>
      <c r="C994" s="59"/>
      <c r="D994" s="60"/>
      <c r="E994" s="58"/>
    </row>
    <row r="995">
      <c r="A995" s="58"/>
      <c r="B995" s="58"/>
      <c r="C995" s="59"/>
      <c r="D995" s="60"/>
      <c r="E995" s="58"/>
    </row>
    <row r="996">
      <c r="A996" s="58"/>
      <c r="B996" s="58"/>
      <c r="C996" s="59"/>
      <c r="D996" s="60"/>
      <c r="E996" s="58"/>
    </row>
    <row r="997">
      <c r="A997" s="58"/>
      <c r="B997" s="58"/>
      <c r="C997" s="59"/>
      <c r="D997" s="60"/>
      <c r="E997" s="58"/>
    </row>
    <row r="998">
      <c r="A998" s="58"/>
      <c r="B998" s="58"/>
      <c r="C998" s="59"/>
      <c r="D998" s="60"/>
      <c r="E998" s="58"/>
    </row>
    <row r="999">
      <c r="A999" s="58"/>
      <c r="B999" s="58"/>
      <c r="C999" s="59"/>
      <c r="D999" s="60"/>
      <c r="E999" s="58"/>
    </row>
    <row r="1000">
      <c r="A1000" s="58"/>
      <c r="B1000" s="58"/>
      <c r="C1000" s="59"/>
      <c r="D1000" s="60"/>
      <c r="E1000" s="58"/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41.0"/>
    <col customWidth="1" min="3" max="3" width="12.57"/>
    <col customWidth="1" min="4" max="4" width="11.71"/>
    <col customWidth="1" min="5" max="5" width="13.57"/>
    <col customWidth="1" min="6" max="6" width="31.43"/>
    <col customWidth="1" min="7" max="7" width="44.57"/>
    <col customWidth="1" min="8" max="8" width="70.43"/>
  </cols>
  <sheetData>
    <row r="1">
      <c r="A1" s="62" t="s">
        <v>1434</v>
      </c>
      <c r="B1" s="2"/>
      <c r="C1" s="2"/>
      <c r="D1" s="2"/>
      <c r="E1" s="2"/>
      <c r="F1" s="2"/>
      <c r="G1" s="2"/>
      <c r="H1" s="3"/>
    </row>
    <row r="2">
      <c r="A2" s="63" t="s">
        <v>1435</v>
      </c>
      <c r="B2" s="64" t="s">
        <v>1436</v>
      </c>
      <c r="C2" s="63" t="s">
        <v>1437</v>
      </c>
      <c r="D2" s="65" t="s">
        <v>1438</v>
      </c>
      <c r="E2" s="66" t="s">
        <v>1439</v>
      </c>
      <c r="F2" s="63" t="s">
        <v>1440</v>
      </c>
      <c r="G2" s="67" t="s">
        <v>1441</v>
      </c>
      <c r="H2" s="63" t="s">
        <v>1442</v>
      </c>
    </row>
    <row r="3">
      <c r="A3" s="68">
        <v>1.0</v>
      </c>
      <c r="B3" s="68" t="s">
        <v>1443</v>
      </c>
      <c r="C3" s="68">
        <v>1.0</v>
      </c>
      <c r="D3" s="69">
        <v>144.0</v>
      </c>
      <c r="E3" s="70"/>
      <c r="F3" s="71"/>
      <c r="G3" s="72"/>
      <c r="H3" s="73"/>
    </row>
    <row r="4">
      <c r="A4" s="68">
        <v>2.0</v>
      </c>
      <c r="B4" s="68" t="s">
        <v>1444</v>
      </c>
      <c r="C4" s="68">
        <v>2.0</v>
      </c>
      <c r="D4" s="69">
        <v>2.6</v>
      </c>
      <c r="E4" s="70"/>
      <c r="F4" s="71"/>
      <c r="G4" s="72">
        <v>44574.0</v>
      </c>
      <c r="H4" s="73"/>
    </row>
    <row r="5">
      <c r="A5" s="68">
        <v>3.0</v>
      </c>
      <c r="B5" s="68" t="s">
        <v>1445</v>
      </c>
      <c r="C5" s="68">
        <v>1.0</v>
      </c>
      <c r="D5" s="69">
        <v>5.0</v>
      </c>
      <c r="E5" s="70">
        <v>1.0</v>
      </c>
      <c r="F5" s="71"/>
      <c r="G5" s="72">
        <v>44596.0</v>
      </c>
      <c r="H5" s="68" t="s">
        <v>1446</v>
      </c>
    </row>
    <row r="6">
      <c r="A6" s="68">
        <v>4.0</v>
      </c>
      <c r="B6" s="74" t="s">
        <v>1445</v>
      </c>
      <c r="C6" s="74">
        <v>1.0</v>
      </c>
      <c r="D6" s="75">
        <v>5.0</v>
      </c>
      <c r="E6" s="70">
        <v>1.0</v>
      </c>
      <c r="F6" s="68"/>
      <c r="G6" s="73">
        <v>45117.0</v>
      </c>
      <c r="H6" s="68" t="s">
        <v>1447</v>
      </c>
    </row>
    <row r="7">
      <c r="A7" s="68">
        <v>5.0</v>
      </c>
      <c r="B7" s="68" t="s">
        <v>1448</v>
      </c>
      <c r="C7" s="68">
        <v>1.0</v>
      </c>
      <c r="D7" s="69">
        <v>8.4</v>
      </c>
      <c r="E7" s="70">
        <v>1.0</v>
      </c>
      <c r="F7" s="76"/>
      <c r="G7" s="72">
        <v>44596.0</v>
      </c>
      <c r="H7" s="68" t="s">
        <v>1449</v>
      </c>
    </row>
    <row r="8">
      <c r="A8" s="68">
        <v>6.0</v>
      </c>
      <c r="B8" s="68" t="s">
        <v>1450</v>
      </c>
      <c r="C8" s="68">
        <v>1.0</v>
      </c>
      <c r="D8" s="69">
        <v>16.0</v>
      </c>
      <c r="E8" s="70">
        <v>1.0</v>
      </c>
      <c r="F8" s="76"/>
      <c r="G8" s="77">
        <f>G7</f>
        <v>44596</v>
      </c>
      <c r="H8" s="68" t="s">
        <v>1449</v>
      </c>
    </row>
    <row r="9">
      <c r="A9" s="78">
        <v>7.0</v>
      </c>
      <c r="B9" s="78" t="s">
        <v>1451</v>
      </c>
      <c r="C9" s="78"/>
      <c r="D9" s="79"/>
      <c r="E9" s="80"/>
      <c r="F9" s="78"/>
      <c r="G9" s="81">
        <v>44597.0</v>
      </c>
      <c r="H9" s="78" t="s">
        <v>1452</v>
      </c>
    </row>
    <row r="10">
      <c r="A10" s="78">
        <v>8.0</v>
      </c>
      <c r="B10" s="78" t="s">
        <v>1453</v>
      </c>
      <c r="C10" s="78"/>
      <c r="D10" s="79"/>
      <c r="E10" s="80"/>
      <c r="F10" s="78"/>
      <c r="G10" s="81">
        <v>44601.0</v>
      </c>
      <c r="H10" s="82" t="s">
        <v>1454</v>
      </c>
    </row>
    <row r="11" ht="14.25" customHeight="1">
      <c r="A11" s="78">
        <v>9.0</v>
      </c>
      <c r="B11" s="78" t="s">
        <v>1455</v>
      </c>
      <c r="C11" s="78"/>
      <c r="D11" s="79"/>
      <c r="E11" s="80"/>
      <c r="F11" s="78" t="s">
        <v>1456</v>
      </c>
      <c r="G11" s="81">
        <v>44608.0</v>
      </c>
      <c r="H11" s="82" t="s">
        <v>1457</v>
      </c>
    </row>
    <row r="12">
      <c r="A12" s="78">
        <v>10.0</v>
      </c>
      <c r="B12" s="78" t="s">
        <v>1458</v>
      </c>
      <c r="C12" s="78"/>
      <c r="D12" s="79"/>
      <c r="E12" s="80"/>
      <c r="F12" s="78" t="s">
        <v>1459</v>
      </c>
      <c r="G12" s="78" t="s">
        <v>1460</v>
      </c>
      <c r="H12" s="78" t="s">
        <v>1461</v>
      </c>
    </row>
    <row r="13">
      <c r="A13" s="78">
        <v>11.0</v>
      </c>
      <c r="B13" s="78" t="s">
        <v>1451</v>
      </c>
      <c r="C13" s="78"/>
      <c r="D13" s="79"/>
      <c r="E13" s="80"/>
      <c r="F13" s="78" t="s">
        <v>1462</v>
      </c>
      <c r="G13" s="81">
        <v>44611.0</v>
      </c>
      <c r="H13" s="78" t="s">
        <v>1463</v>
      </c>
    </row>
    <row r="14">
      <c r="A14" s="78">
        <v>12.0</v>
      </c>
      <c r="B14" s="78" t="s">
        <v>1464</v>
      </c>
      <c r="C14" s="78"/>
      <c r="D14" s="79"/>
      <c r="E14" s="80"/>
      <c r="F14" s="78" t="s">
        <v>1465</v>
      </c>
      <c r="G14" s="78" t="s">
        <v>1466</v>
      </c>
      <c r="H14" s="78" t="s">
        <v>1467</v>
      </c>
    </row>
    <row r="15">
      <c r="A15" s="68">
        <v>13.0</v>
      </c>
      <c r="B15" s="68" t="s">
        <v>1468</v>
      </c>
      <c r="C15" s="68">
        <v>1.0</v>
      </c>
      <c r="D15" s="69">
        <v>2.9</v>
      </c>
      <c r="E15" s="70">
        <v>1.0</v>
      </c>
      <c r="F15" s="68" t="s">
        <v>1469</v>
      </c>
      <c r="G15" s="72">
        <v>44624.0</v>
      </c>
      <c r="H15" s="68" t="s">
        <v>1470</v>
      </c>
    </row>
    <row r="16">
      <c r="A16" s="68">
        <v>14.0</v>
      </c>
      <c r="B16" s="68" t="s">
        <v>1468</v>
      </c>
      <c r="C16" s="68">
        <v>1.0</v>
      </c>
      <c r="D16" s="69">
        <v>2.9</v>
      </c>
      <c r="E16" s="70">
        <v>1.0</v>
      </c>
      <c r="F16" s="68" t="s">
        <v>1471</v>
      </c>
      <c r="G16" s="72">
        <v>44624.0</v>
      </c>
      <c r="H16" s="68" t="s">
        <v>174</v>
      </c>
    </row>
    <row r="17">
      <c r="A17" s="78">
        <v>15.0</v>
      </c>
      <c r="B17" s="78" t="s">
        <v>1472</v>
      </c>
      <c r="C17" s="78"/>
      <c r="D17" s="79"/>
      <c r="E17" s="80"/>
      <c r="F17" s="78"/>
      <c r="G17" s="81">
        <v>44628.0</v>
      </c>
      <c r="H17" s="82" t="s">
        <v>1473</v>
      </c>
    </row>
    <row r="18">
      <c r="A18" s="78">
        <v>16.0</v>
      </c>
      <c r="B18" s="78" t="s">
        <v>1472</v>
      </c>
      <c r="C18" s="78"/>
      <c r="D18" s="79"/>
      <c r="E18" s="83"/>
      <c r="F18" s="78" t="s">
        <v>1474</v>
      </c>
      <c r="G18" s="81">
        <v>44628.0</v>
      </c>
      <c r="H18" s="78" t="s">
        <v>1475</v>
      </c>
    </row>
    <row r="19">
      <c r="A19" s="78">
        <v>17.0</v>
      </c>
      <c r="B19" s="78" t="s">
        <v>1476</v>
      </c>
      <c r="C19" s="78"/>
      <c r="D19" s="79"/>
      <c r="E19" s="83"/>
      <c r="F19" s="78" t="s">
        <v>1477</v>
      </c>
      <c r="G19" s="81">
        <v>44636.0</v>
      </c>
      <c r="H19" s="78" t="s">
        <v>1478</v>
      </c>
    </row>
    <row r="20">
      <c r="A20" s="78">
        <v>18.0</v>
      </c>
      <c r="B20" s="78" t="s">
        <v>1479</v>
      </c>
      <c r="C20" s="78"/>
      <c r="D20" s="79"/>
      <c r="E20" s="83"/>
      <c r="F20" s="78" t="s">
        <v>1480</v>
      </c>
      <c r="G20" s="81">
        <v>44644.0</v>
      </c>
      <c r="H20" s="78" t="s">
        <v>1481</v>
      </c>
    </row>
    <row r="21">
      <c r="A21" s="78">
        <v>19.0</v>
      </c>
      <c r="B21" s="78" t="s">
        <v>1482</v>
      </c>
      <c r="C21" s="78"/>
      <c r="D21" s="79"/>
      <c r="E21" s="80"/>
      <c r="F21" s="78" t="s">
        <v>1483</v>
      </c>
      <c r="G21" s="84">
        <v>44652.0</v>
      </c>
      <c r="H21" s="78" t="s">
        <v>1484</v>
      </c>
    </row>
    <row r="22">
      <c r="A22" s="78">
        <v>20.0</v>
      </c>
      <c r="B22" s="78" t="s">
        <v>1485</v>
      </c>
      <c r="C22" s="78"/>
      <c r="D22" s="79"/>
      <c r="E22" s="80"/>
      <c r="F22" s="78" t="s">
        <v>1486</v>
      </c>
      <c r="G22" s="81">
        <v>44658.0</v>
      </c>
      <c r="H22" s="78" t="s">
        <v>1487</v>
      </c>
    </row>
    <row r="23">
      <c r="A23" s="78">
        <v>21.0</v>
      </c>
      <c r="B23" s="78" t="s">
        <v>1488</v>
      </c>
      <c r="C23" s="78"/>
      <c r="D23" s="79"/>
      <c r="E23" s="80"/>
      <c r="F23" s="78"/>
      <c r="G23" s="81">
        <v>44700.0</v>
      </c>
      <c r="H23" s="78" t="s">
        <v>1489</v>
      </c>
    </row>
    <row r="24">
      <c r="A24" s="78">
        <v>22.0</v>
      </c>
      <c r="B24" s="78" t="s">
        <v>1490</v>
      </c>
      <c r="C24" s="78"/>
      <c r="D24" s="79"/>
      <c r="E24" s="80"/>
      <c r="F24" s="78"/>
      <c r="G24" s="81">
        <v>44700.0</v>
      </c>
      <c r="H24" s="78" t="s">
        <v>1489</v>
      </c>
    </row>
    <row r="25">
      <c r="A25" s="78">
        <v>23.0</v>
      </c>
      <c r="B25" s="78" t="s">
        <v>1472</v>
      </c>
      <c r="C25" s="78"/>
      <c r="D25" s="79"/>
      <c r="E25" s="80"/>
      <c r="F25" s="85"/>
      <c r="G25" s="81">
        <v>44722.0</v>
      </c>
      <c r="H25" s="86" t="s">
        <v>1491</v>
      </c>
    </row>
    <row r="26">
      <c r="A26" s="68">
        <v>24.0</v>
      </c>
      <c r="B26" s="68" t="s">
        <v>1492</v>
      </c>
      <c r="C26" s="68">
        <v>1.0</v>
      </c>
      <c r="D26" s="75">
        <v>2.9</v>
      </c>
      <c r="E26" s="70">
        <v>1.0</v>
      </c>
      <c r="F26" s="68" t="s">
        <v>1493</v>
      </c>
      <c r="G26" s="73">
        <v>44643.0</v>
      </c>
      <c r="H26" s="87" t="s">
        <v>1494</v>
      </c>
    </row>
    <row r="27">
      <c r="A27" s="78">
        <v>25.0</v>
      </c>
      <c r="B27" s="88" t="s">
        <v>1495</v>
      </c>
      <c r="C27" s="78"/>
      <c r="D27" s="79"/>
      <c r="E27" s="80"/>
      <c r="F27" s="88" t="s">
        <v>1496</v>
      </c>
      <c r="G27" s="78" t="s">
        <v>1497</v>
      </c>
      <c r="H27" s="86" t="s">
        <v>1498</v>
      </c>
    </row>
    <row r="28">
      <c r="A28" s="78">
        <v>26.0</v>
      </c>
      <c r="B28" s="88" t="s">
        <v>1499</v>
      </c>
      <c r="C28" s="78"/>
      <c r="D28" s="79"/>
      <c r="E28" s="80"/>
      <c r="F28" s="78" t="s">
        <v>1500</v>
      </c>
      <c r="G28" s="89">
        <v>44765.0</v>
      </c>
      <c r="H28" s="78" t="s">
        <v>1501</v>
      </c>
    </row>
    <row r="29">
      <c r="A29" s="78">
        <v>27.0</v>
      </c>
      <c r="B29" s="88" t="s">
        <v>1502</v>
      </c>
      <c r="C29" s="78"/>
      <c r="D29" s="79"/>
      <c r="E29" s="80"/>
      <c r="F29" s="78" t="s">
        <v>1503</v>
      </c>
      <c r="G29" s="78" t="s">
        <v>1504</v>
      </c>
      <c r="H29" s="78" t="s">
        <v>1505</v>
      </c>
    </row>
    <row r="30">
      <c r="A30" s="78">
        <v>28.0</v>
      </c>
      <c r="B30" s="90" t="s">
        <v>1506</v>
      </c>
      <c r="C30" s="78"/>
      <c r="D30" s="79"/>
      <c r="E30" s="80"/>
      <c r="F30" s="78"/>
      <c r="G30" s="89">
        <v>44856.0</v>
      </c>
      <c r="H30" s="78" t="s">
        <v>1507</v>
      </c>
    </row>
    <row r="31">
      <c r="A31" s="78">
        <v>29.0</v>
      </c>
      <c r="B31" s="78" t="s">
        <v>1488</v>
      </c>
      <c r="C31" s="78"/>
      <c r="D31" s="79"/>
      <c r="E31" s="80"/>
      <c r="F31" s="78" t="s">
        <v>1508</v>
      </c>
      <c r="G31" s="89">
        <v>44904.0</v>
      </c>
      <c r="H31" s="78" t="s">
        <v>1509</v>
      </c>
    </row>
    <row r="32">
      <c r="A32" s="78">
        <v>30.0</v>
      </c>
      <c r="B32" s="78" t="s">
        <v>1510</v>
      </c>
      <c r="C32" s="78"/>
      <c r="D32" s="79"/>
      <c r="E32" s="80"/>
      <c r="F32" s="78" t="s">
        <v>1511</v>
      </c>
      <c r="G32" s="78" t="s">
        <v>1512</v>
      </c>
      <c r="H32" s="78" t="s">
        <v>1513</v>
      </c>
    </row>
    <row r="33">
      <c r="A33" s="68">
        <v>31.0</v>
      </c>
      <c r="B33" s="91" t="s">
        <v>1514</v>
      </c>
      <c r="C33" s="74">
        <v>1.0</v>
      </c>
      <c r="D33" s="75">
        <v>15.0</v>
      </c>
      <c r="E33" s="92">
        <v>1.0</v>
      </c>
      <c r="F33" s="74" t="s">
        <v>1515</v>
      </c>
      <c r="G33" s="74" t="s">
        <v>1516</v>
      </c>
      <c r="H33" s="74" t="s">
        <v>780</v>
      </c>
    </row>
    <row r="34">
      <c r="A34" s="68"/>
      <c r="B34" s="74" t="s">
        <v>1517</v>
      </c>
      <c r="C34" s="74">
        <v>1.0</v>
      </c>
      <c r="D34" s="75">
        <v>1.3</v>
      </c>
      <c r="E34" s="70" t="s">
        <v>1518</v>
      </c>
      <c r="F34" s="68"/>
      <c r="G34" s="73"/>
      <c r="H34" s="68" t="s">
        <v>1519</v>
      </c>
    </row>
    <row r="35">
      <c r="A35" s="68"/>
      <c r="B35" s="74" t="s">
        <v>1520</v>
      </c>
      <c r="C35" s="74">
        <v>1.0</v>
      </c>
      <c r="D35" s="75">
        <v>1.3</v>
      </c>
      <c r="E35" s="70">
        <v>1.0</v>
      </c>
      <c r="F35" s="68"/>
      <c r="G35" s="73"/>
      <c r="H35" s="68" t="s">
        <v>1519</v>
      </c>
    </row>
    <row r="36">
      <c r="A36" s="68">
        <v>32.0</v>
      </c>
      <c r="B36" s="74" t="s">
        <v>1521</v>
      </c>
      <c r="C36" s="74">
        <v>1.0</v>
      </c>
      <c r="D36" s="75">
        <v>1.3</v>
      </c>
      <c r="E36" s="70">
        <v>1.0</v>
      </c>
      <c r="F36" s="68"/>
      <c r="G36" s="73">
        <v>45210.0</v>
      </c>
      <c r="H36" s="68" t="s">
        <v>1522</v>
      </c>
    </row>
    <row r="37">
      <c r="A37" s="78">
        <v>33.0</v>
      </c>
      <c r="B37" s="78" t="s">
        <v>1523</v>
      </c>
      <c r="C37" s="78"/>
      <c r="D37" s="79"/>
      <c r="E37" s="80"/>
      <c r="F37" s="78" t="s">
        <v>1524</v>
      </c>
      <c r="G37" s="81">
        <v>45282.0</v>
      </c>
      <c r="H37" s="78" t="s">
        <v>1525</v>
      </c>
    </row>
    <row r="38">
      <c r="A38" s="78">
        <v>34.0</v>
      </c>
      <c r="B38" s="78" t="s">
        <v>1526</v>
      </c>
      <c r="C38" s="78"/>
      <c r="D38" s="79"/>
      <c r="E38" s="80"/>
      <c r="F38" s="78" t="s">
        <v>1527</v>
      </c>
      <c r="G38" s="81">
        <v>45299.0</v>
      </c>
      <c r="H38" s="78" t="s">
        <v>1528</v>
      </c>
    </row>
    <row r="39">
      <c r="A39" s="68">
        <v>35.0</v>
      </c>
      <c r="B39" s="74" t="s">
        <v>1529</v>
      </c>
      <c r="C39" s="74">
        <v>1.0</v>
      </c>
      <c r="D39" s="75">
        <v>32.4</v>
      </c>
      <c r="E39" s="92">
        <v>2.0</v>
      </c>
      <c r="F39" s="74" t="s">
        <v>1530</v>
      </c>
      <c r="G39" s="93">
        <v>45406.0</v>
      </c>
      <c r="H39" s="74" t="s">
        <v>484</v>
      </c>
    </row>
    <row r="40">
      <c r="A40" s="68">
        <v>36.0</v>
      </c>
      <c r="B40" s="94" t="s">
        <v>1531</v>
      </c>
      <c r="C40" s="94">
        <v>1.0</v>
      </c>
      <c r="D40" s="95">
        <v>33.1</v>
      </c>
      <c r="E40" s="96">
        <v>2.0</v>
      </c>
      <c r="F40" s="97" t="s">
        <v>1532</v>
      </c>
      <c r="G40" s="98">
        <v>45582.0</v>
      </c>
      <c r="H40" s="94" t="s">
        <v>1533</v>
      </c>
    </row>
    <row r="41">
      <c r="A41" s="78">
        <v>37.0</v>
      </c>
      <c r="B41" s="78" t="s">
        <v>1534</v>
      </c>
      <c r="C41" s="78"/>
      <c r="D41" s="79"/>
      <c r="E41" s="80"/>
      <c r="F41" s="86" t="s">
        <v>1535</v>
      </c>
      <c r="G41" s="78" t="s">
        <v>1536</v>
      </c>
      <c r="H41" s="78" t="s">
        <v>1537</v>
      </c>
    </row>
    <row r="42">
      <c r="A42" s="78">
        <v>38.0</v>
      </c>
      <c r="B42" s="78" t="s">
        <v>1538</v>
      </c>
      <c r="C42" s="78"/>
      <c r="D42" s="79"/>
      <c r="E42" s="80"/>
      <c r="F42" s="78" t="s">
        <v>1539</v>
      </c>
      <c r="G42" s="78" t="s">
        <v>1540</v>
      </c>
      <c r="H42" s="78" t="s">
        <v>1541</v>
      </c>
    </row>
    <row r="43">
      <c r="A43" s="78">
        <v>39.0</v>
      </c>
      <c r="B43" s="78" t="s">
        <v>1542</v>
      </c>
      <c r="C43" s="78"/>
      <c r="D43" s="79"/>
      <c r="E43" s="80"/>
      <c r="F43" s="99" t="s">
        <v>1543</v>
      </c>
      <c r="G43" s="78" t="s">
        <v>1540</v>
      </c>
      <c r="H43" s="78" t="s">
        <v>1544</v>
      </c>
    </row>
    <row r="44">
      <c r="A44" s="78">
        <v>40.0</v>
      </c>
      <c r="B44" s="78" t="s">
        <v>1545</v>
      </c>
      <c r="C44" s="78"/>
      <c r="D44" s="79"/>
      <c r="E44" s="80"/>
      <c r="F44" s="78" t="s">
        <v>1546</v>
      </c>
      <c r="G44" s="78" t="s">
        <v>1540</v>
      </c>
      <c r="H44" s="78" t="s">
        <v>1544</v>
      </c>
    </row>
    <row r="45">
      <c r="A45" s="78">
        <v>41.0</v>
      </c>
      <c r="B45" s="86" t="s">
        <v>1514</v>
      </c>
      <c r="C45" s="100"/>
      <c r="D45" s="101"/>
      <c r="E45" s="80"/>
      <c r="F45" s="78" t="s">
        <v>1515</v>
      </c>
      <c r="G45" s="78" t="s">
        <v>300</v>
      </c>
      <c r="H45" s="78" t="s">
        <v>1547</v>
      </c>
    </row>
    <row r="46">
      <c r="A46" s="68">
        <v>42.0</v>
      </c>
      <c r="B46" s="68" t="s">
        <v>1548</v>
      </c>
      <c r="C46" s="102">
        <v>1.0</v>
      </c>
      <c r="D46" s="103">
        <v>17.4</v>
      </c>
      <c r="E46" s="70">
        <v>1.0</v>
      </c>
      <c r="F46" s="68"/>
      <c r="G46" s="68" t="s">
        <v>1518</v>
      </c>
      <c r="H46" s="68" t="s">
        <v>780</v>
      </c>
    </row>
    <row r="47">
      <c r="A47" s="68">
        <v>43.0</v>
      </c>
      <c r="B47" s="68" t="s">
        <v>1549</v>
      </c>
      <c r="C47" s="102">
        <v>1.0</v>
      </c>
      <c r="D47" s="103">
        <v>4.0</v>
      </c>
      <c r="E47" s="70">
        <v>1.0</v>
      </c>
      <c r="F47" s="68"/>
      <c r="G47" s="68" t="s">
        <v>1518</v>
      </c>
      <c r="H47" s="68" t="s">
        <v>780</v>
      </c>
    </row>
    <row r="48">
      <c r="A48" s="78">
        <v>44.0</v>
      </c>
      <c r="B48" s="78" t="s">
        <v>1550</v>
      </c>
      <c r="C48" s="100"/>
      <c r="D48" s="101"/>
      <c r="E48" s="80"/>
      <c r="F48" s="78"/>
      <c r="G48" s="78" t="s">
        <v>1551</v>
      </c>
      <c r="H48" s="78" t="s">
        <v>1368</v>
      </c>
    </row>
    <row r="49">
      <c r="A49" s="78">
        <v>45.0</v>
      </c>
      <c r="B49" s="78" t="s">
        <v>1550</v>
      </c>
      <c r="C49" s="100"/>
      <c r="D49" s="101"/>
      <c r="E49" s="80"/>
      <c r="F49" s="78"/>
      <c r="G49" s="78" t="s">
        <v>1551</v>
      </c>
      <c r="H49" s="78" t="s">
        <v>1368</v>
      </c>
    </row>
    <row r="50">
      <c r="A50" s="94">
        <v>46.0</v>
      </c>
      <c r="B50" s="94" t="s">
        <v>1552</v>
      </c>
      <c r="C50" s="104">
        <v>1.0</v>
      </c>
      <c r="D50" s="105">
        <v>5.0</v>
      </c>
      <c r="E50" s="96">
        <v>1.0</v>
      </c>
      <c r="F50" s="94" t="s">
        <v>1553</v>
      </c>
      <c r="G50" s="94" t="s">
        <v>1554</v>
      </c>
      <c r="H50" s="94" t="s">
        <v>899</v>
      </c>
    </row>
    <row r="51">
      <c r="A51" s="78">
        <v>47.0</v>
      </c>
      <c r="B51" s="78" t="s">
        <v>1555</v>
      </c>
      <c r="C51" s="100">
        <v>1.0</v>
      </c>
      <c r="D51" s="101">
        <v>4.2</v>
      </c>
      <c r="E51" s="80">
        <v>1.0</v>
      </c>
      <c r="F51" s="78" t="s">
        <v>1556</v>
      </c>
      <c r="G51" s="78" t="s">
        <v>1557</v>
      </c>
      <c r="H51" s="78" t="s">
        <v>1558</v>
      </c>
    </row>
    <row r="52">
      <c r="A52" s="78">
        <v>48.0</v>
      </c>
      <c r="B52" s="78" t="s">
        <v>1559</v>
      </c>
      <c r="C52" s="100">
        <v>1.0</v>
      </c>
      <c r="D52" s="101">
        <v>17.7</v>
      </c>
      <c r="E52" s="80">
        <v>2.0</v>
      </c>
      <c r="F52" s="78" t="s">
        <v>1560</v>
      </c>
      <c r="G52" s="78" t="s">
        <v>1557</v>
      </c>
      <c r="H52" s="78" t="s">
        <v>1368</v>
      </c>
    </row>
    <row r="53">
      <c r="A53" s="68">
        <v>49.0</v>
      </c>
      <c r="B53" s="106" t="s">
        <v>1561</v>
      </c>
      <c r="C53" s="102">
        <v>1.0</v>
      </c>
      <c r="D53" s="103">
        <v>4.2</v>
      </c>
      <c r="E53" s="70">
        <v>1.0</v>
      </c>
      <c r="F53" s="107" t="s">
        <v>1535</v>
      </c>
      <c r="G53" s="108">
        <v>45604.0</v>
      </c>
      <c r="H53" s="68" t="s">
        <v>1368</v>
      </c>
    </row>
    <row r="54">
      <c r="A54" s="109" t="s">
        <v>1562</v>
      </c>
      <c r="B54" s="3"/>
      <c r="C54" s="68">
        <f t="shared" ref="C54:E54" si="1">sum(C3:C50)</f>
        <v>19</v>
      </c>
      <c r="D54" s="69">
        <f t="shared" si="1"/>
        <v>300.5</v>
      </c>
      <c r="E54" s="70">
        <f t="shared" si="1"/>
        <v>17</v>
      </c>
      <c r="F54" s="68"/>
      <c r="G54" s="72"/>
      <c r="H54" s="68"/>
    </row>
    <row r="55" ht="24.0" customHeight="1">
      <c r="A55" s="110"/>
      <c r="B55" s="110"/>
      <c r="C55" s="110"/>
      <c r="D55" s="111"/>
      <c r="E55" s="112"/>
      <c r="F55" s="110"/>
      <c r="G55" s="113"/>
      <c r="H55" s="110"/>
    </row>
    <row r="56" ht="24.0" customHeight="1">
      <c r="A56" s="110"/>
      <c r="B56" s="110"/>
      <c r="C56" s="110"/>
      <c r="D56" s="111"/>
      <c r="E56" s="112"/>
      <c r="F56" s="110"/>
      <c r="G56" s="113"/>
      <c r="H56" s="110"/>
    </row>
    <row r="57">
      <c r="A57" s="114" t="s">
        <v>1563</v>
      </c>
      <c r="B57" s="2"/>
      <c r="C57" s="2"/>
      <c r="D57" s="2"/>
      <c r="E57" s="2"/>
      <c r="F57" s="2"/>
      <c r="G57" s="2"/>
      <c r="H57" s="3"/>
    </row>
    <row r="58">
      <c r="A58" s="115" t="s">
        <v>1435</v>
      </c>
      <c r="B58" s="116" t="s">
        <v>1436</v>
      </c>
      <c r="C58" s="115" t="s">
        <v>1437</v>
      </c>
      <c r="D58" s="117" t="s">
        <v>1438</v>
      </c>
      <c r="E58" s="118" t="s">
        <v>1564</v>
      </c>
      <c r="F58" s="115" t="s">
        <v>1440</v>
      </c>
      <c r="G58" s="119" t="s">
        <v>1441</v>
      </c>
      <c r="H58" s="115" t="s">
        <v>1565</v>
      </c>
    </row>
    <row r="59">
      <c r="A59" s="120">
        <v>1.0</v>
      </c>
      <c r="B59" s="120" t="s">
        <v>1443</v>
      </c>
      <c r="C59" s="120">
        <v>1.0</v>
      </c>
      <c r="D59" s="121">
        <v>144.0</v>
      </c>
      <c r="E59" s="122"/>
      <c r="F59" s="123"/>
      <c r="G59" s="124"/>
      <c r="H59" s="125"/>
    </row>
    <row r="60">
      <c r="A60" s="120">
        <v>2.0</v>
      </c>
      <c r="B60" s="120" t="s">
        <v>1444</v>
      </c>
      <c r="C60" s="120">
        <v>2.0</v>
      </c>
      <c r="D60" s="121">
        <v>2.6</v>
      </c>
      <c r="E60" s="122"/>
      <c r="F60" s="123"/>
      <c r="G60" s="124">
        <v>44574.0</v>
      </c>
      <c r="H60" s="125"/>
    </row>
    <row r="61">
      <c r="A61" s="120">
        <v>3.0</v>
      </c>
      <c r="B61" s="120" t="s">
        <v>1445</v>
      </c>
      <c r="C61" s="120">
        <v>1.0</v>
      </c>
      <c r="D61" s="121">
        <v>5.0</v>
      </c>
      <c r="E61" s="126">
        <v>1.0</v>
      </c>
      <c r="F61" s="123"/>
      <c r="G61" s="124">
        <v>44596.0</v>
      </c>
      <c r="H61" s="125"/>
    </row>
    <row r="62">
      <c r="A62" s="120">
        <v>4.0</v>
      </c>
      <c r="B62" s="120" t="s">
        <v>1566</v>
      </c>
      <c r="C62" s="120">
        <v>1.0</v>
      </c>
      <c r="D62" s="121">
        <v>27.5</v>
      </c>
      <c r="E62" s="126">
        <v>2.0</v>
      </c>
      <c r="F62" s="120" t="s">
        <v>1567</v>
      </c>
      <c r="G62" s="124">
        <v>44599.0</v>
      </c>
      <c r="H62" s="120" t="s">
        <v>1568</v>
      </c>
    </row>
    <row r="63">
      <c r="A63" s="120">
        <v>5.0</v>
      </c>
      <c r="B63" s="120" t="s">
        <v>1569</v>
      </c>
      <c r="C63" s="120">
        <v>1.0</v>
      </c>
      <c r="D63" s="121">
        <v>21.1</v>
      </c>
      <c r="E63" s="126">
        <v>2.0</v>
      </c>
      <c r="F63" s="120" t="s">
        <v>1570</v>
      </c>
      <c r="G63" s="124">
        <v>44742.0</v>
      </c>
      <c r="H63" s="120" t="s">
        <v>1571</v>
      </c>
    </row>
    <row r="64">
      <c r="A64" s="120">
        <v>6.0</v>
      </c>
      <c r="B64" s="120" t="s">
        <v>1448</v>
      </c>
      <c r="C64" s="120">
        <v>1.0</v>
      </c>
      <c r="D64" s="121">
        <v>7.8</v>
      </c>
      <c r="E64" s="126">
        <v>1.0</v>
      </c>
      <c r="F64" s="120" t="s">
        <v>1572</v>
      </c>
      <c r="G64" s="124">
        <v>44806.0</v>
      </c>
      <c r="H64" s="120" t="s">
        <v>1571</v>
      </c>
    </row>
    <row r="65">
      <c r="A65" s="127">
        <v>7.0</v>
      </c>
      <c r="B65" s="127" t="s">
        <v>1573</v>
      </c>
      <c r="C65" s="127"/>
      <c r="D65" s="128"/>
      <c r="E65" s="129"/>
      <c r="F65" s="127" t="s">
        <v>1574</v>
      </c>
      <c r="G65" s="130">
        <v>44806.0</v>
      </c>
      <c r="H65" s="127" t="s">
        <v>1575</v>
      </c>
    </row>
    <row r="66">
      <c r="A66" s="127">
        <v>9.0</v>
      </c>
      <c r="B66" s="127" t="s">
        <v>1576</v>
      </c>
      <c r="C66" s="127"/>
      <c r="D66" s="128"/>
      <c r="E66" s="129"/>
      <c r="F66" s="127" t="s">
        <v>1577</v>
      </c>
      <c r="G66" s="127" t="s">
        <v>1578</v>
      </c>
      <c r="H66" s="127" t="s">
        <v>143</v>
      </c>
    </row>
    <row r="67">
      <c r="A67" s="127">
        <v>10.0</v>
      </c>
      <c r="B67" s="127" t="s">
        <v>1579</v>
      </c>
      <c r="C67" s="127"/>
      <c r="D67" s="128"/>
      <c r="E67" s="129"/>
      <c r="F67" s="127" t="s">
        <v>1580</v>
      </c>
      <c r="G67" s="130">
        <v>44824.0</v>
      </c>
      <c r="H67" s="127" t="s">
        <v>1581</v>
      </c>
    </row>
    <row r="68">
      <c r="A68" s="127">
        <v>11.0</v>
      </c>
      <c r="B68" s="127" t="s">
        <v>1579</v>
      </c>
      <c r="C68" s="127"/>
      <c r="D68" s="128"/>
      <c r="E68" s="129"/>
      <c r="F68" s="127" t="s">
        <v>1582</v>
      </c>
      <c r="G68" s="130">
        <v>44809.0</v>
      </c>
      <c r="H68" s="127" t="s">
        <v>1583</v>
      </c>
    </row>
    <row r="69">
      <c r="A69" s="127">
        <v>12.0</v>
      </c>
      <c r="B69" s="127" t="s">
        <v>1584</v>
      </c>
      <c r="C69" s="127"/>
      <c r="D69" s="128"/>
      <c r="E69" s="129"/>
      <c r="F69" s="127" t="s">
        <v>1585</v>
      </c>
      <c r="G69" s="130">
        <v>44856.0</v>
      </c>
      <c r="H69" s="127" t="s">
        <v>1586</v>
      </c>
    </row>
    <row r="70">
      <c r="A70" s="127">
        <v>13.0</v>
      </c>
      <c r="B70" s="127" t="s">
        <v>1587</v>
      </c>
      <c r="C70" s="127"/>
      <c r="D70" s="128"/>
      <c r="E70" s="129"/>
      <c r="F70" s="127"/>
      <c r="G70" s="130">
        <v>44856.0</v>
      </c>
      <c r="H70" s="127" t="s">
        <v>1588</v>
      </c>
    </row>
    <row r="71">
      <c r="A71" s="120">
        <v>15.0</v>
      </c>
      <c r="B71" s="131" t="s">
        <v>1589</v>
      </c>
      <c r="C71" s="131">
        <v>1.0</v>
      </c>
      <c r="D71" s="132">
        <v>17.3</v>
      </c>
      <c r="E71" s="133">
        <v>1.0</v>
      </c>
      <c r="F71" s="131" t="s">
        <v>1590</v>
      </c>
      <c r="G71" s="134">
        <v>44873.0</v>
      </c>
      <c r="H71" s="131" t="s">
        <v>1591</v>
      </c>
    </row>
    <row r="72">
      <c r="A72" s="120">
        <v>16.0</v>
      </c>
      <c r="B72" s="131" t="s">
        <v>1589</v>
      </c>
      <c r="C72" s="131">
        <v>1.0</v>
      </c>
      <c r="D72" s="132">
        <v>17.3</v>
      </c>
      <c r="E72" s="133">
        <v>1.0</v>
      </c>
      <c r="F72" s="131" t="s">
        <v>1592</v>
      </c>
      <c r="G72" s="134">
        <v>44873.0</v>
      </c>
      <c r="H72" s="131" t="s">
        <v>1591</v>
      </c>
    </row>
    <row r="73">
      <c r="A73" s="120">
        <v>17.0</v>
      </c>
      <c r="B73" s="131" t="s">
        <v>1589</v>
      </c>
      <c r="C73" s="131">
        <v>1.0</v>
      </c>
      <c r="D73" s="131">
        <v>17.3</v>
      </c>
      <c r="E73" s="133">
        <v>1.0</v>
      </c>
      <c r="F73" s="131" t="s">
        <v>1593</v>
      </c>
      <c r="G73" s="134">
        <v>44873.0</v>
      </c>
      <c r="H73" s="131" t="s">
        <v>1591</v>
      </c>
    </row>
    <row r="74">
      <c r="A74" s="127">
        <v>18.0</v>
      </c>
      <c r="B74" s="127" t="s">
        <v>1594</v>
      </c>
      <c r="C74" s="127"/>
      <c r="D74" s="128"/>
      <c r="E74" s="129"/>
      <c r="F74" s="127" t="s">
        <v>1595</v>
      </c>
      <c r="G74" s="127" t="s">
        <v>1596</v>
      </c>
      <c r="H74" s="127" t="s">
        <v>1597</v>
      </c>
    </row>
    <row r="75">
      <c r="A75" s="127">
        <v>19.0</v>
      </c>
      <c r="B75" s="127" t="s">
        <v>1598</v>
      </c>
      <c r="C75" s="127"/>
      <c r="D75" s="128"/>
      <c r="E75" s="128"/>
      <c r="F75" s="130"/>
      <c r="G75" s="127"/>
      <c r="H75" s="127" t="s">
        <v>1599</v>
      </c>
    </row>
    <row r="76">
      <c r="A76" s="120">
        <v>20.0</v>
      </c>
      <c r="B76" s="135" t="s">
        <v>1600</v>
      </c>
      <c r="C76" s="135">
        <v>1.0</v>
      </c>
      <c r="D76" s="136">
        <v>16.0</v>
      </c>
      <c r="E76" s="133">
        <v>1.0</v>
      </c>
      <c r="F76" s="137" t="s">
        <v>1601</v>
      </c>
      <c r="G76" s="134">
        <v>44909.0</v>
      </c>
      <c r="H76" s="131" t="s">
        <v>780</v>
      </c>
    </row>
    <row r="77">
      <c r="A77" s="127">
        <v>21.0</v>
      </c>
      <c r="B77" s="127" t="s">
        <v>1602</v>
      </c>
      <c r="C77" s="127"/>
      <c r="D77" s="128"/>
      <c r="E77" s="129"/>
      <c r="F77" s="127" t="s">
        <v>1603</v>
      </c>
      <c r="G77" s="127" t="s">
        <v>1604</v>
      </c>
      <c r="H77" s="127" t="s">
        <v>1605</v>
      </c>
    </row>
    <row r="78">
      <c r="A78" s="127">
        <v>22.0</v>
      </c>
      <c r="B78" s="127" t="s">
        <v>1510</v>
      </c>
      <c r="C78" s="127"/>
      <c r="D78" s="128"/>
      <c r="E78" s="129"/>
      <c r="F78" s="127" t="s">
        <v>1511</v>
      </c>
      <c r="G78" s="127" t="s">
        <v>1606</v>
      </c>
      <c r="H78" s="127" t="s">
        <v>1513</v>
      </c>
    </row>
    <row r="79">
      <c r="A79" s="127">
        <v>23.0</v>
      </c>
      <c r="B79" s="127" t="s">
        <v>1514</v>
      </c>
      <c r="C79" s="127"/>
      <c r="D79" s="128"/>
      <c r="E79" s="129"/>
      <c r="F79" s="127" t="s">
        <v>1515</v>
      </c>
      <c r="G79" s="127" t="s">
        <v>1607</v>
      </c>
      <c r="H79" s="127" t="s">
        <v>1547</v>
      </c>
    </row>
    <row r="80">
      <c r="A80" s="127">
        <v>24.0</v>
      </c>
      <c r="B80" s="127" t="s">
        <v>1608</v>
      </c>
      <c r="C80" s="127"/>
      <c r="D80" s="128"/>
      <c r="E80" s="129"/>
      <c r="F80" s="127" t="s">
        <v>1609</v>
      </c>
      <c r="G80" s="127" t="s">
        <v>1610</v>
      </c>
      <c r="H80" s="127" t="s">
        <v>1470</v>
      </c>
    </row>
    <row r="81">
      <c r="A81" s="127">
        <v>25.0</v>
      </c>
      <c r="B81" s="127" t="s">
        <v>1611</v>
      </c>
      <c r="C81" s="127"/>
      <c r="D81" s="128"/>
      <c r="E81" s="129"/>
      <c r="F81" s="127">
        <v>100358.0</v>
      </c>
      <c r="G81" s="127" t="s">
        <v>1610</v>
      </c>
      <c r="H81" s="127" t="s">
        <v>1470</v>
      </c>
    </row>
    <row r="82">
      <c r="A82" s="127">
        <v>26.0</v>
      </c>
      <c r="B82" s="127" t="s">
        <v>1612</v>
      </c>
      <c r="C82" s="127"/>
      <c r="D82" s="128"/>
      <c r="E82" s="129"/>
      <c r="F82" s="127" t="s">
        <v>1613</v>
      </c>
      <c r="G82" s="130">
        <v>45079.0</v>
      </c>
      <c r="H82" s="127" t="s">
        <v>1614</v>
      </c>
    </row>
    <row r="83">
      <c r="A83" s="120">
        <v>29.0</v>
      </c>
      <c r="B83" s="120" t="s">
        <v>1615</v>
      </c>
      <c r="C83" s="120">
        <v>1.0</v>
      </c>
      <c r="D83" s="121">
        <v>12.9</v>
      </c>
      <c r="E83" s="126">
        <v>1.0</v>
      </c>
      <c r="F83" s="120" t="s">
        <v>1616</v>
      </c>
      <c r="G83" s="124">
        <v>45169.0</v>
      </c>
      <c r="H83" s="120" t="s">
        <v>1571</v>
      </c>
    </row>
    <row r="84">
      <c r="A84" s="120">
        <v>30.0</v>
      </c>
      <c r="B84" s="120" t="s">
        <v>1617</v>
      </c>
      <c r="C84" s="120">
        <v>1.0</v>
      </c>
      <c r="D84" s="121">
        <v>19.0</v>
      </c>
      <c r="E84" s="126">
        <v>1.0</v>
      </c>
      <c r="F84" s="120" t="s">
        <v>1618</v>
      </c>
      <c r="G84" s="124">
        <v>45238.0</v>
      </c>
      <c r="H84" s="120" t="s">
        <v>1619</v>
      </c>
    </row>
    <row r="85">
      <c r="A85" s="120">
        <v>31.0</v>
      </c>
      <c r="B85" s="120" t="s">
        <v>1620</v>
      </c>
      <c r="C85" s="120">
        <v>1.0</v>
      </c>
      <c r="D85" s="121">
        <v>2.0</v>
      </c>
      <c r="E85" s="126">
        <v>1.0</v>
      </c>
      <c r="F85" s="120" t="s">
        <v>1621</v>
      </c>
      <c r="G85" s="124">
        <v>45246.0</v>
      </c>
      <c r="H85" s="120" t="s">
        <v>1622</v>
      </c>
    </row>
    <row r="86">
      <c r="A86" s="120">
        <v>32.0</v>
      </c>
      <c r="B86" s="120" t="s">
        <v>1623</v>
      </c>
      <c r="C86" s="120">
        <v>1.0</v>
      </c>
      <c r="D86" s="121">
        <v>22.6</v>
      </c>
      <c r="E86" s="126">
        <v>2.0</v>
      </c>
      <c r="F86" s="120" t="s">
        <v>1624</v>
      </c>
      <c r="G86" s="124">
        <v>45296.0</v>
      </c>
      <c r="H86" s="120" t="s">
        <v>389</v>
      </c>
    </row>
    <row r="87">
      <c r="A87" s="120">
        <v>33.0</v>
      </c>
      <c r="B87" s="120" t="s">
        <v>1625</v>
      </c>
      <c r="C87" s="120">
        <v>1.0</v>
      </c>
      <c r="D87" s="121">
        <v>26.0</v>
      </c>
      <c r="E87" s="126">
        <v>2.0</v>
      </c>
      <c r="F87" s="120" t="s">
        <v>1626</v>
      </c>
      <c r="G87" s="124">
        <v>45297.0</v>
      </c>
      <c r="H87" s="120" t="s">
        <v>1571</v>
      </c>
    </row>
    <row r="88">
      <c r="A88" s="127">
        <v>34.0</v>
      </c>
      <c r="B88" s="127" t="s">
        <v>1526</v>
      </c>
      <c r="C88" s="127"/>
      <c r="D88" s="128"/>
      <c r="E88" s="129"/>
      <c r="F88" s="127" t="s">
        <v>1527</v>
      </c>
      <c r="G88" s="130">
        <v>45299.0</v>
      </c>
      <c r="H88" s="127" t="s">
        <v>1627</v>
      </c>
    </row>
    <row r="89">
      <c r="A89" s="127">
        <v>35.0</v>
      </c>
      <c r="B89" s="127" t="s">
        <v>1526</v>
      </c>
      <c r="C89" s="127"/>
      <c r="D89" s="128"/>
      <c r="E89" s="129"/>
      <c r="F89" s="127" t="s">
        <v>1628</v>
      </c>
      <c r="G89" s="130">
        <v>45299.0</v>
      </c>
      <c r="H89" s="127" t="s">
        <v>1629</v>
      </c>
    </row>
    <row r="90">
      <c r="A90" s="120">
        <v>36.0</v>
      </c>
      <c r="B90" s="131" t="s">
        <v>1630</v>
      </c>
      <c r="C90" s="131">
        <v>1.0</v>
      </c>
      <c r="D90" s="132">
        <v>2.0</v>
      </c>
      <c r="E90" s="133">
        <v>1.0</v>
      </c>
      <c r="F90" s="131" t="s">
        <v>1631</v>
      </c>
      <c r="G90" s="138">
        <v>45383.0</v>
      </c>
      <c r="H90" s="131" t="s">
        <v>1632</v>
      </c>
    </row>
    <row r="91">
      <c r="A91" s="127">
        <v>37.0</v>
      </c>
      <c r="B91" s="127" t="s">
        <v>1633</v>
      </c>
      <c r="C91" s="127">
        <v>1.0</v>
      </c>
      <c r="D91" s="128"/>
      <c r="E91" s="129">
        <v>1.0</v>
      </c>
      <c r="F91" s="127"/>
      <c r="G91" s="127" t="s">
        <v>1634</v>
      </c>
      <c r="H91" s="127" t="s">
        <v>321</v>
      </c>
    </row>
    <row r="92">
      <c r="A92" s="120">
        <v>38.0</v>
      </c>
      <c r="B92" s="135" t="s">
        <v>1635</v>
      </c>
      <c r="C92" s="131">
        <v>1.0</v>
      </c>
      <c r="D92" s="132">
        <v>17.0</v>
      </c>
      <c r="E92" s="133">
        <v>1.0</v>
      </c>
      <c r="F92" s="135" t="s">
        <v>1636</v>
      </c>
      <c r="G92" s="139">
        <v>45335.0</v>
      </c>
      <c r="H92" s="131" t="s">
        <v>1637</v>
      </c>
    </row>
    <row r="93">
      <c r="A93" s="127">
        <v>39.0</v>
      </c>
      <c r="B93" s="127" t="s">
        <v>1638</v>
      </c>
      <c r="C93" s="127"/>
      <c r="D93" s="128"/>
      <c r="E93" s="129"/>
      <c r="F93" s="127"/>
      <c r="G93" s="130">
        <v>45579.0</v>
      </c>
      <c r="H93" s="127" t="s">
        <v>1639</v>
      </c>
    </row>
    <row r="94">
      <c r="A94" s="127">
        <v>40.0</v>
      </c>
      <c r="B94" s="127" t="s">
        <v>1635</v>
      </c>
      <c r="C94" s="127"/>
      <c r="D94" s="128"/>
      <c r="E94" s="129"/>
      <c r="F94" s="127" t="s">
        <v>1640</v>
      </c>
      <c r="G94" s="127" t="s">
        <v>1641</v>
      </c>
      <c r="H94" s="127" t="s">
        <v>1642</v>
      </c>
    </row>
    <row r="95">
      <c r="A95" s="120">
        <v>41.0</v>
      </c>
      <c r="B95" s="135" t="s">
        <v>1643</v>
      </c>
      <c r="C95" s="120">
        <v>1.0</v>
      </c>
      <c r="D95" s="121">
        <v>2.7</v>
      </c>
      <c r="E95" s="126">
        <v>1.0</v>
      </c>
      <c r="F95" s="135" t="s">
        <v>1644</v>
      </c>
      <c r="G95" s="124">
        <v>45638.0</v>
      </c>
      <c r="H95" s="120" t="s">
        <v>1645</v>
      </c>
    </row>
    <row r="96">
      <c r="A96" s="127">
        <v>42.0</v>
      </c>
      <c r="B96" s="127" t="s">
        <v>1646</v>
      </c>
      <c r="C96" s="127">
        <v>1.0</v>
      </c>
      <c r="D96" s="128">
        <v>2.0</v>
      </c>
      <c r="E96" s="129">
        <v>1.0</v>
      </c>
      <c r="F96" s="127" t="s">
        <v>1647</v>
      </c>
      <c r="G96" s="127" t="s">
        <v>1648</v>
      </c>
      <c r="H96" s="127" t="s">
        <v>321</v>
      </c>
    </row>
    <row r="97">
      <c r="A97" s="127"/>
      <c r="B97" s="127" t="s">
        <v>1649</v>
      </c>
      <c r="C97" s="127">
        <v>1.0</v>
      </c>
      <c r="D97" s="128">
        <v>8.0</v>
      </c>
      <c r="E97" s="129">
        <v>1.0</v>
      </c>
      <c r="F97" s="127" t="s">
        <v>1650</v>
      </c>
      <c r="G97" s="127" t="s">
        <v>1651</v>
      </c>
      <c r="H97" s="127" t="s">
        <v>321</v>
      </c>
    </row>
    <row r="98">
      <c r="A98" s="120">
        <v>43.0</v>
      </c>
      <c r="B98" s="120" t="s">
        <v>1652</v>
      </c>
      <c r="C98" s="120">
        <v>1.0</v>
      </c>
      <c r="D98" s="121">
        <v>2.0</v>
      </c>
      <c r="E98" s="126">
        <v>1.0</v>
      </c>
      <c r="F98" s="120" t="s">
        <v>1653</v>
      </c>
      <c r="G98" s="124">
        <v>45857.0</v>
      </c>
      <c r="H98" s="120" t="s">
        <v>1645</v>
      </c>
    </row>
    <row r="99">
      <c r="A99" s="140" t="s">
        <v>1562</v>
      </c>
      <c r="B99" s="3"/>
      <c r="C99" s="120">
        <f t="shared" ref="C99:D99" si="2">SUM(C59:C98)</f>
        <v>23</v>
      </c>
      <c r="D99" s="121">
        <f t="shared" si="2"/>
        <v>392.1</v>
      </c>
      <c r="E99" s="126">
        <f>sum(E59:E98)</f>
        <v>24</v>
      </c>
      <c r="F99" s="120"/>
      <c r="G99" s="124"/>
      <c r="H99" s="120"/>
    </row>
    <row r="100" ht="24.0" customHeight="1">
      <c r="A100" s="110"/>
      <c r="B100" s="141"/>
      <c r="C100" s="141"/>
      <c r="D100" s="142"/>
      <c r="E100" s="143"/>
      <c r="F100" s="141"/>
      <c r="G100" s="113"/>
      <c r="H100" s="144"/>
    </row>
    <row r="101" ht="24.0" customHeight="1">
      <c r="A101" s="110"/>
      <c r="B101" s="141"/>
      <c r="C101" s="141"/>
      <c r="D101" s="142"/>
      <c r="E101" s="143"/>
      <c r="F101" s="141"/>
      <c r="G101" s="113"/>
      <c r="H101" s="144"/>
    </row>
    <row r="102" ht="24.0" customHeight="1">
      <c r="A102" s="110"/>
      <c r="B102" s="141"/>
      <c r="C102" s="141"/>
      <c r="D102" s="142"/>
      <c r="E102" s="143"/>
      <c r="F102" s="141"/>
      <c r="G102" s="113"/>
      <c r="H102" s="144"/>
    </row>
    <row r="103" ht="24.0" customHeight="1">
      <c r="A103" s="145" t="s">
        <v>1654</v>
      </c>
      <c r="B103" s="2"/>
      <c r="C103" s="2"/>
      <c r="D103" s="2"/>
      <c r="E103" s="2"/>
      <c r="F103" s="2"/>
      <c r="G103" s="2"/>
      <c r="H103" s="3"/>
    </row>
    <row r="104" ht="24.0" customHeight="1">
      <c r="A104" s="146" t="s">
        <v>1435</v>
      </c>
      <c r="B104" s="147" t="s">
        <v>1436</v>
      </c>
      <c r="C104" s="146" t="s">
        <v>1437</v>
      </c>
      <c r="D104" s="148" t="s">
        <v>1438</v>
      </c>
      <c r="E104" s="149" t="s">
        <v>1564</v>
      </c>
      <c r="F104" s="146" t="s">
        <v>1440</v>
      </c>
      <c r="G104" s="150" t="s">
        <v>1441</v>
      </c>
      <c r="H104" s="146" t="s">
        <v>1565</v>
      </c>
    </row>
    <row r="105" ht="24.0" customHeight="1">
      <c r="A105" s="151">
        <v>1.0</v>
      </c>
      <c r="B105" s="151" t="s">
        <v>1443</v>
      </c>
      <c r="C105" s="151">
        <v>1.0</v>
      </c>
      <c r="D105" s="152">
        <v>144.0</v>
      </c>
      <c r="E105" s="153"/>
      <c r="F105" s="154"/>
      <c r="G105" s="155"/>
      <c r="H105" s="156"/>
    </row>
    <row r="106" ht="24.0" customHeight="1">
      <c r="A106" s="151">
        <v>2.0</v>
      </c>
      <c r="B106" s="151" t="s">
        <v>1444</v>
      </c>
      <c r="C106" s="151">
        <v>2.0</v>
      </c>
      <c r="D106" s="152">
        <v>2.6</v>
      </c>
      <c r="E106" s="153"/>
      <c r="F106" s="154"/>
      <c r="G106" s="155">
        <v>44574.0</v>
      </c>
      <c r="H106" s="156"/>
    </row>
    <row r="107" ht="24.0" customHeight="1">
      <c r="A107" s="151">
        <v>3.0</v>
      </c>
      <c r="B107" s="151" t="s">
        <v>1445</v>
      </c>
      <c r="C107" s="151">
        <v>1.0</v>
      </c>
      <c r="D107" s="152">
        <v>5.0</v>
      </c>
      <c r="E107" s="157">
        <v>1.0</v>
      </c>
      <c r="F107" s="154"/>
      <c r="G107" s="155">
        <v>44596.0</v>
      </c>
      <c r="H107" s="156"/>
    </row>
    <row r="108" ht="24.0" customHeight="1">
      <c r="A108" s="151">
        <v>4.0</v>
      </c>
      <c r="B108" s="151" t="s">
        <v>1655</v>
      </c>
      <c r="C108" s="151">
        <v>1.0</v>
      </c>
      <c r="D108" s="158">
        <v>39.58</v>
      </c>
      <c r="E108" s="157">
        <v>7.0</v>
      </c>
      <c r="F108" s="151" t="s">
        <v>1656</v>
      </c>
      <c r="G108" s="155">
        <v>44892.0</v>
      </c>
      <c r="H108" s="151" t="s">
        <v>1657</v>
      </c>
    </row>
    <row r="109" ht="24.0" customHeight="1">
      <c r="A109" s="151">
        <v>5.0</v>
      </c>
      <c r="B109" s="159" t="s">
        <v>1655</v>
      </c>
      <c r="C109" s="151">
        <v>1.0</v>
      </c>
      <c r="D109" s="158">
        <v>39.58</v>
      </c>
      <c r="E109" s="157">
        <v>7.0</v>
      </c>
      <c r="F109" s="151" t="s">
        <v>1656</v>
      </c>
      <c r="G109" s="155">
        <v>44892.0</v>
      </c>
      <c r="H109" s="151" t="s">
        <v>1657</v>
      </c>
    </row>
    <row r="110" ht="24.0" customHeight="1">
      <c r="A110" s="151">
        <v>6.0</v>
      </c>
      <c r="B110" s="160" t="s">
        <v>1658</v>
      </c>
      <c r="C110" s="151">
        <v>1.0</v>
      </c>
      <c r="D110" s="158">
        <v>27.2</v>
      </c>
      <c r="E110" s="157">
        <v>5.0</v>
      </c>
      <c r="F110" s="151" t="s">
        <v>1659</v>
      </c>
      <c r="G110" s="155">
        <v>44896.0</v>
      </c>
      <c r="H110" s="151" t="s">
        <v>1657</v>
      </c>
    </row>
    <row r="111" ht="24.0" customHeight="1">
      <c r="A111" s="151">
        <v>7.0</v>
      </c>
      <c r="B111" s="151" t="s">
        <v>1660</v>
      </c>
      <c r="C111" s="151">
        <v>1.0</v>
      </c>
      <c r="D111" s="152">
        <v>6.3</v>
      </c>
      <c r="E111" s="157">
        <v>1.0</v>
      </c>
      <c r="F111" s="151" t="s">
        <v>1661</v>
      </c>
      <c r="G111" s="155">
        <v>45562.0</v>
      </c>
      <c r="H111" s="151" t="s">
        <v>1554</v>
      </c>
    </row>
    <row r="112" ht="24.0" customHeight="1">
      <c r="A112" s="151"/>
      <c r="B112" s="151" t="s">
        <v>1660</v>
      </c>
      <c r="C112" s="151">
        <v>1.0</v>
      </c>
      <c r="D112" s="152">
        <v>6.3</v>
      </c>
      <c r="E112" s="157">
        <v>1.0</v>
      </c>
      <c r="F112" s="151"/>
      <c r="G112" s="155">
        <v>45562.0</v>
      </c>
      <c r="H112" s="151" t="s">
        <v>1554</v>
      </c>
    </row>
    <row r="113" ht="24.0" customHeight="1">
      <c r="A113" s="161" t="s">
        <v>1562</v>
      </c>
      <c r="B113" s="3"/>
      <c r="C113" s="151"/>
      <c r="D113" s="152">
        <f t="shared" ref="D113:E113" si="3">SUM(D105:D111)</f>
        <v>264.26</v>
      </c>
      <c r="E113" s="157">
        <f t="shared" si="3"/>
        <v>21</v>
      </c>
      <c r="F113" s="151"/>
      <c r="G113" s="155"/>
      <c r="H113" s="151"/>
    </row>
    <row r="114" ht="24.0" customHeight="1">
      <c r="A114" s="110"/>
      <c r="B114" s="141"/>
      <c r="C114" s="141"/>
      <c r="D114" s="142"/>
      <c r="E114" s="143"/>
      <c r="F114" s="141"/>
      <c r="G114" s="113"/>
      <c r="H114" s="144"/>
    </row>
    <row r="115" ht="24.0" customHeight="1">
      <c r="A115" s="110"/>
      <c r="B115" s="141"/>
      <c r="C115" s="141"/>
      <c r="D115" s="142"/>
      <c r="E115" s="143"/>
      <c r="F115" s="141"/>
      <c r="G115" s="113"/>
      <c r="H115" s="144"/>
    </row>
    <row r="116" ht="24.0" customHeight="1">
      <c r="A116" s="145" t="s">
        <v>1662</v>
      </c>
      <c r="B116" s="2"/>
      <c r="C116" s="2"/>
      <c r="D116" s="2"/>
      <c r="E116" s="2"/>
      <c r="F116" s="2"/>
      <c r="G116" s="2"/>
      <c r="H116" s="3"/>
    </row>
    <row r="117" ht="24.0" customHeight="1">
      <c r="A117" s="146" t="s">
        <v>1435</v>
      </c>
      <c r="B117" s="147" t="s">
        <v>1436</v>
      </c>
      <c r="C117" s="146" t="s">
        <v>1437</v>
      </c>
      <c r="D117" s="148" t="s">
        <v>1438</v>
      </c>
      <c r="E117" s="149" t="s">
        <v>1564</v>
      </c>
      <c r="F117" s="146" t="s">
        <v>1440</v>
      </c>
      <c r="G117" s="150" t="s">
        <v>1441</v>
      </c>
      <c r="H117" s="146" t="s">
        <v>1565</v>
      </c>
    </row>
    <row r="118" ht="24.0" customHeight="1">
      <c r="A118" s="151">
        <v>1.0</v>
      </c>
      <c r="B118" s="151" t="s">
        <v>1443</v>
      </c>
      <c r="C118" s="151">
        <v>1.0</v>
      </c>
      <c r="D118" s="152">
        <v>144.0</v>
      </c>
      <c r="E118" s="153"/>
      <c r="F118" s="154"/>
      <c r="G118" s="155"/>
      <c r="H118" s="156"/>
    </row>
    <row r="119" ht="24.0" customHeight="1">
      <c r="A119" s="151">
        <v>2.0</v>
      </c>
      <c r="B119" s="151" t="s">
        <v>1444</v>
      </c>
      <c r="C119" s="151">
        <v>2.0</v>
      </c>
      <c r="D119" s="152">
        <v>2.6</v>
      </c>
      <c r="E119" s="153"/>
      <c r="F119" s="154"/>
      <c r="G119" s="155">
        <v>44574.0</v>
      </c>
      <c r="H119" s="156"/>
    </row>
    <row r="120" ht="24.0" customHeight="1">
      <c r="A120" s="151">
        <v>3.0</v>
      </c>
      <c r="B120" s="162" t="s">
        <v>1655</v>
      </c>
      <c r="C120" s="162"/>
      <c r="D120" s="163"/>
      <c r="E120" s="163"/>
      <c r="F120" s="162" t="s">
        <v>1656</v>
      </c>
      <c r="G120" s="164">
        <v>44892.0</v>
      </c>
      <c r="H120" s="162" t="s">
        <v>1663</v>
      </c>
    </row>
    <row r="121" ht="24.0" customHeight="1">
      <c r="A121" s="151">
        <v>4.0</v>
      </c>
      <c r="B121" s="165" t="s">
        <v>1655</v>
      </c>
      <c r="C121" s="162"/>
      <c r="D121" s="163"/>
      <c r="E121" s="163"/>
      <c r="F121" s="162" t="s">
        <v>1656</v>
      </c>
      <c r="G121" s="164">
        <v>44892.0</v>
      </c>
      <c r="H121" s="162" t="s">
        <v>1663</v>
      </c>
    </row>
    <row r="122" ht="24.0" customHeight="1">
      <c r="A122" s="151">
        <v>5.0</v>
      </c>
      <c r="B122" s="166" t="s">
        <v>1664</v>
      </c>
      <c r="C122" s="151">
        <v>1.0</v>
      </c>
      <c r="D122" s="158">
        <v>238.0</v>
      </c>
      <c r="E122" s="157">
        <v>32.0</v>
      </c>
      <c r="F122" s="151" t="s">
        <v>1665</v>
      </c>
      <c r="G122" s="155">
        <v>44892.0</v>
      </c>
      <c r="H122" s="156"/>
    </row>
    <row r="123" ht="24.0" customHeight="1">
      <c r="A123" s="151">
        <v>6.0</v>
      </c>
      <c r="B123" s="162" t="s">
        <v>1658</v>
      </c>
      <c r="C123" s="162"/>
      <c r="D123" s="163"/>
      <c r="E123" s="167"/>
      <c r="F123" s="162" t="s">
        <v>1659</v>
      </c>
      <c r="G123" s="164">
        <v>44896.0</v>
      </c>
      <c r="H123" s="162" t="s">
        <v>1663</v>
      </c>
    </row>
    <row r="124" ht="24.0" customHeight="1">
      <c r="A124" s="151">
        <v>7.0</v>
      </c>
      <c r="B124" s="151" t="s">
        <v>1666</v>
      </c>
      <c r="C124" s="151">
        <v>1.0</v>
      </c>
      <c r="D124" s="152">
        <v>21.0</v>
      </c>
      <c r="E124" s="157">
        <v>2.0</v>
      </c>
      <c r="F124" s="151" t="s">
        <v>1667</v>
      </c>
      <c r="G124" s="155">
        <v>45644.0</v>
      </c>
      <c r="H124" s="151" t="s">
        <v>158</v>
      </c>
    </row>
    <row r="125" ht="24.0" customHeight="1">
      <c r="A125" s="161" t="s">
        <v>1562</v>
      </c>
      <c r="B125" s="3"/>
      <c r="C125" s="151">
        <f t="shared" ref="C125:E125" si="4">SUM(C118:C124)</f>
        <v>5</v>
      </c>
      <c r="D125" s="152">
        <f t="shared" si="4"/>
        <v>405.6</v>
      </c>
      <c r="E125" s="157">
        <f t="shared" si="4"/>
        <v>34</v>
      </c>
      <c r="F125" s="151"/>
      <c r="G125" s="155"/>
      <c r="H125" s="151"/>
    </row>
    <row r="126" ht="24.0" customHeight="1">
      <c r="A126" s="110"/>
      <c r="B126" s="141"/>
      <c r="C126" s="141"/>
      <c r="D126" s="142"/>
      <c r="E126" s="143"/>
      <c r="F126" s="141"/>
      <c r="G126" s="113"/>
      <c r="H126" s="144"/>
    </row>
    <row r="127" ht="24.0" customHeight="1">
      <c r="A127" s="110"/>
      <c r="B127" s="141"/>
      <c r="C127" s="141"/>
      <c r="D127" s="142"/>
      <c r="E127" s="143"/>
      <c r="F127" s="141"/>
      <c r="G127" s="113"/>
      <c r="H127" s="144"/>
    </row>
    <row r="128" ht="24.0" customHeight="1">
      <c r="A128" s="145" t="s">
        <v>1668</v>
      </c>
      <c r="B128" s="2"/>
      <c r="C128" s="2"/>
      <c r="D128" s="2"/>
      <c r="E128" s="2"/>
      <c r="F128" s="2"/>
      <c r="G128" s="2"/>
      <c r="H128" s="3"/>
    </row>
    <row r="129" ht="24.0" customHeight="1">
      <c r="A129" s="146" t="s">
        <v>1435</v>
      </c>
      <c r="B129" s="147" t="s">
        <v>1436</v>
      </c>
      <c r="C129" s="146" t="s">
        <v>1437</v>
      </c>
      <c r="D129" s="148" t="s">
        <v>1438</v>
      </c>
      <c r="E129" s="149" t="s">
        <v>1564</v>
      </c>
      <c r="F129" s="146" t="s">
        <v>1440</v>
      </c>
      <c r="G129" s="150" t="s">
        <v>1441</v>
      </c>
      <c r="H129" s="147"/>
    </row>
    <row r="130" ht="24.0" customHeight="1">
      <c r="A130" s="151">
        <v>1.0</v>
      </c>
      <c r="B130" s="151" t="s">
        <v>1443</v>
      </c>
      <c r="C130" s="151">
        <v>1.0</v>
      </c>
      <c r="D130" s="152">
        <v>144.0</v>
      </c>
      <c r="E130" s="157"/>
      <c r="F130" s="168"/>
      <c r="G130" s="155"/>
      <c r="H130" s="168"/>
    </row>
    <row r="131" ht="24.0" customHeight="1">
      <c r="A131" s="151">
        <v>2.0</v>
      </c>
      <c r="B131" s="151" t="s">
        <v>1444</v>
      </c>
      <c r="C131" s="151">
        <v>2.0</v>
      </c>
      <c r="D131" s="152">
        <v>2.6</v>
      </c>
      <c r="E131" s="157"/>
      <c r="F131" s="168"/>
      <c r="G131" s="155"/>
      <c r="H131" s="168"/>
    </row>
    <row r="132" ht="24.0" customHeight="1">
      <c r="A132" s="151">
        <v>3.0</v>
      </c>
      <c r="B132" s="151" t="s">
        <v>1445</v>
      </c>
      <c r="C132" s="151">
        <v>1.0</v>
      </c>
      <c r="D132" s="152">
        <v>5.0</v>
      </c>
      <c r="E132" s="157">
        <v>1.0</v>
      </c>
      <c r="F132" s="168"/>
      <c r="G132" s="155">
        <v>44595.0</v>
      </c>
      <c r="H132" s="168"/>
    </row>
    <row r="133" ht="24.0" customHeight="1">
      <c r="A133" s="151">
        <v>4.0</v>
      </c>
      <c r="B133" s="162" t="s">
        <v>1669</v>
      </c>
      <c r="C133" s="162"/>
      <c r="D133" s="163"/>
      <c r="E133" s="167"/>
      <c r="F133" s="169"/>
      <c r="G133" s="164">
        <v>44595.0</v>
      </c>
      <c r="H133" s="162" t="s">
        <v>1670</v>
      </c>
    </row>
    <row r="134" ht="24.0" customHeight="1">
      <c r="A134" s="151">
        <v>5.0</v>
      </c>
      <c r="B134" s="151" t="s">
        <v>1671</v>
      </c>
      <c r="C134" s="151">
        <v>2.0</v>
      </c>
      <c r="D134" s="152">
        <v>26.0</v>
      </c>
      <c r="E134" s="157">
        <v>10.0</v>
      </c>
      <c r="F134" s="154"/>
      <c r="G134" s="155">
        <v>44595.0</v>
      </c>
      <c r="H134" s="156"/>
    </row>
    <row r="135" ht="24.0" customHeight="1">
      <c r="A135" s="151">
        <v>6.0</v>
      </c>
      <c r="B135" s="151" t="s">
        <v>1672</v>
      </c>
      <c r="C135" s="151">
        <v>1.0</v>
      </c>
      <c r="D135" s="152">
        <v>16.0</v>
      </c>
      <c r="E135" s="157">
        <v>1.0</v>
      </c>
      <c r="F135" s="154"/>
      <c r="G135" s="155">
        <v>44596.0</v>
      </c>
      <c r="H135" s="151" t="s">
        <v>1568</v>
      </c>
    </row>
    <row r="136" ht="24.0" customHeight="1">
      <c r="A136" s="151">
        <v>7.0</v>
      </c>
      <c r="B136" s="151" t="s">
        <v>1673</v>
      </c>
      <c r="C136" s="151">
        <v>4.0</v>
      </c>
      <c r="D136" s="152">
        <f>C136*17.8</f>
        <v>71.2</v>
      </c>
      <c r="E136" s="157">
        <v>4.0</v>
      </c>
      <c r="F136" s="154"/>
      <c r="G136" s="155">
        <v>44607.0</v>
      </c>
      <c r="H136" s="156"/>
    </row>
    <row r="137" ht="24.0" customHeight="1">
      <c r="A137" s="151">
        <v>8.0</v>
      </c>
      <c r="B137" s="151" t="s">
        <v>1674</v>
      </c>
      <c r="C137" s="151">
        <v>1.0</v>
      </c>
      <c r="D137" s="152">
        <v>21.0</v>
      </c>
      <c r="E137" s="157">
        <v>2.0</v>
      </c>
      <c r="F137" s="151" t="s">
        <v>1675</v>
      </c>
      <c r="G137" s="151" t="s">
        <v>1676</v>
      </c>
      <c r="H137" s="156">
        <v>45918.0</v>
      </c>
    </row>
    <row r="138" ht="24.0" customHeight="1">
      <c r="A138" s="151">
        <v>9.0</v>
      </c>
      <c r="B138" s="151" t="s">
        <v>1677</v>
      </c>
      <c r="C138" s="151">
        <v>4.0</v>
      </c>
      <c r="D138" s="152" t="s">
        <v>1678</v>
      </c>
      <c r="E138" s="157">
        <v>4.0</v>
      </c>
      <c r="F138" s="154"/>
      <c r="G138" s="155"/>
    </row>
    <row r="139" ht="24.0" customHeight="1">
      <c r="A139" s="170">
        <v>10.0</v>
      </c>
      <c r="B139" s="151" t="s">
        <v>1679</v>
      </c>
      <c r="C139" s="151">
        <v>1.0</v>
      </c>
      <c r="D139" s="152"/>
      <c r="E139" s="157">
        <v>1.0</v>
      </c>
      <c r="F139" s="154"/>
      <c r="G139" s="155"/>
      <c r="H139" s="156"/>
    </row>
    <row r="140" ht="24.0" customHeight="1">
      <c r="A140" s="170">
        <v>11.0</v>
      </c>
      <c r="B140" s="171" t="s">
        <v>1680</v>
      </c>
      <c r="C140" s="171">
        <v>1.0</v>
      </c>
      <c r="D140" s="172">
        <v>4.6</v>
      </c>
      <c r="E140" s="173">
        <v>1.0</v>
      </c>
      <c r="F140" s="174" t="s">
        <v>1681</v>
      </c>
      <c r="G140" s="35" t="s">
        <v>1682</v>
      </c>
      <c r="H140" s="175">
        <v>46092.0</v>
      </c>
    </row>
    <row r="141" ht="24.0" customHeight="1">
      <c r="A141" s="161" t="s">
        <v>1562</v>
      </c>
      <c r="B141" s="3"/>
      <c r="C141" s="151">
        <f t="shared" ref="C141:E141" si="5">sum(C128:C140)</f>
        <v>18</v>
      </c>
      <c r="D141" s="152">
        <f t="shared" si="5"/>
        <v>290.4</v>
      </c>
      <c r="E141" s="157">
        <f t="shared" si="5"/>
        <v>24</v>
      </c>
      <c r="F141" s="151"/>
      <c r="G141" s="155"/>
      <c r="H141" s="151"/>
    </row>
    <row r="142" ht="24.0" customHeight="1">
      <c r="A142" s="110"/>
      <c r="B142" s="110"/>
      <c r="C142" s="110"/>
      <c r="D142" s="176"/>
      <c r="E142" s="143"/>
      <c r="F142" s="141"/>
      <c r="G142" s="113"/>
      <c r="H142" s="144"/>
    </row>
    <row r="143" ht="24.0" customHeight="1">
      <c r="A143" s="110"/>
      <c r="B143" s="110"/>
      <c r="C143" s="110"/>
      <c r="D143" s="176"/>
      <c r="E143" s="143"/>
      <c r="F143" s="141"/>
      <c r="G143" s="113"/>
      <c r="H143" s="144"/>
    </row>
    <row r="144" ht="24.0" customHeight="1">
      <c r="A144" s="177" t="s">
        <v>1683</v>
      </c>
      <c r="B144" s="2"/>
      <c r="C144" s="2"/>
      <c r="D144" s="2"/>
      <c r="E144" s="2"/>
      <c r="F144" s="2"/>
      <c r="G144" s="2"/>
      <c r="H144" s="3"/>
    </row>
    <row r="145" ht="24.0" customHeight="1">
      <c r="A145" s="178" t="s">
        <v>1435</v>
      </c>
      <c r="B145" s="179" t="s">
        <v>1436</v>
      </c>
      <c r="C145" s="178" t="s">
        <v>1437</v>
      </c>
      <c r="D145" s="180" t="s">
        <v>1684</v>
      </c>
      <c r="E145" s="181" t="s">
        <v>1439</v>
      </c>
      <c r="F145" s="178" t="s">
        <v>1440</v>
      </c>
      <c r="G145" s="182" t="s">
        <v>1441</v>
      </c>
      <c r="H145" s="178" t="s">
        <v>1565</v>
      </c>
    </row>
    <row r="146" ht="24.0" customHeight="1">
      <c r="A146" s="151">
        <v>1.0</v>
      </c>
      <c r="B146" s="151" t="s">
        <v>1443</v>
      </c>
      <c r="C146" s="151">
        <v>1.0</v>
      </c>
      <c r="D146" s="152">
        <v>144.0</v>
      </c>
      <c r="E146" s="153"/>
      <c r="F146" s="154"/>
      <c r="G146" s="155"/>
      <c r="H146" s="151"/>
    </row>
    <row r="147" ht="24.0" customHeight="1">
      <c r="A147" s="151">
        <v>2.0</v>
      </c>
      <c r="B147" s="151" t="s">
        <v>1444</v>
      </c>
      <c r="C147" s="151">
        <v>2.0</v>
      </c>
      <c r="D147" s="152">
        <v>2.6</v>
      </c>
      <c r="E147" s="153"/>
      <c r="F147" s="154"/>
      <c r="G147" s="155">
        <v>44574.0</v>
      </c>
      <c r="H147" s="151"/>
    </row>
    <row r="148" ht="24.0" customHeight="1">
      <c r="A148" s="162">
        <v>3.0</v>
      </c>
      <c r="B148" s="162" t="s">
        <v>1445</v>
      </c>
      <c r="C148" s="162"/>
      <c r="D148" s="163"/>
      <c r="E148" s="167"/>
      <c r="F148" s="169"/>
      <c r="G148" s="164">
        <v>44596.0</v>
      </c>
      <c r="H148" s="162" t="s">
        <v>1685</v>
      </c>
    </row>
    <row r="149" ht="24.0" customHeight="1">
      <c r="A149" s="162">
        <v>4.0</v>
      </c>
      <c r="B149" s="162" t="s">
        <v>1686</v>
      </c>
      <c r="C149" s="162"/>
      <c r="D149" s="163"/>
      <c r="E149" s="183"/>
      <c r="F149" s="169"/>
      <c r="G149" s="164">
        <v>44609.0</v>
      </c>
      <c r="H149" s="162" t="s">
        <v>1687</v>
      </c>
    </row>
    <row r="150" ht="24.0" customHeight="1">
      <c r="A150" s="162">
        <v>5.0</v>
      </c>
      <c r="B150" s="162" t="s">
        <v>1688</v>
      </c>
      <c r="C150" s="162"/>
      <c r="D150" s="163"/>
      <c r="E150" s="167"/>
      <c r="F150" s="169"/>
      <c r="G150" s="184">
        <v>44594.0</v>
      </c>
      <c r="H150" s="162" t="s">
        <v>1689</v>
      </c>
    </row>
    <row r="151" ht="24.0" customHeight="1">
      <c r="A151" s="162">
        <v>6.0</v>
      </c>
      <c r="B151" s="162" t="s">
        <v>1690</v>
      </c>
      <c r="C151" s="162"/>
      <c r="D151" s="163"/>
      <c r="E151" s="167"/>
      <c r="F151" s="169"/>
      <c r="G151" s="185"/>
      <c r="H151" s="162" t="s">
        <v>1689</v>
      </c>
    </row>
    <row r="152" ht="24.0" customHeight="1">
      <c r="A152" s="162">
        <v>7.0</v>
      </c>
      <c r="B152" s="162" t="s">
        <v>1448</v>
      </c>
      <c r="C152" s="162"/>
      <c r="D152" s="163"/>
      <c r="E152" s="183"/>
      <c r="F152" s="169"/>
      <c r="G152" s="184">
        <v>44602.0</v>
      </c>
      <c r="H152" s="162" t="s">
        <v>1687</v>
      </c>
    </row>
    <row r="153" ht="24.0" customHeight="1">
      <c r="A153" s="162">
        <v>8.0</v>
      </c>
      <c r="B153" s="162" t="s">
        <v>1691</v>
      </c>
      <c r="C153" s="162"/>
      <c r="D153" s="163"/>
      <c r="E153" s="167"/>
      <c r="F153" s="169"/>
      <c r="G153" s="186"/>
      <c r="H153" s="162" t="s">
        <v>1692</v>
      </c>
    </row>
    <row r="154" ht="24.0" customHeight="1">
      <c r="A154" s="162">
        <v>9.0</v>
      </c>
      <c r="B154" s="162" t="s">
        <v>1693</v>
      </c>
      <c r="C154" s="162"/>
      <c r="D154" s="163"/>
      <c r="E154" s="167"/>
      <c r="F154" s="169"/>
      <c r="G154" s="186"/>
      <c r="H154" s="162" t="s">
        <v>1694</v>
      </c>
    </row>
    <row r="155" ht="24.0" customHeight="1">
      <c r="A155" s="162">
        <v>10.0</v>
      </c>
      <c r="B155" s="162" t="s">
        <v>1695</v>
      </c>
      <c r="C155" s="162"/>
      <c r="D155" s="163"/>
      <c r="E155" s="167"/>
      <c r="F155" s="169"/>
      <c r="G155" s="185"/>
      <c r="H155" s="162" t="s">
        <v>1692</v>
      </c>
    </row>
    <row r="156" ht="34.5" customHeight="1">
      <c r="A156" s="162">
        <v>11.0</v>
      </c>
      <c r="B156" s="162" t="s">
        <v>1695</v>
      </c>
      <c r="C156" s="162"/>
      <c r="D156" s="163"/>
      <c r="E156" s="167"/>
      <c r="F156" s="169"/>
      <c r="G156" s="164">
        <v>44608.0</v>
      </c>
      <c r="H156" s="162" t="s">
        <v>1692</v>
      </c>
    </row>
    <row r="157" ht="34.5" customHeight="1">
      <c r="A157" s="151">
        <v>12.0</v>
      </c>
      <c r="B157" s="151" t="s">
        <v>1696</v>
      </c>
      <c r="C157" s="151">
        <v>1.0</v>
      </c>
      <c r="D157" s="152">
        <v>14.5</v>
      </c>
      <c r="E157" s="157">
        <v>1.0</v>
      </c>
      <c r="F157" s="154"/>
      <c r="G157" s="155">
        <v>45240.0</v>
      </c>
      <c r="H157" s="151" t="s">
        <v>1449</v>
      </c>
    </row>
    <row r="158" ht="34.5" customHeight="1">
      <c r="A158" s="162">
        <v>13.0</v>
      </c>
      <c r="B158" s="162" t="s">
        <v>1697</v>
      </c>
      <c r="C158" s="162">
        <v>1.0</v>
      </c>
      <c r="D158" s="163">
        <v>11.0</v>
      </c>
      <c r="E158" s="167">
        <v>1.0</v>
      </c>
      <c r="F158" s="169"/>
      <c r="G158" s="164">
        <v>45240.0</v>
      </c>
      <c r="H158" s="162" t="s">
        <v>1698</v>
      </c>
    </row>
    <row r="159" ht="34.5" customHeight="1">
      <c r="A159" s="162">
        <v>14.0</v>
      </c>
      <c r="B159" s="162" t="s">
        <v>1696</v>
      </c>
      <c r="C159" s="162">
        <v>1.0</v>
      </c>
      <c r="D159" s="163">
        <v>14.5</v>
      </c>
      <c r="E159" s="167">
        <v>1.0</v>
      </c>
      <c r="F159" s="169"/>
      <c r="G159" s="164">
        <v>45505.0</v>
      </c>
      <c r="H159" s="162" t="s">
        <v>1699</v>
      </c>
    </row>
    <row r="160" ht="24.0" customHeight="1">
      <c r="A160" s="162">
        <v>15.0</v>
      </c>
      <c r="B160" s="162" t="s">
        <v>1696</v>
      </c>
      <c r="C160" s="162">
        <v>1.0</v>
      </c>
      <c r="D160" s="163">
        <v>14.5</v>
      </c>
      <c r="E160" s="167">
        <v>1.0</v>
      </c>
      <c r="F160" s="169"/>
      <c r="G160" s="164">
        <v>45505.0</v>
      </c>
      <c r="H160" s="162" t="s">
        <v>1700</v>
      </c>
    </row>
    <row r="161" ht="24.0" customHeight="1">
      <c r="A161" s="151">
        <v>16.0</v>
      </c>
      <c r="B161" s="151" t="s">
        <v>1696</v>
      </c>
      <c r="C161" s="151">
        <v>1.0</v>
      </c>
      <c r="D161" s="152">
        <v>14.5</v>
      </c>
      <c r="E161" s="157">
        <v>1.0</v>
      </c>
      <c r="F161" s="151" t="s">
        <v>1701</v>
      </c>
      <c r="G161" s="155">
        <v>45512.0</v>
      </c>
      <c r="H161" s="151" t="s">
        <v>1446</v>
      </c>
    </row>
    <row r="162" ht="24.0" customHeight="1">
      <c r="A162" s="151">
        <v>17.0</v>
      </c>
      <c r="B162" s="151" t="s">
        <v>1696</v>
      </c>
      <c r="C162" s="151">
        <v>1.0</v>
      </c>
      <c r="D162" s="152">
        <v>14.5</v>
      </c>
      <c r="E162" s="157">
        <v>1.0</v>
      </c>
      <c r="F162" s="151" t="s">
        <v>1702</v>
      </c>
      <c r="G162" s="155">
        <v>45512.0</v>
      </c>
      <c r="H162" s="151" t="s">
        <v>1446</v>
      </c>
    </row>
    <row r="163" ht="24.0" customHeight="1">
      <c r="A163" s="162">
        <v>18.0</v>
      </c>
      <c r="B163" s="162" t="s">
        <v>1703</v>
      </c>
      <c r="C163" s="162"/>
      <c r="D163" s="163"/>
      <c r="E163" s="167"/>
      <c r="F163" s="162">
        <v>1.02467791758E11</v>
      </c>
      <c r="G163" s="164">
        <v>45527.0</v>
      </c>
      <c r="H163" s="162" t="s">
        <v>1704</v>
      </c>
    </row>
    <row r="164" ht="24.0" customHeight="1">
      <c r="A164" s="162">
        <v>19.0</v>
      </c>
      <c r="B164" s="162" t="s">
        <v>1703</v>
      </c>
      <c r="C164" s="162"/>
      <c r="D164" s="163"/>
      <c r="E164" s="167"/>
      <c r="F164" s="162">
        <v>1.02467791789E11</v>
      </c>
      <c r="G164" s="164">
        <v>45527.0</v>
      </c>
      <c r="H164" s="162" t="s">
        <v>1705</v>
      </c>
    </row>
    <row r="165" ht="24.0" customHeight="1">
      <c r="A165" s="151">
        <v>20.0</v>
      </c>
      <c r="B165" s="187" t="s">
        <v>1706</v>
      </c>
      <c r="C165" s="187">
        <v>1.0</v>
      </c>
      <c r="D165" s="188">
        <v>41.4</v>
      </c>
      <c r="E165" s="189">
        <v>2.0</v>
      </c>
      <c r="F165" s="187" t="s">
        <v>1707</v>
      </c>
      <c r="G165" s="187" t="s">
        <v>1554</v>
      </c>
      <c r="H165" s="190">
        <v>45866.0</v>
      </c>
    </row>
    <row r="166" ht="24.0" customHeight="1">
      <c r="A166" s="161" t="s">
        <v>1562</v>
      </c>
      <c r="B166" s="3"/>
      <c r="C166" s="151">
        <f>sum(C146:C159)</f>
        <v>6</v>
      </c>
      <c r="D166" s="152">
        <f t="shared" ref="D166:E166" si="6">sum(D146:D164)</f>
        <v>230.1</v>
      </c>
      <c r="E166" s="157">
        <f t="shared" si="6"/>
        <v>6</v>
      </c>
      <c r="F166" s="151"/>
      <c r="G166" s="155"/>
      <c r="H166" s="151"/>
    </row>
    <row r="167" ht="24.0" customHeight="1">
      <c r="A167" s="110"/>
      <c r="B167" s="110"/>
      <c r="C167" s="110"/>
      <c r="D167" s="176"/>
      <c r="E167" s="143"/>
      <c r="F167" s="141"/>
      <c r="G167" s="113"/>
      <c r="H167" s="144"/>
    </row>
    <row r="168" ht="24.0" customHeight="1">
      <c r="A168" s="110"/>
      <c r="B168" s="110"/>
      <c r="C168" s="110"/>
      <c r="D168" s="176"/>
      <c r="E168" s="143"/>
      <c r="F168" s="141"/>
      <c r="G168" s="113"/>
      <c r="H168" s="144"/>
    </row>
    <row r="169" ht="24.0" customHeight="1">
      <c r="A169" s="177" t="s">
        <v>1708</v>
      </c>
      <c r="B169" s="2"/>
      <c r="C169" s="2"/>
      <c r="D169" s="2"/>
      <c r="E169" s="2"/>
      <c r="F169" s="2"/>
      <c r="G169" s="2"/>
      <c r="H169" s="3"/>
    </row>
    <row r="170" ht="24.0" customHeight="1">
      <c r="A170" s="178" t="s">
        <v>1435</v>
      </c>
      <c r="B170" s="179" t="s">
        <v>1436</v>
      </c>
      <c r="C170" s="178" t="s">
        <v>1437</v>
      </c>
      <c r="D170" s="191" t="s">
        <v>1438</v>
      </c>
      <c r="E170" s="192" t="s">
        <v>1564</v>
      </c>
      <c r="F170" s="178" t="s">
        <v>1440</v>
      </c>
      <c r="G170" s="182" t="s">
        <v>1441</v>
      </c>
      <c r="H170" s="179"/>
    </row>
    <row r="171" ht="24.0" customHeight="1">
      <c r="A171" s="151">
        <v>1.0</v>
      </c>
      <c r="B171" s="151" t="s">
        <v>1443</v>
      </c>
      <c r="C171" s="151">
        <v>1.0</v>
      </c>
      <c r="D171" s="152">
        <v>144.0</v>
      </c>
      <c r="E171" s="153"/>
      <c r="F171" s="154"/>
      <c r="G171" s="155"/>
      <c r="H171" s="151"/>
    </row>
    <row r="172" ht="24.0" customHeight="1">
      <c r="A172" s="151">
        <v>2.0</v>
      </c>
      <c r="B172" s="151" t="s">
        <v>1444</v>
      </c>
      <c r="C172" s="151">
        <v>2.0</v>
      </c>
      <c r="D172" s="152">
        <v>2.6</v>
      </c>
      <c r="E172" s="153"/>
      <c r="F172" s="154"/>
      <c r="G172" s="155">
        <v>44574.0</v>
      </c>
      <c r="H172" s="151"/>
    </row>
    <row r="173" ht="24.0" customHeight="1">
      <c r="A173" s="151">
        <v>3.0</v>
      </c>
      <c r="B173" s="151" t="s">
        <v>1445</v>
      </c>
      <c r="C173" s="151">
        <v>1.0</v>
      </c>
      <c r="D173" s="152">
        <v>5.0</v>
      </c>
      <c r="E173" s="157">
        <v>1.0</v>
      </c>
      <c r="F173" s="154"/>
      <c r="G173" s="155">
        <v>44596.0</v>
      </c>
      <c r="H173" s="151"/>
    </row>
    <row r="174" ht="24.0" customHeight="1">
      <c r="A174" s="151">
        <v>4.0</v>
      </c>
      <c r="B174" s="162" t="s">
        <v>1693</v>
      </c>
      <c r="C174" s="162"/>
      <c r="D174" s="163"/>
      <c r="E174" s="167"/>
      <c r="F174" s="162" t="s">
        <v>1709</v>
      </c>
      <c r="G174" s="164">
        <v>44595.0</v>
      </c>
      <c r="H174" s="162" t="s">
        <v>1710</v>
      </c>
    </row>
    <row r="175" ht="24.0" customHeight="1">
      <c r="A175" s="162">
        <v>5.0</v>
      </c>
      <c r="B175" s="162" t="s">
        <v>1448</v>
      </c>
      <c r="C175" s="162"/>
      <c r="D175" s="163"/>
      <c r="E175" s="167"/>
      <c r="F175" s="193"/>
      <c r="G175" s="164">
        <v>44596.0</v>
      </c>
      <c r="H175" s="162" t="s">
        <v>300</v>
      </c>
    </row>
    <row r="176" ht="24.0" customHeight="1">
      <c r="A176" s="162">
        <v>6.0</v>
      </c>
      <c r="B176" s="162" t="s">
        <v>1711</v>
      </c>
      <c r="C176" s="162"/>
      <c r="D176" s="163"/>
      <c r="E176" s="167"/>
      <c r="F176" s="162" t="s">
        <v>1712</v>
      </c>
      <c r="G176" s="164">
        <v>44613.0</v>
      </c>
      <c r="H176" s="162" t="s">
        <v>300</v>
      </c>
    </row>
    <row r="177" ht="24.0" customHeight="1">
      <c r="A177" s="162">
        <v>7.0</v>
      </c>
      <c r="B177" s="162" t="s">
        <v>1697</v>
      </c>
      <c r="C177" s="162"/>
      <c r="D177" s="163"/>
      <c r="E177" s="167"/>
      <c r="F177" s="162"/>
      <c r="G177" s="164">
        <v>44636.0</v>
      </c>
      <c r="H177" s="162" t="s">
        <v>300</v>
      </c>
    </row>
    <row r="178" ht="24.0" customHeight="1">
      <c r="A178" s="162">
        <v>8.0</v>
      </c>
      <c r="B178" s="162" t="s">
        <v>1697</v>
      </c>
      <c r="C178" s="194"/>
      <c r="D178" s="163"/>
      <c r="E178" s="183"/>
      <c r="F178" s="194"/>
      <c r="G178" s="195">
        <v>44636.0</v>
      </c>
      <c r="H178" s="162" t="s">
        <v>300</v>
      </c>
    </row>
    <row r="179" ht="24.0" customHeight="1">
      <c r="A179" s="151">
        <v>9.0</v>
      </c>
      <c r="B179" s="162" t="s">
        <v>1713</v>
      </c>
      <c r="C179" s="162"/>
      <c r="D179" s="163"/>
      <c r="E179" s="167"/>
      <c r="F179" s="162"/>
      <c r="G179" s="164">
        <v>44649.0</v>
      </c>
      <c r="H179" s="162" t="s">
        <v>1714</v>
      </c>
    </row>
    <row r="180" ht="24.0" customHeight="1">
      <c r="A180" s="160">
        <v>10.0</v>
      </c>
      <c r="B180" s="162" t="s">
        <v>1715</v>
      </c>
      <c r="C180" s="162"/>
      <c r="D180" s="163"/>
      <c r="E180" s="167"/>
      <c r="F180" s="162"/>
      <c r="G180" s="164">
        <v>44652.0</v>
      </c>
      <c r="H180" s="162" t="s">
        <v>1716</v>
      </c>
    </row>
    <row r="181" ht="24.0" customHeight="1">
      <c r="A181" s="151">
        <v>11.0</v>
      </c>
      <c r="B181" s="151" t="s">
        <v>1717</v>
      </c>
      <c r="C181" s="151">
        <v>1.0</v>
      </c>
      <c r="D181" s="152">
        <v>1.2</v>
      </c>
      <c r="E181" s="157">
        <v>1.0</v>
      </c>
      <c r="F181" s="151" t="s">
        <v>1718</v>
      </c>
      <c r="G181" s="155">
        <v>44678.0</v>
      </c>
      <c r="H181" s="151" t="s">
        <v>1719</v>
      </c>
    </row>
    <row r="182" ht="24.0" customHeight="1">
      <c r="A182" s="162">
        <v>12.0</v>
      </c>
      <c r="B182" s="162" t="s">
        <v>1720</v>
      </c>
      <c r="C182" s="162"/>
      <c r="D182" s="163"/>
      <c r="E182" s="167"/>
      <c r="F182" s="162"/>
      <c r="G182" s="164">
        <v>44733.0</v>
      </c>
      <c r="H182" s="162" t="s">
        <v>300</v>
      </c>
    </row>
    <row r="183" ht="24.0" customHeight="1">
      <c r="A183" s="162">
        <v>13.0</v>
      </c>
      <c r="B183" s="162" t="s">
        <v>1721</v>
      </c>
      <c r="C183" s="162"/>
      <c r="D183" s="163"/>
      <c r="E183" s="167"/>
      <c r="F183" s="162" t="s">
        <v>1722</v>
      </c>
      <c r="G183" s="164">
        <v>44754.0</v>
      </c>
      <c r="H183" s="162" t="s">
        <v>300</v>
      </c>
    </row>
    <row r="184" ht="24.0" customHeight="1">
      <c r="A184" s="162">
        <v>14.0</v>
      </c>
      <c r="B184" s="162" t="s">
        <v>1526</v>
      </c>
      <c r="C184" s="162"/>
      <c r="D184" s="163"/>
      <c r="E184" s="167"/>
      <c r="F184" s="162" t="s">
        <v>1723</v>
      </c>
      <c r="G184" s="196">
        <v>44762.0</v>
      </c>
      <c r="H184" s="162" t="s">
        <v>300</v>
      </c>
    </row>
    <row r="185" ht="24.0" customHeight="1">
      <c r="A185" s="162">
        <v>15.0</v>
      </c>
      <c r="B185" s="162" t="s">
        <v>1526</v>
      </c>
      <c r="C185" s="162"/>
      <c r="D185" s="163"/>
      <c r="E185" s="167"/>
      <c r="F185" s="162" t="s">
        <v>1724</v>
      </c>
      <c r="G185" s="196">
        <v>44762.0</v>
      </c>
      <c r="H185" s="162" t="s">
        <v>300</v>
      </c>
    </row>
    <row r="186" ht="24.0" customHeight="1">
      <c r="A186" s="162">
        <v>16.0</v>
      </c>
      <c r="B186" s="162" t="s">
        <v>1697</v>
      </c>
      <c r="C186" s="162"/>
      <c r="D186" s="163"/>
      <c r="E186" s="167"/>
      <c r="F186" s="162">
        <v>1.02160167678E11</v>
      </c>
      <c r="G186" s="164">
        <v>44762.0</v>
      </c>
      <c r="H186" s="162" t="s">
        <v>300</v>
      </c>
    </row>
    <row r="187" ht="24.0" customHeight="1">
      <c r="A187" s="162">
        <v>17.0</v>
      </c>
      <c r="B187" s="162" t="s">
        <v>1697</v>
      </c>
      <c r="C187" s="162"/>
      <c r="D187" s="163"/>
      <c r="E187" s="167"/>
      <c r="F187" s="162">
        <v>1.02160167699E11</v>
      </c>
      <c r="G187" s="164">
        <v>44762.0</v>
      </c>
      <c r="H187" s="162" t="s">
        <v>300</v>
      </c>
    </row>
    <row r="188" ht="24.0" customHeight="1">
      <c r="A188" s="151">
        <v>18.0</v>
      </c>
      <c r="B188" s="160" t="s">
        <v>1725</v>
      </c>
      <c r="C188" s="160">
        <v>4.0</v>
      </c>
      <c r="D188" s="158">
        <v>1.0</v>
      </c>
      <c r="E188" s="197">
        <v>1.0</v>
      </c>
      <c r="F188" s="160"/>
      <c r="G188" s="198">
        <v>44807.0</v>
      </c>
      <c r="H188" s="160"/>
    </row>
    <row r="189" ht="24.0" customHeight="1">
      <c r="A189" s="151">
        <v>19.0</v>
      </c>
      <c r="B189" s="162" t="s">
        <v>1726</v>
      </c>
      <c r="C189" s="162"/>
      <c r="D189" s="163"/>
      <c r="E189" s="167"/>
      <c r="F189" s="162" t="s">
        <v>1727</v>
      </c>
      <c r="G189" s="164">
        <v>44814.0</v>
      </c>
      <c r="H189" s="162" t="s">
        <v>1670</v>
      </c>
    </row>
    <row r="190" ht="30.75" customHeight="1">
      <c r="A190" s="151">
        <v>20.0</v>
      </c>
      <c r="B190" s="162" t="s">
        <v>1726</v>
      </c>
      <c r="C190" s="162"/>
      <c r="D190" s="163"/>
      <c r="E190" s="167"/>
      <c r="F190" s="199" t="s">
        <v>1728</v>
      </c>
      <c r="G190" s="164">
        <v>44844.0</v>
      </c>
      <c r="H190" s="162" t="s">
        <v>1729</v>
      </c>
    </row>
    <row r="191" ht="24.0" customHeight="1">
      <c r="A191" s="151">
        <v>21.0</v>
      </c>
      <c r="B191" s="160" t="s">
        <v>1730</v>
      </c>
      <c r="C191" s="160">
        <v>1.0</v>
      </c>
      <c r="D191" s="158">
        <v>11.2</v>
      </c>
      <c r="E191" s="197">
        <v>1.0</v>
      </c>
      <c r="F191" s="160">
        <v>1.02245139285E11</v>
      </c>
      <c r="G191" s="198">
        <v>44864.0</v>
      </c>
      <c r="H191" s="160" t="s">
        <v>1554</v>
      </c>
    </row>
    <row r="192" ht="24.0" customHeight="1">
      <c r="A192" s="151">
        <v>22.0</v>
      </c>
      <c r="B192" s="160" t="s">
        <v>1730</v>
      </c>
      <c r="C192" s="160">
        <v>1.0</v>
      </c>
      <c r="D192" s="158">
        <v>11.2</v>
      </c>
      <c r="E192" s="197">
        <v>1.0</v>
      </c>
      <c r="F192" s="160">
        <v>1.0224545316E11</v>
      </c>
      <c r="G192" s="198">
        <v>44864.0</v>
      </c>
      <c r="H192" s="160" t="s">
        <v>1731</v>
      </c>
    </row>
    <row r="193" ht="24.0" customHeight="1">
      <c r="A193" s="151">
        <v>23.0</v>
      </c>
      <c r="B193" s="200" t="s">
        <v>1732</v>
      </c>
      <c r="C193" s="201">
        <v>1.0</v>
      </c>
      <c r="D193" s="202">
        <v>1.0</v>
      </c>
      <c r="E193" s="203">
        <v>1.0</v>
      </c>
      <c r="F193" s="204" t="s">
        <v>1733</v>
      </c>
      <c r="G193" s="205">
        <v>44805.0</v>
      </c>
      <c r="H193" s="151" t="s">
        <v>1734</v>
      </c>
    </row>
    <row r="194" ht="24.0" customHeight="1">
      <c r="A194" s="151">
        <v>24.0</v>
      </c>
      <c r="B194" s="200" t="s">
        <v>1732</v>
      </c>
      <c r="C194" s="201">
        <v>1.0</v>
      </c>
      <c r="D194" s="202">
        <v>1.0</v>
      </c>
      <c r="E194" s="203">
        <v>1.0</v>
      </c>
      <c r="F194" s="204" t="s">
        <v>1735</v>
      </c>
      <c r="G194" s="205">
        <v>44805.0</v>
      </c>
      <c r="H194" s="151" t="s">
        <v>1734</v>
      </c>
    </row>
    <row r="195" ht="24.0" customHeight="1">
      <c r="A195" s="151">
        <v>25.0</v>
      </c>
      <c r="B195" s="200" t="s">
        <v>1732</v>
      </c>
      <c r="C195" s="201">
        <v>1.0</v>
      </c>
      <c r="D195" s="202">
        <v>1.0</v>
      </c>
      <c r="E195" s="203">
        <v>1.0</v>
      </c>
      <c r="F195" s="204" t="s">
        <v>1736</v>
      </c>
      <c r="G195" s="205">
        <v>44805.0</v>
      </c>
      <c r="H195" s="151" t="s">
        <v>1734</v>
      </c>
    </row>
    <row r="196" ht="24.0" customHeight="1">
      <c r="A196" s="151">
        <v>26.0</v>
      </c>
      <c r="B196" s="200" t="s">
        <v>1732</v>
      </c>
      <c r="C196" s="160">
        <v>1.0</v>
      </c>
      <c r="D196" s="202">
        <v>1.0</v>
      </c>
      <c r="E196" s="203">
        <v>1.0</v>
      </c>
      <c r="F196" s="204" t="s">
        <v>1737</v>
      </c>
      <c r="G196" s="205">
        <v>44805.0</v>
      </c>
      <c r="H196" s="151" t="s">
        <v>1738</v>
      </c>
    </row>
    <row r="197" ht="24.0" customHeight="1">
      <c r="A197" s="162">
        <v>27.0</v>
      </c>
      <c r="B197" s="206" t="s">
        <v>1739</v>
      </c>
      <c r="C197" s="162">
        <v>1.0</v>
      </c>
      <c r="D197" s="163">
        <v>10.3</v>
      </c>
      <c r="E197" s="167">
        <v>1.0</v>
      </c>
      <c r="F197" s="162" t="s">
        <v>1740</v>
      </c>
      <c r="G197" s="164">
        <v>44931.0</v>
      </c>
      <c r="H197" s="162" t="s">
        <v>300</v>
      </c>
    </row>
    <row r="198" ht="24.0" customHeight="1">
      <c r="A198" s="162">
        <v>28.0</v>
      </c>
      <c r="B198" s="207" t="s">
        <v>1741</v>
      </c>
      <c r="C198" s="162">
        <v>1.0</v>
      </c>
      <c r="D198" s="163">
        <v>10.1</v>
      </c>
      <c r="E198" s="167">
        <v>1.0</v>
      </c>
      <c r="F198" s="162"/>
      <c r="G198" s="164">
        <v>44931.0</v>
      </c>
      <c r="H198" s="162" t="s">
        <v>1742</v>
      </c>
    </row>
    <row r="199" ht="24.0" customHeight="1">
      <c r="A199" s="151">
        <v>29.0</v>
      </c>
      <c r="B199" s="151" t="s">
        <v>1579</v>
      </c>
      <c r="C199" s="151">
        <v>1.0</v>
      </c>
      <c r="D199" s="158">
        <v>1.7</v>
      </c>
      <c r="E199" s="157">
        <v>1.0</v>
      </c>
      <c r="F199" s="151"/>
      <c r="G199" s="208">
        <v>45184.0</v>
      </c>
      <c r="H199" s="160" t="s">
        <v>1554</v>
      </c>
    </row>
    <row r="200" ht="24.0" customHeight="1">
      <c r="A200" s="162">
        <v>30.0</v>
      </c>
      <c r="B200" s="162" t="s">
        <v>1696</v>
      </c>
      <c r="C200" s="162"/>
      <c r="D200" s="163"/>
      <c r="E200" s="167"/>
      <c r="F200" s="169"/>
      <c r="G200" s="164">
        <v>45240.0</v>
      </c>
      <c r="H200" s="162" t="s">
        <v>1743</v>
      </c>
    </row>
    <row r="201" ht="24.0" customHeight="1">
      <c r="A201" s="162">
        <v>31.0</v>
      </c>
      <c r="B201" s="162" t="s">
        <v>1697</v>
      </c>
      <c r="C201" s="162"/>
      <c r="D201" s="163"/>
      <c r="E201" s="167"/>
      <c r="F201" s="169"/>
      <c r="G201" s="164">
        <v>45386.0</v>
      </c>
      <c r="H201" s="162" t="s">
        <v>300</v>
      </c>
    </row>
    <row r="202" ht="24.0" customHeight="1">
      <c r="A202" s="162">
        <v>32.0</v>
      </c>
      <c r="B202" s="162" t="s">
        <v>1744</v>
      </c>
      <c r="C202" s="162"/>
      <c r="D202" s="163"/>
      <c r="E202" s="167"/>
      <c r="F202" s="162" t="s">
        <v>1745</v>
      </c>
      <c r="G202" s="164">
        <v>45458.0</v>
      </c>
      <c r="H202" s="162" t="s">
        <v>300</v>
      </c>
    </row>
    <row r="203" ht="24.0" customHeight="1">
      <c r="A203" s="151">
        <v>33.0</v>
      </c>
      <c r="B203" s="209" t="s">
        <v>1746</v>
      </c>
      <c r="C203" s="204">
        <v>1.0</v>
      </c>
      <c r="D203" s="202">
        <v>16.5</v>
      </c>
      <c r="E203" s="203">
        <v>1.0</v>
      </c>
      <c r="F203" s="210"/>
      <c r="G203" s="205">
        <v>45473.0</v>
      </c>
      <c r="H203" s="211" t="s">
        <v>1554</v>
      </c>
    </row>
    <row r="204" ht="24.0" customHeight="1">
      <c r="A204" s="151">
        <v>34.0</v>
      </c>
      <c r="B204" s="209" t="s">
        <v>1747</v>
      </c>
      <c r="C204" s="212">
        <v>1.0</v>
      </c>
      <c r="D204" s="202">
        <v>6.4</v>
      </c>
      <c r="E204" s="213">
        <v>1.0</v>
      </c>
      <c r="F204" s="210"/>
      <c r="G204" s="205">
        <v>45497.0</v>
      </c>
      <c r="H204" s="211" t="s">
        <v>1554</v>
      </c>
    </row>
    <row r="205" ht="24.0" customHeight="1">
      <c r="A205" s="162">
        <v>35.0</v>
      </c>
      <c r="B205" s="162" t="s">
        <v>1720</v>
      </c>
      <c r="C205" s="162"/>
      <c r="D205" s="163"/>
      <c r="E205" s="167"/>
      <c r="F205" s="162"/>
      <c r="G205" s="164">
        <v>45576.0</v>
      </c>
      <c r="H205" s="162" t="s">
        <v>300</v>
      </c>
    </row>
    <row r="206" ht="24.0" customHeight="1">
      <c r="A206" s="214">
        <v>36.0</v>
      </c>
      <c r="B206" s="214" t="s">
        <v>1748</v>
      </c>
      <c r="C206" s="214"/>
      <c r="D206" s="215"/>
      <c r="E206" s="216"/>
      <c r="F206" s="214" t="s">
        <v>1749</v>
      </c>
      <c r="G206" s="217">
        <v>46119.0</v>
      </c>
      <c r="H206" s="214" t="s">
        <v>1750</v>
      </c>
    </row>
    <row r="207" ht="24.0" customHeight="1">
      <c r="A207" s="161" t="s">
        <v>1562</v>
      </c>
      <c r="B207" s="3"/>
      <c r="C207" s="151">
        <f>sum(C171:C202)</f>
        <v>18</v>
      </c>
      <c r="D207" s="152">
        <f t="shared" ref="D207:E207" si="7">sum(D171:D206)</f>
        <v>225.2</v>
      </c>
      <c r="E207" s="157">
        <f t="shared" si="7"/>
        <v>14</v>
      </c>
      <c r="F207" s="151"/>
      <c r="G207" s="155"/>
      <c r="H207" s="151"/>
    </row>
    <row r="208" ht="24.0" customHeight="1">
      <c r="A208" s="110"/>
      <c r="B208" s="110"/>
      <c r="C208" s="110"/>
      <c r="D208" s="176"/>
      <c r="E208" s="143"/>
      <c r="F208" s="141"/>
      <c r="G208" s="113"/>
      <c r="H208" s="144"/>
    </row>
    <row r="209" ht="24.0" customHeight="1">
      <c r="A209" s="110"/>
      <c r="B209" s="110"/>
      <c r="C209" s="110"/>
      <c r="D209" s="176"/>
      <c r="E209" s="143"/>
      <c r="F209" s="141"/>
      <c r="G209" s="113"/>
      <c r="H209" s="144"/>
    </row>
    <row r="210" ht="24.0" customHeight="1">
      <c r="A210" s="218" t="s">
        <v>1751</v>
      </c>
      <c r="B210" s="2"/>
      <c r="C210" s="2"/>
      <c r="D210" s="2"/>
      <c r="E210" s="2"/>
      <c r="F210" s="2"/>
      <c r="G210" s="2"/>
      <c r="H210" s="3"/>
    </row>
    <row r="211" ht="24.0" customHeight="1">
      <c r="A211" s="219" t="s">
        <v>1435</v>
      </c>
      <c r="B211" s="220" t="s">
        <v>1436</v>
      </c>
      <c r="C211" s="220" t="s">
        <v>1752</v>
      </c>
      <c r="D211" s="221" t="s">
        <v>1438</v>
      </c>
      <c r="E211" s="222" t="s">
        <v>1564</v>
      </c>
      <c r="F211" s="219" t="s">
        <v>1440</v>
      </c>
      <c r="G211" s="223" t="s">
        <v>1441</v>
      </c>
      <c r="H211" s="219" t="s">
        <v>1565</v>
      </c>
    </row>
    <row r="212" ht="24.0" customHeight="1">
      <c r="A212" s="224">
        <v>1.0</v>
      </c>
      <c r="B212" s="151" t="s">
        <v>1443</v>
      </c>
      <c r="C212" s="151">
        <v>1.0</v>
      </c>
      <c r="D212" s="152">
        <v>144.0</v>
      </c>
      <c r="E212" s="153"/>
      <c r="F212" s="154"/>
      <c r="G212" s="155"/>
      <c r="H212" s="151"/>
    </row>
    <row r="213" ht="24.0" customHeight="1">
      <c r="A213" s="224">
        <v>2.0</v>
      </c>
      <c r="B213" s="151" t="s">
        <v>1444</v>
      </c>
      <c r="C213" s="151">
        <v>2.0</v>
      </c>
      <c r="D213" s="152">
        <v>2.6</v>
      </c>
      <c r="E213" s="153"/>
      <c r="F213" s="154"/>
      <c r="G213" s="155">
        <v>44574.0</v>
      </c>
      <c r="H213" s="151"/>
    </row>
    <row r="214" ht="24.0" customHeight="1">
      <c r="A214" s="224">
        <v>3.0</v>
      </c>
      <c r="B214" s="151" t="s">
        <v>1445</v>
      </c>
      <c r="C214" s="151">
        <v>1.0</v>
      </c>
      <c r="D214" s="152">
        <v>5.0</v>
      </c>
      <c r="E214" s="153"/>
      <c r="F214" s="154"/>
      <c r="G214" s="155">
        <v>44596.0</v>
      </c>
      <c r="H214" s="151"/>
    </row>
    <row r="215" ht="24.0" customHeight="1">
      <c r="A215" s="224">
        <v>6.0</v>
      </c>
      <c r="B215" s="225" t="s">
        <v>1753</v>
      </c>
      <c r="C215" s="226">
        <v>1.0</v>
      </c>
      <c r="D215" s="227"/>
      <c r="E215" s="228">
        <v>1.0</v>
      </c>
      <c r="F215" s="229"/>
      <c r="G215" s="230">
        <v>44636.0</v>
      </c>
      <c r="H215" s="156"/>
    </row>
    <row r="216" ht="24.0" customHeight="1">
      <c r="A216" s="224">
        <v>7.0</v>
      </c>
      <c r="B216" s="151" t="s">
        <v>1754</v>
      </c>
      <c r="C216" s="231">
        <v>4.0</v>
      </c>
      <c r="D216" s="227"/>
      <c r="E216" s="232">
        <v>8.0</v>
      </c>
      <c r="F216" s="233"/>
      <c r="G216" s="234">
        <v>44642.0</v>
      </c>
      <c r="H216" s="156"/>
    </row>
    <row r="217" ht="24.0" customHeight="1">
      <c r="A217" s="235">
        <v>8.0</v>
      </c>
      <c r="B217" s="162" t="s">
        <v>1696</v>
      </c>
      <c r="C217" s="236"/>
      <c r="D217" s="163"/>
      <c r="E217" s="237"/>
      <c r="F217" s="238"/>
      <c r="G217" s="239">
        <v>44671.0</v>
      </c>
      <c r="H217" s="162" t="s">
        <v>1710</v>
      </c>
    </row>
    <row r="218" ht="24.0" customHeight="1">
      <c r="A218" s="235">
        <v>9.0</v>
      </c>
      <c r="B218" s="240" t="s">
        <v>1755</v>
      </c>
      <c r="C218" s="162"/>
      <c r="D218" s="241"/>
      <c r="E218" s="242"/>
      <c r="F218" s="236" t="s">
        <v>1574</v>
      </c>
      <c r="G218" s="239">
        <v>44805.0</v>
      </c>
      <c r="H218" s="162" t="s">
        <v>300</v>
      </c>
    </row>
    <row r="219" ht="24.0" customHeight="1">
      <c r="A219" s="235">
        <v>10.0</v>
      </c>
      <c r="B219" s="240" t="s">
        <v>1732</v>
      </c>
      <c r="C219" s="162"/>
      <c r="D219" s="241"/>
      <c r="E219" s="242"/>
      <c r="F219" s="236" t="s">
        <v>1737</v>
      </c>
      <c r="G219" s="236" t="s">
        <v>1756</v>
      </c>
      <c r="H219" s="162" t="s">
        <v>1757</v>
      </c>
    </row>
    <row r="220" ht="24.0" customHeight="1">
      <c r="A220" s="224">
        <v>11.0</v>
      </c>
      <c r="B220" s="200" t="s">
        <v>1758</v>
      </c>
      <c r="C220" s="160">
        <v>1.0</v>
      </c>
      <c r="D220" s="202"/>
      <c r="E220" s="203">
        <v>2.0</v>
      </c>
      <c r="F220" s="204" t="s">
        <v>1759</v>
      </c>
      <c r="G220" s="205">
        <v>44805.0</v>
      </c>
      <c r="H220" s="151" t="s">
        <v>263</v>
      </c>
    </row>
    <row r="221" ht="24.0" customHeight="1">
      <c r="A221" s="235">
        <v>12.0</v>
      </c>
      <c r="B221" s="240" t="s">
        <v>1732</v>
      </c>
      <c r="C221" s="236"/>
      <c r="D221" s="241"/>
      <c r="E221" s="242"/>
      <c r="F221" s="236" t="s">
        <v>1733</v>
      </c>
      <c r="G221" s="236" t="s">
        <v>1760</v>
      </c>
      <c r="H221" s="235" t="s">
        <v>1757</v>
      </c>
    </row>
    <row r="222" ht="24.0" customHeight="1">
      <c r="A222" s="235">
        <v>13.0</v>
      </c>
      <c r="B222" s="240" t="s">
        <v>1732</v>
      </c>
      <c r="C222" s="236"/>
      <c r="D222" s="241"/>
      <c r="E222" s="242"/>
      <c r="F222" s="236" t="s">
        <v>1735</v>
      </c>
      <c r="G222" s="236" t="s">
        <v>1760</v>
      </c>
      <c r="H222" s="186"/>
    </row>
    <row r="223" ht="24.0" customHeight="1">
      <c r="A223" s="235">
        <v>14.0</v>
      </c>
      <c r="B223" s="240" t="s">
        <v>1732</v>
      </c>
      <c r="C223" s="236"/>
      <c r="D223" s="241"/>
      <c r="E223" s="242"/>
      <c r="F223" s="236" t="s">
        <v>1736</v>
      </c>
      <c r="G223" s="236" t="s">
        <v>1761</v>
      </c>
      <c r="H223" s="185"/>
    </row>
    <row r="224" ht="24.0" customHeight="1">
      <c r="A224" s="224">
        <v>15.0</v>
      </c>
      <c r="B224" s="200" t="s">
        <v>1755</v>
      </c>
      <c r="C224" s="201">
        <v>1.0</v>
      </c>
      <c r="D224" s="202">
        <v>17.4</v>
      </c>
      <c r="E224" s="203">
        <v>1.0</v>
      </c>
      <c r="F224" s="204" t="s">
        <v>1762</v>
      </c>
      <c r="G224" s="205">
        <v>44805.0</v>
      </c>
      <c r="H224" s="151" t="s">
        <v>263</v>
      </c>
    </row>
    <row r="225" ht="24.0" customHeight="1">
      <c r="A225" s="235">
        <v>16.0</v>
      </c>
      <c r="B225" s="240" t="s">
        <v>1763</v>
      </c>
      <c r="C225" s="243"/>
      <c r="D225" s="163"/>
      <c r="E225" s="167"/>
      <c r="F225" s="243" t="s">
        <v>1764</v>
      </c>
      <c r="G225" s="244" t="s">
        <v>1765</v>
      </c>
      <c r="H225" s="245">
        <v>44770.0</v>
      </c>
    </row>
    <row r="226" ht="24.0" customHeight="1">
      <c r="A226" s="235">
        <v>17.0</v>
      </c>
      <c r="B226" s="240" t="s">
        <v>1763</v>
      </c>
      <c r="C226" s="243"/>
      <c r="D226" s="246"/>
      <c r="E226" s="167"/>
      <c r="F226" s="243" t="s">
        <v>1766</v>
      </c>
      <c r="G226" s="247"/>
      <c r="H226" s="245">
        <v>44770.0</v>
      </c>
    </row>
    <row r="227" ht="24.0" customHeight="1">
      <c r="A227" s="235">
        <v>18.0</v>
      </c>
      <c r="B227" s="240" t="s">
        <v>1763</v>
      </c>
      <c r="C227" s="243"/>
      <c r="D227" s="246"/>
      <c r="E227" s="167"/>
      <c r="F227" s="243" t="s">
        <v>1767</v>
      </c>
      <c r="G227" s="247"/>
      <c r="H227" s="245">
        <v>44770.0</v>
      </c>
    </row>
    <row r="228" ht="24.0" customHeight="1">
      <c r="A228" s="235">
        <v>19.0</v>
      </c>
      <c r="B228" s="240" t="s">
        <v>1763</v>
      </c>
      <c r="C228" s="243"/>
      <c r="D228" s="246"/>
      <c r="E228" s="167"/>
      <c r="F228" s="243" t="s">
        <v>1768</v>
      </c>
      <c r="G228" s="247"/>
      <c r="H228" s="245">
        <v>44770.0</v>
      </c>
    </row>
    <row r="229" ht="24.0" customHeight="1">
      <c r="A229" s="235">
        <v>20.0</v>
      </c>
      <c r="B229" s="240" t="s">
        <v>1763</v>
      </c>
      <c r="C229" s="243"/>
      <c r="D229" s="246"/>
      <c r="E229" s="167"/>
      <c r="F229" s="243" t="s">
        <v>1769</v>
      </c>
      <c r="G229" s="247"/>
      <c r="H229" s="245">
        <v>44770.0</v>
      </c>
    </row>
    <row r="230" ht="24.0" customHeight="1">
      <c r="A230" s="235">
        <v>21.0</v>
      </c>
      <c r="B230" s="240" t="s">
        <v>1763</v>
      </c>
      <c r="C230" s="243"/>
      <c r="D230" s="246"/>
      <c r="E230" s="167"/>
      <c r="F230" s="243" t="s">
        <v>1770</v>
      </c>
      <c r="G230" s="247"/>
      <c r="H230" s="245">
        <v>44770.0</v>
      </c>
    </row>
    <row r="231" ht="24.0" customHeight="1">
      <c r="A231" s="235">
        <v>22.0</v>
      </c>
      <c r="B231" s="240" t="s">
        <v>1763</v>
      </c>
      <c r="C231" s="243"/>
      <c r="D231" s="246"/>
      <c r="E231" s="167"/>
      <c r="F231" s="243" t="s">
        <v>1771</v>
      </c>
      <c r="G231" s="247"/>
      <c r="H231" s="245">
        <v>44770.0</v>
      </c>
    </row>
    <row r="232" ht="24.0" customHeight="1">
      <c r="A232" s="235">
        <v>23.0</v>
      </c>
      <c r="B232" s="240" t="s">
        <v>1763</v>
      </c>
      <c r="C232" s="243"/>
      <c r="D232" s="246"/>
      <c r="E232" s="167"/>
      <c r="F232" s="243"/>
      <c r="G232" s="247"/>
      <c r="H232" s="245">
        <v>44770.0</v>
      </c>
    </row>
    <row r="233" ht="24.0" customHeight="1">
      <c r="A233" s="235">
        <v>24.0</v>
      </c>
      <c r="B233" s="240" t="s">
        <v>1763</v>
      </c>
      <c r="C233" s="243"/>
      <c r="D233" s="246"/>
      <c r="E233" s="167"/>
      <c r="F233" s="243"/>
      <c r="G233" s="247"/>
      <c r="H233" s="245">
        <v>44770.0</v>
      </c>
    </row>
    <row r="234" ht="24.0" customHeight="1">
      <c r="A234" s="235">
        <v>25.0</v>
      </c>
      <c r="B234" s="162" t="s">
        <v>1772</v>
      </c>
      <c r="C234" s="243"/>
      <c r="D234" s="163"/>
      <c r="E234" s="167"/>
      <c r="F234" s="243" t="s">
        <v>1773</v>
      </c>
      <c r="G234" s="247"/>
      <c r="H234" s="245">
        <v>44770.0</v>
      </c>
    </row>
    <row r="235" ht="24.0" customHeight="1">
      <c r="A235" s="235">
        <v>26.0</v>
      </c>
      <c r="B235" s="162" t="s">
        <v>1774</v>
      </c>
      <c r="C235" s="243"/>
      <c r="D235" s="248"/>
      <c r="E235" s="167"/>
      <c r="F235" s="243" t="s">
        <v>1775</v>
      </c>
      <c r="G235" s="247"/>
      <c r="H235" s="245">
        <v>44770.0</v>
      </c>
    </row>
    <row r="236" ht="24.0" customHeight="1">
      <c r="A236" s="235">
        <v>27.0</v>
      </c>
      <c r="B236" s="162" t="s">
        <v>1776</v>
      </c>
      <c r="C236" s="243"/>
      <c r="D236" s="248"/>
      <c r="E236" s="167"/>
      <c r="F236" s="162">
        <v>7.06849111008E11</v>
      </c>
      <c r="G236" s="162" t="s">
        <v>1777</v>
      </c>
      <c r="H236" s="164">
        <v>44796.0</v>
      </c>
    </row>
    <row r="237" ht="24.0" customHeight="1">
      <c r="A237" s="249"/>
      <c r="B237" s="211" t="s">
        <v>1778</v>
      </c>
      <c r="C237" s="250">
        <v>1.0</v>
      </c>
      <c r="D237" s="251">
        <v>223.62</v>
      </c>
      <c r="E237" s="252">
        <v>8.0</v>
      </c>
      <c r="F237" s="211"/>
      <c r="G237" s="253" t="s">
        <v>1554</v>
      </c>
      <c r="H237" s="208"/>
    </row>
    <row r="238" ht="24.0" customHeight="1">
      <c r="A238" s="235">
        <v>28.0</v>
      </c>
      <c r="B238" s="162" t="s">
        <v>1776</v>
      </c>
      <c r="C238" s="243"/>
      <c r="D238" s="248"/>
      <c r="E238" s="167"/>
      <c r="F238" s="162">
        <v>7.06849111009E11</v>
      </c>
      <c r="G238" s="254" t="s">
        <v>1777</v>
      </c>
      <c r="H238" s="164">
        <v>44796.0</v>
      </c>
    </row>
    <row r="239" ht="24.0" customHeight="1">
      <c r="A239" s="224">
        <v>29.0</v>
      </c>
      <c r="B239" s="160" t="s">
        <v>1779</v>
      </c>
      <c r="C239" s="160">
        <v>1.0</v>
      </c>
      <c r="D239" s="158">
        <v>10.5</v>
      </c>
      <c r="E239" s="157">
        <v>1.0</v>
      </c>
      <c r="F239" s="151"/>
      <c r="G239" s="110" t="s">
        <v>1554</v>
      </c>
      <c r="H239" s="255">
        <v>45859.0</v>
      </c>
    </row>
    <row r="240" ht="24.0" customHeight="1">
      <c r="A240" s="162">
        <v>30.0</v>
      </c>
      <c r="B240" s="162" t="s">
        <v>1674</v>
      </c>
      <c r="C240" s="162">
        <v>1.0</v>
      </c>
      <c r="D240" s="163">
        <v>15.0</v>
      </c>
      <c r="E240" s="167">
        <v>2.0</v>
      </c>
      <c r="F240" s="162" t="s">
        <v>1675</v>
      </c>
      <c r="G240" s="162" t="s">
        <v>1780</v>
      </c>
      <c r="H240" s="256">
        <v>45918.0</v>
      </c>
    </row>
    <row r="241" ht="24.0" customHeight="1">
      <c r="A241" s="151">
        <v>31.0</v>
      </c>
      <c r="B241" s="151" t="s">
        <v>1781</v>
      </c>
      <c r="C241" s="151">
        <v>1.0</v>
      </c>
      <c r="D241" s="152">
        <v>8.9</v>
      </c>
      <c r="E241" s="157">
        <v>1.0</v>
      </c>
      <c r="F241" s="151" t="s">
        <v>1782</v>
      </c>
      <c r="G241" s="151" t="s">
        <v>1554</v>
      </c>
      <c r="H241" s="257">
        <v>45918.0</v>
      </c>
    </row>
    <row r="242" ht="24.0" customHeight="1">
      <c r="A242" s="171">
        <v>31.0</v>
      </c>
      <c r="B242" s="171" t="s">
        <v>1674</v>
      </c>
      <c r="C242" s="171">
        <v>1.0</v>
      </c>
      <c r="D242" s="172">
        <v>20.9</v>
      </c>
      <c r="E242" s="173">
        <v>2.0</v>
      </c>
      <c r="F242" s="171" t="s">
        <v>1783</v>
      </c>
      <c r="G242" s="35" t="s">
        <v>1784</v>
      </c>
      <c r="H242" s="175">
        <v>46092.0</v>
      </c>
    </row>
    <row r="243" ht="24.0" customHeight="1">
      <c r="A243" s="151"/>
      <c r="B243" s="151"/>
      <c r="C243" s="151"/>
      <c r="D243" s="152"/>
      <c r="E243" s="157"/>
      <c r="F243" s="151"/>
      <c r="G243" s="151"/>
      <c r="H243" s="257"/>
    </row>
    <row r="244" ht="24.0" customHeight="1">
      <c r="A244" s="161" t="s">
        <v>1562</v>
      </c>
      <c r="B244" s="3"/>
      <c r="C244" s="151">
        <f>sum(C212:C224)</f>
        <v>11</v>
      </c>
      <c r="D244" s="152">
        <f>sum(D212:D243)</f>
        <v>447.92</v>
      </c>
      <c r="E244" s="157">
        <f>sum(E212:E238)</f>
        <v>20</v>
      </c>
      <c r="F244" s="151"/>
      <c r="G244" s="155"/>
      <c r="H244" s="151"/>
    </row>
    <row r="245" ht="24.0" customHeight="1">
      <c r="A245" s="110"/>
      <c r="B245" s="141"/>
      <c r="C245" s="141"/>
      <c r="D245" s="142"/>
      <c r="E245" s="143"/>
      <c r="F245" s="141"/>
      <c r="G245" s="113"/>
      <c r="H245" s="144"/>
    </row>
    <row r="246" ht="24.0" customHeight="1">
      <c r="A246" s="110"/>
      <c r="B246" s="141"/>
      <c r="C246" s="141"/>
      <c r="D246" s="142"/>
      <c r="E246" s="143"/>
      <c r="F246" s="141"/>
      <c r="G246" s="113"/>
      <c r="H246" s="144"/>
    </row>
    <row r="247" ht="24.0" customHeight="1">
      <c r="A247" s="145" t="s">
        <v>1785</v>
      </c>
      <c r="B247" s="2"/>
      <c r="C247" s="2"/>
      <c r="D247" s="2"/>
      <c r="E247" s="2"/>
      <c r="F247" s="2"/>
      <c r="G247" s="2"/>
      <c r="H247" s="3"/>
    </row>
    <row r="248" ht="24.0" customHeight="1">
      <c r="A248" s="146" t="s">
        <v>1435</v>
      </c>
      <c r="B248" s="147" t="s">
        <v>1436</v>
      </c>
      <c r="C248" s="147" t="s">
        <v>1752</v>
      </c>
      <c r="D248" s="148" t="s">
        <v>1438</v>
      </c>
      <c r="E248" s="149" t="s">
        <v>1564</v>
      </c>
      <c r="F248" s="146" t="s">
        <v>1440</v>
      </c>
      <c r="G248" s="150" t="s">
        <v>1441</v>
      </c>
      <c r="H248" s="146" t="s">
        <v>1565</v>
      </c>
    </row>
    <row r="249" ht="24.0" customHeight="1">
      <c r="A249" s="224">
        <v>1.0</v>
      </c>
      <c r="B249" s="151" t="s">
        <v>1443</v>
      </c>
      <c r="C249" s="151">
        <v>1.0</v>
      </c>
      <c r="D249" s="152">
        <v>144.0</v>
      </c>
      <c r="E249" s="153"/>
      <c r="F249" s="154"/>
      <c r="G249" s="155"/>
      <c r="H249" s="156"/>
    </row>
    <row r="250" ht="24.0" customHeight="1">
      <c r="A250" s="224">
        <v>2.0</v>
      </c>
      <c r="B250" s="151" t="s">
        <v>1444</v>
      </c>
      <c r="C250" s="151">
        <v>2.0</v>
      </c>
      <c r="D250" s="152">
        <v>2.6</v>
      </c>
      <c r="E250" s="153"/>
      <c r="F250" s="154"/>
      <c r="G250" s="155">
        <v>44574.0</v>
      </c>
      <c r="H250" s="156"/>
    </row>
    <row r="251" ht="24.0" customHeight="1">
      <c r="A251" s="224">
        <v>3.0</v>
      </c>
      <c r="B251" s="151" t="s">
        <v>1445</v>
      </c>
      <c r="C251" s="151">
        <v>1.0</v>
      </c>
      <c r="D251" s="152">
        <v>5.0</v>
      </c>
      <c r="E251" s="157">
        <v>1.0</v>
      </c>
      <c r="F251" s="154"/>
      <c r="G251" s="155">
        <v>44596.0</v>
      </c>
      <c r="H251" s="156"/>
    </row>
    <row r="252" ht="24.0" customHeight="1">
      <c r="A252" s="235">
        <v>4.0</v>
      </c>
      <c r="B252" s="162" t="s">
        <v>1693</v>
      </c>
      <c r="C252" s="162"/>
      <c r="D252" s="163"/>
      <c r="E252" s="167"/>
      <c r="F252" s="162" t="s">
        <v>1786</v>
      </c>
      <c r="G252" s="164">
        <v>44602.0</v>
      </c>
      <c r="H252" s="258"/>
    </row>
    <row r="253" ht="24.0" customHeight="1">
      <c r="A253" s="235">
        <v>5.0</v>
      </c>
      <c r="B253" s="162" t="s">
        <v>1741</v>
      </c>
      <c r="C253" s="162"/>
      <c r="D253" s="163"/>
      <c r="E253" s="167"/>
      <c r="F253" s="169"/>
      <c r="G253" s="164"/>
      <c r="H253" s="162" t="s">
        <v>1447</v>
      </c>
    </row>
    <row r="254" ht="24.0" customHeight="1">
      <c r="A254" s="235">
        <v>6.0</v>
      </c>
      <c r="B254" s="162" t="s">
        <v>1787</v>
      </c>
      <c r="C254" s="162"/>
      <c r="D254" s="163"/>
      <c r="E254" s="167"/>
      <c r="F254" s="162" t="s">
        <v>1788</v>
      </c>
      <c r="G254" s="164">
        <v>44655.0</v>
      </c>
      <c r="H254" s="162" t="s">
        <v>1447</v>
      </c>
    </row>
    <row r="255" ht="24.0" customHeight="1">
      <c r="A255" s="235">
        <v>7.0</v>
      </c>
      <c r="B255" s="162" t="s">
        <v>1789</v>
      </c>
      <c r="C255" s="162"/>
      <c r="D255" s="163"/>
      <c r="E255" s="167"/>
      <c r="F255" s="162" t="s">
        <v>1790</v>
      </c>
      <c r="G255" s="164">
        <v>44691.0</v>
      </c>
      <c r="H255" s="162" t="s">
        <v>1791</v>
      </c>
    </row>
    <row r="256" ht="24.0" customHeight="1">
      <c r="A256" s="224">
        <v>8.0</v>
      </c>
      <c r="B256" s="160" t="s">
        <v>1741</v>
      </c>
      <c r="C256" s="151">
        <v>1.0</v>
      </c>
      <c r="D256" s="152">
        <v>11.1</v>
      </c>
      <c r="E256" s="157">
        <v>1.0</v>
      </c>
      <c r="F256" s="151" t="s">
        <v>1792</v>
      </c>
      <c r="G256" s="255">
        <v>44733.0</v>
      </c>
      <c r="H256" s="151" t="s">
        <v>1447</v>
      </c>
    </row>
    <row r="257" ht="24.0" customHeight="1">
      <c r="A257" s="235">
        <v>9.0</v>
      </c>
      <c r="B257" s="162" t="s">
        <v>1779</v>
      </c>
      <c r="C257" s="162"/>
      <c r="D257" s="163"/>
      <c r="E257" s="167"/>
      <c r="F257" s="162">
        <v>21024.0</v>
      </c>
      <c r="G257" s="164">
        <v>44764.0</v>
      </c>
      <c r="H257" s="258"/>
    </row>
    <row r="258" ht="24.0" customHeight="1">
      <c r="A258" s="235">
        <v>10.0</v>
      </c>
      <c r="B258" s="162" t="s">
        <v>1779</v>
      </c>
      <c r="C258" s="162"/>
      <c r="D258" s="163"/>
      <c r="E258" s="167"/>
      <c r="F258" s="162">
        <v>21024.0</v>
      </c>
      <c r="G258" s="164">
        <v>44764.0</v>
      </c>
      <c r="H258" s="258"/>
    </row>
    <row r="259" ht="24.0" customHeight="1">
      <c r="A259" s="235">
        <v>11.0</v>
      </c>
      <c r="B259" s="162" t="s">
        <v>1793</v>
      </c>
      <c r="C259" s="162"/>
      <c r="D259" s="163"/>
      <c r="E259" s="167"/>
      <c r="F259" s="162" t="s">
        <v>1794</v>
      </c>
      <c r="G259" s="164">
        <v>44764.0</v>
      </c>
      <c r="H259" s="258"/>
    </row>
    <row r="260" ht="24.0" customHeight="1">
      <c r="A260" s="235">
        <v>12.0</v>
      </c>
      <c r="B260" s="162" t="s">
        <v>1795</v>
      </c>
      <c r="C260" s="162"/>
      <c r="D260" s="163"/>
      <c r="E260" s="167"/>
      <c r="F260" s="164"/>
      <c r="G260" s="196">
        <v>44764.0</v>
      </c>
      <c r="H260" s="162" t="s">
        <v>1796</v>
      </c>
    </row>
    <row r="261" ht="24.0" customHeight="1">
      <c r="A261" s="235">
        <v>13.0</v>
      </c>
      <c r="B261" s="162" t="s">
        <v>1797</v>
      </c>
      <c r="C261" s="162"/>
      <c r="D261" s="163"/>
      <c r="E261" s="167"/>
      <c r="F261" s="164"/>
      <c r="G261" s="196">
        <v>44764.0</v>
      </c>
      <c r="H261" s="258"/>
    </row>
    <row r="262" ht="24.0" customHeight="1">
      <c r="A262" s="235">
        <v>14.0</v>
      </c>
      <c r="B262" s="162" t="s">
        <v>1779</v>
      </c>
      <c r="C262" s="162"/>
      <c r="D262" s="163"/>
      <c r="E262" s="167"/>
      <c r="F262" s="164"/>
      <c r="G262" s="196">
        <v>44852.0</v>
      </c>
      <c r="H262" s="258"/>
    </row>
    <row r="263" ht="24.0" customHeight="1">
      <c r="A263" s="235">
        <v>15.0</v>
      </c>
      <c r="B263" s="162" t="s">
        <v>1798</v>
      </c>
      <c r="C263" s="162"/>
      <c r="D263" s="163"/>
      <c r="E263" s="167"/>
      <c r="F263" s="164"/>
      <c r="G263" s="196">
        <v>44854.0</v>
      </c>
      <c r="H263" s="258"/>
    </row>
    <row r="264" ht="24.0" customHeight="1">
      <c r="A264" s="235">
        <v>16.0</v>
      </c>
      <c r="B264" s="162" t="s">
        <v>1799</v>
      </c>
      <c r="C264" s="162"/>
      <c r="D264" s="163"/>
      <c r="E264" s="167"/>
      <c r="F264" s="162" t="s">
        <v>1800</v>
      </c>
      <c r="G264" s="196">
        <v>44875.0</v>
      </c>
      <c r="H264" s="258"/>
    </row>
    <row r="265" ht="24.0" customHeight="1">
      <c r="A265" s="235">
        <v>17.0</v>
      </c>
      <c r="B265" s="162" t="s">
        <v>1801</v>
      </c>
      <c r="C265" s="162"/>
      <c r="D265" s="163"/>
      <c r="E265" s="167"/>
      <c r="F265" s="162"/>
      <c r="G265" s="196">
        <v>44890.0</v>
      </c>
      <c r="H265" s="162" t="s">
        <v>1446</v>
      </c>
    </row>
    <row r="266" ht="24.0" customHeight="1">
      <c r="A266" s="235">
        <v>18.0</v>
      </c>
      <c r="B266" s="162" t="s">
        <v>1802</v>
      </c>
      <c r="C266" s="162"/>
      <c r="D266" s="163"/>
      <c r="E266" s="167"/>
      <c r="F266" s="162" t="s">
        <v>1803</v>
      </c>
      <c r="G266" s="196">
        <v>45053.0</v>
      </c>
      <c r="H266" s="162" t="s">
        <v>1689</v>
      </c>
    </row>
    <row r="267" ht="24.0" customHeight="1">
      <c r="A267" s="235">
        <v>19.0</v>
      </c>
      <c r="B267" s="162" t="s">
        <v>1802</v>
      </c>
      <c r="C267" s="162"/>
      <c r="D267" s="163"/>
      <c r="E267" s="167"/>
      <c r="F267" s="162" t="s">
        <v>1804</v>
      </c>
      <c r="G267" s="196">
        <v>45053.0</v>
      </c>
      <c r="H267" s="162" t="s">
        <v>1689</v>
      </c>
    </row>
    <row r="268" ht="24.0" customHeight="1">
      <c r="A268" s="235">
        <v>20.0</v>
      </c>
      <c r="B268" s="162" t="s">
        <v>1805</v>
      </c>
      <c r="C268" s="162"/>
      <c r="D268" s="163"/>
      <c r="E268" s="167"/>
      <c r="F268" s="162" t="s">
        <v>1806</v>
      </c>
      <c r="G268" s="196">
        <v>45048.0</v>
      </c>
      <c r="H268" s="162" t="s">
        <v>1446</v>
      </c>
    </row>
    <row r="269" ht="24.0" customHeight="1">
      <c r="A269" s="235">
        <v>21.0</v>
      </c>
      <c r="B269" s="259" t="s">
        <v>1807</v>
      </c>
      <c r="C269" s="162"/>
      <c r="D269" s="163"/>
      <c r="E269" s="167"/>
      <c r="F269" s="162" t="s">
        <v>1808</v>
      </c>
      <c r="G269" s="164">
        <v>45149.0</v>
      </c>
      <c r="H269" s="162" t="s">
        <v>1446</v>
      </c>
    </row>
    <row r="270" ht="24.0" customHeight="1">
      <c r="A270" s="235">
        <v>22.0</v>
      </c>
      <c r="B270" s="235" t="s">
        <v>1697</v>
      </c>
      <c r="C270" s="235"/>
      <c r="D270" s="163"/>
      <c r="E270" s="167"/>
      <c r="F270" s="235"/>
      <c r="G270" s="164">
        <v>44915.0</v>
      </c>
      <c r="H270" s="235"/>
    </row>
    <row r="271" ht="24.0" customHeight="1">
      <c r="A271" s="235">
        <v>23.0</v>
      </c>
      <c r="B271" s="235" t="s">
        <v>1697</v>
      </c>
      <c r="C271" s="235"/>
      <c r="D271" s="163"/>
      <c r="E271" s="167"/>
      <c r="F271" s="235"/>
      <c r="G271" s="164">
        <v>44915.0</v>
      </c>
      <c r="H271" s="235"/>
    </row>
    <row r="272" ht="24.0" customHeight="1">
      <c r="A272" s="224">
        <v>23.0</v>
      </c>
      <c r="B272" s="151" t="s">
        <v>1809</v>
      </c>
      <c r="C272" s="151">
        <v>1.0</v>
      </c>
      <c r="D272" s="152">
        <v>15.4</v>
      </c>
      <c r="E272" s="157">
        <v>1.0</v>
      </c>
      <c r="F272" s="151" t="s">
        <v>1810</v>
      </c>
      <c r="G272" s="155">
        <v>45565.0</v>
      </c>
      <c r="H272" s="151" t="s">
        <v>1554</v>
      </c>
    </row>
    <row r="273" ht="24.0" customHeight="1">
      <c r="A273" s="235">
        <v>24.0</v>
      </c>
      <c r="B273" s="162" t="s">
        <v>1811</v>
      </c>
      <c r="C273" s="162"/>
      <c r="D273" s="163"/>
      <c r="E273" s="167"/>
      <c r="F273" s="162" t="s">
        <v>1812</v>
      </c>
      <c r="G273" s="164">
        <v>45666.0</v>
      </c>
      <c r="H273" s="162" t="s">
        <v>1554</v>
      </c>
    </row>
    <row r="274" ht="24.0" customHeight="1">
      <c r="A274" s="224">
        <v>25.0</v>
      </c>
      <c r="B274" s="151" t="s">
        <v>1813</v>
      </c>
      <c r="C274" s="151">
        <v>1.0</v>
      </c>
      <c r="D274" s="152">
        <v>5.0</v>
      </c>
      <c r="E274" s="157">
        <v>1.0</v>
      </c>
      <c r="F274" s="151"/>
      <c r="G274" s="155">
        <v>45691.0</v>
      </c>
      <c r="H274" s="151" t="s">
        <v>1554</v>
      </c>
    </row>
    <row r="275" ht="24.0" customHeight="1">
      <c r="A275" s="235">
        <v>26.0</v>
      </c>
      <c r="B275" s="162" t="s">
        <v>1814</v>
      </c>
      <c r="C275" s="162"/>
      <c r="D275" s="163"/>
      <c r="E275" s="167"/>
      <c r="F275" s="162" t="s">
        <v>1815</v>
      </c>
      <c r="G275" s="164">
        <v>45845.0</v>
      </c>
      <c r="H275" s="162" t="s">
        <v>1446</v>
      </c>
    </row>
    <row r="276" ht="24.0" customHeight="1">
      <c r="A276" s="249">
        <v>27.0</v>
      </c>
      <c r="B276" s="211" t="s">
        <v>1778</v>
      </c>
      <c r="C276" s="211">
        <v>1.0</v>
      </c>
      <c r="D276" s="260">
        <v>223.62</v>
      </c>
      <c r="E276" s="252">
        <v>4.0</v>
      </c>
      <c r="F276" s="211"/>
      <c r="G276" s="208">
        <v>45881.0</v>
      </c>
      <c r="H276" s="211" t="s">
        <v>1446</v>
      </c>
    </row>
    <row r="277" ht="24.0" customHeight="1">
      <c r="A277" s="249">
        <v>28.0</v>
      </c>
      <c r="B277" s="211" t="s">
        <v>1816</v>
      </c>
      <c r="C277" s="211">
        <v>1.0</v>
      </c>
      <c r="D277" s="260">
        <v>20.0</v>
      </c>
      <c r="E277" s="252">
        <v>2.0</v>
      </c>
      <c r="F277" s="211"/>
      <c r="G277" s="208">
        <v>45882.0</v>
      </c>
      <c r="H277" s="211" t="s">
        <v>1446</v>
      </c>
    </row>
    <row r="278" ht="24.0" customHeight="1">
      <c r="A278" s="224">
        <v>29.0</v>
      </c>
      <c r="B278" s="151" t="s">
        <v>1817</v>
      </c>
      <c r="C278" s="151">
        <v>1.0</v>
      </c>
      <c r="D278" s="152">
        <v>21.0</v>
      </c>
      <c r="E278" s="157">
        <v>2.0</v>
      </c>
      <c r="F278" s="151" t="s">
        <v>1818</v>
      </c>
      <c r="G278" s="155">
        <v>46000.0</v>
      </c>
      <c r="H278" s="151" t="s">
        <v>1819</v>
      </c>
    </row>
    <row r="279" ht="24.0" customHeight="1">
      <c r="A279" s="224">
        <v>30.0</v>
      </c>
      <c r="B279" s="151" t="s">
        <v>1817</v>
      </c>
      <c r="C279" s="151">
        <v>1.0</v>
      </c>
      <c r="D279" s="152">
        <v>21.0</v>
      </c>
      <c r="E279" s="157">
        <v>2.0</v>
      </c>
      <c r="F279" s="151" t="s">
        <v>1820</v>
      </c>
      <c r="G279" s="155">
        <v>46000.0</v>
      </c>
      <c r="H279" s="151" t="s">
        <v>1819</v>
      </c>
    </row>
    <row r="280" ht="24.0" customHeight="1">
      <c r="A280" s="261">
        <v>31.0</v>
      </c>
      <c r="B280" s="262" t="s">
        <v>1674</v>
      </c>
      <c r="C280" s="262"/>
      <c r="D280" s="263"/>
      <c r="E280" s="264"/>
      <c r="F280" s="262" t="s">
        <v>1783</v>
      </c>
      <c r="G280" s="261" t="s">
        <v>1821</v>
      </c>
      <c r="H280" s="265">
        <v>46092.0</v>
      </c>
    </row>
    <row r="281" ht="24.0" customHeight="1">
      <c r="A281" s="261">
        <v>32.0</v>
      </c>
      <c r="B281" s="262" t="s">
        <v>1680</v>
      </c>
      <c r="C281" s="262"/>
      <c r="D281" s="263"/>
      <c r="E281" s="264"/>
      <c r="F281" s="262" t="s">
        <v>1681</v>
      </c>
      <c r="G281" s="261" t="s">
        <v>1780</v>
      </c>
      <c r="H281" s="265">
        <v>46092.0</v>
      </c>
    </row>
    <row r="282" ht="24.0" customHeight="1">
      <c r="A282" s="266">
        <v>36.0</v>
      </c>
      <c r="B282" s="266" t="s">
        <v>1748</v>
      </c>
      <c r="C282" s="266">
        <v>1.0</v>
      </c>
      <c r="D282" s="267">
        <v>20.0</v>
      </c>
      <c r="E282" s="268">
        <v>2.0</v>
      </c>
      <c r="F282" s="266" t="s">
        <v>1749</v>
      </c>
      <c r="G282" s="269">
        <v>46119.0</v>
      </c>
      <c r="H282" s="270" t="s">
        <v>1822</v>
      </c>
    </row>
    <row r="283" ht="24.0" customHeight="1">
      <c r="A283" s="161" t="s">
        <v>1562</v>
      </c>
      <c r="B283" s="3"/>
      <c r="C283" s="157">
        <f>sum(E249:E279)</f>
        <v>14</v>
      </c>
      <c r="D283" s="152">
        <f t="shared" ref="D283:E283" si="8">sum(D249:D279)</f>
        <v>468.72</v>
      </c>
      <c r="E283" s="157">
        <f t="shared" si="8"/>
        <v>14</v>
      </c>
      <c r="F283" s="151"/>
      <c r="G283" s="155"/>
      <c r="H283" s="151"/>
    </row>
    <row r="284" ht="24.0" customHeight="1">
      <c r="A284" s="110"/>
      <c r="B284" s="141"/>
      <c r="C284" s="141"/>
      <c r="D284" s="142"/>
      <c r="E284" s="143"/>
      <c r="F284" s="141"/>
      <c r="G284" s="113"/>
      <c r="H284" s="144"/>
    </row>
    <row r="285" ht="24.0" customHeight="1">
      <c r="A285" s="110"/>
      <c r="B285" s="141"/>
      <c r="C285" s="141"/>
      <c r="D285" s="142"/>
      <c r="E285" s="143"/>
      <c r="F285" s="141"/>
      <c r="G285" s="113"/>
      <c r="H285" s="144"/>
    </row>
    <row r="286" ht="24.0" customHeight="1">
      <c r="A286" s="271" t="s">
        <v>1823</v>
      </c>
      <c r="G286" s="247"/>
      <c r="H286" s="272"/>
    </row>
    <row r="287" ht="24.0" customHeight="1">
      <c r="A287" s="273" t="s">
        <v>1824</v>
      </c>
      <c r="B287" s="274" t="s">
        <v>1436</v>
      </c>
      <c r="C287" s="274" t="s">
        <v>1752</v>
      </c>
      <c r="D287" s="275" t="s">
        <v>1438</v>
      </c>
      <c r="E287" s="276" t="s">
        <v>1564</v>
      </c>
      <c r="F287" s="273" t="s">
        <v>1440</v>
      </c>
      <c r="G287" s="277" t="s">
        <v>1441</v>
      </c>
      <c r="H287" s="278"/>
    </row>
    <row r="288" ht="24.0" customHeight="1">
      <c r="A288" s="224" t="s">
        <v>7</v>
      </c>
      <c r="B288" s="151" t="s">
        <v>1825</v>
      </c>
      <c r="C288" s="151">
        <v>3.0</v>
      </c>
      <c r="D288" s="279"/>
      <c r="E288" s="153"/>
      <c r="F288" s="154"/>
      <c r="G288" s="155">
        <v>44599.0</v>
      </c>
      <c r="H288" s="280"/>
    </row>
    <row r="289" ht="24.0" customHeight="1">
      <c r="A289" s="186"/>
      <c r="B289" s="151" t="s">
        <v>1826</v>
      </c>
      <c r="C289" s="151">
        <v>3.0</v>
      </c>
      <c r="D289" s="279"/>
      <c r="E289" s="153"/>
      <c r="F289" s="154"/>
      <c r="G289" s="155">
        <v>44599.0</v>
      </c>
      <c r="H289" s="280"/>
    </row>
    <row r="290" ht="24.0" customHeight="1">
      <c r="A290" s="186"/>
      <c r="B290" s="151" t="s">
        <v>1827</v>
      </c>
      <c r="C290" s="151">
        <v>1.0</v>
      </c>
      <c r="D290" s="279"/>
      <c r="E290" s="153"/>
      <c r="F290" s="154"/>
      <c r="G290" s="155">
        <v>44599.0</v>
      </c>
      <c r="H290" s="280"/>
    </row>
    <row r="291" ht="24.0" customHeight="1">
      <c r="A291" s="186"/>
      <c r="B291" s="151" t="s">
        <v>1444</v>
      </c>
      <c r="C291" s="151">
        <v>4.0</v>
      </c>
      <c r="D291" s="279"/>
      <c r="E291" s="153"/>
      <c r="F291" s="154"/>
      <c r="G291" s="155">
        <v>44599.0</v>
      </c>
      <c r="H291" s="280"/>
    </row>
    <row r="292" ht="24.0" customHeight="1">
      <c r="A292" s="186"/>
      <c r="B292" s="151" t="s">
        <v>1828</v>
      </c>
      <c r="C292" s="151">
        <v>3.0</v>
      </c>
      <c r="D292" s="279"/>
      <c r="E292" s="153"/>
      <c r="F292" s="154"/>
      <c r="G292" s="155">
        <v>44599.0</v>
      </c>
      <c r="H292" s="280"/>
    </row>
    <row r="293" ht="24.0" customHeight="1">
      <c r="A293" s="186"/>
      <c r="B293" s="151" t="s">
        <v>1829</v>
      </c>
      <c r="C293" s="151">
        <v>3.0</v>
      </c>
      <c r="D293" s="279"/>
      <c r="E293" s="153"/>
      <c r="F293" s="154"/>
      <c r="G293" s="155">
        <v>44599.0</v>
      </c>
      <c r="H293" s="280"/>
    </row>
    <row r="294" ht="15.75" customHeight="1">
      <c r="A294" s="186"/>
      <c r="B294" s="151" t="s">
        <v>1830</v>
      </c>
      <c r="C294" s="151">
        <v>2.0</v>
      </c>
      <c r="D294" s="279"/>
      <c r="E294" s="153"/>
      <c r="F294" s="154"/>
      <c r="G294" s="155">
        <v>44570.0</v>
      </c>
      <c r="H294" s="281"/>
    </row>
    <row r="295" ht="24.0" customHeight="1">
      <c r="A295" s="186"/>
      <c r="B295" s="151" t="s">
        <v>1831</v>
      </c>
      <c r="C295" s="151" t="s">
        <v>1832</v>
      </c>
      <c r="D295" s="279"/>
      <c r="E295" s="153"/>
      <c r="F295" s="154"/>
      <c r="G295" s="155">
        <v>44600.0</v>
      </c>
      <c r="H295" s="144"/>
    </row>
    <row r="296" ht="15.75" customHeight="1">
      <c r="A296" s="186"/>
      <c r="B296" s="151" t="s">
        <v>1833</v>
      </c>
      <c r="C296" s="151" t="s">
        <v>1834</v>
      </c>
      <c r="D296" s="279"/>
      <c r="E296" s="153"/>
      <c r="F296" s="154"/>
      <c r="G296" s="155">
        <v>44601.0</v>
      </c>
      <c r="H296" s="144"/>
    </row>
    <row r="297" ht="15.75" customHeight="1">
      <c r="A297" s="186"/>
      <c r="B297" s="151" t="s">
        <v>1835</v>
      </c>
      <c r="C297" s="151" t="s">
        <v>1834</v>
      </c>
      <c r="D297" s="279"/>
      <c r="E297" s="153"/>
      <c r="F297" s="154"/>
      <c r="G297" s="155">
        <v>44601.0</v>
      </c>
      <c r="H297" s="144"/>
    </row>
    <row r="298" ht="15.75" customHeight="1">
      <c r="A298" s="185"/>
      <c r="B298" s="151" t="s">
        <v>1836</v>
      </c>
      <c r="C298" s="151" t="s">
        <v>1834</v>
      </c>
      <c r="D298" s="279"/>
      <c r="E298" s="153"/>
      <c r="F298" s="154"/>
      <c r="G298" s="155">
        <v>44601.0</v>
      </c>
      <c r="H298" s="144"/>
    </row>
    <row r="299" ht="15.75" customHeight="1">
      <c r="A299" s="141"/>
      <c r="B299" s="141"/>
      <c r="C299" s="141"/>
      <c r="D299" s="142"/>
      <c r="E299" s="143"/>
      <c r="F299" s="141"/>
      <c r="G299" s="282"/>
      <c r="H299" s="141"/>
    </row>
    <row r="300" ht="15.75" customHeight="1">
      <c r="A300" s="141"/>
      <c r="B300" s="141"/>
      <c r="C300" s="141"/>
      <c r="D300" s="142"/>
      <c r="E300" s="143"/>
      <c r="F300" s="141"/>
      <c r="G300" s="282"/>
      <c r="H300" s="141"/>
    </row>
    <row r="301" ht="15.75" customHeight="1">
      <c r="A301" s="141"/>
      <c r="B301" s="141"/>
      <c r="C301" s="141"/>
      <c r="D301" s="142"/>
      <c r="E301" s="143"/>
      <c r="F301" s="141"/>
      <c r="G301" s="282"/>
      <c r="H301" s="141"/>
    </row>
    <row r="302" ht="15.75" customHeight="1">
      <c r="A302" s="141"/>
      <c r="B302" s="141"/>
      <c r="C302" s="141"/>
      <c r="D302" s="142"/>
      <c r="E302" s="143"/>
      <c r="F302" s="141"/>
      <c r="G302" s="282"/>
      <c r="H302" s="141"/>
    </row>
    <row r="303" ht="15.75" customHeight="1">
      <c r="A303" s="141"/>
      <c r="B303" s="141"/>
      <c r="C303" s="141"/>
      <c r="D303" s="142"/>
      <c r="E303" s="143"/>
      <c r="F303" s="141"/>
      <c r="G303" s="282"/>
      <c r="H303" s="141"/>
    </row>
    <row r="304" ht="15.75" customHeight="1">
      <c r="A304" s="141"/>
      <c r="B304" s="141"/>
      <c r="C304" s="141"/>
      <c r="D304" s="142"/>
      <c r="E304" s="143"/>
      <c r="F304" s="141"/>
      <c r="G304" s="282"/>
      <c r="H304" s="141"/>
    </row>
    <row r="305" ht="15.75" customHeight="1">
      <c r="A305" s="141"/>
      <c r="B305" s="141"/>
      <c r="C305" s="141"/>
      <c r="D305" s="142"/>
      <c r="E305" s="143"/>
      <c r="F305" s="141"/>
      <c r="G305" s="282"/>
      <c r="H305" s="141"/>
    </row>
    <row r="306" ht="15.75" customHeight="1">
      <c r="A306" s="141"/>
      <c r="B306" s="141"/>
      <c r="C306" s="141"/>
      <c r="D306" s="142"/>
      <c r="E306" s="143"/>
      <c r="F306" s="141"/>
      <c r="G306" s="282"/>
      <c r="H306" s="141"/>
    </row>
    <row r="307" ht="15.75" customHeight="1">
      <c r="A307" s="141"/>
      <c r="B307" s="141"/>
      <c r="C307" s="141"/>
      <c r="D307" s="142"/>
      <c r="E307" s="143"/>
      <c r="F307" s="141"/>
      <c r="G307" s="282"/>
      <c r="H307" s="141"/>
    </row>
    <row r="308" ht="15.75" customHeight="1">
      <c r="A308" s="141"/>
      <c r="B308" s="141"/>
      <c r="C308" s="141"/>
      <c r="D308" s="142"/>
      <c r="E308" s="143"/>
      <c r="F308" s="141"/>
      <c r="G308" s="282"/>
      <c r="H308" s="141"/>
    </row>
    <row r="309" ht="15.75" customHeight="1">
      <c r="A309" s="141"/>
      <c r="B309" s="141"/>
      <c r="C309" s="141"/>
      <c r="D309" s="142"/>
      <c r="E309" s="143"/>
      <c r="F309" s="141"/>
      <c r="G309" s="282"/>
      <c r="H309" s="141"/>
    </row>
    <row r="310" ht="15.75" customHeight="1">
      <c r="A310" s="141"/>
      <c r="B310" s="141"/>
      <c r="C310" s="141"/>
      <c r="D310" s="142"/>
      <c r="E310" s="143"/>
      <c r="F310" s="141"/>
      <c r="G310" s="282"/>
      <c r="H310" s="141"/>
    </row>
    <row r="311" ht="15.75" customHeight="1">
      <c r="A311" s="141"/>
      <c r="B311" s="141"/>
      <c r="C311" s="141"/>
      <c r="D311" s="142"/>
      <c r="E311" s="143"/>
      <c r="F311" s="141"/>
      <c r="G311" s="282"/>
      <c r="H311" s="141"/>
    </row>
    <row r="312" ht="15.75" customHeight="1">
      <c r="A312" s="141"/>
      <c r="B312" s="141"/>
      <c r="C312" s="141"/>
      <c r="D312" s="142"/>
      <c r="E312" s="143"/>
      <c r="F312" s="141"/>
      <c r="G312" s="282"/>
      <c r="H312" s="141"/>
    </row>
    <row r="313" ht="15.75" customHeight="1">
      <c r="A313" s="141"/>
      <c r="B313" s="141"/>
      <c r="C313" s="141"/>
      <c r="D313" s="142"/>
      <c r="E313" s="143"/>
      <c r="F313" s="141"/>
      <c r="G313" s="282"/>
      <c r="H313" s="141"/>
    </row>
    <row r="314" ht="15.75" customHeight="1">
      <c r="A314" s="141"/>
      <c r="B314" s="141"/>
      <c r="C314" s="141"/>
      <c r="D314" s="142"/>
      <c r="E314" s="143"/>
      <c r="F314" s="141"/>
      <c r="G314" s="282"/>
      <c r="H314" s="141"/>
    </row>
    <row r="315" ht="15.75" customHeight="1">
      <c r="A315" s="141"/>
      <c r="B315" s="141"/>
      <c r="C315" s="141"/>
      <c r="D315" s="142"/>
      <c r="E315" s="143"/>
      <c r="F315" s="141"/>
      <c r="G315" s="282"/>
      <c r="H315" s="141"/>
    </row>
    <row r="316" ht="15.75" customHeight="1">
      <c r="A316" s="141"/>
      <c r="B316" s="141"/>
      <c r="C316" s="141"/>
      <c r="D316" s="142"/>
      <c r="E316" s="143"/>
      <c r="F316" s="141"/>
      <c r="G316" s="282"/>
      <c r="H316" s="141"/>
    </row>
    <row r="317" ht="15.75" customHeight="1">
      <c r="A317" s="141"/>
      <c r="B317" s="141"/>
      <c r="C317" s="141"/>
      <c r="D317" s="142"/>
      <c r="E317" s="143"/>
      <c r="F317" s="141"/>
      <c r="G317" s="282"/>
      <c r="H317" s="141"/>
    </row>
    <row r="318" ht="15.75" customHeight="1">
      <c r="A318" s="141"/>
      <c r="B318" s="141"/>
      <c r="C318" s="141"/>
      <c r="D318" s="142"/>
      <c r="E318" s="143"/>
      <c r="F318" s="141"/>
      <c r="G318" s="282"/>
      <c r="H318" s="141"/>
    </row>
    <row r="319" ht="15.75" customHeight="1">
      <c r="A319" s="141"/>
      <c r="B319" s="141"/>
      <c r="C319" s="141"/>
      <c r="D319" s="142"/>
      <c r="E319" s="143"/>
      <c r="F319" s="141"/>
      <c r="G319" s="282"/>
      <c r="H319" s="141"/>
    </row>
    <row r="320" ht="15.75" customHeight="1">
      <c r="A320" s="141"/>
      <c r="B320" s="141"/>
      <c r="C320" s="141"/>
      <c r="D320" s="142"/>
      <c r="E320" s="143"/>
      <c r="F320" s="141"/>
      <c r="G320" s="282"/>
      <c r="H320" s="141"/>
    </row>
    <row r="321" ht="15.75" customHeight="1">
      <c r="A321" s="141"/>
      <c r="B321" s="141"/>
      <c r="C321" s="141"/>
      <c r="D321" s="142"/>
      <c r="E321" s="143"/>
      <c r="F321" s="141"/>
      <c r="G321" s="282"/>
      <c r="H321" s="141"/>
    </row>
    <row r="322" ht="15.75" customHeight="1">
      <c r="A322" s="141"/>
      <c r="B322" s="141"/>
      <c r="C322" s="141"/>
      <c r="D322" s="142"/>
      <c r="E322" s="143"/>
      <c r="F322" s="141"/>
      <c r="G322" s="282"/>
      <c r="H322" s="141"/>
    </row>
    <row r="323" ht="15.75" customHeight="1">
      <c r="A323" s="141"/>
      <c r="B323" s="141"/>
      <c r="C323" s="141"/>
      <c r="D323" s="142"/>
      <c r="E323" s="143"/>
      <c r="F323" s="141"/>
      <c r="G323" s="282"/>
      <c r="H323" s="141"/>
    </row>
    <row r="324" ht="15.75" customHeight="1">
      <c r="A324" s="141"/>
      <c r="B324" s="141"/>
      <c r="C324" s="141"/>
      <c r="D324" s="142"/>
      <c r="E324" s="143"/>
      <c r="F324" s="141"/>
      <c r="G324" s="282"/>
      <c r="H324" s="141"/>
    </row>
    <row r="325" ht="15.75" customHeight="1">
      <c r="A325" s="141"/>
      <c r="B325" s="141"/>
      <c r="C325" s="141"/>
      <c r="D325" s="142"/>
      <c r="E325" s="143"/>
      <c r="F325" s="141"/>
      <c r="G325" s="282"/>
      <c r="H325" s="141"/>
    </row>
    <row r="326" ht="15.75" customHeight="1">
      <c r="A326" s="141"/>
      <c r="B326" s="141"/>
      <c r="C326" s="141"/>
      <c r="D326" s="142"/>
      <c r="E326" s="143"/>
      <c r="F326" s="141"/>
      <c r="G326" s="282"/>
      <c r="H326" s="141"/>
    </row>
    <row r="327" ht="15.75" customHeight="1">
      <c r="A327" s="141"/>
      <c r="B327" s="141"/>
      <c r="C327" s="141"/>
      <c r="D327" s="142"/>
      <c r="E327" s="143"/>
      <c r="F327" s="141"/>
      <c r="G327" s="282"/>
      <c r="H327" s="141"/>
    </row>
    <row r="328" ht="15.75" customHeight="1">
      <c r="A328" s="141"/>
      <c r="B328" s="141"/>
      <c r="C328" s="141"/>
      <c r="D328" s="142"/>
      <c r="E328" s="143"/>
      <c r="F328" s="141"/>
      <c r="G328" s="282"/>
      <c r="H328" s="141"/>
    </row>
    <row r="329" ht="15.75" customHeight="1">
      <c r="A329" s="141"/>
      <c r="B329" s="141"/>
      <c r="C329" s="141"/>
      <c r="D329" s="142"/>
      <c r="E329" s="143"/>
      <c r="F329" s="141"/>
      <c r="G329" s="282"/>
      <c r="H329" s="141"/>
    </row>
    <row r="330" ht="15.75" customHeight="1">
      <c r="A330" s="141"/>
      <c r="B330" s="141"/>
      <c r="C330" s="141"/>
      <c r="D330" s="142"/>
      <c r="E330" s="143"/>
      <c r="F330" s="141"/>
      <c r="G330" s="282"/>
      <c r="H330" s="141"/>
    </row>
    <row r="331" ht="15.75" customHeight="1">
      <c r="A331" s="141"/>
      <c r="B331" s="141"/>
      <c r="C331" s="141"/>
      <c r="D331" s="142"/>
      <c r="E331" s="143"/>
      <c r="F331" s="141"/>
      <c r="G331" s="282"/>
      <c r="H331" s="141"/>
    </row>
    <row r="332" ht="15.75" customHeight="1">
      <c r="A332" s="141"/>
      <c r="B332" s="141"/>
      <c r="C332" s="141"/>
      <c r="D332" s="142"/>
      <c r="E332" s="143"/>
      <c r="F332" s="141"/>
      <c r="G332" s="282"/>
      <c r="H332" s="141"/>
    </row>
    <row r="333" ht="15.75" customHeight="1">
      <c r="A333" s="141"/>
      <c r="B333" s="141"/>
      <c r="C333" s="141"/>
      <c r="D333" s="142"/>
      <c r="E333" s="143"/>
      <c r="F333" s="141"/>
      <c r="G333" s="282"/>
      <c r="H333" s="141"/>
    </row>
    <row r="334" ht="15.75" customHeight="1">
      <c r="A334" s="141"/>
      <c r="B334" s="141"/>
      <c r="C334" s="141"/>
      <c r="D334" s="142"/>
      <c r="E334" s="143"/>
      <c r="F334" s="141"/>
      <c r="G334" s="282"/>
      <c r="H334" s="141"/>
    </row>
    <row r="335" ht="15.75" customHeight="1">
      <c r="A335" s="141"/>
      <c r="B335" s="141"/>
      <c r="C335" s="141"/>
      <c r="D335" s="142"/>
      <c r="E335" s="143"/>
      <c r="F335" s="141"/>
      <c r="G335" s="282"/>
      <c r="H335" s="141"/>
    </row>
    <row r="336" ht="15.75" customHeight="1">
      <c r="A336" s="141"/>
      <c r="B336" s="141"/>
      <c r="C336" s="141"/>
      <c r="D336" s="142"/>
      <c r="E336" s="143"/>
      <c r="F336" s="141"/>
      <c r="G336" s="282"/>
      <c r="H336" s="141"/>
    </row>
    <row r="337" ht="15.75" customHeight="1">
      <c r="A337" s="141"/>
      <c r="B337" s="141"/>
      <c r="C337" s="141"/>
      <c r="D337" s="142"/>
      <c r="E337" s="143"/>
      <c r="F337" s="141"/>
      <c r="G337" s="282"/>
      <c r="H337" s="141"/>
    </row>
    <row r="338" ht="15.75" customHeight="1">
      <c r="A338" s="141"/>
      <c r="B338" s="141"/>
      <c r="C338" s="141"/>
      <c r="D338" s="142"/>
      <c r="E338" s="143"/>
      <c r="F338" s="141"/>
      <c r="G338" s="282"/>
      <c r="H338" s="141"/>
    </row>
    <row r="339" ht="15.75" customHeight="1">
      <c r="A339" s="141"/>
      <c r="B339" s="141"/>
      <c r="C339" s="141"/>
      <c r="D339" s="142"/>
      <c r="E339" s="143"/>
      <c r="F339" s="141"/>
      <c r="G339" s="282"/>
      <c r="H339" s="141"/>
    </row>
    <row r="340" ht="15.75" customHeight="1">
      <c r="A340" s="141"/>
      <c r="B340" s="141"/>
      <c r="C340" s="141"/>
      <c r="D340" s="142"/>
      <c r="E340" s="143"/>
      <c r="F340" s="141"/>
      <c r="G340" s="282"/>
      <c r="H340" s="141"/>
    </row>
    <row r="341" ht="15.75" customHeight="1">
      <c r="A341" s="141"/>
      <c r="B341" s="141"/>
      <c r="C341" s="141"/>
      <c r="D341" s="142"/>
      <c r="E341" s="143"/>
      <c r="F341" s="141"/>
      <c r="G341" s="282"/>
      <c r="H341" s="141"/>
    </row>
    <row r="342" ht="15.75" customHeight="1">
      <c r="A342" s="141"/>
      <c r="B342" s="141"/>
      <c r="C342" s="141"/>
      <c r="D342" s="142"/>
      <c r="E342" s="143"/>
      <c r="F342" s="141"/>
      <c r="G342" s="282"/>
      <c r="H342" s="141"/>
    </row>
    <row r="343" ht="15.75" customHeight="1">
      <c r="A343" s="141"/>
      <c r="B343" s="141"/>
      <c r="C343" s="141"/>
      <c r="D343" s="142"/>
      <c r="E343" s="143"/>
      <c r="F343" s="141"/>
      <c r="G343" s="282"/>
      <c r="H343" s="141"/>
    </row>
    <row r="344" ht="15.75" customHeight="1">
      <c r="A344" s="141"/>
      <c r="B344" s="141"/>
      <c r="C344" s="141"/>
      <c r="D344" s="142"/>
      <c r="E344" s="143"/>
      <c r="F344" s="141"/>
      <c r="G344" s="282"/>
      <c r="H344" s="141"/>
    </row>
    <row r="345" ht="15.75" customHeight="1">
      <c r="A345" s="141"/>
      <c r="B345" s="141"/>
      <c r="C345" s="141"/>
      <c r="D345" s="142"/>
      <c r="E345" s="143"/>
      <c r="F345" s="141"/>
      <c r="G345" s="282"/>
      <c r="H345" s="141"/>
    </row>
    <row r="346" ht="15.75" customHeight="1">
      <c r="A346" s="141"/>
      <c r="B346" s="141"/>
      <c r="C346" s="141"/>
      <c r="D346" s="142"/>
      <c r="E346" s="143"/>
      <c r="F346" s="141"/>
      <c r="G346" s="282"/>
      <c r="H346" s="141"/>
    </row>
    <row r="347" ht="15.75" customHeight="1">
      <c r="A347" s="141"/>
      <c r="B347" s="141"/>
      <c r="C347" s="141"/>
      <c r="D347" s="142"/>
      <c r="E347" s="143"/>
      <c r="F347" s="141"/>
      <c r="G347" s="282"/>
      <c r="H347" s="141"/>
    </row>
    <row r="348" ht="15.75" customHeight="1">
      <c r="A348" s="141"/>
      <c r="B348" s="141"/>
      <c r="C348" s="141"/>
      <c r="D348" s="142"/>
      <c r="E348" s="143"/>
      <c r="F348" s="141"/>
      <c r="G348" s="282"/>
      <c r="H348" s="141"/>
    </row>
    <row r="349" ht="15.75" customHeight="1">
      <c r="A349" s="141"/>
      <c r="B349" s="141"/>
      <c r="C349" s="141"/>
      <c r="D349" s="142"/>
      <c r="E349" s="143"/>
      <c r="F349" s="141"/>
      <c r="G349" s="282"/>
      <c r="H349" s="141"/>
    </row>
    <row r="350" ht="15.75" customHeight="1">
      <c r="A350" s="141"/>
      <c r="B350" s="141"/>
      <c r="C350" s="141"/>
      <c r="D350" s="142"/>
      <c r="E350" s="143"/>
      <c r="F350" s="141"/>
      <c r="G350" s="282"/>
      <c r="H350" s="141"/>
    </row>
    <row r="351" ht="15.75" customHeight="1">
      <c r="A351" s="141"/>
      <c r="B351" s="141"/>
      <c r="C351" s="141"/>
      <c r="D351" s="142"/>
      <c r="E351" s="143"/>
      <c r="F351" s="141"/>
      <c r="G351" s="282"/>
      <c r="H351" s="141"/>
    </row>
    <row r="352" ht="15.75" customHeight="1">
      <c r="A352" s="141"/>
      <c r="B352" s="141"/>
      <c r="C352" s="141"/>
      <c r="D352" s="142"/>
      <c r="E352" s="143"/>
      <c r="F352" s="141"/>
      <c r="G352" s="282"/>
      <c r="H352" s="141"/>
    </row>
    <row r="353" ht="15.75" customHeight="1">
      <c r="A353" s="141"/>
      <c r="B353" s="141"/>
      <c r="C353" s="141"/>
      <c r="D353" s="142"/>
      <c r="E353" s="143"/>
      <c r="F353" s="141"/>
      <c r="G353" s="282"/>
      <c r="H353" s="141"/>
    </row>
    <row r="354" ht="15.75" customHeight="1">
      <c r="A354" s="141"/>
      <c r="B354" s="141"/>
      <c r="C354" s="141"/>
      <c r="D354" s="142"/>
      <c r="E354" s="143"/>
      <c r="F354" s="141"/>
      <c r="G354" s="282"/>
      <c r="H354" s="141"/>
    </row>
    <row r="355" ht="15.75" customHeight="1">
      <c r="A355" s="141"/>
      <c r="B355" s="141"/>
      <c r="C355" s="141"/>
      <c r="D355" s="142"/>
      <c r="E355" s="143"/>
      <c r="F355" s="141"/>
      <c r="G355" s="282"/>
      <c r="H355" s="141"/>
    </row>
    <row r="356" ht="15.75" customHeight="1">
      <c r="A356" s="141"/>
      <c r="B356" s="141"/>
      <c r="C356" s="141"/>
      <c r="D356" s="142"/>
      <c r="E356" s="143"/>
      <c r="F356" s="141"/>
      <c r="G356" s="282"/>
      <c r="H356" s="110" t="s">
        <v>1837</v>
      </c>
    </row>
    <row r="357" ht="15.75" customHeight="1">
      <c r="A357" s="141"/>
      <c r="B357" s="141"/>
      <c r="C357" s="141"/>
      <c r="D357" s="142"/>
      <c r="E357" s="143"/>
      <c r="F357" s="141"/>
      <c r="G357" s="282"/>
      <c r="H357" s="141"/>
    </row>
    <row r="358" ht="15.75" customHeight="1">
      <c r="A358" s="141"/>
      <c r="B358" s="141"/>
      <c r="C358" s="141"/>
      <c r="D358" s="142"/>
      <c r="E358" s="143"/>
      <c r="F358" s="141"/>
      <c r="G358" s="282"/>
      <c r="H358" s="141"/>
    </row>
    <row r="359" ht="15.75" customHeight="1">
      <c r="A359" s="141"/>
      <c r="B359" s="141"/>
      <c r="C359" s="141"/>
      <c r="D359" s="142"/>
      <c r="E359" s="143"/>
      <c r="F359" s="141"/>
      <c r="G359" s="282"/>
      <c r="H359" s="141"/>
    </row>
    <row r="360" ht="15.75" customHeight="1">
      <c r="A360" s="141"/>
      <c r="B360" s="141"/>
      <c r="C360" s="141"/>
      <c r="D360" s="142"/>
      <c r="E360" s="143"/>
      <c r="F360" s="141"/>
      <c r="G360" s="282"/>
      <c r="H360" s="141"/>
    </row>
    <row r="361" ht="15.75" customHeight="1">
      <c r="A361" s="141"/>
      <c r="B361" s="141"/>
      <c r="C361" s="141"/>
      <c r="D361" s="142"/>
      <c r="E361" s="143"/>
      <c r="F361" s="141"/>
      <c r="G361" s="282"/>
      <c r="H361" s="141"/>
    </row>
    <row r="362" ht="15.75" customHeight="1">
      <c r="A362" s="141"/>
      <c r="B362" s="141"/>
      <c r="C362" s="141"/>
      <c r="D362" s="142"/>
      <c r="E362" s="143"/>
      <c r="F362" s="141"/>
      <c r="G362" s="282"/>
      <c r="H362" s="141"/>
    </row>
    <row r="363" ht="15.75" customHeight="1">
      <c r="A363" s="141"/>
      <c r="B363" s="141"/>
      <c r="C363" s="141"/>
      <c r="D363" s="142"/>
      <c r="E363" s="143"/>
      <c r="F363" s="141"/>
      <c r="G363" s="282"/>
      <c r="H363" s="141"/>
    </row>
    <row r="364" ht="15.75" customHeight="1">
      <c r="A364" s="141"/>
      <c r="B364" s="141"/>
      <c r="C364" s="141"/>
      <c r="D364" s="142"/>
      <c r="E364" s="143"/>
      <c r="F364" s="141"/>
      <c r="G364" s="282"/>
      <c r="H364" s="141"/>
    </row>
    <row r="365" ht="15.75" customHeight="1">
      <c r="A365" s="141"/>
      <c r="B365" s="141"/>
      <c r="C365" s="141"/>
      <c r="D365" s="142"/>
      <c r="E365" s="143"/>
      <c r="F365" s="141"/>
      <c r="G365" s="282"/>
      <c r="H365" s="141"/>
    </row>
    <row r="366" ht="15.75" customHeight="1">
      <c r="A366" s="141"/>
      <c r="B366" s="141"/>
      <c r="C366" s="141"/>
      <c r="D366" s="142"/>
      <c r="E366" s="143"/>
      <c r="F366" s="141"/>
      <c r="G366" s="282"/>
      <c r="H366" s="141"/>
    </row>
    <row r="367" ht="15.75" customHeight="1">
      <c r="A367" s="141"/>
      <c r="B367" s="141"/>
      <c r="C367" s="141"/>
      <c r="D367" s="142"/>
      <c r="E367" s="143"/>
      <c r="F367" s="141"/>
      <c r="G367" s="282"/>
      <c r="H367" s="141"/>
    </row>
    <row r="368" ht="15.75" customHeight="1">
      <c r="A368" s="141"/>
      <c r="B368" s="141"/>
      <c r="C368" s="141"/>
      <c r="D368" s="142"/>
      <c r="E368" s="143"/>
      <c r="F368" s="141"/>
      <c r="G368" s="282"/>
      <c r="H368" s="141"/>
    </row>
    <row r="369" ht="15.75" customHeight="1">
      <c r="A369" s="141"/>
      <c r="B369" s="141"/>
      <c r="C369" s="141"/>
      <c r="D369" s="142"/>
      <c r="E369" s="143"/>
      <c r="F369" s="110" t="s">
        <v>215</v>
      </c>
      <c r="G369" s="282"/>
      <c r="H369" s="141"/>
    </row>
    <row r="370" ht="15.75" customHeight="1">
      <c r="A370" s="141"/>
      <c r="B370" s="141"/>
      <c r="C370" s="141"/>
      <c r="D370" s="142"/>
      <c r="E370" s="143"/>
      <c r="F370" s="141"/>
      <c r="G370" s="282"/>
      <c r="H370" s="141"/>
    </row>
    <row r="371" ht="15.75" customHeight="1">
      <c r="A371" s="141"/>
      <c r="B371" s="141"/>
      <c r="C371" s="141"/>
      <c r="D371" s="142"/>
      <c r="E371" s="143"/>
      <c r="F371" s="141"/>
      <c r="G371" s="282"/>
      <c r="H371" s="141"/>
    </row>
    <row r="372" ht="15.75" customHeight="1">
      <c r="A372" s="141"/>
      <c r="B372" s="141"/>
      <c r="C372" s="141"/>
      <c r="D372" s="142"/>
      <c r="E372" s="143"/>
      <c r="F372" s="141"/>
      <c r="G372" s="282"/>
      <c r="H372" s="141"/>
    </row>
    <row r="373" ht="15.75" customHeight="1">
      <c r="A373" s="141"/>
      <c r="B373" s="141"/>
      <c r="C373" s="141"/>
      <c r="D373" s="142"/>
      <c r="E373" s="143"/>
      <c r="F373" s="141"/>
      <c r="G373" s="282"/>
      <c r="H373" s="141"/>
    </row>
    <row r="374" ht="15.75" customHeight="1">
      <c r="A374" s="141"/>
      <c r="B374" s="141"/>
      <c r="C374" s="141"/>
      <c r="D374" s="142"/>
      <c r="E374" s="143"/>
      <c r="F374" s="141"/>
      <c r="G374" s="282"/>
      <c r="H374" s="141"/>
    </row>
    <row r="375" ht="15.75" customHeight="1">
      <c r="A375" s="141"/>
      <c r="B375" s="141"/>
      <c r="C375" s="141"/>
      <c r="D375" s="142"/>
      <c r="E375" s="143"/>
      <c r="F375" s="141"/>
      <c r="G375" s="282"/>
      <c r="H375" s="141"/>
    </row>
    <row r="376" ht="15.75" customHeight="1">
      <c r="A376" s="141"/>
      <c r="B376" s="141"/>
      <c r="C376" s="141"/>
      <c r="D376" s="142"/>
      <c r="E376" s="143"/>
      <c r="F376" s="141"/>
      <c r="G376" s="282"/>
      <c r="H376" s="141"/>
    </row>
    <row r="377" ht="15.75" customHeight="1">
      <c r="A377" s="141"/>
      <c r="B377" s="141"/>
      <c r="C377" s="141"/>
      <c r="D377" s="142"/>
      <c r="E377" s="143"/>
      <c r="F377" s="141"/>
      <c r="G377" s="282"/>
      <c r="H377" s="141"/>
    </row>
    <row r="378" ht="15.75" customHeight="1">
      <c r="A378" s="141"/>
      <c r="B378" s="141"/>
      <c r="C378" s="141"/>
      <c r="D378" s="142"/>
      <c r="E378" s="143"/>
      <c r="F378" s="141"/>
      <c r="G378" s="282"/>
      <c r="H378" s="141"/>
    </row>
    <row r="379" ht="15.75" customHeight="1">
      <c r="A379" s="141"/>
      <c r="B379" s="141"/>
      <c r="C379" s="141"/>
      <c r="D379" s="142"/>
      <c r="E379" s="143"/>
      <c r="F379" s="141"/>
      <c r="G379" s="282"/>
      <c r="H379" s="141"/>
    </row>
    <row r="380" ht="15.75" customHeight="1">
      <c r="A380" s="141"/>
      <c r="B380" s="141"/>
      <c r="C380" s="141"/>
      <c r="D380" s="142"/>
      <c r="E380" s="143"/>
      <c r="F380" s="141"/>
      <c r="G380" s="282"/>
      <c r="H380" s="141"/>
    </row>
    <row r="381" ht="15.75" customHeight="1">
      <c r="A381" s="141"/>
      <c r="B381" s="141"/>
      <c r="C381" s="141"/>
      <c r="D381" s="142"/>
      <c r="E381" s="143"/>
      <c r="F381" s="141"/>
      <c r="G381" s="282"/>
      <c r="H381" s="141"/>
    </row>
    <row r="382" ht="15.75" customHeight="1">
      <c r="A382" s="141"/>
      <c r="B382" s="141"/>
      <c r="C382" s="141"/>
      <c r="D382" s="142"/>
      <c r="E382" s="143"/>
      <c r="F382" s="141"/>
      <c r="G382" s="282"/>
      <c r="H382" s="141"/>
    </row>
    <row r="383" ht="15.75" customHeight="1">
      <c r="A383" s="141"/>
      <c r="B383" s="141"/>
      <c r="C383" s="141"/>
      <c r="D383" s="142"/>
      <c r="E383" s="143"/>
      <c r="F383" s="141"/>
      <c r="G383" s="282"/>
      <c r="H383" s="141"/>
    </row>
    <row r="384" ht="15.75" customHeight="1">
      <c r="A384" s="141"/>
      <c r="B384" s="141"/>
      <c r="C384" s="141"/>
      <c r="D384" s="142"/>
      <c r="E384" s="143"/>
      <c r="F384" s="141"/>
      <c r="G384" s="282"/>
      <c r="H384" s="141"/>
    </row>
    <row r="385" ht="15.75" customHeight="1">
      <c r="A385" s="141"/>
      <c r="B385" s="141"/>
      <c r="C385" s="141"/>
      <c r="D385" s="142"/>
      <c r="E385" s="143"/>
      <c r="F385" s="141"/>
      <c r="G385" s="282"/>
      <c r="H385" s="141"/>
    </row>
    <row r="386" ht="15.75" customHeight="1">
      <c r="A386" s="141"/>
      <c r="B386" s="141"/>
      <c r="C386" s="141"/>
      <c r="D386" s="142"/>
      <c r="E386" s="143"/>
      <c r="F386" s="141"/>
      <c r="G386" s="282"/>
      <c r="H386" s="141"/>
    </row>
    <row r="387" ht="15.75" customHeight="1">
      <c r="A387" s="141"/>
      <c r="B387" s="141"/>
      <c r="C387" s="141"/>
      <c r="D387" s="142"/>
      <c r="E387" s="143"/>
      <c r="F387" s="141"/>
      <c r="G387" s="282"/>
      <c r="H387" s="141"/>
    </row>
    <row r="388" ht="15.75" customHeight="1">
      <c r="A388" s="141"/>
      <c r="B388" s="141"/>
      <c r="C388" s="141"/>
      <c r="D388" s="142"/>
      <c r="E388" s="143"/>
      <c r="F388" s="141"/>
      <c r="G388" s="282"/>
      <c r="H388" s="141"/>
    </row>
    <row r="389" ht="15.75" customHeight="1">
      <c r="A389" s="141"/>
      <c r="B389" s="141"/>
      <c r="C389" s="141"/>
      <c r="D389" s="142"/>
      <c r="E389" s="143"/>
      <c r="F389" s="141"/>
      <c r="G389" s="282"/>
      <c r="H389" s="141"/>
    </row>
    <row r="390" ht="15.75" customHeight="1">
      <c r="A390" s="141"/>
      <c r="B390" s="141"/>
      <c r="C390" s="141"/>
      <c r="D390" s="142"/>
      <c r="E390" s="143"/>
      <c r="F390" s="141"/>
      <c r="G390" s="282"/>
      <c r="H390" s="141"/>
    </row>
    <row r="391" ht="15.75" customHeight="1">
      <c r="A391" s="141"/>
      <c r="B391" s="141"/>
      <c r="C391" s="141"/>
      <c r="D391" s="142"/>
      <c r="E391" s="143"/>
      <c r="F391" s="141"/>
      <c r="G391" s="282"/>
      <c r="H391" s="141"/>
    </row>
    <row r="392" ht="15.75" customHeight="1">
      <c r="A392" s="141"/>
      <c r="B392" s="141"/>
      <c r="C392" s="141"/>
      <c r="D392" s="142"/>
      <c r="E392" s="143"/>
      <c r="F392" s="141"/>
      <c r="G392" s="282"/>
      <c r="H392" s="141"/>
    </row>
    <row r="393" ht="15.75" customHeight="1">
      <c r="A393" s="141"/>
      <c r="B393" s="141"/>
      <c r="C393" s="141"/>
      <c r="D393" s="142"/>
      <c r="E393" s="143"/>
      <c r="F393" s="141"/>
      <c r="G393" s="282"/>
      <c r="H393" s="141"/>
    </row>
    <row r="394" ht="15.75" customHeight="1">
      <c r="A394" s="141"/>
      <c r="B394" s="141"/>
      <c r="C394" s="141"/>
      <c r="D394" s="142"/>
      <c r="E394" s="143"/>
      <c r="F394" s="141"/>
      <c r="G394" s="282"/>
      <c r="H394" s="141"/>
    </row>
    <row r="395" ht="15.75" customHeight="1">
      <c r="A395" s="141"/>
      <c r="B395" s="141"/>
      <c r="C395" s="141"/>
      <c r="D395" s="142"/>
      <c r="E395" s="143"/>
      <c r="F395" s="141"/>
      <c r="G395" s="282"/>
      <c r="H395" s="141"/>
    </row>
    <row r="396" ht="15.75" customHeight="1">
      <c r="A396" s="141"/>
      <c r="B396" s="141"/>
      <c r="C396" s="141"/>
      <c r="D396" s="142"/>
      <c r="E396" s="143"/>
      <c r="F396" s="141"/>
      <c r="G396" s="282"/>
      <c r="H396" s="141"/>
    </row>
    <row r="397" ht="15.75" customHeight="1">
      <c r="A397" s="141"/>
      <c r="B397" s="141"/>
      <c r="C397" s="141"/>
      <c r="D397" s="142"/>
      <c r="E397" s="143"/>
      <c r="F397" s="141"/>
      <c r="G397" s="282"/>
      <c r="H397" s="141"/>
    </row>
    <row r="398" ht="15.75" customHeight="1">
      <c r="A398" s="141"/>
      <c r="B398" s="141"/>
      <c r="C398" s="141"/>
      <c r="D398" s="142"/>
      <c r="E398" s="143"/>
      <c r="F398" s="141"/>
      <c r="G398" s="282"/>
      <c r="H398" s="141"/>
    </row>
    <row r="399" ht="15.75" customHeight="1">
      <c r="A399" s="141"/>
      <c r="B399" s="141"/>
      <c r="C399" s="141"/>
      <c r="D399" s="142"/>
      <c r="E399" s="143"/>
      <c r="F399" s="141"/>
      <c r="G399" s="282"/>
      <c r="H399" s="141"/>
    </row>
    <row r="400" ht="15.75" customHeight="1">
      <c r="A400" s="141"/>
      <c r="B400" s="141"/>
      <c r="C400" s="141"/>
      <c r="D400" s="142"/>
      <c r="E400" s="143"/>
      <c r="F400" s="141"/>
      <c r="G400" s="282"/>
      <c r="H400" s="141"/>
    </row>
    <row r="401" ht="15.75" customHeight="1">
      <c r="A401" s="141"/>
      <c r="B401" s="141"/>
      <c r="C401" s="141"/>
      <c r="D401" s="142"/>
      <c r="E401" s="143"/>
      <c r="F401" s="141"/>
      <c r="G401" s="282"/>
      <c r="H401" s="141"/>
    </row>
    <row r="402" ht="15.75" customHeight="1">
      <c r="A402" s="141"/>
      <c r="B402" s="141"/>
      <c r="C402" s="141"/>
      <c r="D402" s="142"/>
      <c r="E402" s="143"/>
      <c r="F402" s="141"/>
      <c r="G402" s="282"/>
      <c r="H402" s="141"/>
    </row>
    <row r="403" ht="15.75" customHeight="1">
      <c r="A403" s="141"/>
      <c r="B403" s="141"/>
      <c r="C403" s="141"/>
      <c r="D403" s="142"/>
      <c r="E403" s="143"/>
      <c r="F403" s="141"/>
      <c r="G403" s="282"/>
      <c r="H403" s="141"/>
    </row>
    <row r="404" ht="15.75" customHeight="1">
      <c r="A404" s="141"/>
      <c r="B404" s="141"/>
      <c r="C404" s="141"/>
      <c r="D404" s="142"/>
      <c r="E404" s="143"/>
      <c r="F404" s="141"/>
      <c r="G404" s="282"/>
      <c r="H404" s="141"/>
    </row>
    <row r="405" ht="15.75" customHeight="1">
      <c r="A405" s="141"/>
      <c r="B405" s="141"/>
      <c r="C405" s="141"/>
      <c r="D405" s="142"/>
      <c r="E405" s="143"/>
      <c r="F405" s="141"/>
      <c r="G405" s="282"/>
      <c r="H405" s="141"/>
    </row>
    <row r="406" ht="15.75" customHeight="1">
      <c r="A406" s="141"/>
      <c r="B406" s="141"/>
      <c r="C406" s="141"/>
      <c r="D406" s="142"/>
      <c r="E406" s="143"/>
      <c r="F406" s="141"/>
      <c r="G406" s="282"/>
      <c r="H406" s="141"/>
    </row>
    <row r="407" ht="15.75" customHeight="1">
      <c r="A407" s="141"/>
      <c r="B407" s="141"/>
      <c r="C407" s="141"/>
      <c r="D407" s="142"/>
      <c r="E407" s="143"/>
      <c r="F407" s="141"/>
      <c r="G407" s="282"/>
      <c r="H407" s="141"/>
    </row>
    <row r="408" ht="15.75" customHeight="1">
      <c r="A408" s="141"/>
      <c r="B408" s="141"/>
      <c r="C408" s="141"/>
      <c r="D408" s="142"/>
      <c r="E408" s="143"/>
      <c r="F408" s="141"/>
      <c r="G408" s="282"/>
      <c r="H408" s="141"/>
    </row>
    <row r="409" ht="15.75" customHeight="1">
      <c r="A409" s="141"/>
      <c r="B409" s="141"/>
      <c r="C409" s="141"/>
      <c r="D409" s="142"/>
      <c r="E409" s="143"/>
      <c r="F409" s="141"/>
      <c r="G409" s="282"/>
      <c r="H409" s="141"/>
    </row>
    <row r="410" ht="15.75" customHeight="1">
      <c r="A410" s="141"/>
      <c r="B410" s="141"/>
      <c r="C410" s="141"/>
      <c r="D410" s="142"/>
      <c r="E410" s="143"/>
      <c r="F410" s="141"/>
      <c r="G410" s="282"/>
      <c r="H410" s="141"/>
    </row>
    <row r="411" ht="15.75" customHeight="1">
      <c r="A411" s="141"/>
      <c r="B411" s="141"/>
      <c r="C411" s="141"/>
      <c r="D411" s="142"/>
      <c r="E411" s="143"/>
      <c r="F411" s="141"/>
      <c r="G411" s="282"/>
      <c r="H411" s="141"/>
    </row>
    <row r="412" ht="15.75" customHeight="1">
      <c r="A412" s="141"/>
      <c r="B412" s="141"/>
      <c r="C412" s="141"/>
      <c r="D412" s="142"/>
      <c r="E412" s="143"/>
      <c r="F412" s="141"/>
      <c r="G412" s="282"/>
      <c r="H412" s="141"/>
    </row>
    <row r="413" ht="15.75" customHeight="1">
      <c r="A413" s="141"/>
      <c r="B413" s="141"/>
      <c r="C413" s="141"/>
      <c r="D413" s="142"/>
      <c r="E413" s="143"/>
      <c r="F413" s="141"/>
      <c r="G413" s="282"/>
      <c r="H413" s="141"/>
    </row>
    <row r="414" ht="15.75" customHeight="1">
      <c r="A414" s="141"/>
      <c r="B414" s="141"/>
      <c r="C414" s="141"/>
      <c r="D414" s="142"/>
      <c r="E414" s="143"/>
      <c r="F414" s="141"/>
      <c r="G414" s="282"/>
      <c r="H414" s="141"/>
    </row>
    <row r="415" ht="15.75" customHeight="1">
      <c r="A415" s="141"/>
      <c r="B415" s="141"/>
      <c r="C415" s="141"/>
      <c r="D415" s="142"/>
      <c r="E415" s="143"/>
      <c r="F415" s="141"/>
      <c r="G415" s="282"/>
      <c r="H415" s="141"/>
    </row>
    <row r="416" ht="15.75" customHeight="1">
      <c r="A416" s="141"/>
      <c r="B416" s="141"/>
      <c r="C416" s="141"/>
      <c r="D416" s="142"/>
      <c r="E416" s="143"/>
      <c r="F416" s="141"/>
      <c r="G416" s="282"/>
      <c r="H416" s="141"/>
    </row>
    <row r="417" ht="15.75" customHeight="1">
      <c r="A417" s="141"/>
      <c r="B417" s="141"/>
      <c r="C417" s="141"/>
      <c r="D417" s="142"/>
      <c r="E417" s="143"/>
      <c r="F417" s="141"/>
      <c r="G417" s="282"/>
      <c r="H417" s="141"/>
    </row>
    <row r="418" ht="15.75" customHeight="1">
      <c r="A418" s="141"/>
      <c r="B418" s="141"/>
      <c r="C418" s="141"/>
      <c r="D418" s="142"/>
      <c r="E418" s="143"/>
      <c r="F418" s="141"/>
      <c r="G418" s="282"/>
      <c r="H418" s="141"/>
    </row>
    <row r="419" ht="15.75" customHeight="1">
      <c r="A419" s="141"/>
      <c r="B419" s="141"/>
      <c r="C419" s="141"/>
      <c r="D419" s="142"/>
      <c r="E419" s="143"/>
      <c r="F419" s="141"/>
      <c r="G419" s="282"/>
      <c r="H419" s="141"/>
    </row>
    <row r="420" ht="15.75" customHeight="1">
      <c r="A420" s="141"/>
      <c r="B420" s="141"/>
      <c r="C420" s="141"/>
      <c r="D420" s="142"/>
      <c r="E420" s="143"/>
      <c r="F420" s="141"/>
      <c r="G420" s="282"/>
      <c r="H420" s="141"/>
    </row>
    <row r="421" ht="15.75" customHeight="1">
      <c r="A421" s="141"/>
      <c r="B421" s="141"/>
      <c r="C421" s="141"/>
      <c r="D421" s="142"/>
      <c r="E421" s="143"/>
      <c r="F421" s="141"/>
      <c r="G421" s="282"/>
      <c r="H421" s="141"/>
    </row>
    <row r="422" ht="15.75" customHeight="1">
      <c r="A422" s="141"/>
      <c r="B422" s="141"/>
      <c r="C422" s="141"/>
      <c r="D422" s="142"/>
      <c r="E422" s="143"/>
      <c r="F422" s="141"/>
      <c r="G422" s="282"/>
      <c r="H422" s="141"/>
    </row>
    <row r="423" ht="15.75" customHeight="1">
      <c r="A423" s="141"/>
      <c r="B423" s="141"/>
      <c r="C423" s="141"/>
      <c r="D423" s="142"/>
      <c r="E423" s="143"/>
      <c r="F423" s="141"/>
      <c r="G423" s="282"/>
      <c r="H423" s="141"/>
    </row>
    <row r="424" ht="15.75" customHeight="1">
      <c r="A424" s="141"/>
      <c r="B424" s="141"/>
      <c r="C424" s="141"/>
      <c r="D424" s="142"/>
      <c r="E424" s="143"/>
      <c r="F424" s="141"/>
      <c r="G424" s="282"/>
      <c r="H424" s="141"/>
    </row>
    <row r="425" ht="15.75" customHeight="1">
      <c r="A425" s="141"/>
      <c r="B425" s="141"/>
      <c r="C425" s="141"/>
      <c r="D425" s="142"/>
      <c r="E425" s="143"/>
      <c r="F425" s="141"/>
      <c r="G425" s="282"/>
      <c r="H425" s="141"/>
    </row>
    <row r="426" ht="15.75" customHeight="1">
      <c r="A426" s="141"/>
      <c r="B426" s="141"/>
      <c r="C426" s="141"/>
      <c r="D426" s="142"/>
      <c r="E426" s="143"/>
      <c r="F426" s="141"/>
      <c r="G426" s="282"/>
      <c r="H426" s="141"/>
    </row>
    <row r="427" ht="15.75" customHeight="1">
      <c r="A427" s="141"/>
      <c r="B427" s="141"/>
      <c r="C427" s="141"/>
      <c r="D427" s="142"/>
      <c r="E427" s="143"/>
      <c r="F427" s="141"/>
      <c r="G427" s="282"/>
      <c r="H427" s="141"/>
    </row>
    <row r="428" ht="15.75" customHeight="1">
      <c r="A428" s="141"/>
      <c r="B428" s="141"/>
      <c r="C428" s="141"/>
      <c r="D428" s="142"/>
      <c r="E428" s="143"/>
      <c r="F428" s="141"/>
      <c r="G428" s="282"/>
      <c r="H428" s="141"/>
    </row>
    <row r="429" ht="15.75" customHeight="1">
      <c r="A429" s="141"/>
      <c r="B429" s="141"/>
      <c r="C429" s="141"/>
      <c r="D429" s="142"/>
      <c r="E429" s="143"/>
      <c r="F429" s="141"/>
      <c r="G429" s="282"/>
      <c r="H429" s="141"/>
    </row>
    <row r="430" ht="15.75" customHeight="1">
      <c r="A430" s="141"/>
      <c r="B430" s="141"/>
      <c r="C430" s="141"/>
      <c r="D430" s="142"/>
      <c r="E430" s="143"/>
      <c r="F430" s="141"/>
      <c r="G430" s="282"/>
      <c r="H430" s="141"/>
    </row>
    <row r="431" ht="15.75" customHeight="1">
      <c r="A431" s="141"/>
      <c r="B431" s="141"/>
      <c r="C431" s="141"/>
      <c r="D431" s="142"/>
      <c r="E431" s="143"/>
      <c r="F431" s="141"/>
      <c r="G431" s="282"/>
      <c r="H431" s="141"/>
    </row>
    <row r="432" ht="15.75" customHeight="1">
      <c r="A432" s="141"/>
      <c r="B432" s="141"/>
      <c r="C432" s="141"/>
      <c r="D432" s="142"/>
      <c r="E432" s="143"/>
      <c r="F432" s="141"/>
      <c r="G432" s="282"/>
      <c r="H432" s="141"/>
    </row>
    <row r="433" ht="15.75" customHeight="1">
      <c r="A433" s="141"/>
      <c r="B433" s="141"/>
      <c r="C433" s="141"/>
      <c r="D433" s="142"/>
      <c r="E433" s="143"/>
      <c r="F433" s="141"/>
      <c r="G433" s="282"/>
      <c r="H433" s="141"/>
    </row>
    <row r="434" ht="15.75" customHeight="1">
      <c r="A434" s="141"/>
      <c r="B434" s="141"/>
      <c r="C434" s="141"/>
      <c r="D434" s="142"/>
      <c r="E434" s="143"/>
      <c r="F434" s="141"/>
      <c r="G434" s="282"/>
      <c r="H434" s="141"/>
    </row>
    <row r="435" ht="15.75" customHeight="1">
      <c r="A435" s="141"/>
      <c r="B435" s="141"/>
      <c r="C435" s="141"/>
      <c r="D435" s="142"/>
      <c r="E435" s="143"/>
      <c r="F435" s="141"/>
      <c r="G435" s="282"/>
      <c r="H435" s="141"/>
    </row>
    <row r="436" ht="15.75" customHeight="1">
      <c r="A436" s="141"/>
      <c r="B436" s="141"/>
      <c r="C436" s="141"/>
      <c r="D436" s="142"/>
      <c r="E436" s="143"/>
      <c r="F436" s="141"/>
      <c r="G436" s="282"/>
      <c r="H436" s="141"/>
    </row>
    <row r="437" ht="15.75" customHeight="1">
      <c r="A437" s="141"/>
      <c r="B437" s="141"/>
      <c r="C437" s="141"/>
      <c r="D437" s="142"/>
      <c r="E437" s="143"/>
      <c r="F437" s="141"/>
      <c r="G437" s="282"/>
      <c r="H437" s="141"/>
    </row>
    <row r="438" ht="15.75" customHeight="1">
      <c r="A438" s="141"/>
      <c r="B438" s="141"/>
      <c r="C438" s="141"/>
      <c r="D438" s="142"/>
      <c r="E438" s="143"/>
      <c r="F438" s="141"/>
      <c r="G438" s="282"/>
      <c r="H438" s="141"/>
    </row>
    <row r="439" ht="15.75" customHeight="1">
      <c r="A439" s="141"/>
      <c r="B439" s="141"/>
      <c r="C439" s="141"/>
      <c r="D439" s="142"/>
      <c r="E439" s="143"/>
      <c r="F439" s="141"/>
      <c r="G439" s="282"/>
      <c r="H439" s="141"/>
    </row>
    <row r="440" ht="15.75" customHeight="1">
      <c r="A440" s="141"/>
      <c r="B440" s="141"/>
      <c r="C440" s="141"/>
      <c r="D440" s="142"/>
      <c r="E440" s="143"/>
      <c r="F440" s="141"/>
      <c r="G440" s="282"/>
      <c r="H440" s="141"/>
    </row>
    <row r="441" ht="15.75" customHeight="1">
      <c r="A441" s="141"/>
      <c r="B441" s="141"/>
      <c r="C441" s="141"/>
      <c r="D441" s="142"/>
      <c r="E441" s="143"/>
      <c r="F441" s="141"/>
      <c r="G441" s="282"/>
      <c r="H441" s="141"/>
    </row>
    <row r="442" ht="15.75" customHeight="1">
      <c r="A442" s="141"/>
      <c r="B442" s="141"/>
      <c r="C442" s="141"/>
      <c r="D442" s="142"/>
      <c r="E442" s="143"/>
      <c r="F442" s="141"/>
      <c r="G442" s="282"/>
      <c r="H442" s="141"/>
    </row>
    <row r="443" ht="15.75" customHeight="1">
      <c r="A443" s="141"/>
      <c r="B443" s="141"/>
      <c r="C443" s="141"/>
      <c r="D443" s="142"/>
      <c r="E443" s="143"/>
      <c r="F443" s="141"/>
      <c r="G443" s="282"/>
      <c r="H443" s="141"/>
    </row>
    <row r="444" ht="15.75" customHeight="1">
      <c r="A444" s="141"/>
      <c r="B444" s="141"/>
      <c r="C444" s="141"/>
      <c r="D444" s="142"/>
      <c r="E444" s="143"/>
      <c r="F444" s="141"/>
      <c r="G444" s="282"/>
      <c r="H444" s="141"/>
    </row>
    <row r="445" ht="15.75" customHeight="1">
      <c r="A445" s="141"/>
      <c r="B445" s="141"/>
      <c r="C445" s="141"/>
      <c r="D445" s="142"/>
      <c r="E445" s="143"/>
      <c r="F445" s="141"/>
      <c r="G445" s="282"/>
      <c r="H445" s="141"/>
    </row>
    <row r="446" ht="15.75" customHeight="1">
      <c r="A446" s="141"/>
      <c r="B446" s="141"/>
      <c r="C446" s="141"/>
      <c r="D446" s="142"/>
      <c r="E446" s="143"/>
      <c r="F446" s="141"/>
      <c r="G446" s="282"/>
      <c r="H446" s="141"/>
    </row>
    <row r="447" ht="15.75" customHeight="1">
      <c r="A447" s="141"/>
      <c r="B447" s="141"/>
      <c r="C447" s="141"/>
      <c r="D447" s="142"/>
      <c r="E447" s="143"/>
      <c r="F447" s="141"/>
      <c r="G447" s="282"/>
      <c r="H447" s="141"/>
    </row>
    <row r="448" ht="15.75" customHeight="1">
      <c r="A448" s="141"/>
      <c r="B448" s="141"/>
      <c r="C448" s="141"/>
      <c r="D448" s="142"/>
      <c r="E448" s="143"/>
      <c r="F448" s="141"/>
      <c r="G448" s="282"/>
      <c r="H448" s="141"/>
    </row>
    <row r="449" ht="15.75" customHeight="1">
      <c r="A449" s="141"/>
      <c r="B449" s="141"/>
      <c r="C449" s="141"/>
      <c r="D449" s="142"/>
      <c r="E449" s="143"/>
      <c r="F449" s="141"/>
      <c r="G449" s="282"/>
      <c r="H449" s="141"/>
    </row>
    <row r="450" ht="15.75" customHeight="1">
      <c r="A450" s="141"/>
      <c r="B450" s="141"/>
      <c r="C450" s="141"/>
      <c r="D450" s="142"/>
      <c r="E450" s="143"/>
      <c r="F450" s="141"/>
      <c r="G450" s="282"/>
      <c r="H450" s="141"/>
    </row>
    <row r="451" ht="15.75" customHeight="1">
      <c r="A451" s="141"/>
      <c r="B451" s="141"/>
      <c r="C451" s="141"/>
      <c r="D451" s="142"/>
      <c r="E451" s="143"/>
      <c r="F451" s="141"/>
      <c r="G451" s="282"/>
      <c r="H451" s="141"/>
    </row>
    <row r="452" ht="15.75" customHeight="1">
      <c r="A452" s="141"/>
      <c r="B452" s="141"/>
      <c r="C452" s="141"/>
      <c r="D452" s="142"/>
      <c r="E452" s="143"/>
      <c r="F452" s="141"/>
      <c r="G452" s="282"/>
      <c r="H452" s="141"/>
    </row>
    <row r="453" ht="15.75" customHeight="1">
      <c r="A453" s="141"/>
      <c r="B453" s="141"/>
      <c r="C453" s="141"/>
      <c r="D453" s="142"/>
      <c r="E453" s="143"/>
      <c r="F453" s="141"/>
      <c r="G453" s="282"/>
      <c r="H453" s="141"/>
    </row>
    <row r="454" ht="15.75" customHeight="1">
      <c r="A454" s="141"/>
      <c r="B454" s="141"/>
      <c r="C454" s="141"/>
      <c r="D454" s="142"/>
      <c r="E454" s="143"/>
      <c r="F454" s="141"/>
      <c r="G454" s="282"/>
      <c r="H454" s="141"/>
    </row>
    <row r="455" ht="15.75" customHeight="1">
      <c r="A455" s="141"/>
      <c r="B455" s="141"/>
      <c r="C455" s="141"/>
      <c r="D455" s="142"/>
      <c r="E455" s="143"/>
      <c r="F455" s="141"/>
      <c r="G455" s="282"/>
      <c r="H455" s="141"/>
    </row>
    <row r="456" ht="15.75" customHeight="1">
      <c r="A456" s="141"/>
      <c r="B456" s="141"/>
      <c r="C456" s="141"/>
      <c r="D456" s="142"/>
      <c r="E456" s="143"/>
      <c r="F456" s="141"/>
      <c r="G456" s="282"/>
      <c r="H456" s="141"/>
    </row>
    <row r="457" ht="15.75" customHeight="1">
      <c r="A457" s="141"/>
      <c r="B457" s="141"/>
      <c r="C457" s="141"/>
      <c r="D457" s="142"/>
      <c r="E457" s="143"/>
      <c r="F457" s="141"/>
      <c r="G457" s="282"/>
      <c r="H457" s="141"/>
    </row>
    <row r="458" ht="15.75" customHeight="1">
      <c r="A458" s="141"/>
      <c r="B458" s="141"/>
      <c r="C458" s="141"/>
      <c r="D458" s="142"/>
      <c r="E458" s="143"/>
      <c r="F458" s="141"/>
      <c r="G458" s="282"/>
      <c r="H458" s="141"/>
    </row>
    <row r="459" ht="15.75" customHeight="1">
      <c r="A459" s="141"/>
      <c r="B459" s="141"/>
      <c r="C459" s="141"/>
      <c r="D459" s="142"/>
      <c r="E459" s="143"/>
      <c r="F459" s="141"/>
      <c r="G459" s="282"/>
      <c r="H459" s="141"/>
    </row>
    <row r="460" ht="15.75" customHeight="1">
      <c r="A460" s="141"/>
      <c r="B460" s="141"/>
      <c r="C460" s="141"/>
      <c r="D460" s="142"/>
      <c r="E460" s="143"/>
      <c r="F460" s="141"/>
      <c r="G460" s="282"/>
      <c r="H460" s="141"/>
    </row>
    <row r="461" ht="15.75" customHeight="1">
      <c r="A461" s="141"/>
      <c r="B461" s="141"/>
      <c r="C461" s="141"/>
      <c r="D461" s="142"/>
      <c r="E461" s="143"/>
      <c r="F461" s="141"/>
      <c r="G461" s="282"/>
      <c r="H461" s="141"/>
    </row>
    <row r="462" ht="15.75" customHeight="1">
      <c r="A462" s="141"/>
      <c r="B462" s="141"/>
      <c r="C462" s="141"/>
      <c r="D462" s="142"/>
      <c r="E462" s="143"/>
      <c r="F462" s="141"/>
      <c r="G462" s="282"/>
      <c r="H462" s="141"/>
    </row>
    <row r="463" ht="15.75" customHeight="1">
      <c r="A463" s="141"/>
      <c r="B463" s="141"/>
      <c r="C463" s="141"/>
      <c r="D463" s="142"/>
      <c r="E463" s="143"/>
      <c r="F463" s="141"/>
      <c r="G463" s="282"/>
      <c r="H463" s="141"/>
    </row>
    <row r="464" ht="15.75" customHeight="1">
      <c r="A464" s="141"/>
      <c r="B464" s="141"/>
      <c r="C464" s="141"/>
      <c r="D464" s="142"/>
      <c r="E464" s="143"/>
      <c r="F464" s="141"/>
      <c r="G464" s="282"/>
      <c r="H464" s="141"/>
    </row>
    <row r="465" ht="15.75" customHeight="1">
      <c r="A465" s="141"/>
      <c r="B465" s="141"/>
      <c r="C465" s="141"/>
      <c r="D465" s="142"/>
      <c r="E465" s="143"/>
      <c r="F465" s="141"/>
      <c r="G465" s="282"/>
      <c r="H465" s="141"/>
    </row>
    <row r="466" ht="15.75" customHeight="1">
      <c r="A466" s="141"/>
      <c r="B466" s="141"/>
      <c r="C466" s="141"/>
      <c r="D466" s="142"/>
      <c r="E466" s="143"/>
      <c r="F466" s="141"/>
      <c r="G466" s="282"/>
      <c r="H466" s="141"/>
    </row>
    <row r="467" ht="15.75" customHeight="1">
      <c r="A467" s="141"/>
      <c r="B467" s="141"/>
      <c r="C467" s="141"/>
      <c r="D467" s="142"/>
      <c r="E467" s="143"/>
      <c r="F467" s="141"/>
      <c r="G467" s="282"/>
      <c r="H467" s="141"/>
    </row>
    <row r="468" ht="15.75" customHeight="1">
      <c r="A468" s="141"/>
      <c r="B468" s="141"/>
      <c r="C468" s="141"/>
      <c r="D468" s="142"/>
      <c r="E468" s="143"/>
      <c r="F468" s="141"/>
      <c r="G468" s="282"/>
      <c r="H468" s="141"/>
    </row>
    <row r="469" ht="15.75" customHeight="1">
      <c r="A469" s="141"/>
      <c r="B469" s="141"/>
      <c r="C469" s="141"/>
      <c r="D469" s="142"/>
      <c r="E469" s="143"/>
      <c r="F469" s="141"/>
      <c r="G469" s="282"/>
      <c r="H469" s="141"/>
    </row>
    <row r="470" ht="15.75" customHeight="1">
      <c r="A470" s="141"/>
      <c r="B470" s="141"/>
      <c r="C470" s="141"/>
      <c r="D470" s="142"/>
      <c r="E470" s="143"/>
      <c r="F470" s="141"/>
      <c r="G470" s="282"/>
      <c r="H470" s="141"/>
    </row>
    <row r="471" ht="15.75" customHeight="1">
      <c r="A471" s="141"/>
      <c r="B471" s="141"/>
      <c r="C471" s="141"/>
      <c r="D471" s="142"/>
      <c r="E471" s="143"/>
      <c r="F471" s="141"/>
      <c r="G471" s="282"/>
      <c r="H471" s="141"/>
    </row>
    <row r="472" ht="15.75" customHeight="1">
      <c r="A472" s="141"/>
      <c r="B472" s="141"/>
      <c r="C472" s="141"/>
      <c r="D472" s="142"/>
      <c r="E472" s="143"/>
      <c r="F472" s="141"/>
      <c r="G472" s="282"/>
      <c r="H472" s="141"/>
    </row>
    <row r="473" ht="15.75" customHeight="1">
      <c r="A473" s="141"/>
      <c r="B473" s="141"/>
      <c r="C473" s="141"/>
      <c r="D473" s="142"/>
      <c r="E473" s="143"/>
      <c r="F473" s="141"/>
      <c r="G473" s="282"/>
      <c r="H473" s="141"/>
    </row>
    <row r="474" ht="15.75" customHeight="1">
      <c r="A474" s="141"/>
      <c r="B474" s="141"/>
      <c r="C474" s="141"/>
      <c r="D474" s="142"/>
      <c r="E474" s="143"/>
      <c r="F474" s="141"/>
      <c r="G474" s="282"/>
      <c r="H474" s="141"/>
    </row>
    <row r="475" ht="15.75" customHeight="1">
      <c r="A475" s="141"/>
      <c r="B475" s="141"/>
      <c r="C475" s="141"/>
      <c r="D475" s="142"/>
      <c r="E475" s="143"/>
      <c r="F475" s="141"/>
      <c r="G475" s="282"/>
      <c r="H475" s="141"/>
    </row>
    <row r="476" ht="15.75" customHeight="1">
      <c r="A476" s="141"/>
      <c r="B476" s="141"/>
      <c r="C476" s="141"/>
      <c r="D476" s="142"/>
      <c r="E476" s="143"/>
      <c r="F476" s="141"/>
      <c r="G476" s="282"/>
      <c r="H476" s="141"/>
    </row>
    <row r="477" ht="15.75" customHeight="1">
      <c r="A477" s="141"/>
      <c r="B477" s="141"/>
      <c r="C477" s="141"/>
      <c r="D477" s="142"/>
      <c r="E477" s="143"/>
      <c r="F477" s="141"/>
      <c r="G477" s="282"/>
      <c r="H477" s="141"/>
    </row>
    <row r="478" ht="15.75" customHeight="1">
      <c r="A478" s="141"/>
      <c r="B478" s="141"/>
      <c r="C478" s="141"/>
      <c r="D478" s="142"/>
      <c r="E478" s="143"/>
      <c r="F478" s="141"/>
      <c r="G478" s="282"/>
      <c r="H478" s="141"/>
    </row>
    <row r="479" ht="15.75" customHeight="1">
      <c r="A479" s="141"/>
      <c r="B479" s="141"/>
      <c r="C479" s="141"/>
      <c r="D479" s="142"/>
      <c r="E479" s="143"/>
      <c r="F479" s="141"/>
      <c r="G479" s="282"/>
      <c r="H479" s="141"/>
    </row>
    <row r="480" ht="15.75" customHeight="1">
      <c r="A480" s="141"/>
      <c r="B480" s="141"/>
      <c r="C480" s="141"/>
      <c r="D480" s="142"/>
      <c r="E480" s="143"/>
      <c r="F480" s="141"/>
      <c r="G480" s="282"/>
      <c r="H480" s="141"/>
    </row>
    <row r="481" ht="15.75" customHeight="1">
      <c r="A481" s="141"/>
      <c r="B481" s="141"/>
      <c r="C481" s="141"/>
      <c r="D481" s="142"/>
      <c r="E481" s="143"/>
      <c r="F481" s="141"/>
      <c r="G481" s="282"/>
      <c r="H481" s="141"/>
    </row>
    <row r="482" ht="15.75" customHeight="1">
      <c r="A482" s="141"/>
      <c r="B482" s="141"/>
      <c r="C482" s="141"/>
      <c r="D482" s="142"/>
      <c r="E482" s="143"/>
      <c r="F482" s="141"/>
      <c r="G482" s="282"/>
      <c r="H482" s="141"/>
    </row>
    <row r="483" ht="15.75" customHeight="1">
      <c r="A483" s="141"/>
      <c r="B483" s="141"/>
      <c r="C483" s="141"/>
      <c r="D483" s="142"/>
      <c r="E483" s="143"/>
      <c r="F483" s="141"/>
      <c r="G483" s="282"/>
      <c r="H483" s="141"/>
    </row>
    <row r="484" ht="15.75" customHeight="1">
      <c r="A484" s="141"/>
      <c r="B484" s="141"/>
      <c r="C484" s="141"/>
      <c r="D484" s="142"/>
      <c r="E484" s="143"/>
      <c r="F484" s="141"/>
      <c r="G484" s="282"/>
      <c r="H484" s="141"/>
    </row>
    <row r="485" ht="15.75" customHeight="1">
      <c r="A485" s="141"/>
      <c r="B485" s="141"/>
      <c r="C485" s="141"/>
      <c r="D485" s="142"/>
      <c r="E485" s="143"/>
      <c r="F485" s="141"/>
      <c r="G485" s="282"/>
      <c r="H485" s="141"/>
    </row>
    <row r="486" ht="15.75" customHeight="1">
      <c r="A486" s="141"/>
      <c r="B486" s="141"/>
      <c r="C486" s="141"/>
      <c r="D486" s="142"/>
      <c r="E486" s="143"/>
      <c r="F486" s="141"/>
      <c r="G486" s="282"/>
      <c r="H486" s="141"/>
    </row>
    <row r="487" ht="15.75" customHeight="1">
      <c r="A487" s="141"/>
      <c r="B487" s="141"/>
      <c r="C487" s="141"/>
      <c r="D487" s="142"/>
      <c r="E487" s="143"/>
      <c r="F487" s="141"/>
      <c r="G487" s="282"/>
      <c r="H487" s="141"/>
    </row>
    <row r="488" ht="15.75" customHeight="1">
      <c r="A488" s="141"/>
      <c r="B488" s="141"/>
      <c r="C488" s="141"/>
      <c r="D488" s="142"/>
      <c r="E488" s="143"/>
      <c r="F488" s="141"/>
      <c r="G488" s="282"/>
      <c r="H488" s="141"/>
    </row>
    <row r="489" ht="15.75" customHeight="1">
      <c r="A489" s="141"/>
      <c r="B489" s="141"/>
      <c r="C489" s="141"/>
      <c r="D489" s="142"/>
      <c r="E489" s="143"/>
      <c r="F489" s="141"/>
      <c r="G489" s="282"/>
      <c r="H489" s="141"/>
    </row>
    <row r="490" ht="15.75" customHeight="1">
      <c r="A490" s="141"/>
      <c r="B490" s="141"/>
      <c r="C490" s="141"/>
      <c r="D490" s="142"/>
      <c r="E490" s="143"/>
      <c r="F490" s="141"/>
      <c r="G490" s="282"/>
      <c r="H490" s="141"/>
    </row>
    <row r="491" ht="15.75" customHeight="1">
      <c r="A491" s="141"/>
      <c r="B491" s="141"/>
      <c r="C491" s="141"/>
      <c r="D491" s="142"/>
      <c r="E491" s="143"/>
      <c r="F491" s="141"/>
      <c r="G491" s="282"/>
      <c r="H491" s="141"/>
    </row>
    <row r="492" ht="15.75" customHeight="1">
      <c r="A492" s="141"/>
      <c r="B492" s="141"/>
      <c r="C492" s="141"/>
      <c r="D492" s="142"/>
      <c r="E492" s="143"/>
      <c r="F492" s="141"/>
      <c r="G492" s="282"/>
      <c r="H492" s="141"/>
    </row>
    <row r="493" ht="15.75" customHeight="1">
      <c r="A493" s="141"/>
      <c r="B493" s="141"/>
      <c r="C493" s="141"/>
      <c r="D493" s="142"/>
      <c r="E493" s="143"/>
      <c r="F493" s="141"/>
      <c r="G493" s="282"/>
      <c r="H493" s="141"/>
    </row>
    <row r="494" ht="15.75" customHeight="1">
      <c r="A494" s="141"/>
      <c r="B494" s="141"/>
      <c r="C494" s="141"/>
      <c r="D494" s="142"/>
      <c r="E494" s="143"/>
      <c r="F494" s="141"/>
      <c r="G494" s="282"/>
      <c r="H494" s="141"/>
    </row>
    <row r="495" ht="15.75" customHeight="1">
      <c r="A495" s="141"/>
      <c r="B495" s="141"/>
      <c r="C495" s="141"/>
      <c r="D495" s="142"/>
      <c r="E495" s="143"/>
      <c r="F495" s="141"/>
      <c r="G495" s="282"/>
      <c r="H495" s="141"/>
    </row>
    <row r="496" ht="15.75" customHeight="1">
      <c r="A496" s="141"/>
      <c r="B496" s="141"/>
      <c r="C496" s="141"/>
      <c r="D496" s="142"/>
      <c r="E496" s="143"/>
      <c r="F496" s="141"/>
      <c r="G496" s="282"/>
      <c r="H496" s="141"/>
    </row>
    <row r="497" ht="15.75" customHeight="1">
      <c r="A497" s="141"/>
      <c r="B497" s="141"/>
      <c r="C497" s="141"/>
      <c r="D497" s="142"/>
      <c r="E497" s="143"/>
      <c r="F497" s="141"/>
      <c r="G497" s="282"/>
      <c r="H497" s="141"/>
    </row>
    <row r="498" ht="15.75" customHeight="1">
      <c r="A498" s="141"/>
      <c r="B498" s="141"/>
      <c r="C498" s="141"/>
      <c r="D498" s="142"/>
      <c r="E498" s="143"/>
      <c r="F498" s="141"/>
      <c r="G498" s="282"/>
      <c r="H498" s="141"/>
    </row>
    <row r="499" ht="15.75" customHeight="1">
      <c r="A499" s="141"/>
      <c r="B499" s="141"/>
      <c r="C499" s="141"/>
      <c r="D499" s="142"/>
      <c r="E499" s="143"/>
      <c r="F499" s="141"/>
      <c r="G499" s="282"/>
      <c r="H499" s="141"/>
    </row>
    <row r="500" ht="15.75" customHeight="1">
      <c r="A500" s="141"/>
      <c r="B500" s="141"/>
      <c r="C500" s="141"/>
      <c r="D500" s="142"/>
      <c r="E500" s="143"/>
      <c r="F500" s="141"/>
      <c r="G500" s="282"/>
      <c r="H500" s="141"/>
    </row>
    <row r="501" ht="15.75" customHeight="1">
      <c r="A501" s="141"/>
      <c r="B501" s="141"/>
      <c r="C501" s="141"/>
      <c r="D501" s="142"/>
      <c r="E501" s="143"/>
      <c r="F501" s="141"/>
      <c r="G501" s="282"/>
      <c r="H501" s="141"/>
    </row>
    <row r="502" ht="15.75" customHeight="1">
      <c r="A502" s="141"/>
      <c r="B502" s="141"/>
      <c r="C502" s="141"/>
      <c r="D502" s="142"/>
      <c r="E502" s="143"/>
      <c r="F502" s="141"/>
      <c r="G502" s="282"/>
      <c r="H502" s="141"/>
    </row>
    <row r="503" ht="15.75" customHeight="1">
      <c r="A503" s="141"/>
      <c r="B503" s="141"/>
      <c r="C503" s="141"/>
      <c r="D503" s="142"/>
      <c r="E503" s="143"/>
      <c r="F503" s="141"/>
      <c r="G503" s="282"/>
      <c r="H503" s="141"/>
    </row>
    <row r="504" ht="15.75" customHeight="1">
      <c r="A504" s="141"/>
      <c r="B504" s="141"/>
      <c r="C504" s="141"/>
      <c r="D504" s="142"/>
      <c r="E504" s="143"/>
      <c r="F504" s="141"/>
      <c r="G504" s="282"/>
      <c r="H504" s="141"/>
    </row>
    <row r="505" ht="15.75" customHeight="1">
      <c r="A505" s="141"/>
      <c r="B505" s="141"/>
      <c r="C505" s="141"/>
      <c r="D505" s="142"/>
      <c r="E505" s="143"/>
      <c r="F505" s="141"/>
      <c r="G505" s="282"/>
      <c r="H505" s="141"/>
    </row>
    <row r="506" ht="15.75" customHeight="1">
      <c r="A506" s="141"/>
      <c r="B506" s="141"/>
      <c r="C506" s="141"/>
      <c r="D506" s="142"/>
      <c r="E506" s="143"/>
      <c r="F506" s="141"/>
      <c r="G506" s="282"/>
      <c r="H506" s="141"/>
    </row>
    <row r="507" ht="15.75" customHeight="1">
      <c r="A507" s="141"/>
      <c r="B507" s="141"/>
      <c r="C507" s="141"/>
      <c r="D507" s="142"/>
      <c r="E507" s="143"/>
      <c r="F507" s="141"/>
      <c r="G507" s="282"/>
      <c r="H507" s="141"/>
    </row>
    <row r="508" ht="15.75" customHeight="1">
      <c r="A508" s="141"/>
      <c r="B508" s="141"/>
      <c r="C508" s="141"/>
      <c r="D508" s="142"/>
      <c r="E508" s="143"/>
      <c r="F508" s="141"/>
      <c r="G508" s="282"/>
      <c r="H508" s="141"/>
    </row>
    <row r="509" ht="15.75" customHeight="1">
      <c r="A509" s="141"/>
      <c r="B509" s="141"/>
      <c r="C509" s="141"/>
      <c r="D509" s="142"/>
      <c r="E509" s="143"/>
      <c r="F509" s="141"/>
      <c r="G509" s="282"/>
      <c r="H509" s="141"/>
    </row>
    <row r="510" ht="15.75" customHeight="1">
      <c r="A510" s="141"/>
      <c r="B510" s="141"/>
      <c r="C510" s="141"/>
      <c r="D510" s="142"/>
      <c r="E510" s="143"/>
      <c r="F510" s="141"/>
      <c r="G510" s="282"/>
      <c r="H510" s="141"/>
    </row>
    <row r="511" ht="15.75" customHeight="1">
      <c r="A511" s="141"/>
      <c r="B511" s="141"/>
      <c r="C511" s="141"/>
      <c r="D511" s="142"/>
      <c r="E511" s="143"/>
      <c r="F511" s="141"/>
      <c r="G511" s="282"/>
      <c r="H511" s="141"/>
    </row>
    <row r="512" ht="15.75" customHeight="1">
      <c r="A512" s="141"/>
      <c r="B512" s="141"/>
      <c r="C512" s="141"/>
      <c r="D512" s="142"/>
      <c r="E512" s="143"/>
      <c r="F512" s="141"/>
      <c r="G512" s="282"/>
      <c r="H512" s="141"/>
    </row>
    <row r="513" ht="15.75" customHeight="1">
      <c r="A513" s="141"/>
      <c r="B513" s="141"/>
      <c r="C513" s="141"/>
      <c r="D513" s="142"/>
      <c r="E513" s="143"/>
      <c r="F513" s="141"/>
      <c r="G513" s="282"/>
      <c r="H513" s="141"/>
    </row>
    <row r="514" ht="15.75" customHeight="1">
      <c r="A514" s="141"/>
      <c r="B514" s="141"/>
      <c r="C514" s="141"/>
      <c r="D514" s="142"/>
      <c r="E514" s="143"/>
      <c r="F514" s="141"/>
      <c r="G514" s="282"/>
      <c r="H514" s="141"/>
    </row>
    <row r="515" ht="15.75" customHeight="1">
      <c r="A515" s="141"/>
      <c r="B515" s="141"/>
      <c r="C515" s="141"/>
      <c r="D515" s="142"/>
      <c r="E515" s="143"/>
      <c r="F515" s="141"/>
      <c r="G515" s="282"/>
      <c r="H515" s="141"/>
    </row>
    <row r="516" ht="15.75" customHeight="1">
      <c r="A516" s="141"/>
      <c r="B516" s="141"/>
      <c r="C516" s="141"/>
      <c r="D516" s="142"/>
      <c r="E516" s="143"/>
      <c r="F516" s="141"/>
      <c r="G516" s="282"/>
      <c r="H516" s="141"/>
    </row>
    <row r="517" ht="15.75" customHeight="1">
      <c r="A517" s="141"/>
      <c r="B517" s="141"/>
      <c r="C517" s="141"/>
      <c r="D517" s="142"/>
      <c r="E517" s="143"/>
      <c r="F517" s="141"/>
      <c r="G517" s="282"/>
      <c r="H517" s="141"/>
    </row>
    <row r="518" ht="15.75" customHeight="1">
      <c r="A518" s="141"/>
      <c r="B518" s="141"/>
      <c r="C518" s="141"/>
      <c r="D518" s="142"/>
      <c r="E518" s="143"/>
      <c r="F518" s="141"/>
      <c r="G518" s="282"/>
      <c r="H518" s="141"/>
    </row>
    <row r="519" ht="15.75" customHeight="1">
      <c r="A519" s="141"/>
      <c r="B519" s="141"/>
      <c r="C519" s="141"/>
      <c r="D519" s="142"/>
      <c r="E519" s="143"/>
      <c r="F519" s="141"/>
      <c r="G519" s="282"/>
      <c r="H519" s="141"/>
    </row>
    <row r="520" ht="15.75" customHeight="1">
      <c r="A520" s="141"/>
      <c r="B520" s="141"/>
      <c r="C520" s="141"/>
      <c r="D520" s="142"/>
      <c r="E520" s="143"/>
      <c r="F520" s="141"/>
      <c r="G520" s="282"/>
      <c r="H520" s="141"/>
    </row>
    <row r="521" ht="15.75" customHeight="1">
      <c r="A521" s="141"/>
      <c r="B521" s="141"/>
      <c r="C521" s="141"/>
      <c r="D521" s="142"/>
      <c r="E521" s="143"/>
      <c r="F521" s="141"/>
      <c r="G521" s="282"/>
      <c r="H521" s="141"/>
    </row>
    <row r="522" ht="15.75" customHeight="1">
      <c r="A522" s="141"/>
      <c r="B522" s="141"/>
      <c r="C522" s="141"/>
      <c r="D522" s="142"/>
      <c r="E522" s="143"/>
      <c r="F522" s="141"/>
      <c r="G522" s="282"/>
      <c r="H522" s="141"/>
    </row>
    <row r="523" ht="15.75" customHeight="1">
      <c r="A523" s="141"/>
      <c r="B523" s="141"/>
      <c r="C523" s="141"/>
      <c r="D523" s="142"/>
      <c r="E523" s="143"/>
      <c r="F523" s="141"/>
      <c r="G523" s="282"/>
      <c r="H523" s="141"/>
    </row>
    <row r="524" ht="15.75" customHeight="1">
      <c r="A524" s="141"/>
      <c r="B524" s="141"/>
      <c r="C524" s="141"/>
      <c r="D524" s="142"/>
      <c r="E524" s="143"/>
      <c r="F524" s="141"/>
      <c r="G524" s="282"/>
      <c r="H524" s="141"/>
    </row>
    <row r="525" ht="15.75" customHeight="1">
      <c r="A525" s="141"/>
      <c r="B525" s="141"/>
      <c r="C525" s="141"/>
      <c r="D525" s="142"/>
      <c r="E525" s="143"/>
      <c r="F525" s="141"/>
      <c r="G525" s="282"/>
      <c r="H525" s="141"/>
    </row>
    <row r="526" ht="15.75" customHeight="1">
      <c r="A526" s="141"/>
      <c r="B526" s="141"/>
      <c r="C526" s="141"/>
      <c r="D526" s="142"/>
      <c r="E526" s="143"/>
      <c r="F526" s="141"/>
      <c r="G526" s="282"/>
      <c r="H526" s="141"/>
    </row>
    <row r="527" ht="15.75" customHeight="1">
      <c r="A527" s="141"/>
      <c r="B527" s="141"/>
      <c r="C527" s="141"/>
      <c r="D527" s="142"/>
      <c r="E527" s="143"/>
      <c r="F527" s="141"/>
      <c r="G527" s="282"/>
      <c r="H527" s="141"/>
    </row>
    <row r="528" ht="15.75" customHeight="1">
      <c r="A528" s="141"/>
      <c r="B528" s="141"/>
      <c r="C528" s="141"/>
      <c r="D528" s="142"/>
      <c r="E528" s="143"/>
      <c r="F528" s="141"/>
      <c r="G528" s="282"/>
      <c r="H528" s="141"/>
    </row>
    <row r="529" ht="15.75" customHeight="1">
      <c r="A529" s="141"/>
      <c r="B529" s="141"/>
      <c r="C529" s="141"/>
      <c r="D529" s="142"/>
      <c r="E529" s="143"/>
      <c r="F529" s="141"/>
      <c r="G529" s="282"/>
      <c r="H529" s="141"/>
    </row>
    <row r="530" ht="15.75" customHeight="1">
      <c r="A530" s="141"/>
      <c r="B530" s="141"/>
      <c r="C530" s="141"/>
      <c r="D530" s="142"/>
      <c r="E530" s="143"/>
      <c r="F530" s="141"/>
      <c r="G530" s="282"/>
      <c r="H530" s="141"/>
    </row>
    <row r="531" ht="15.75" customHeight="1">
      <c r="A531" s="141"/>
      <c r="B531" s="141"/>
      <c r="C531" s="141"/>
      <c r="D531" s="142"/>
      <c r="E531" s="143"/>
      <c r="F531" s="141"/>
      <c r="G531" s="282"/>
      <c r="H531" s="141"/>
    </row>
    <row r="532" ht="15.75" customHeight="1">
      <c r="A532" s="141"/>
      <c r="B532" s="141"/>
      <c r="C532" s="141"/>
      <c r="D532" s="142"/>
      <c r="E532" s="143"/>
      <c r="F532" s="141"/>
      <c r="G532" s="282"/>
      <c r="H532" s="141"/>
    </row>
    <row r="533" ht="15.75" customHeight="1">
      <c r="A533" s="141"/>
      <c r="B533" s="141"/>
      <c r="C533" s="141"/>
      <c r="D533" s="142"/>
      <c r="E533" s="143"/>
      <c r="F533" s="141"/>
      <c r="G533" s="282"/>
      <c r="H533" s="141"/>
    </row>
    <row r="534" ht="15.75" customHeight="1">
      <c r="A534" s="141"/>
      <c r="B534" s="141"/>
      <c r="C534" s="141"/>
      <c r="D534" s="142"/>
      <c r="E534" s="143"/>
      <c r="F534" s="141"/>
      <c r="G534" s="282"/>
      <c r="H534" s="141"/>
    </row>
    <row r="535" ht="15.75" customHeight="1">
      <c r="A535" s="141"/>
      <c r="B535" s="141"/>
      <c r="C535" s="141"/>
      <c r="D535" s="142"/>
      <c r="E535" s="143"/>
      <c r="F535" s="141"/>
      <c r="G535" s="282"/>
      <c r="H535" s="141"/>
    </row>
    <row r="536" ht="15.75" customHeight="1">
      <c r="A536" s="141"/>
      <c r="B536" s="141"/>
      <c r="C536" s="141"/>
      <c r="D536" s="142"/>
      <c r="E536" s="143"/>
      <c r="F536" s="141"/>
      <c r="G536" s="282"/>
      <c r="H536" s="141"/>
    </row>
    <row r="537" ht="15.75" customHeight="1">
      <c r="A537" s="141"/>
      <c r="B537" s="141"/>
      <c r="C537" s="141"/>
      <c r="D537" s="142"/>
      <c r="E537" s="143"/>
      <c r="F537" s="141"/>
      <c r="G537" s="282"/>
      <c r="H537" s="141"/>
    </row>
    <row r="538" ht="15.75" customHeight="1">
      <c r="A538" s="141"/>
      <c r="B538" s="141"/>
      <c r="C538" s="141"/>
      <c r="D538" s="142"/>
      <c r="E538" s="143"/>
      <c r="F538" s="141"/>
      <c r="G538" s="282"/>
      <c r="H538" s="141"/>
    </row>
    <row r="539" ht="15.75" customHeight="1">
      <c r="A539" s="141"/>
      <c r="B539" s="141"/>
      <c r="C539" s="141"/>
      <c r="D539" s="142"/>
      <c r="E539" s="143"/>
      <c r="F539" s="141"/>
      <c r="G539" s="282"/>
      <c r="H539" s="141"/>
    </row>
    <row r="540" ht="15.75" customHeight="1">
      <c r="A540" s="141"/>
      <c r="B540" s="141"/>
      <c r="C540" s="141"/>
      <c r="D540" s="142"/>
      <c r="E540" s="143"/>
      <c r="F540" s="141"/>
      <c r="G540" s="282"/>
      <c r="H540" s="141"/>
    </row>
    <row r="541" ht="15.75" customHeight="1">
      <c r="A541" s="141"/>
      <c r="B541" s="141"/>
      <c r="C541" s="141"/>
      <c r="D541" s="142"/>
      <c r="E541" s="143"/>
      <c r="F541" s="141"/>
      <c r="G541" s="282"/>
      <c r="H541" s="141"/>
    </row>
    <row r="542" ht="15.75" customHeight="1">
      <c r="A542" s="141"/>
      <c r="B542" s="141"/>
      <c r="C542" s="141"/>
      <c r="D542" s="142"/>
      <c r="E542" s="143"/>
      <c r="F542" s="141"/>
      <c r="G542" s="282"/>
      <c r="H542" s="141"/>
    </row>
    <row r="543" ht="15.75" customHeight="1">
      <c r="A543" s="141"/>
      <c r="B543" s="141"/>
      <c r="C543" s="141"/>
      <c r="D543" s="142"/>
      <c r="E543" s="143"/>
      <c r="F543" s="141"/>
      <c r="G543" s="282"/>
      <c r="H543" s="141"/>
    </row>
    <row r="544" ht="15.75" customHeight="1">
      <c r="A544" s="141"/>
      <c r="B544" s="141"/>
      <c r="C544" s="141"/>
      <c r="D544" s="142"/>
      <c r="E544" s="143"/>
      <c r="F544" s="141"/>
      <c r="G544" s="282"/>
      <c r="H544" s="141"/>
    </row>
    <row r="545" ht="15.75" customHeight="1">
      <c r="A545" s="141"/>
      <c r="B545" s="141"/>
      <c r="C545" s="141"/>
      <c r="D545" s="142"/>
      <c r="E545" s="143"/>
      <c r="F545" s="141"/>
      <c r="G545" s="282"/>
      <c r="H545" s="141"/>
    </row>
    <row r="546" ht="15.75" customHeight="1">
      <c r="A546" s="141"/>
      <c r="B546" s="141"/>
      <c r="C546" s="141"/>
      <c r="D546" s="142"/>
      <c r="E546" s="143"/>
      <c r="F546" s="141"/>
      <c r="G546" s="282"/>
      <c r="H546" s="141"/>
    </row>
    <row r="547" ht="15.75" customHeight="1">
      <c r="A547" s="141"/>
      <c r="B547" s="141"/>
      <c r="C547" s="141"/>
      <c r="D547" s="142"/>
      <c r="E547" s="143"/>
      <c r="F547" s="141"/>
      <c r="G547" s="282"/>
      <c r="H547" s="141"/>
    </row>
    <row r="548" ht="15.75" customHeight="1">
      <c r="A548" s="141"/>
      <c r="B548" s="141"/>
      <c r="C548" s="141"/>
      <c r="D548" s="142"/>
      <c r="E548" s="143"/>
      <c r="F548" s="141"/>
      <c r="G548" s="282"/>
      <c r="H548" s="141"/>
    </row>
    <row r="549" ht="15.75" customHeight="1">
      <c r="A549" s="141"/>
      <c r="B549" s="141"/>
      <c r="C549" s="141"/>
      <c r="D549" s="142"/>
      <c r="E549" s="143"/>
      <c r="F549" s="141"/>
      <c r="G549" s="282"/>
      <c r="H549" s="141"/>
    </row>
    <row r="550" ht="15.75" customHeight="1">
      <c r="A550" s="141"/>
      <c r="B550" s="141"/>
      <c r="C550" s="141"/>
      <c r="D550" s="142"/>
      <c r="E550" s="143"/>
      <c r="F550" s="141"/>
      <c r="G550" s="282"/>
      <c r="H550" s="141"/>
    </row>
    <row r="551" ht="15.75" customHeight="1">
      <c r="A551" s="141"/>
      <c r="B551" s="141"/>
      <c r="C551" s="141"/>
      <c r="D551" s="142"/>
      <c r="E551" s="143"/>
      <c r="F551" s="141"/>
      <c r="G551" s="282"/>
      <c r="H551" s="141"/>
    </row>
    <row r="552" ht="15.75" customHeight="1">
      <c r="A552" s="141"/>
      <c r="B552" s="141"/>
      <c r="C552" s="141"/>
      <c r="D552" s="142"/>
      <c r="E552" s="143"/>
      <c r="F552" s="141"/>
      <c r="G552" s="282"/>
      <c r="H552" s="141"/>
    </row>
    <row r="553" ht="15.75" customHeight="1">
      <c r="A553" s="141"/>
      <c r="B553" s="141"/>
      <c r="C553" s="141"/>
      <c r="D553" s="142"/>
      <c r="E553" s="143"/>
      <c r="F553" s="141"/>
      <c r="G553" s="282"/>
      <c r="H553" s="141"/>
    </row>
    <row r="554" ht="15.75" customHeight="1">
      <c r="A554" s="141"/>
      <c r="B554" s="141"/>
      <c r="C554" s="141"/>
      <c r="D554" s="142"/>
      <c r="E554" s="143"/>
      <c r="F554" s="141"/>
      <c r="G554" s="282"/>
      <c r="H554" s="141"/>
    </row>
    <row r="555" ht="15.75" customHeight="1">
      <c r="A555" s="141"/>
      <c r="B555" s="141"/>
      <c r="C555" s="141"/>
      <c r="D555" s="142"/>
      <c r="E555" s="143"/>
      <c r="F555" s="141"/>
      <c r="G555" s="282"/>
      <c r="H555" s="141"/>
    </row>
    <row r="556" ht="15.75" customHeight="1">
      <c r="A556" s="141"/>
      <c r="B556" s="141"/>
      <c r="C556" s="141"/>
      <c r="D556" s="142"/>
      <c r="E556" s="143"/>
      <c r="F556" s="141"/>
      <c r="G556" s="282"/>
      <c r="H556" s="141"/>
    </row>
    <row r="557" ht="15.75" customHeight="1">
      <c r="A557" s="141"/>
      <c r="B557" s="141"/>
      <c r="C557" s="141"/>
      <c r="D557" s="142"/>
      <c r="E557" s="143"/>
      <c r="F557" s="141"/>
      <c r="G557" s="282"/>
      <c r="H557" s="141"/>
    </row>
    <row r="558" ht="15.75" customHeight="1">
      <c r="A558" s="141"/>
      <c r="B558" s="141"/>
      <c r="C558" s="141"/>
      <c r="D558" s="142"/>
      <c r="E558" s="143"/>
      <c r="F558" s="141"/>
      <c r="G558" s="282"/>
      <c r="H558" s="141"/>
    </row>
    <row r="559" ht="15.75" customHeight="1">
      <c r="A559" s="141"/>
      <c r="B559" s="141"/>
      <c r="C559" s="141"/>
      <c r="D559" s="142"/>
      <c r="E559" s="143"/>
      <c r="F559" s="141"/>
      <c r="G559" s="282"/>
      <c r="H559" s="141"/>
    </row>
    <row r="560" ht="15.75" customHeight="1">
      <c r="A560" s="141"/>
      <c r="B560" s="141"/>
      <c r="C560" s="141"/>
      <c r="D560" s="142"/>
      <c r="E560" s="143"/>
      <c r="F560" s="141"/>
      <c r="G560" s="282"/>
      <c r="H560" s="141"/>
    </row>
    <row r="561" ht="15.75" customHeight="1">
      <c r="A561" s="141"/>
      <c r="B561" s="141"/>
      <c r="C561" s="141"/>
      <c r="D561" s="142"/>
      <c r="E561" s="143"/>
      <c r="F561" s="141"/>
      <c r="G561" s="282"/>
      <c r="H561" s="141"/>
    </row>
    <row r="562" ht="15.75" customHeight="1">
      <c r="A562" s="141"/>
      <c r="B562" s="141"/>
      <c r="C562" s="141"/>
      <c r="D562" s="142"/>
      <c r="E562" s="143"/>
      <c r="F562" s="141"/>
      <c r="G562" s="282"/>
      <c r="H562" s="141"/>
    </row>
    <row r="563" ht="15.75" customHeight="1">
      <c r="A563" s="141"/>
      <c r="B563" s="141"/>
      <c r="C563" s="141"/>
      <c r="D563" s="142"/>
      <c r="E563" s="143"/>
      <c r="F563" s="141"/>
      <c r="G563" s="282"/>
      <c r="H563" s="141"/>
    </row>
    <row r="564" ht="15.75" customHeight="1">
      <c r="A564" s="141"/>
      <c r="B564" s="141"/>
      <c r="C564" s="141"/>
      <c r="D564" s="142"/>
      <c r="E564" s="143"/>
      <c r="F564" s="141"/>
      <c r="G564" s="282"/>
      <c r="H564" s="141"/>
    </row>
    <row r="565" ht="15.75" customHeight="1">
      <c r="A565" s="141"/>
      <c r="B565" s="141"/>
      <c r="C565" s="141"/>
      <c r="D565" s="142"/>
      <c r="E565" s="143"/>
      <c r="F565" s="141"/>
      <c r="G565" s="282"/>
      <c r="H565" s="141"/>
    </row>
    <row r="566" ht="15.75" customHeight="1">
      <c r="A566" s="141"/>
      <c r="B566" s="141"/>
      <c r="C566" s="141"/>
      <c r="D566" s="142"/>
      <c r="E566" s="143"/>
      <c r="F566" s="141"/>
      <c r="G566" s="282"/>
      <c r="H566" s="141"/>
    </row>
    <row r="567" ht="15.75" customHeight="1">
      <c r="A567" s="141"/>
      <c r="B567" s="141"/>
      <c r="C567" s="141"/>
      <c r="D567" s="142"/>
      <c r="E567" s="143"/>
      <c r="F567" s="141"/>
      <c r="G567" s="282"/>
      <c r="H567" s="141"/>
    </row>
    <row r="568" ht="15.75" customHeight="1">
      <c r="A568" s="141"/>
      <c r="B568" s="141"/>
      <c r="C568" s="141"/>
      <c r="D568" s="142"/>
      <c r="E568" s="143"/>
      <c r="F568" s="141"/>
      <c r="G568" s="282"/>
      <c r="H568" s="141"/>
    </row>
    <row r="569" ht="15.75" customHeight="1">
      <c r="A569" s="141"/>
      <c r="B569" s="141"/>
      <c r="C569" s="141"/>
      <c r="D569" s="142"/>
      <c r="E569" s="143"/>
      <c r="F569" s="141"/>
      <c r="G569" s="282"/>
      <c r="H569" s="141"/>
    </row>
    <row r="570" ht="15.75" customHeight="1">
      <c r="A570" s="141"/>
      <c r="B570" s="141"/>
      <c r="C570" s="141"/>
      <c r="D570" s="142"/>
      <c r="E570" s="143"/>
      <c r="F570" s="141"/>
      <c r="G570" s="282"/>
      <c r="H570" s="141"/>
    </row>
    <row r="571" ht="15.75" customHeight="1">
      <c r="A571" s="141"/>
      <c r="B571" s="141"/>
      <c r="C571" s="141"/>
      <c r="D571" s="142"/>
      <c r="E571" s="143"/>
      <c r="F571" s="141"/>
      <c r="G571" s="282"/>
      <c r="H571" s="141"/>
    </row>
    <row r="572" ht="15.75" customHeight="1">
      <c r="A572" s="141"/>
      <c r="B572" s="141"/>
      <c r="C572" s="141"/>
      <c r="D572" s="142"/>
      <c r="E572" s="143"/>
      <c r="F572" s="141"/>
      <c r="G572" s="282"/>
      <c r="H572" s="141"/>
    </row>
    <row r="573" ht="15.75" customHeight="1">
      <c r="A573" s="141"/>
      <c r="B573" s="141"/>
      <c r="C573" s="141"/>
      <c r="D573" s="142"/>
      <c r="E573" s="143"/>
      <c r="F573" s="141"/>
      <c r="G573" s="282"/>
      <c r="H573" s="141"/>
    </row>
    <row r="574" ht="15.75" customHeight="1">
      <c r="A574" s="141"/>
      <c r="B574" s="141"/>
      <c r="C574" s="141"/>
      <c r="D574" s="142"/>
      <c r="E574" s="143"/>
      <c r="F574" s="141"/>
      <c r="G574" s="282"/>
      <c r="H574" s="141"/>
    </row>
    <row r="575" ht="15.75" customHeight="1">
      <c r="A575" s="141"/>
      <c r="B575" s="141"/>
      <c r="C575" s="141"/>
      <c r="D575" s="142"/>
      <c r="E575" s="143"/>
      <c r="F575" s="141"/>
      <c r="G575" s="282"/>
      <c r="H575" s="141"/>
    </row>
    <row r="576" ht="15.75" customHeight="1">
      <c r="A576" s="141"/>
      <c r="B576" s="141"/>
      <c r="C576" s="141"/>
      <c r="D576" s="142"/>
      <c r="E576" s="143"/>
      <c r="F576" s="141"/>
      <c r="G576" s="282"/>
      <c r="H576" s="141"/>
    </row>
    <row r="577" ht="15.75" customHeight="1">
      <c r="A577" s="141"/>
      <c r="B577" s="141"/>
      <c r="C577" s="141"/>
      <c r="D577" s="142"/>
      <c r="E577" s="143"/>
      <c r="F577" s="141"/>
      <c r="G577" s="282"/>
      <c r="H577" s="141"/>
    </row>
    <row r="578" ht="15.75" customHeight="1">
      <c r="A578" s="141"/>
      <c r="B578" s="141"/>
      <c r="C578" s="141"/>
      <c r="D578" s="142"/>
      <c r="E578" s="143"/>
      <c r="F578" s="141"/>
      <c r="G578" s="282"/>
      <c r="H578" s="141"/>
    </row>
    <row r="579" ht="15.75" customHeight="1">
      <c r="A579" s="141"/>
      <c r="B579" s="141"/>
      <c r="C579" s="141"/>
      <c r="D579" s="142"/>
      <c r="E579" s="143"/>
      <c r="F579" s="141"/>
      <c r="G579" s="282"/>
      <c r="H579" s="141"/>
    </row>
    <row r="580" ht="15.75" customHeight="1">
      <c r="A580" s="141"/>
      <c r="B580" s="141"/>
      <c r="C580" s="141"/>
      <c r="D580" s="142"/>
      <c r="E580" s="143"/>
      <c r="F580" s="141"/>
      <c r="G580" s="282"/>
      <c r="H580" s="141"/>
    </row>
    <row r="581" ht="15.75" customHeight="1">
      <c r="A581" s="141"/>
      <c r="B581" s="141"/>
      <c r="C581" s="141"/>
      <c r="D581" s="142"/>
      <c r="E581" s="143"/>
      <c r="F581" s="141"/>
      <c r="G581" s="282"/>
      <c r="H581" s="141"/>
    </row>
    <row r="582" ht="15.75" customHeight="1">
      <c r="A582" s="141"/>
      <c r="B582" s="141"/>
      <c r="C582" s="141"/>
      <c r="D582" s="142"/>
      <c r="E582" s="143"/>
      <c r="F582" s="141"/>
      <c r="G582" s="282"/>
      <c r="H582" s="141"/>
    </row>
    <row r="583" ht="15.75" customHeight="1">
      <c r="A583" s="141"/>
      <c r="B583" s="141"/>
      <c r="C583" s="141"/>
      <c r="D583" s="142"/>
      <c r="E583" s="143"/>
      <c r="F583" s="141"/>
      <c r="G583" s="282"/>
      <c r="H583" s="141"/>
    </row>
    <row r="584" ht="15.75" customHeight="1">
      <c r="A584" s="141"/>
      <c r="B584" s="141"/>
      <c r="C584" s="141"/>
      <c r="D584" s="142"/>
      <c r="E584" s="143"/>
      <c r="F584" s="141"/>
      <c r="G584" s="282"/>
      <c r="H584" s="141"/>
    </row>
    <row r="585" ht="15.75" customHeight="1">
      <c r="A585" s="141"/>
      <c r="B585" s="141"/>
      <c r="C585" s="141"/>
      <c r="D585" s="142"/>
      <c r="E585" s="143"/>
      <c r="F585" s="141"/>
      <c r="G585" s="282"/>
      <c r="H585" s="141"/>
    </row>
    <row r="586" ht="15.75" customHeight="1">
      <c r="A586" s="141"/>
      <c r="B586" s="141"/>
      <c r="C586" s="141"/>
      <c r="D586" s="142"/>
      <c r="E586" s="143"/>
      <c r="F586" s="141"/>
      <c r="G586" s="282"/>
      <c r="H586" s="141"/>
    </row>
    <row r="587" ht="15.75" customHeight="1">
      <c r="A587" s="141"/>
      <c r="B587" s="141"/>
      <c r="C587" s="141"/>
      <c r="D587" s="142"/>
      <c r="E587" s="143"/>
      <c r="F587" s="141"/>
      <c r="G587" s="282"/>
      <c r="H587" s="141"/>
    </row>
    <row r="588" ht="15.75" customHeight="1">
      <c r="A588" s="141"/>
      <c r="B588" s="141"/>
      <c r="C588" s="141"/>
      <c r="D588" s="142"/>
      <c r="E588" s="143"/>
      <c r="F588" s="141"/>
      <c r="G588" s="282"/>
      <c r="H588" s="141"/>
    </row>
    <row r="589" ht="15.75" customHeight="1">
      <c r="A589" s="141"/>
      <c r="B589" s="141"/>
      <c r="C589" s="141"/>
      <c r="D589" s="142"/>
      <c r="E589" s="143"/>
      <c r="F589" s="141"/>
      <c r="G589" s="282"/>
      <c r="H589" s="141"/>
    </row>
    <row r="590" ht="15.75" customHeight="1">
      <c r="A590" s="141"/>
      <c r="B590" s="141"/>
      <c r="C590" s="141"/>
      <c r="D590" s="142"/>
      <c r="E590" s="143"/>
      <c r="F590" s="141"/>
      <c r="G590" s="282"/>
      <c r="H590" s="141"/>
    </row>
    <row r="591" ht="15.75" customHeight="1">
      <c r="A591" s="141"/>
      <c r="B591" s="141"/>
      <c r="C591" s="141"/>
      <c r="D591" s="142"/>
      <c r="E591" s="143"/>
      <c r="F591" s="141"/>
      <c r="G591" s="282"/>
      <c r="H591" s="141"/>
    </row>
    <row r="592" ht="15.75" customHeight="1">
      <c r="A592" s="141"/>
      <c r="B592" s="141"/>
      <c r="C592" s="141"/>
      <c r="D592" s="142"/>
      <c r="E592" s="143"/>
      <c r="F592" s="141"/>
      <c r="G592" s="282"/>
      <c r="H592" s="141"/>
    </row>
    <row r="593" ht="15.75" customHeight="1">
      <c r="A593" s="141"/>
      <c r="B593" s="141"/>
      <c r="C593" s="141"/>
      <c r="D593" s="142"/>
      <c r="E593" s="143"/>
      <c r="F593" s="141"/>
      <c r="G593" s="282"/>
      <c r="H593" s="141"/>
    </row>
    <row r="594" ht="15.75" customHeight="1">
      <c r="A594" s="141"/>
      <c r="B594" s="141"/>
      <c r="C594" s="141"/>
      <c r="D594" s="142"/>
      <c r="E594" s="143"/>
      <c r="F594" s="141"/>
      <c r="G594" s="282"/>
      <c r="H594" s="141"/>
    </row>
    <row r="595" ht="15.75" customHeight="1">
      <c r="A595" s="141"/>
      <c r="B595" s="141"/>
      <c r="C595" s="141"/>
      <c r="D595" s="142"/>
      <c r="E595" s="143"/>
      <c r="F595" s="141"/>
      <c r="G595" s="282"/>
      <c r="H595" s="141"/>
    </row>
    <row r="596" ht="15.75" customHeight="1">
      <c r="A596" s="141"/>
      <c r="B596" s="141"/>
      <c r="C596" s="141"/>
      <c r="D596" s="142"/>
      <c r="E596" s="143"/>
      <c r="F596" s="141"/>
      <c r="G596" s="282"/>
      <c r="H596" s="141"/>
    </row>
    <row r="597" ht="15.75" customHeight="1">
      <c r="A597" s="141"/>
      <c r="B597" s="141"/>
      <c r="C597" s="141"/>
      <c r="D597" s="142"/>
      <c r="E597" s="143"/>
      <c r="F597" s="141"/>
      <c r="G597" s="282"/>
      <c r="H597" s="141"/>
    </row>
    <row r="598" ht="15.75" customHeight="1">
      <c r="A598" s="141"/>
      <c r="B598" s="141"/>
      <c r="C598" s="141"/>
      <c r="D598" s="142"/>
      <c r="E598" s="143"/>
      <c r="F598" s="141"/>
      <c r="G598" s="282"/>
      <c r="H598" s="141"/>
    </row>
    <row r="599" ht="15.75" customHeight="1">
      <c r="A599" s="141"/>
      <c r="B599" s="141"/>
      <c r="C599" s="141"/>
      <c r="D599" s="142"/>
      <c r="E599" s="143"/>
      <c r="F599" s="141"/>
      <c r="G599" s="282"/>
      <c r="H599" s="141"/>
    </row>
    <row r="600" ht="15.75" customHeight="1">
      <c r="A600" s="141"/>
      <c r="B600" s="141"/>
      <c r="C600" s="141"/>
      <c r="D600" s="142"/>
      <c r="E600" s="143"/>
      <c r="F600" s="141"/>
      <c r="G600" s="282"/>
      <c r="H600" s="141"/>
    </row>
    <row r="601" ht="15.75" customHeight="1">
      <c r="A601" s="141"/>
      <c r="B601" s="141"/>
      <c r="C601" s="141"/>
      <c r="D601" s="142"/>
      <c r="E601" s="143"/>
      <c r="F601" s="141"/>
      <c r="G601" s="282"/>
      <c r="H601" s="141"/>
    </row>
    <row r="602" ht="15.75" customHeight="1">
      <c r="A602" s="141"/>
      <c r="B602" s="141"/>
      <c r="C602" s="141"/>
      <c r="D602" s="142"/>
      <c r="E602" s="143"/>
      <c r="F602" s="141"/>
      <c r="G602" s="282"/>
      <c r="H602" s="141"/>
    </row>
    <row r="603" ht="15.75" customHeight="1">
      <c r="A603" s="141"/>
      <c r="B603" s="141"/>
      <c r="C603" s="141"/>
      <c r="D603" s="142"/>
      <c r="E603" s="143"/>
      <c r="F603" s="141"/>
      <c r="G603" s="282"/>
      <c r="H603" s="141"/>
    </row>
    <row r="604" ht="15.75" customHeight="1">
      <c r="A604" s="141"/>
      <c r="B604" s="141"/>
      <c r="C604" s="141"/>
      <c r="D604" s="142"/>
      <c r="E604" s="143"/>
      <c r="F604" s="141"/>
      <c r="G604" s="282"/>
      <c r="H604" s="141"/>
    </row>
    <row r="605" ht="15.75" customHeight="1">
      <c r="A605" s="141"/>
      <c r="B605" s="141"/>
      <c r="C605" s="141"/>
      <c r="D605" s="142"/>
      <c r="E605" s="143"/>
      <c r="F605" s="141"/>
      <c r="G605" s="282"/>
      <c r="H605" s="141"/>
    </row>
    <row r="606" ht="15.75" customHeight="1">
      <c r="A606" s="141"/>
      <c r="B606" s="141"/>
      <c r="C606" s="141"/>
      <c r="D606" s="142"/>
      <c r="E606" s="143"/>
      <c r="F606" s="141"/>
      <c r="G606" s="282"/>
      <c r="H606" s="141"/>
    </row>
    <row r="607" ht="15.75" customHeight="1">
      <c r="A607" s="141"/>
      <c r="B607" s="141"/>
      <c r="C607" s="141"/>
      <c r="D607" s="142"/>
      <c r="E607" s="143"/>
      <c r="F607" s="141"/>
      <c r="G607" s="282"/>
      <c r="H607" s="141"/>
    </row>
    <row r="608" ht="15.75" customHeight="1">
      <c r="A608" s="141"/>
      <c r="B608" s="141"/>
      <c r="C608" s="141"/>
      <c r="D608" s="142"/>
      <c r="E608" s="143"/>
      <c r="F608" s="141"/>
      <c r="G608" s="282"/>
      <c r="H608" s="141"/>
    </row>
    <row r="609" ht="15.75" customHeight="1">
      <c r="A609" s="141"/>
      <c r="B609" s="141"/>
      <c r="C609" s="141"/>
      <c r="D609" s="142"/>
      <c r="E609" s="143"/>
      <c r="F609" s="141"/>
      <c r="G609" s="282"/>
      <c r="H609" s="141"/>
    </row>
    <row r="610" ht="15.75" customHeight="1">
      <c r="A610" s="141"/>
      <c r="B610" s="141"/>
      <c r="C610" s="141"/>
      <c r="D610" s="142"/>
      <c r="E610" s="143"/>
      <c r="F610" s="141"/>
      <c r="G610" s="282"/>
      <c r="H610" s="141"/>
    </row>
    <row r="611" ht="15.75" customHeight="1">
      <c r="A611" s="141"/>
      <c r="B611" s="141"/>
      <c r="C611" s="141"/>
      <c r="D611" s="142"/>
      <c r="E611" s="143"/>
      <c r="F611" s="141"/>
      <c r="G611" s="282"/>
      <c r="H611" s="141"/>
    </row>
    <row r="612" ht="15.75" customHeight="1">
      <c r="A612" s="141"/>
      <c r="B612" s="141"/>
      <c r="C612" s="141"/>
      <c r="D612" s="142"/>
      <c r="E612" s="143"/>
      <c r="F612" s="141"/>
      <c r="G612" s="282"/>
      <c r="H612" s="141"/>
    </row>
    <row r="613" ht="15.75" customHeight="1">
      <c r="A613" s="141"/>
      <c r="B613" s="141"/>
      <c r="C613" s="141"/>
      <c r="D613" s="142"/>
      <c r="E613" s="143"/>
      <c r="F613" s="141"/>
      <c r="G613" s="282"/>
      <c r="H613" s="141"/>
    </row>
    <row r="614" ht="15.75" customHeight="1">
      <c r="A614" s="141"/>
      <c r="B614" s="141"/>
      <c r="C614" s="141"/>
      <c r="D614" s="142"/>
      <c r="E614" s="143"/>
      <c r="F614" s="141"/>
      <c r="G614" s="282"/>
      <c r="H614" s="141"/>
    </row>
    <row r="615" ht="15.75" customHeight="1">
      <c r="A615" s="141"/>
      <c r="B615" s="141"/>
      <c r="C615" s="141"/>
      <c r="D615" s="142"/>
      <c r="E615" s="143"/>
      <c r="F615" s="141"/>
      <c r="G615" s="282"/>
      <c r="H615" s="141"/>
    </row>
    <row r="616" ht="15.75" customHeight="1">
      <c r="A616" s="141"/>
      <c r="B616" s="141"/>
      <c r="C616" s="141"/>
      <c r="D616" s="142"/>
      <c r="E616" s="143"/>
      <c r="F616" s="141"/>
      <c r="G616" s="282"/>
      <c r="H616" s="141"/>
    </row>
    <row r="617" ht="15.75" customHeight="1">
      <c r="A617" s="141"/>
      <c r="B617" s="141"/>
      <c r="C617" s="141"/>
      <c r="D617" s="142"/>
      <c r="E617" s="143"/>
      <c r="F617" s="141"/>
      <c r="G617" s="282"/>
      <c r="H617" s="141"/>
    </row>
    <row r="618" ht="15.75" customHeight="1">
      <c r="A618" s="141"/>
      <c r="B618" s="141"/>
      <c r="C618" s="141"/>
      <c r="D618" s="142"/>
      <c r="E618" s="143"/>
      <c r="F618" s="141"/>
      <c r="G618" s="282"/>
      <c r="H618" s="141"/>
    </row>
    <row r="619" ht="15.75" customHeight="1">
      <c r="A619" s="141"/>
      <c r="B619" s="141"/>
      <c r="C619" s="141"/>
      <c r="D619" s="142"/>
      <c r="E619" s="143"/>
      <c r="F619" s="141"/>
      <c r="G619" s="282"/>
      <c r="H619" s="141"/>
    </row>
    <row r="620" ht="15.75" customHeight="1">
      <c r="A620" s="141"/>
      <c r="B620" s="141"/>
      <c r="C620" s="141"/>
      <c r="D620" s="142"/>
      <c r="E620" s="143"/>
      <c r="F620" s="141"/>
      <c r="G620" s="282"/>
      <c r="H620" s="141"/>
    </row>
    <row r="621" ht="15.75" customHeight="1">
      <c r="A621" s="141"/>
      <c r="B621" s="141"/>
      <c r="C621" s="141"/>
      <c r="D621" s="142"/>
      <c r="E621" s="143"/>
      <c r="F621" s="141"/>
      <c r="G621" s="282"/>
      <c r="H621" s="141"/>
    </row>
    <row r="622" ht="15.75" customHeight="1">
      <c r="A622" s="141"/>
      <c r="B622" s="141"/>
      <c r="C622" s="141"/>
      <c r="D622" s="142"/>
      <c r="E622" s="143"/>
      <c r="F622" s="141"/>
      <c r="G622" s="282"/>
      <c r="H622" s="141"/>
    </row>
    <row r="623" ht="15.75" customHeight="1">
      <c r="A623" s="141"/>
      <c r="B623" s="141"/>
      <c r="C623" s="141"/>
      <c r="D623" s="142"/>
      <c r="E623" s="143"/>
      <c r="F623" s="141"/>
      <c r="G623" s="282"/>
      <c r="H623" s="141"/>
    </row>
    <row r="624" ht="15.75" customHeight="1">
      <c r="A624" s="141"/>
      <c r="B624" s="141"/>
      <c r="C624" s="141"/>
      <c r="D624" s="142"/>
      <c r="E624" s="143"/>
      <c r="F624" s="141"/>
      <c r="G624" s="282"/>
      <c r="H624" s="141"/>
    </row>
    <row r="625" ht="15.75" customHeight="1">
      <c r="A625" s="141"/>
      <c r="B625" s="141"/>
      <c r="C625" s="141"/>
      <c r="D625" s="142"/>
      <c r="E625" s="143"/>
      <c r="F625" s="141"/>
      <c r="G625" s="282"/>
      <c r="H625" s="141"/>
    </row>
    <row r="626" ht="15.75" customHeight="1">
      <c r="A626" s="141"/>
      <c r="B626" s="141"/>
      <c r="C626" s="141"/>
      <c r="D626" s="142"/>
      <c r="E626" s="143"/>
      <c r="F626" s="141"/>
      <c r="G626" s="282"/>
      <c r="H626" s="141"/>
    </row>
    <row r="627" ht="15.75" customHeight="1">
      <c r="A627" s="141"/>
      <c r="B627" s="141"/>
      <c r="C627" s="141"/>
      <c r="D627" s="142"/>
      <c r="E627" s="143"/>
      <c r="F627" s="141"/>
      <c r="G627" s="282"/>
      <c r="H627" s="141"/>
    </row>
    <row r="628" ht="15.75" customHeight="1">
      <c r="A628" s="141"/>
      <c r="B628" s="141"/>
      <c r="C628" s="141"/>
      <c r="D628" s="142"/>
      <c r="E628" s="143"/>
      <c r="F628" s="141"/>
      <c r="G628" s="282"/>
      <c r="H628" s="141"/>
    </row>
    <row r="629" ht="15.75" customHeight="1">
      <c r="A629" s="141"/>
      <c r="B629" s="141"/>
      <c r="C629" s="141"/>
      <c r="D629" s="142"/>
      <c r="E629" s="143"/>
      <c r="F629" s="141"/>
      <c r="G629" s="282"/>
      <c r="H629" s="141"/>
    </row>
    <row r="630" ht="15.75" customHeight="1">
      <c r="A630" s="141"/>
      <c r="B630" s="141"/>
      <c r="C630" s="141"/>
      <c r="D630" s="142"/>
      <c r="E630" s="143"/>
      <c r="F630" s="141"/>
      <c r="G630" s="282"/>
      <c r="H630" s="141"/>
    </row>
    <row r="631" ht="15.75" customHeight="1">
      <c r="A631" s="141"/>
      <c r="B631" s="141"/>
      <c r="C631" s="141"/>
      <c r="D631" s="142"/>
      <c r="E631" s="143"/>
      <c r="F631" s="141"/>
      <c r="G631" s="282"/>
      <c r="H631" s="141"/>
    </row>
    <row r="632" ht="15.75" customHeight="1">
      <c r="A632" s="141"/>
      <c r="B632" s="141"/>
      <c r="C632" s="141"/>
      <c r="D632" s="142"/>
      <c r="E632" s="143"/>
      <c r="F632" s="141"/>
      <c r="G632" s="282"/>
      <c r="H632" s="141"/>
    </row>
    <row r="633" ht="15.75" customHeight="1">
      <c r="A633" s="141"/>
      <c r="B633" s="141"/>
      <c r="C633" s="141"/>
      <c r="D633" s="142"/>
      <c r="E633" s="143"/>
      <c r="F633" s="141"/>
      <c r="G633" s="282"/>
      <c r="H633" s="141"/>
    </row>
    <row r="634" ht="15.75" customHeight="1">
      <c r="A634" s="141"/>
      <c r="B634" s="141"/>
      <c r="C634" s="141"/>
      <c r="D634" s="142"/>
      <c r="E634" s="143"/>
      <c r="F634" s="141"/>
      <c r="G634" s="282"/>
      <c r="H634" s="141"/>
    </row>
    <row r="635" ht="15.75" customHeight="1">
      <c r="A635" s="141"/>
      <c r="B635" s="141"/>
      <c r="C635" s="141"/>
      <c r="D635" s="142"/>
      <c r="E635" s="143"/>
      <c r="F635" s="141"/>
      <c r="G635" s="282"/>
      <c r="H635" s="141"/>
    </row>
    <row r="636" ht="15.75" customHeight="1">
      <c r="A636" s="141"/>
      <c r="B636" s="141"/>
      <c r="C636" s="141"/>
      <c r="D636" s="142"/>
      <c r="E636" s="143"/>
      <c r="F636" s="141"/>
      <c r="G636" s="282"/>
      <c r="H636" s="141"/>
    </row>
    <row r="637" ht="15.75" customHeight="1">
      <c r="A637" s="141"/>
      <c r="B637" s="141"/>
      <c r="C637" s="141"/>
      <c r="D637" s="142"/>
      <c r="E637" s="143"/>
      <c r="F637" s="141"/>
      <c r="G637" s="282"/>
      <c r="H637" s="141"/>
    </row>
    <row r="638" ht="15.75" customHeight="1">
      <c r="A638" s="141"/>
      <c r="B638" s="141"/>
      <c r="C638" s="141"/>
      <c r="D638" s="142"/>
      <c r="E638" s="143"/>
      <c r="F638" s="141"/>
      <c r="G638" s="282"/>
      <c r="H638" s="141"/>
    </row>
    <row r="639" ht="15.75" customHeight="1">
      <c r="A639" s="141"/>
      <c r="B639" s="141"/>
      <c r="C639" s="141"/>
      <c r="D639" s="142"/>
      <c r="E639" s="143"/>
      <c r="F639" s="141"/>
      <c r="G639" s="282"/>
      <c r="H639" s="141"/>
    </row>
    <row r="640" ht="15.75" customHeight="1">
      <c r="A640" s="141"/>
      <c r="B640" s="141"/>
      <c r="C640" s="141"/>
      <c r="D640" s="142"/>
      <c r="E640" s="143"/>
      <c r="F640" s="141"/>
      <c r="G640" s="282"/>
      <c r="H640" s="141"/>
    </row>
    <row r="641" ht="15.75" customHeight="1">
      <c r="A641" s="141"/>
      <c r="B641" s="141"/>
      <c r="C641" s="141"/>
      <c r="D641" s="142"/>
      <c r="E641" s="143"/>
      <c r="F641" s="141"/>
      <c r="G641" s="282"/>
      <c r="H641" s="141"/>
    </row>
    <row r="642" ht="15.75" customHeight="1">
      <c r="A642" s="141"/>
      <c r="B642" s="141"/>
      <c r="C642" s="141"/>
      <c r="D642" s="142"/>
      <c r="E642" s="143"/>
      <c r="F642" s="141"/>
      <c r="G642" s="282"/>
      <c r="H642" s="141"/>
    </row>
    <row r="643" ht="15.75" customHeight="1">
      <c r="A643" s="141"/>
      <c r="B643" s="141"/>
      <c r="C643" s="141"/>
      <c r="D643" s="142"/>
      <c r="E643" s="143"/>
      <c r="F643" s="141"/>
      <c r="G643" s="282"/>
      <c r="H643" s="141"/>
    </row>
    <row r="644" ht="15.75" customHeight="1">
      <c r="A644" s="141"/>
      <c r="B644" s="141"/>
      <c r="C644" s="141"/>
      <c r="D644" s="142"/>
      <c r="E644" s="143"/>
      <c r="F644" s="141"/>
      <c r="G644" s="282"/>
      <c r="H644" s="141"/>
    </row>
    <row r="645" ht="15.75" customHeight="1">
      <c r="A645" s="141"/>
      <c r="B645" s="141"/>
      <c r="C645" s="141"/>
      <c r="D645" s="142"/>
      <c r="E645" s="143"/>
      <c r="F645" s="141"/>
      <c r="G645" s="282"/>
      <c r="H645" s="141"/>
    </row>
    <row r="646" ht="15.75" customHeight="1">
      <c r="A646" s="141"/>
      <c r="B646" s="141"/>
      <c r="C646" s="141"/>
      <c r="D646" s="142"/>
      <c r="E646" s="143"/>
      <c r="F646" s="141"/>
      <c r="G646" s="282"/>
      <c r="H646" s="141"/>
    </row>
    <row r="647" ht="15.75" customHeight="1">
      <c r="A647" s="141"/>
      <c r="B647" s="141"/>
      <c r="C647" s="141"/>
      <c r="D647" s="142"/>
      <c r="E647" s="143"/>
      <c r="F647" s="141"/>
      <c r="G647" s="282"/>
      <c r="H647" s="141"/>
    </row>
    <row r="648" ht="15.75" customHeight="1">
      <c r="A648" s="141"/>
      <c r="B648" s="141"/>
      <c r="C648" s="141"/>
      <c r="D648" s="142"/>
      <c r="E648" s="143"/>
      <c r="F648" s="141"/>
      <c r="G648" s="282"/>
      <c r="H648" s="141"/>
    </row>
    <row r="649" ht="15.75" customHeight="1">
      <c r="A649" s="141"/>
      <c r="B649" s="141"/>
      <c r="C649" s="141"/>
      <c r="D649" s="142"/>
      <c r="E649" s="143"/>
      <c r="F649" s="141"/>
      <c r="G649" s="282"/>
      <c r="H649" s="141"/>
    </row>
    <row r="650" ht="15.75" customHeight="1">
      <c r="A650" s="141"/>
      <c r="B650" s="141"/>
      <c r="C650" s="141"/>
      <c r="D650" s="142"/>
      <c r="E650" s="143"/>
      <c r="F650" s="141"/>
      <c r="G650" s="282"/>
      <c r="H650" s="141"/>
    </row>
    <row r="651" ht="15.75" customHeight="1">
      <c r="A651" s="141"/>
      <c r="B651" s="141"/>
      <c r="C651" s="141"/>
      <c r="D651" s="142"/>
      <c r="E651" s="143"/>
      <c r="F651" s="141"/>
      <c r="G651" s="282"/>
      <c r="H651" s="141"/>
    </row>
    <row r="652" ht="15.75" customHeight="1">
      <c r="A652" s="141"/>
      <c r="B652" s="141"/>
      <c r="C652" s="141"/>
      <c r="D652" s="142"/>
      <c r="E652" s="143"/>
      <c r="F652" s="141"/>
      <c r="G652" s="282"/>
      <c r="H652" s="141"/>
    </row>
    <row r="653" ht="15.75" customHeight="1">
      <c r="A653" s="141"/>
      <c r="B653" s="141"/>
      <c r="C653" s="141"/>
      <c r="D653" s="142"/>
      <c r="E653" s="143"/>
      <c r="F653" s="141"/>
      <c r="G653" s="282"/>
      <c r="H653" s="141"/>
    </row>
    <row r="654" ht="15.75" customHeight="1">
      <c r="A654" s="141"/>
      <c r="B654" s="141"/>
      <c r="C654" s="141"/>
      <c r="D654" s="142"/>
      <c r="E654" s="143"/>
      <c r="F654" s="141"/>
      <c r="G654" s="282"/>
      <c r="H654" s="141"/>
    </row>
    <row r="655" ht="15.75" customHeight="1">
      <c r="A655" s="141"/>
      <c r="B655" s="141"/>
      <c r="C655" s="141"/>
      <c r="D655" s="142"/>
      <c r="E655" s="143"/>
      <c r="F655" s="141"/>
      <c r="G655" s="282"/>
      <c r="H655" s="141"/>
    </row>
    <row r="656" ht="15.75" customHeight="1">
      <c r="A656" s="141"/>
      <c r="B656" s="141"/>
      <c r="C656" s="141"/>
      <c r="D656" s="142"/>
      <c r="E656" s="143"/>
      <c r="F656" s="141"/>
      <c r="G656" s="282"/>
      <c r="H656" s="141"/>
    </row>
    <row r="657" ht="15.75" customHeight="1">
      <c r="A657" s="141"/>
      <c r="B657" s="141"/>
      <c r="C657" s="141"/>
      <c r="D657" s="142"/>
      <c r="E657" s="143"/>
      <c r="F657" s="141"/>
      <c r="G657" s="282"/>
      <c r="H657" s="141"/>
    </row>
    <row r="658" ht="15.75" customHeight="1">
      <c r="A658" s="141"/>
      <c r="B658" s="141"/>
      <c r="C658" s="141"/>
      <c r="D658" s="142"/>
      <c r="E658" s="143"/>
      <c r="F658" s="141"/>
      <c r="G658" s="282"/>
      <c r="H658" s="141"/>
    </row>
    <row r="659" ht="15.75" customHeight="1">
      <c r="A659" s="141"/>
      <c r="B659" s="141"/>
      <c r="C659" s="141"/>
      <c r="D659" s="142"/>
      <c r="E659" s="143"/>
      <c r="F659" s="141"/>
      <c r="G659" s="282"/>
      <c r="H659" s="141"/>
    </row>
    <row r="660" ht="15.75" customHeight="1">
      <c r="A660" s="141"/>
      <c r="B660" s="141"/>
      <c r="C660" s="141"/>
      <c r="D660" s="142"/>
      <c r="E660" s="143"/>
      <c r="F660" s="141"/>
      <c r="G660" s="282"/>
      <c r="H660" s="141"/>
    </row>
    <row r="661" ht="15.75" customHeight="1">
      <c r="A661" s="141"/>
      <c r="B661" s="141"/>
      <c r="C661" s="141"/>
      <c r="D661" s="142"/>
      <c r="E661" s="143"/>
      <c r="F661" s="141"/>
      <c r="G661" s="282"/>
      <c r="H661" s="141"/>
    </row>
    <row r="662" ht="15.75" customHeight="1">
      <c r="A662" s="141"/>
      <c r="B662" s="141"/>
      <c r="C662" s="141"/>
      <c r="D662" s="142"/>
      <c r="E662" s="143"/>
      <c r="F662" s="141"/>
      <c r="G662" s="282"/>
      <c r="H662" s="141"/>
    </row>
    <row r="663" ht="15.75" customHeight="1">
      <c r="A663" s="141"/>
      <c r="B663" s="141"/>
      <c r="C663" s="141"/>
      <c r="D663" s="142"/>
      <c r="E663" s="143"/>
      <c r="F663" s="141"/>
      <c r="G663" s="282"/>
      <c r="H663" s="141"/>
    </row>
    <row r="664" ht="15.75" customHeight="1">
      <c r="A664" s="141"/>
      <c r="B664" s="141"/>
      <c r="C664" s="141"/>
      <c r="D664" s="142"/>
      <c r="E664" s="143"/>
      <c r="F664" s="141"/>
      <c r="G664" s="282"/>
      <c r="H664" s="141"/>
    </row>
    <row r="665" ht="15.75" customHeight="1">
      <c r="A665" s="141"/>
      <c r="B665" s="141"/>
      <c r="C665" s="141"/>
      <c r="D665" s="142"/>
      <c r="E665" s="143"/>
      <c r="F665" s="141"/>
      <c r="G665" s="282"/>
      <c r="H665" s="141"/>
    </row>
    <row r="666" ht="15.75" customHeight="1">
      <c r="A666" s="141"/>
      <c r="B666" s="141"/>
      <c r="C666" s="141"/>
      <c r="D666" s="142"/>
      <c r="E666" s="143"/>
      <c r="F666" s="141"/>
      <c r="G666" s="282"/>
      <c r="H666" s="141"/>
    </row>
    <row r="667" ht="15.75" customHeight="1">
      <c r="A667" s="141"/>
      <c r="B667" s="141"/>
      <c r="C667" s="141"/>
      <c r="D667" s="142"/>
      <c r="E667" s="143"/>
      <c r="F667" s="141"/>
      <c r="G667" s="282"/>
      <c r="H667" s="141"/>
    </row>
    <row r="668" ht="15.75" customHeight="1">
      <c r="A668" s="141"/>
      <c r="B668" s="141"/>
      <c r="C668" s="141"/>
      <c r="D668" s="142"/>
      <c r="E668" s="143"/>
      <c r="F668" s="141"/>
      <c r="G668" s="282"/>
      <c r="H668" s="141"/>
    </row>
    <row r="669" ht="15.75" customHeight="1">
      <c r="A669" s="141"/>
      <c r="B669" s="141"/>
      <c r="C669" s="141"/>
      <c r="D669" s="142"/>
      <c r="E669" s="143"/>
      <c r="F669" s="141"/>
      <c r="G669" s="282"/>
      <c r="H669" s="141"/>
    </row>
    <row r="670" ht="15.75" customHeight="1">
      <c r="A670" s="141"/>
      <c r="B670" s="141"/>
      <c r="C670" s="141"/>
      <c r="D670" s="142"/>
      <c r="E670" s="143"/>
      <c r="F670" s="141"/>
      <c r="G670" s="282"/>
      <c r="H670" s="141"/>
    </row>
    <row r="671" ht="15.75" customHeight="1">
      <c r="A671" s="141"/>
      <c r="B671" s="141"/>
      <c r="C671" s="141"/>
      <c r="D671" s="142"/>
      <c r="E671" s="143"/>
      <c r="F671" s="141"/>
      <c r="G671" s="282"/>
      <c r="H671" s="141"/>
    </row>
    <row r="672" ht="15.75" customHeight="1">
      <c r="A672" s="141"/>
      <c r="B672" s="141"/>
      <c r="C672" s="141"/>
      <c r="D672" s="142"/>
      <c r="E672" s="143"/>
      <c r="F672" s="141"/>
      <c r="G672" s="282"/>
      <c r="H672" s="141"/>
    </row>
    <row r="673" ht="15.75" customHeight="1">
      <c r="A673" s="141"/>
      <c r="B673" s="141"/>
      <c r="C673" s="141"/>
      <c r="D673" s="142"/>
      <c r="E673" s="143"/>
      <c r="F673" s="141"/>
      <c r="G673" s="282"/>
      <c r="H673" s="141"/>
    </row>
    <row r="674" ht="15.75" customHeight="1">
      <c r="A674" s="141"/>
      <c r="B674" s="141"/>
      <c r="C674" s="141"/>
      <c r="D674" s="142"/>
      <c r="E674" s="143"/>
      <c r="F674" s="141"/>
      <c r="G674" s="282"/>
      <c r="H674" s="141"/>
    </row>
    <row r="675" ht="15.75" customHeight="1">
      <c r="A675" s="141"/>
      <c r="B675" s="141"/>
      <c r="C675" s="141"/>
      <c r="D675" s="142"/>
      <c r="E675" s="143"/>
      <c r="F675" s="141"/>
      <c r="G675" s="282"/>
      <c r="H675" s="141"/>
    </row>
    <row r="676" ht="15.75" customHeight="1">
      <c r="A676" s="141"/>
      <c r="B676" s="141"/>
      <c r="C676" s="141"/>
      <c r="D676" s="142"/>
      <c r="E676" s="143"/>
      <c r="F676" s="141"/>
      <c r="G676" s="282"/>
      <c r="H676" s="141"/>
    </row>
    <row r="677" ht="15.75" customHeight="1">
      <c r="A677" s="141"/>
      <c r="B677" s="141"/>
      <c r="C677" s="141"/>
      <c r="D677" s="142"/>
      <c r="E677" s="143"/>
      <c r="F677" s="141"/>
      <c r="G677" s="282"/>
      <c r="H677" s="141"/>
    </row>
    <row r="678" ht="15.75" customHeight="1">
      <c r="A678" s="141"/>
      <c r="B678" s="141"/>
      <c r="C678" s="141"/>
      <c r="D678" s="142"/>
      <c r="E678" s="143"/>
      <c r="F678" s="141"/>
      <c r="G678" s="282"/>
      <c r="H678" s="141"/>
    </row>
    <row r="679" ht="15.75" customHeight="1">
      <c r="A679" s="141"/>
      <c r="B679" s="141"/>
      <c r="C679" s="141"/>
      <c r="D679" s="142"/>
      <c r="E679" s="143"/>
      <c r="F679" s="141"/>
      <c r="G679" s="282"/>
      <c r="H679" s="141"/>
    </row>
    <row r="680" ht="15.75" customHeight="1">
      <c r="A680" s="141"/>
      <c r="B680" s="141"/>
      <c r="C680" s="141"/>
      <c r="D680" s="142"/>
      <c r="E680" s="143"/>
      <c r="F680" s="141"/>
      <c r="G680" s="282"/>
      <c r="H680" s="141"/>
    </row>
    <row r="681" ht="15.75" customHeight="1">
      <c r="A681" s="141"/>
      <c r="B681" s="141"/>
      <c r="C681" s="141"/>
      <c r="D681" s="142"/>
      <c r="E681" s="143"/>
      <c r="F681" s="141"/>
      <c r="G681" s="282"/>
      <c r="H681" s="141"/>
    </row>
    <row r="682" ht="15.75" customHeight="1">
      <c r="A682" s="141"/>
      <c r="B682" s="141"/>
      <c r="C682" s="141"/>
      <c r="D682" s="142"/>
      <c r="E682" s="143"/>
      <c r="F682" s="141"/>
      <c r="G682" s="282"/>
      <c r="H682" s="141"/>
    </row>
    <row r="683" ht="15.75" customHeight="1">
      <c r="A683" s="141"/>
      <c r="B683" s="141"/>
      <c r="C683" s="141"/>
      <c r="D683" s="142"/>
      <c r="E683" s="143"/>
      <c r="F683" s="141"/>
      <c r="G683" s="282"/>
      <c r="H683" s="141"/>
    </row>
    <row r="684" ht="15.75" customHeight="1">
      <c r="A684" s="141"/>
      <c r="B684" s="141"/>
      <c r="C684" s="141"/>
      <c r="D684" s="142"/>
      <c r="E684" s="143"/>
      <c r="F684" s="141"/>
      <c r="G684" s="282"/>
      <c r="H684" s="141"/>
    </row>
    <row r="685" ht="15.75" customHeight="1">
      <c r="A685" s="141"/>
      <c r="B685" s="141"/>
      <c r="C685" s="141"/>
      <c r="D685" s="142"/>
      <c r="E685" s="143"/>
      <c r="F685" s="141"/>
      <c r="G685" s="282"/>
      <c r="H685" s="141"/>
    </row>
    <row r="686" ht="15.75" customHeight="1">
      <c r="A686" s="141"/>
      <c r="B686" s="141"/>
      <c r="C686" s="141"/>
      <c r="D686" s="142"/>
      <c r="E686" s="143"/>
      <c r="F686" s="141"/>
      <c r="G686" s="282"/>
      <c r="H686" s="141"/>
    </row>
    <row r="687" ht="15.75" customHeight="1">
      <c r="A687" s="141"/>
      <c r="B687" s="141"/>
      <c r="C687" s="141"/>
      <c r="D687" s="142"/>
      <c r="E687" s="143"/>
      <c r="F687" s="141"/>
      <c r="G687" s="282"/>
      <c r="H687" s="141"/>
    </row>
    <row r="688" ht="15.75" customHeight="1">
      <c r="A688" s="141"/>
      <c r="B688" s="141"/>
      <c r="C688" s="141"/>
      <c r="D688" s="142"/>
      <c r="E688" s="143"/>
      <c r="F688" s="141"/>
      <c r="G688" s="282"/>
      <c r="H688" s="141"/>
    </row>
    <row r="689" ht="15.75" customHeight="1">
      <c r="A689" s="141"/>
      <c r="B689" s="141"/>
      <c r="C689" s="141"/>
      <c r="D689" s="142"/>
      <c r="E689" s="143"/>
      <c r="F689" s="141"/>
      <c r="G689" s="282"/>
      <c r="H689" s="141"/>
    </row>
    <row r="690" ht="15.75" customHeight="1">
      <c r="A690" s="141"/>
      <c r="B690" s="141"/>
      <c r="C690" s="141"/>
      <c r="D690" s="142"/>
      <c r="E690" s="143"/>
      <c r="F690" s="141"/>
      <c r="G690" s="282"/>
      <c r="H690" s="141"/>
    </row>
    <row r="691" ht="15.75" customHeight="1">
      <c r="A691" s="141"/>
      <c r="B691" s="141"/>
      <c r="C691" s="141"/>
      <c r="D691" s="142"/>
      <c r="E691" s="143"/>
      <c r="F691" s="141"/>
      <c r="G691" s="282"/>
      <c r="H691" s="141"/>
    </row>
    <row r="692" ht="15.75" customHeight="1">
      <c r="A692" s="141"/>
      <c r="B692" s="141"/>
      <c r="C692" s="141"/>
      <c r="D692" s="142"/>
      <c r="E692" s="143"/>
      <c r="F692" s="141"/>
      <c r="G692" s="282"/>
      <c r="H692" s="141"/>
    </row>
    <row r="693" ht="15.75" customHeight="1">
      <c r="A693" s="141"/>
      <c r="B693" s="141"/>
      <c r="C693" s="141"/>
      <c r="D693" s="142"/>
      <c r="E693" s="143"/>
      <c r="F693" s="141"/>
      <c r="G693" s="282"/>
      <c r="H693" s="141"/>
    </row>
    <row r="694" ht="15.75" customHeight="1">
      <c r="A694" s="141"/>
      <c r="B694" s="141"/>
      <c r="C694" s="141"/>
      <c r="D694" s="142"/>
      <c r="E694" s="143"/>
      <c r="F694" s="141"/>
      <c r="G694" s="282"/>
      <c r="H694" s="141"/>
    </row>
    <row r="695" ht="15.75" customHeight="1">
      <c r="A695" s="141"/>
      <c r="B695" s="141"/>
      <c r="C695" s="141"/>
      <c r="D695" s="142"/>
      <c r="E695" s="143"/>
      <c r="F695" s="141"/>
      <c r="G695" s="282"/>
      <c r="H695" s="141"/>
    </row>
    <row r="696" ht="15.75" customHeight="1">
      <c r="A696" s="141"/>
      <c r="B696" s="141"/>
      <c r="C696" s="141"/>
      <c r="D696" s="142"/>
      <c r="E696" s="143"/>
      <c r="F696" s="141"/>
      <c r="G696" s="282"/>
      <c r="H696" s="141"/>
    </row>
    <row r="697" ht="15.75" customHeight="1">
      <c r="A697" s="141"/>
      <c r="B697" s="141"/>
      <c r="C697" s="141"/>
      <c r="D697" s="142"/>
      <c r="E697" s="143"/>
      <c r="F697" s="141"/>
      <c r="G697" s="282"/>
      <c r="H697" s="141"/>
    </row>
    <row r="698" ht="15.75" customHeight="1">
      <c r="A698" s="141"/>
      <c r="B698" s="141"/>
      <c r="C698" s="141"/>
      <c r="D698" s="142"/>
      <c r="E698" s="143"/>
      <c r="F698" s="141"/>
      <c r="G698" s="282"/>
      <c r="H698" s="141"/>
    </row>
    <row r="699" ht="15.75" customHeight="1">
      <c r="A699" s="141"/>
      <c r="B699" s="141"/>
      <c r="C699" s="141"/>
      <c r="D699" s="142"/>
      <c r="E699" s="143"/>
      <c r="F699" s="141"/>
      <c r="G699" s="282"/>
      <c r="H699" s="141"/>
    </row>
    <row r="700" ht="15.75" customHeight="1">
      <c r="A700" s="141"/>
      <c r="B700" s="141"/>
      <c r="C700" s="141"/>
      <c r="D700" s="142"/>
      <c r="E700" s="143"/>
      <c r="F700" s="141"/>
      <c r="G700" s="282"/>
      <c r="H700" s="141"/>
    </row>
    <row r="701" ht="15.75" customHeight="1">
      <c r="A701" s="141"/>
      <c r="B701" s="141"/>
      <c r="C701" s="141"/>
      <c r="D701" s="142"/>
      <c r="E701" s="143"/>
      <c r="F701" s="141"/>
      <c r="G701" s="282"/>
      <c r="H701" s="141"/>
    </row>
    <row r="702" ht="15.75" customHeight="1">
      <c r="A702" s="141"/>
      <c r="B702" s="141"/>
      <c r="C702" s="141"/>
      <c r="D702" s="142"/>
      <c r="E702" s="143"/>
      <c r="F702" s="141"/>
      <c r="G702" s="282"/>
      <c r="H702" s="141"/>
    </row>
    <row r="703" ht="15.75" customHeight="1">
      <c r="A703" s="141"/>
      <c r="B703" s="141"/>
      <c r="C703" s="141"/>
      <c r="D703" s="142"/>
      <c r="E703" s="143"/>
      <c r="F703" s="141"/>
      <c r="G703" s="282"/>
      <c r="H703" s="141"/>
    </row>
    <row r="704" ht="15.75" customHeight="1">
      <c r="A704" s="141"/>
      <c r="B704" s="141"/>
      <c r="C704" s="141"/>
      <c r="D704" s="142"/>
      <c r="E704" s="143"/>
      <c r="F704" s="141"/>
      <c r="G704" s="282"/>
      <c r="H704" s="141"/>
    </row>
    <row r="705" ht="15.75" customHeight="1">
      <c r="A705" s="141"/>
      <c r="B705" s="141"/>
      <c r="C705" s="141"/>
      <c r="D705" s="142"/>
      <c r="E705" s="143"/>
      <c r="F705" s="141"/>
      <c r="G705" s="282"/>
      <c r="H705" s="141"/>
    </row>
    <row r="706" ht="15.75" customHeight="1">
      <c r="A706" s="141"/>
      <c r="B706" s="141"/>
      <c r="C706" s="141"/>
      <c r="D706" s="142"/>
      <c r="E706" s="143"/>
      <c r="F706" s="141"/>
      <c r="G706" s="282"/>
      <c r="H706" s="141"/>
    </row>
    <row r="707" ht="15.75" customHeight="1">
      <c r="A707" s="141"/>
      <c r="B707" s="141"/>
      <c r="C707" s="141"/>
      <c r="D707" s="142"/>
      <c r="E707" s="143"/>
      <c r="F707" s="141"/>
      <c r="G707" s="282"/>
      <c r="H707" s="141"/>
    </row>
    <row r="708" ht="15.75" customHeight="1">
      <c r="A708" s="141"/>
      <c r="B708" s="141"/>
      <c r="C708" s="141"/>
      <c r="D708" s="142"/>
      <c r="E708" s="143"/>
      <c r="F708" s="141"/>
      <c r="G708" s="282"/>
      <c r="H708" s="141"/>
    </row>
    <row r="709" ht="15.75" customHeight="1">
      <c r="A709" s="141"/>
      <c r="B709" s="141"/>
      <c r="C709" s="141"/>
      <c r="D709" s="142"/>
      <c r="E709" s="143"/>
      <c r="F709" s="141"/>
      <c r="G709" s="282"/>
      <c r="H709" s="141"/>
    </row>
    <row r="710" ht="15.75" customHeight="1">
      <c r="A710" s="141"/>
      <c r="B710" s="141"/>
      <c r="C710" s="141"/>
      <c r="D710" s="142"/>
      <c r="E710" s="143"/>
      <c r="F710" s="141"/>
      <c r="G710" s="282"/>
      <c r="H710" s="141"/>
    </row>
    <row r="711" ht="15.75" customHeight="1">
      <c r="A711" s="141"/>
      <c r="B711" s="141"/>
      <c r="C711" s="141"/>
      <c r="D711" s="142"/>
      <c r="E711" s="143"/>
      <c r="F711" s="141"/>
      <c r="G711" s="282"/>
      <c r="H711" s="141"/>
    </row>
    <row r="712" ht="15.75" customHeight="1">
      <c r="A712" s="141"/>
      <c r="B712" s="141"/>
      <c r="C712" s="141"/>
      <c r="D712" s="142"/>
      <c r="E712" s="143"/>
      <c r="F712" s="141"/>
      <c r="G712" s="282"/>
      <c r="H712" s="141"/>
    </row>
    <row r="713" ht="15.75" customHeight="1">
      <c r="A713" s="141"/>
      <c r="B713" s="141"/>
      <c r="C713" s="141"/>
      <c r="D713" s="142"/>
      <c r="E713" s="143"/>
      <c r="F713" s="141"/>
      <c r="G713" s="282"/>
      <c r="H713" s="141"/>
    </row>
    <row r="714" ht="15.75" customHeight="1">
      <c r="A714" s="141"/>
      <c r="B714" s="141"/>
      <c r="C714" s="141"/>
      <c r="D714" s="142"/>
      <c r="E714" s="143"/>
      <c r="F714" s="141"/>
      <c r="G714" s="282"/>
      <c r="H714" s="141"/>
    </row>
    <row r="715" ht="15.75" customHeight="1">
      <c r="A715" s="141"/>
      <c r="B715" s="141"/>
      <c r="C715" s="141"/>
      <c r="D715" s="142"/>
      <c r="E715" s="143"/>
      <c r="F715" s="141"/>
      <c r="G715" s="282"/>
      <c r="H715" s="141"/>
    </row>
    <row r="716" ht="15.75" customHeight="1">
      <c r="A716" s="141"/>
      <c r="B716" s="141"/>
      <c r="C716" s="141"/>
      <c r="D716" s="142"/>
      <c r="E716" s="143"/>
      <c r="F716" s="141"/>
      <c r="G716" s="282"/>
      <c r="H716" s="141"/>
    </row>
    <row r="717" ht="15.75" customHeight="1">
      <c r="A717" s="141"/>
      <c r="B717" s="141"/>
      <c r="C717" s="141"/>
      <c r="D717" s="142"/>
      <c r="E717" s="143"/>
      <c r="F717" s="141"/>
      <c r="G717" s="282"/>
      <c r="H717" s="141"/>
    </row>
    <row r="718" ht="15.75" customHeight="1">
      <c r="A718" s="141"/>
      <c r="B718" s="141"/>
      <c r="C718" s="141"/>
      <c r="D718" s="142"/>
      <c r="E718" s="143"/>
      <c r="F718" s="141"/>
      <c r="G718" s="282"/>
      <c r="H718" s="141"/>
    </row>
    <row r="719" ht="15.75" customHeight="1">
      <c r="A719" s="141"/>
      <c r="B719" s="141"/>
      <c r="C719" s="141"/>
      <c r="D719" s="142"/>
      <c r="E719" s="143"/>
      <c r="F719" s="141"/>
      <c r="G719" s="282"/>
      <c r="H719" s="141"/>
    </row>
    <row r="720" ht="15.75" customHeight="1">
      <c r="A720" s="141"/>
      <c r="B720" s="141"/>
      <c r="C720" s="141"/>
      <c r="D720" s="142"/>
      <c r="E720" s="143"/>
      <c r="F720" s="141"/>
      <c r="G720" s="282"/>
      <c r="H720" s="141"/>
    </row>
    <row r="721" ht="15.75" customHeight="1">
      <c r="A721" s="141"/>
      <c r="B721" s="141"/>
      <c r="C721" s="141"/>
      <c r="D721" s="142"/>
      <c r="E721" s="143"/>
      <c r="F721" s="141"/>
      <c r="G721" s="282"/>
      <c r="H721" s="141"/>
    </row>
    <row r="722" ht="15.75" customHeight="1">
      <c r="A722" s="141"/>
      <c r="B722" s="141"/>
      <c r="C722" s="141"/>
      <c r="D722" s="142"/>
      <c r="E722" s="143"/>
      <c r="F722" s="141"/>
      <c r="G722" s="282"/>
      <c r="H722" s="141"/>
    </row>
    <row r="723" ht="15.75" customHeight="1">
      <c r="A723" s="141"/>
      <c r="B723" s="141"/>
      <c r="C723" s="141"/>
      <c r="D723" s="142"/>
      <c r="E723" s="143"/>
      <c r="F723" s="141"/>
      <c r="G723" s="282"/>
      <c r="H723" s="141"/>
    </row>
    <row r="724" ht="15.75" customHeight="1">
      <c r="A724" s="141"/>
      <c r="B724" s="141"/>
      <c r="C724" s="141"/>
      <c r="D724" s="142"/>
      <c r="E724" s="143"/>
      <c r="F724" s="141"/>
      <c r="G724" s="282"/>
      <c r="H724" s="141"/>
    </row>
    <row r="725" ht="15.75" customHeight="1">
      <c r="A725" s="141"/>
      <c r="B725" s="141"/>
      <c r="C725" s="141"/>
      <c r="D725" s="142"/>
      <c r="E725" s="143"/>
      <c r="F725" s="141"/>
      <c r="G725" s="282"/>
      <c r="H725" s="141"/>
    </row>
    <row r="726" ht="15.75" customHeight="1">
      <c r="A726" s="141"/>
      <c r="B726" s="141"/>
      <c r="C726" s="141"/>
      <c r="D726" s="142"/>
      <c r="E726" s="143"/>
      <c r="F726" s="141"/>
      <c r="G726" s="282"/>
      <c r="H726" s="141"/>
    </row>
    <row r="727" ht="15.75" customHeight="1">
      <c r="A727" s="141"/>
      <c r="B727" s="141"/>
      <c r="C727" s="141"/>
      <c r="D727" s="142"/>
      <c r="E727" s="143"/>
      <c r="F727" s="141"/>
      <c r="G727" s="282"/>
      <c r="H727" s="141"/>
    </row>
    <row r="728" ht="15.75" customHeight="1">
      <c r="A728" s="141"/>
      <c r="B728" s="141"/>
      <c r="C728" s="141"/>
      <c r="D728" s="142"/>
      <c r="E728" s="143"/>
      <c r="F728" s="141"/>
      <c r="G728" s="282"/>
      <c r="H728" s="141"/>
    </row>
    <row r="729" ht="15.75" customHeight="1">
      <c r="A729" s="141"/>
      <c r="B729" s="141"/>
      <c r="C729" s="141"/>
      <c r="D729" s="142"/>
      <c r="E729" s="143"/>
      <c r="F729" s="141"/>
      <c r="G729" s="282"/>
      <c r="H729" s="141"/>
    </row>
    <row r="730" ht="15.75" customHeight="1">
      <c r="A730" s="141"/>
      <c r="B730" s="141"/>
      <c r="C730" s="141"/>
      <c r="D730" s="142"/>
      <c r="E730" s="143"/>
      <c r="F730" s="141"/>
      <c r="G730" s="282"/>
      <c r="H730" s="141"/>
    </row>
    <row r="731" ht="15.75" customHeight="1">
      <c r="A731" s="141"/>
      <c r="B731" s="141"/>
      <c r="C731" s="141"/>
      <c r="D731" s="142"/>
      <c r="E731" s="143"/>
      <c r="F731" s="141"/>
      <c r="G731" s="282"/>
      <c r="H731" s="141"/>
    </row>
    <row r="732" ht="15.75" customHeight="1">
      <c r="A732" s="141"/>
      <c r="B732" s="141"/>
      <c r="C732" s="141"/>
      <c r="D732" s="142"/>
      <c r="E732" s="143"/>
      <c r="F732" s="141"/>
      <c r="G732" s="282"/>
      <c r="H732" s="141"/>
    </row>
    <row r="733" ht="15.75" customHeight="1">
      <c r="A733" s="141"/>
      <c r="B733" s="141"/>
      <c r="C733" s="141"/>
      <c r="D733" s="142"/>
      <c r="E733" s="143"/>
      <c r="F733" s="141"/>
      <c r="G733" s="282"/>
      <c r="H733" s="141"/>
    </row>
    <row r="734" ht="15.75" customHeight="1">
      <c r="A734" s="141"/>
      <c r="B734" s="141"/>
      <c r="C734" s="141"/>
      <c r="D734" s="142"/>
      <c r="E734" s="143"/>
      <c r="F734" s="141"/>
      <c r="G734" s="282"/>
      <c r="H734" s="141"/>
    </row>
    <row r="735" ht="15.75" customHeight="1">
      <c r="A735" s="141"/>
      <c r="B735" s="141"/>
      <c r="C735" s="141"/>
      <c r="D735" s="142"/>
      <c r="E735" s="143"/>
      <c r="F735" s="141"/>
      <c r="G735" s="282"/>
      <c r="H735" s="141"/>
    </row>
    <row r="736" ht="15.75" customHeight="1">
      <c r="A736" s="141"/>
      <c r="B736" s="141"/>
      <c r="C736" s="141"/>
      <c r="D736" s="142"/>
      <c r="E736" s="143"/>
      <c r="F736" s="141"/>
      <c r="G736" s="282"/>
      <c r="H736" s="141"/>
    </row>
    <row r="737" ht="15.75" customHeight="1">
      <c r="A737" s="141"/>
      <c r="B737" s="141"/>
      <c r="C737" s="141"/>
      <c r="D737" s="142"/>
      <c r="E737" s="143"/>
      <c r="F737" s="141"/>
      <c r="G737" s="282"/>
      <c r="H737" s="141"/>
    </row>
    <row r="738" ht="15.75" customHeight="1">
      <c r="A738" s="141"/>
      <c r="B738" s="141"/>
      <c r="C738" s="141"/>
      <c r="D738" s="142"/>
      <c r="E738" s="143"/>
      <c r="F738" s="141"/>
      <c r="G738" s="282"/>
      <c r="H738" s="141"/>
    </row>
    <row r="739" ht="15.75" customHeight="1">
      <c r="A739" s="141"/>
      <c r="B739" s="141"/>
      <c r="C739" s="141"/>
      <c r="D739" s="142"/>
      <c r="E739" s="143"/>
      <c r="F739" s="141"/>
      <c r="G739" s="282"/>
      <c r="H739" s="141"/>
    </row>
    <row r="740" ht="15.75" customHeight="1">
      <c r="A740" s="141"/>
      <c r="B740" s="141"/>
      <c r="C740" s="141"/>
      <c r="D740" s="142"/>
      <c r="E740" s="143"/>
      <c r="F740" s="141"/>
      <c r="G740" s="282"/>
      <c r="H740" s="141"/>
    </row>
    <row r="741" ht="15.75" customHeight="1">
      <c r="A741" s="141"/>
      <c r="B741" s="141"/>
      <c r="C741" s="141"/>
      <c r="D741" s="142"/>
      <c r="E741" s="143"/>
      <c r="F741" s="141"/>
      <c r="G741" s="282"/>
      <c r="H741" s="141"/>
    </row>
    <row r="742" ht="15.75" customHeight="1">
      <c r="A742" s="141"/>
      <c r="B742" s="141"/>
      <c r="C742" s="141"/>
      <c r="D742" s="142"/>
      <c r="E742" s="143"/>
      <c r="F742" s="141"/>
      <c r="G742" s="282"/>
      <c r="H742" s="141"/>
    </row>
    <row r="743" ht="15.75" customHeight="1">
      <c r="A743" s="141"/>
      <c r="B743" s="141"/>
      <c r="C743" s="141"/>
      <c r="D743" s="142"/>
      <c r="E743" s="143"/>
      <c r="F743" s="141"/>
      <c r="G743" s="282"/>
      <c r="H743" s="141"/>
    </row>
    <row r="744" ht="15.75" customHeight="1">
      <c r="A744" s="141"/>
      <c r="B744" s="141"/>
      <c r="C744" s="141"/>
      <c r="D744" s="142"/>
      <c r="E744" s="143"/>
      <c r="F744" s="141"/>
      <c r="G744" s="282"/>
      <c r="H744" s="141"/>
    </row>
    <row r="745" ht="15.75" customHeight="1">
      <c r="A745" s="141"/>
      <c r="B745" s="141"/>
      <c r="C745" s="141"/>
      <c r="D745" s="142"/>
      <c r="E745" s="143"/>
      <c r="F745" s="141"/>
      <c r="G745" s="282"/>
      <c r="H745" s="141"/>
    </row>
    <row r="746" ht="15.75" customHeight="1">
      <c r="A746" s="141"/>
      <c r="B746" s="141"/>
      <c r="C746" s="141"/>
      <c r="D746" s="142"/>
      <c r="E746" s="143"/>
      <c r="F746" s="141"/>
      <c r="G746" s="282"/>
      <c r="H746" s="141"/>
    </row>
    <row r="747" ht="15.75" customHeight="1">
      <c r="A747" s="141"/>
      <c r="B747" s="141"/>
      <c r="C747" s="141"/>
      <c r="D747" s="142"/>
      <c r="E747" s="143"/>
      <c r="F747" s="141"/>
      <c r="G747" s="282"/>
      <c r="H747" s="141"/>
    </row>
    <row r="748" ht="15.75" customHeight="1">
      <c r="A748" s="141"/>
      <c r="B748" s="141"/>
      <c r="C748" s="141"/>
      <c r="D748" s="142"/>
      <c r="E748" s="143"/>
      <c r="F748" s="141"/>
      <c r="G748" s="282"/>
      <c r="H748" s="141"/>
    </row>
    <row r="749" ht="15.75" customHeight="1">
      <c r="A749" s="141"/>
      <c r="B749" s="141"/>
      <c r="C749" s="141"/>
      <c r="D749" s="142"/>
      <c r="E749" s="143"/>
      <c r="F749" s="141"/>
      <c r="G749" s="282"/>
      <c r="H749" s="141"/>
    </row>
    <row r="750" ht="15.75" customHeight="1">
      <c r="A750" s="141"/>
      <c r="B750" s="141"/>
      <c r="C750" s="141"/>
      <c r="D750" s="142"/>
      <c r="E750" s="143"/>
      <c r="F750" s="141"/>
      <c r="G750" s="282"/>
      <c r="H750" s="141"/>
    </row>
    <row r="751" ht="15.75" customHeight="1">
      <c r="A751" s="141"/>
      <c r="B751" s="141"/>
      <c r="C751" s="141"/>
      <c r="D751" s="142"/>
      <c r="E751" s="143"/>
      <c r="F751" s="141"/>
      <c r="G751" s="282"/>
      <c r="H751" s="141"/>
    </row>
    <row r="752" ht="15.75" customHeight="1">
      <c r="A752" s="141"/>
      <c r="B752" s="141"/>
      <c r="C752" s="141"/>
      <c r="D752" s="142"/>
      <c r="E752" s="143"/>
      <c r="F752" s="141"/>
      <c r="G752" s="282"/>
      <c r="H752" s="141"/>
    </row>
    <row r="753" ht="15.75" customHeight="1">
      <c r="A753" s="141"/>
      <c r="B753" s="141"/>
      <c r="C753" s="141"/>
      <c r="D753" s="142"/>
      <c r="E753" s="143"/>
      <c r="F753" s="141"/>
      <c r="G753" s="282"/>
      <c r="H753" s="141"/>
    </row>
    <row r="754" ht="15.75" customHeight="1">
      <c r="A754" s="141"/>
      <c r="B754" s="141"/>
      <c r="C754" s="141"/>
      <c r="D754" s="142"/>
      <c r="E754" s="143"/>
      <c r="F754" s="141"/>
      <c r="G754" s="282"/>
      <c r="H754" s="141"/>
    </row>
    <row r="755" ht="15.75" customHeight="1">
      <c r="A755" s="141"/>
      <c r="B755" s="141"/>
      <c r="C755" s="141"/>
      <c r="D755" s="142"/>
      <c r="E755" s="143"/>
      <c r="F755" s="141"/>
      <c r="G755" s="282"/>
      <c r="H755" s="141"/>
    </row>
    <row r="756" ht="15.75" customHeight="1">
      <c r="A756" s="141"/>
      <c r="B756" s="141"/>
      <c r="C756" s="141"/>
      <c r="D756" s="142"/>
      <c r="E756" s="143"/>
      <c r="F756" s="141"/>
      <c r="G756" s="282"/>
      <c r="H756" s="141"/>
    </row>
    <row r="757" ht="15.75" customHeight="1">
      <c r="A757" s="141"/>
      <c r="B757" s="141"/>
      <c r="C757" s="141"/>
      <c r="D757" s="142"/>
      <c r="E757" s="143"/>
      <c r="F757" s="141"/>
      <c r="G757" s="282"/>
      <c r="H757" s="141"/>
    </row>
    <row r="758" ht="15.75" customHeight="1">
      <c r="A758" s="141"/>
      <c r="B758" s="141"/>
      <c r="C758" s="141"/>
      <c r="D758" s="142"/>
      <c r="E758" s="143"/>
      <c r="F758" s="141"/>
      <c r="G758" s="282"/>
      <c r="H758" s="141"/>
    </row>
    <row r="759" ht="15.75" customHeight="1">
      <c r="A759" s="141"/>
      <c r="B759" s="141"/>
      <c r="C759" s="141"/>
      <c r="D759" s="142"/>
      <c r="E759" s="143"/>
      <c r="F759" s="141"/>
      <c r="G759" s="282"/>
      <c r="H759" s="141"/>
    </row>
    <row r="760" ht="15.75" customHeight="1">
      <c r="A760" s="141"/>
      <c r="B760" s="141"/>
      <c r="C760" s="141"/>
      <c r="D760" s="142"/>
      <c r="E760" s="143"/>
      <c r="F760" s="141"/>
      <c r="G760" s="282"/>
      <c r="H760" s="141"/>
    </row>
    <row r="761" ht="15.75" customHeight="1">
      <c r="A761" s="141"/>
      <c r="B761" s="141"/>
      <c r="C761" s="141"/>
      <c r="D761" s="142"/>
      <c r="E761" s="143"/>
      <c r="F761" s="141"/>
      <c r="G761" s="282"/>
      <c r="H761" s="141"/>
    </row>
    <row r="762" ht="15.75" customHeight="1">
      <c r="A762" s="141"/>
      <c r="B762" s="141"/>
      <c r="C762" s="141"/>
      <c r="D762" s="142"/>
      <c r="E762" s="143"/>
      <c r="F762" s="141"/>
      <c r="G762" s="282"/>
      <c r="H762" s="141"/>
    </row>
    <row r="763" ht="15.75" customHeight="1">
      <c r="A763" s="141"/>
      <c r="B763" s="141"/>
      <c r="C763" s="141"/>
      <c r="D763" s="142"/>
      <c r="E763" s="143"/>
      <c r="F763" s="141"/>
      <c r="G763" s="282"/>
      <c r="H763" s="141"/>
    </row>
    <row r="764" ht="15.75" customHeight="1">
      <c r="A764" s="141"/>
      <c r="B764" s="141"/>
      <c r="C764" s="141"/>
      <c r="D764" s="142"/>
      <c r="E764" s="143"/>
      <c r="F764" s="141"/>
      <c r="G764" s="282"/>
      <c r="H764" s="141"/>
    </row>
    <row r="765" ht="15.75" customHeight="1">
      <c r="A765" s="141"/>
      <c r="B765" s="141"/>
      <c r="C765" s="141"/>
      <c r="D765" s="142"/>
      <c r="E765" s="143"/>
      <c r="F765" s="141"/>
      <c r="G765" s="282"/>
      <c r="H765" s="141"/>
    </row>
    <row r="766" ht="15.75" customHeight="1">
      <c r="A766" s="141"/>
      <c r="B766" s="141"/>
      <c r="C766" s="141"/>
      <c r="D766" s="142"/>
      <c r="E766" s="143"/>
      <c r="F766" s="141"/>
      <c r="G766" s="282"/>
      <c r="H766" s="141"/>
    </row>
    <row r="767" ht="15.75" customHeight="1">
      <c r="A767" s="141"/>
      <c r="B767" s="141"/>
      <c r="C767" s="141"/>
      <c r="D767" s="142"/>
      <c r="E767" s="143"/>
      <c r="F767" s="141"/>
      <c r="G767" s="282"/>
      <c r="H767" s="141"/>
    </row>
    <row r="768" ht="15.75" customHeight="1">
      <c r="A768" s="141"/>
      <c r="B768" s="141"/>
      <c r="C768" s="141"/>
      <c r="D768" s="142"/>
      <c r="E768" s="143"/>
      <c r="F768" s="141"/>
      <c r="G768" s="282"/>
      <c r="H768" s="141"/>
    </row>
    <row r="769" ht="15.75" customHeight="1">
      <c r="A769" s="141"/>
      <c r="B769" s="141"/>
      <c r="C769" s="141"/>
      <c r="D769" s="142"/>
      <c r="E769" s="143"/>
      <c r="F769" s="141"/>
      <c r="G769" s="282"/>
      <c r="H769" s="141"/>
    </row>
    <row r="770" ht="15.75" customHeight="1">
      <c r="A770" s="141"/>
      <c r="B770" s="141"/>
      <c r="C770" s="141"/>
      <c r="D770" s="142"/>
      <c r="E770" s="143"/>
      <c r="F770" s="141"/>
      <c r="G770" s="282"/>
      <c r="H770" s="141"/>
    </row>
    <row r="771" ht="15.75" customHeight="1">
      <c r="A771" s="141"/>
      <c r="B771" s="141"/>
      <c r="C771" s="141"/>
      <c r="D771" s="142"/>
      <c r="E771" s="143"/>
      <c r="F771" s="141"/>
      <c r="G771" s="282"/>
      <c r="H771" s="141"/>
    </row>
    <row r="772" ht="15.75" customHeight="1">
      <c r="A772" s="141"/>
      <c r="B772" s="141"/>
      <c r="C772" s="141"/>
      <c r="D772" s="142"/>
      <c r="E772" s="143"/>
      <c r="F772" s="141"/>
      <c r="G772" s="282"/>
      <c r="H772" s="141"/>
    </row>
    <row r="773" ht="15.75" customHeight="1">
      <c r="A773" s="141"/>
      <c r="B773" s="141"/>
      <c r="C773" s="141"/>
      <c r="D773" s="142"/>
      <c r="E773" s="143"/>
      <c r="F773" s="141"/>
      <c r="G773" s="282"/>
      <c r="H773" s="141"/>
    </row>
    <row r="774" ht="15.75" customHeight="1">
      <c r="A774" s="141"/>
      <c r="B774" s="141"/>
      <c r="C774" s="141"/>
      <c r="D774" s="142"/>
      <c r="E774" s="143"/>
      <c r="F774" s="141"/>
      <c r="G774" s="282"/>
      <c r="H774" s="141"/>
    </row>
    <row r="775" ht="15.75" customHeight="1">
      <c r="A775" s="141"/>
      <c r="B775" s="141"/>
      <c r="C775" s="141"/>
      <c r="D775" s="142"/>
      <c r="E775" s="143"/>
      <c r="F775" s="141"/>
      <c r="G775" s="282"/>
      <c r="H775" s="141"/>
    </row>
    <row r="776" ht="15.75" customHeight="1">
      <c r="A776" s="141"/>
      <c r="B776" s="141"/>
      <c r="C776" s="141"/>
      <c r="D776" s="142"/>
      <c r="E776" s="143"/>
      <c r="F776" s="141"/>
      <c r="G776" s="282"/>
      <c r="H776" s="141"/>
    </row>
    <row r="777" ht="15.75" customHeight="1">
      <c r="A777" s="141"/>
      <c r="B777" s="141"/>
      <c r="C777" s="141"/>
      <c r="D777" s="142"/>
      <c r="E777" s="143"/>
      <c r="F777" s="141"/>
      <c r="G777" s="282"/>
      <c r="H777" s="141"/>
    </row>
    <row r="778" ht="15.75" customHeight="1">
      <c r="A778" s="141"/>
      <c r="B778" s="141"/>
      <c r="C778" s="141"/>
      <c r="D778" s="142"/>
      <c r="E778" s="143"/>
      <c r="F778" s="141"/>
      <c r="G778" s="282"/>
      <c r="H778" s="141"/>
    </row>
    <row r="779" ht="15.75" customHeight="1">
      <c r="A779" s="141"/>
      <c r="B779" s="141"/>
      <c r="C779" s="141"/>
      <c r="D779" s="142"/>
      <c r="E779" s="143"/>
      <c r="F779" s="141"/>
      <c r="G779" s="282"/>
      <c r="H779" s="141"/>
    </row>
    <row r="780" ht="15.75" customHeight="1">
      <c r="A780" s="141"/>
      <c r="B780" s="141"/>
      <c r="C780" s="141"/>
      <c r="D780" s="142"/>
      <c r="E780" s="143"/>
      <c r="F780" s="141"/>
      <c r="G780" s="282"/>
      <c r="H780" s="141"/>
    </row>
    <row r="781" ht="15.75" customHeight="1">
      <c r="A781" s="141"/>
      <c r="B781" s="141"/>
      <c r="C781" s="141"/>
      <c r="D781" s="142"/>
      <c r="E781" s="143"/>
      <c r="F781" s="141"/>
      <c r="G781" s="282"/>
      <c r="H781" s="141"/>
    </row>
    <row r="782" ht="15.75" customHeight="1">
      <c r="A782" s="141"/>
      <c r="B782" s="141"/>
      <c r="C782" s="141"/>
      <c r="D782" s="142"/>
      <c r="E782" s="143"/>
      <c r="F782" s="141"/>
      <c r="G782" s="282"/>
      <c r="H782" s="141"/>
    </row>
    <row r="783" ht="15.75" customHeight="1">
      <c r="A783" s="141"/>
      <c r="B783" s="141"/>
      <c r="C783" s="141"/>
      <c r="D783" s="142"/>
      <c r="E783" s="143"/>
      <c r="F783" s="141"/>
      <c r="G783" s="282"/>
      <c r="H783" s="141"/>
    </row>
    <row r="784" ht="15.75" customHeight="1">
      <c r="A784" s="141"/>
      <c r="B784" s="141"/>
      <c r="C784" s="141"/>
      <c r="D784" s="142"/>
      <c r="E784" s="143"/>
      <c r="F784" s="141"/>
      <c r="G784" s="282"/>
      <c r="H784" s="141"/>
    </row>
    <row r="785" ht="15.75" customHeight="1">
      <c r="A785" s="141"/>
      <c r="B785" s="141"/>
      <c r="C785" s="141"/>
      <c r="D785" s="142"/>
      <c r="E785" s="143"/>
      <c r="F785" s="141"/>
      <c r="G785" s="282"/>
      <c r="H785" s="141"/>
    </row>
    <row r="786" ht="15.75" customHeight="1">
      <c r="A786" s="141"/>
      <c r="B786" s="141"/>
      <c r="C786" s="141"/>
      <c r="D786" s="142"/>
      <c r="E786" s="143"/>
      <c r="F786" s="141"/>
      <c r="G786" s="282"/>
      <c r="H786" s="141"/>
    </row>
    <row r="787" ht="15.75" customHeight="1">
      <c r="A787" s="141"/>
      <c r="B787" s="141"/>
      <c r="C787" s="141"/>
      <c r="D787" s="142"/>
      <c r="E787" s="143"/>
      <c r="F787" s="141"/>
      <c r="G787" s="282"/>
      <c r="H787" s="141"/>
    </row>
    <row r="788" ht="15.75" customHeight="1">
      <c r="A788" s="141"/>
      <c r="B788" s="141"/>
      <c r="C788" s="141"/>
      <c r="D788" s="142"/>
      <c r="E788" s="143"/>
      <c r="F788" s="141"/>
      <c r="G788" s="282"/>
      <c r="H788" s="141"/>
    </row>
    <row r="789" ht="15.75" customHeight="1">
      <c r="A789" s="141"/>
      <c r="B789" s="141"/>
      <c r="C789" s="141"/>
      <c r="D789" s="142"/>
      <c r="E789" s="143"/>
      <c r="F789" s="141"/>
      <c r="G789" s="282"/>
      <c r="H789" s="141"/>
    </row>
    <row r="790" ht="15.75" customHeight="1">
      <c r="A790" s="141"/>
      <c r="B790" s="141"/>
      <c r="C790" s="141"/>
      <c r="D790" s="142"/>
      <c r="E790" s="143"/>
      <c r="F790" s="141"/>
      <c r="G790" s="282"/>
      <c r="H790" s="141"/>
    </row>
    <row r="791" ht="15.75" customHeight="1">
      <c r="A791" s="141"/>
      <c r="B791" s="141"/>
      <c r="C791" s="141"/>
      <c r="D791" s="142"/>
      <c r="E791" s="143"/>
      <c r="F791" s="141"/>
      <c r="G791" s="282"/>
      <c r="H791" s="141"/>
    </row>
    <row r="792" ht="15.75" customHeight="1">
      <c r="A792" s="141"/>
      <c r="B792" s="141"/>
      <c r="C792" s="141"/>
      <c r="D792" s="142"/>
      <c r="E792" s="143"/>
      <c r="F792" s="141"/>
      <c r="G792" s="282"/>
      <c r="H792" s="141"/>
    </row>
    <row r="793" ht="15.75" customHeight="1">
      <c r="A793" s="141"/>
      <c r="B793" s="141"/>
      <c r="C793" s="141"/>
      <c r="D793" s="142"/>
      <c r="E793" s="143"/>
      <c r="F793" s="141"/>
      <c r="G793" s="282"/>
      <c r="H793" s="141"/>
    </row>
    <row r="794" ht="15.75" customHeight="1">
      <c r="A794" s="141"/>
      <c r="B794" s="141"/>
      <c r="C794" s="141"/>
      <c r="D794" s="142"/>
      <c r="E794" s="143"/>
      <c r="F794" s="141"/>
      <c r="G794" s="282"/>
      <c r="H794" s="141"/>
    </row>
    <row r="795" ht="15.75" customHeight="1">
      <c r="A795" s="141"/>
      <c r="B795" s="141"/>
      <c r="C795" s="141"/>
      <c r="D795" s="142"/>
      <c r="E795" s="143"/>
      <c r="F795" s="141"/>
      <c r="G795" s="282"/>
      <c r="H795" s="141"/>
    </row>
    <row r="796" ht="15.75" customHeight="1">
      <c r="A796" s="141"/>
      <c r="B796" s="141"/>
      <c r="C796" s="141"/>
      <c r="D796" s="142"/>
      <c r="E796" s="143"/>
      <c r="F796" s="141"/>
      <c r="G796" s="282"/>
      <c r="H796" s="141"/>
    </row>
    <row r="797" ht="15.75" customHeight="1">
      <c r="A797" s="141"/>
      <c r="B797" s="141"/>
      <c r="C797" s="141"/>
      <c r="D797" s="142"/>
      <c r="E797" s="143"/>
      <c r="F797" s="141"/>
      <c r="G797" s="282"/>
      <c r="H797" s="141"/>
    </row>
    <row r="798" ht="15.75" customHeight="1">
      <c r="A798" s="141"/>
      <c r="B798" s="141"/>
      <c r="C798" s="141"/>
      <c r="D798" s="142"/>
      <c r="E798" s="143"/>
      <c r="F798" s="141"/>
      <c r="G798" s="282"/>
      <c r="H798" s="141"/>
    </row>
    <row r="799" ht="15.75" customHeight="1">
      <c r="A799" s="141"/>
      <c r="B799" s="141"/>
      <c r="C799" s="141"/>
      <c r="D799" s="142"/>
      <c r="E799" s="143"/>
      <c r="F799" s="141"/>
      <c r="G799" s="282"/>
      <c r="H799" s="141"/>
    </row>
    <row r="800" ht="15.75" customHeight="1">
      <c r="A800" s="141"/>
      <c r="B800" s="141"/>
      <c r="C800" s="141"/>
      <c r="D800" s="142"/>
      <c r="E800" s="143"/>
      <c r="F800" s="141"/>
      <c r="G800" s="282"/>
      <c r="H800" s="141"/>
    </row>
    <row r="801" ht="15.75" customHeight="1">
      <c r="A801" s="141"/>
      <c r="B801" s="141"/>
      <c r="C801" s="141"/>
      <c r="D801" s="142"/>
      <c r="E801" s="143"/>
      <c r="F801" s="141"/>
      <c r="G801" s="282"/>
      <c r="H801" s="141"/>
    </row>
    <row r="802" ht="15.75" customHeight="1">
      <c r="A802" s="141"/>
      <c r="B802" s="141"/>
      <c r="C802" s="141"/>
      <c r="D802" s="142"/>
      <c r="E802" s="143"/>
      <c r="F802" s="141"/>
      <c r="G802" s="282"/>
      <c r="H802" s="141"/>
    </row>
    <row r="803" ht="15.75" customHeight="1">
      <c r="A803" s="141"/>
      <c r="B803" s="141"/>
      <c r="C803" s="141"/>
      <c r="D803" s="142"/>
      <c r="E803" s="143"/>
      <c r="F803" s="141"/>
      <c r="G803" s="282"/>
      <c r="H803" s="141"/>
    </row>
    <row r="804" ht="15.75" customHeight="1">
      <c r="A804" s="141"/>
      <c r="B804" s="141"/>
      <c r="C804" s="141"/>
      <c r="D804" s="142"/>
      <c r="E804" s="143"/>
      <c r="F804" s="141"/>
      <c r="G804" s="282"/>
      <c r="H804" s="141"/>
    </row>
    <row r="805" ht="15.75" customHeight="1">
      <c r="A805" s="141"/>
      <c r="B805" s="141"/>
      <c r="C805" s="141"/>
      <c r="D805" s="142"/>
      <c r="E805" s="143"/>
      <c r="F805" s="141"/>
      <c r="G805" s="282"/>
      <c r="H805" s="141"/>
    </row>
    <row r="806" ht="15.75" customHeight="1">
      <c r="A806" s="141"/>
      <c r="B806" s="141"/>
      <c r="C806" s="141"/>
      <c r="D806" s="142"/>
      <c r="E806" s="143"/>
      <c r="F806" s="141"/>
      <c r="G806" s="282"/>
      <c r="H806" s="141"/>
    </row>
    <row r="807" ht="15.75" customHeight="1">
      <c r="A807" s="141"/>
      <c r="B807" s="141"/>
      <c r="C807" s="141"/>
      <c r="D807" s="142"/>
      <c r="E807" s="143"/>
      <c r="F807" s="141"/>
      <c r="G807" s="282"/>
      <c r="H807" s="141"/>
    </row>
    <row r="808" ht="15.75" customHeight="1">
      <c r="A808" s="141"/>
      <c r="B808" s="141"/>
      <c r="C808" s="141"/>
      <c r="D808" s="142"/>
      <c r="E808" s="143"/>
      <c r="F808" s="141"/>
      <c r="G808" s="282"/>
      <c r="H808" s="141"/>
    </row>
    <row r="809" ht="15.75" customHeight="1">
      <c r="A809" s="141"/>
      <c r="B809" s="141"/>
      <c r="C809" s="141"/>
      <c r="D809" s="142"/>
      <c r="E809" s="143"/>
      <c r="F809" s="141"/>
      <c r="G809" s="282"/>
      <c r="H809" s="141"/>
    </row>
    <row r="810" ht="15.75" customHeight="1">
      <c r="A810" s="141"/>
      <c r="B810" s="141"/>
      <c r="C810" s="141"/>
      <c r="D810" s="142"/>
      <c r="E810" s="143"/>
      <c r="F810" s="141"/>
      <c r="G810" s="282"/>
      <c r="H810" s="141"/>
    </row>
    <row r="811" ht="15.75" customHeight="1">
      <c r="A811" s="141"/>
      <c r="B811" s="141"/>
      <c r="C811" s="141"/>
      <c r="D811" s="142"/>
      <c r="E811" s="143"/>
      <c r="F811" s="141"/>
      <c r="G811" s="282"/>
      <c r="H811" s="141"/>
    </row>
    <row r="812" ht="15.75" customHeight="1">
      <c r="A812" s="141"/>
      <c r="B812" s="141"/>
      <c r="C812" s="141"/>
      <c r="D812" s="142"/>
      <c r="E812" s="143"/>
      <c r="F812" s="141"/>
      <c r="G812" s="282"/>
      <c r="H812" s="141"/>
    </row>
    <row r="813" ht="15.75" customHeight="1">
      <c r="A813" s="141"/>
      <c r="B813" s="141"/>
      <c r="C813" s="141"/>
      <c r="D813" s="142"/>
      <c r="E813" s="143"/>
      <c r="F813" s="141"/>
      <c r="G813" s="282"/>
      <c r="H813" s="141"/>
    </row>
    <row r="814" ht="15.75" customHeight="1">
      <c r="A814" s="141"/>
      <c r="B814" s="141"/>
      <c r="C814" s="141"/>
      <c r="D814" s="142"/>
      <c r="E814" s="143"/>
      <c r="F814" s="141"/>
      <c r="G814" s="282"/>
      <c r="H814" s="141"/>
    </row>
    <row r="815" ht="15.75" customHeight="1">
      <c r="A815" s="141"/>
      <c r="B815" s="141"/>
      <c r="C815" s="141"/>
      <c r="D815" s="142"/>
      <c r="E815" s="143"/>
      <c r="F815" s="141"/>
      <c r="G815" s="282"/>
      <c r="H815" s="141"/>
    </row>
    <row r="816" ht="15.75" customHeight="1">
      <c r="A816" s="141"/>
      <c r="B816" s="141"/>
      <c r="C816" s="141"/>
      <c r="D816" s="142"/>
      <c r="E816" s="143"/>
      <c r="F816" s="141"/>
      <c r="G816" s="282"/>
      <c r="H816" s="141"/>
    </row>
    <row r="817" ht="15.75" customHeight="1">
      <c r="A817" s="141"/>
      <c r="B817" s="141"/>
      <c r="C817" s="141"/>
      <c r="D817" s="142"/>
      <c r="E817" s="143"/>
      <c r="F817" s="141"/>
      <c r="G817" s="282"/>
      <c r="H817" s="141"/>
    </row>
    <row r="818" ht="15.75" customHeight="1">
      <c r="A818" s="141"/>
      <c r="B818" s="141"/>
      <c r="C818" s="141"/>
      <c r="D818" s="142"/>
      <c r="E818" s="143"/>
      <c r="F818" s="141"/>
      <c r="G818" s="282"/>
      <c r="H818" s="141"/>
    </row>
    <row r="819" ht="15.75" customHeight="1">
      <c r="A819" s="141"/>
      <c r="B819" s="141"/>
      <c r="C819" s="141"/>
      <c r="D819" s="142"/>
      <c r="E819" s="143"/>
      <c r="F819" s="141"/>
      <c r="G819" s="282"/>
      <c r="H819" s="141"/>
    </row>
    <row r="820" ht="15.75" customHeight="1">
      <c r="A820" s="141"/>
      <c r="B820" s="141"/>
      <c r="C820" s="141"/>
      <c r="D820" s="142"/>
      <c r="E820" s="143"/>
      <c r="F820" s="141"/>
      <c r="G820" s="282"/>
      <c r="H820" s="141"/>
    </row>
    <row r="821" ht="15.75" customHeight="1">
      <c r="A821" s="141"/>
      <c r="B821" s="141"/>
      <c r="C821" s="141"/>
      <c r="D821" s="142"/>
      <c r="E821" s="143"/>
      <c r="F821" s="141"/>
      <c r="G821" s="282"/>
      <c r="H821" s="141"/>
    </row>
    <row r="822" ht="15.75" customHeight="1">
      <c r="A822" s="141"/>
      <c r="B822" s="141"/>
      <c r="C822" s="141"/>
      <c r="D822" s="142"/>
      <c r="E822" s="143"/>
      <c r="F822" s="141"/>
      <c r="G822" s="282"/>
      <c r="H822" s="141"/>
    </row>
    <row r="823" ht="15.75" customHeight="1">
      <c r="A823" s="141"/>
      <c r="B823" s="141"/>
      <c r="C823" s="141"/>
      <c r="D823" s="142"/>
      <c r="E823" s="143"/>
      <c r="F823" s="141"/>
      <c r="G823" s="282"/>
      <c r="H823" s="141"/>
    </row>
    <row r="824" ht="15.75" customHeight="1">
      <c r="A824" s="141"/>
      <c r="B824" s="141"/>
      <c r="C824" s="141"/>
      <c r="D824" s="142"/>
      <c r="E824" s="143"/>
      <c r="F824" s="141"/>
      <c r="G824" s="282"/>
      <c r="H824" s="141"/>
    </row>
    <row r="825" ht="15.75" customHeight="1">
      <c r="A825" s="141"/>
      <c r="B825" s="141"/>
      <c r="C825" s="141"/>
      <c r="D825" s="142"/>
      <c r="E825" s="143"/>
      <c r="F825" s="141"/>
      <c r="G825" s="282"/>
      <c r="H825" s="141"/>
    </row>
    <row r="826" ht="15.75" customHeight="1">
      <c r="A826" s="141"/>
      <c r="B826" s="141"/>
      <c r="C826" s="141"/>
      <c r="D826" s="142"/>
      <c r="E826" s="143"/>
      <c r="F826" s="141"/>
      <c r="G826" s="282"/>
      <c r="H826" s="141"/>
    </row>
    <row r="827" ht="15.75" customHeight="1">
      <c r="A827" s="141"/>
      <c r="B827" s="141"/>
      <c r="C827" s="141"/>
      <c r="D827" s="142"/>
      <c r="E827" s="143"/>
      <c r="F827" s="141"/>
      <c r="G827" s="282"/>
      <c r="H827" s="141"/>
    </row>
    <row r="828" ht="15.75" customHeight="1">
      <c r="A828" s="141"/>
      <c r="B828" s="141"/>
      <c r="C828" s="141"/>
      <c r="D828" s="142"/>
      <c r="E828" s="143"/>
      <c r="F828" s="141"/>
      <c r="G828" s="282"/>
      <c r="H828" s="141"/>
    </row>
    <row r="829" ht="15.75" customHeight="1">
      <c r="A829" s="141"/>
      <c r="B829" s="141"/>
      <c r="C829" s="141"/>
      <c r="D829" s="142"/>
      <c r="E829" s="143"/>
      <c r="F829" s="141"/>
      <c r="G829" s="282"/>
      <c r="H829" s="141"/>
    </row>
    <row r="830" ht="15.75" customHeight="1">
      <c r="A830" s="141"/>
      <c r="B830" s="141"/>
      <c r="C830" s="141"/>
      <c r="D830" s="142"/>
      <c r="E830" s="143"/>
      <c r="F830" s="141"/>
      <c r="G830" s="282"/>
      <c r="H830" s="141"/>
    </row>
    <row r="831" ht="15.75" customHeight="1">
      <c r="A831" s="141"/>
      <c r="B831" s="141"/>
      <c r="C831" s="141"/>
      <c r="D831" s="142"/>
      <c r="E831" s="143"/>
      <c r="F831" s="141"/>
      <c r="G831" s="282"/>
      <c r="H831" s="141"/>
    </row>
    <row r="832" ht="15.75" customHeight="1">
      <c r="A832" s="141"/>
      <c r="B832" s="141"/>
      <c r="C832" s="141"/>
      <c r="D832" s="142"/>
      <c r="E832" s="143"/>
      <c r="F832" s="141"/>
      <c r="G832" s="282"/>
      <c r="H832" s="141"/>
    </row>
    <row r="833" ht="15.75" customHeight="1">
      <c r="A833" s="141"/>
      <c r="B833" s="141"/>
      <c r="C833" s="141"/>
      <c r="D833" s="142"/>
      <c r="E833" s="143"/>
      <c r="F833" s="141"/>
      <c r="G833" s="282"/>
      <c r="H833" s="141"/>
    </row>
    <row r="834" ht="15.75" customHeight="1">
      <c r="A834" s="141"/>
      <c r="B834" s="141"/>
      <c r="C834" s="141"/>
      <c r="D834" s="142"/>
      <c r="E834" s="143"/>
      <c r="F834" s="141"/>
      <c r="G834" s="282"/>
      <c r="H834" s="141"/>
    </row>
    <row r="835" ht="15.75" customHeight="1">
      <c r="A835" s="141"/>
      <c r="B835" s="141"/>
      <c r="C835" s="141"/>
      <c r="D835" s="142"/>
      <c r="E835" s="143"/>
      <c r="F835" s="141"/>
      <c r="G835" s="282"/>
      <c r="H835" s="141"/>
    </row>
    <row r="836" ht="15.75" customHeight="1">
      <c r="A836" s="141"/>
      <c r="B836" s="141"/>
      <c r="C836" s="141"/>
      <c r="D836" s="142"/>
      <c r="E836" s="143"/>
      <c r="F836" s="141"/>
      <c r="G836" s="282"/>
      <c r="H836" s="141"/>
    </row>
    <row r="837" ht="15.75" customHeight="1">
      <c r="A837" s="141"/>
      <c r="B837" s="141"/>
      <c r="C837" s="141"/>
      <c r="D837" s="142"/>
      <c r="E837" s="143"/>
      <c r="F837" s="141"/>
      <c r="G837" s="282"/>
      <c r="H837" s="141"/>
    </row>
    <row r="838" ht="15.75" customHeight="1">
      <c r="A838" s="141"/>
      <c r="B838" s="141"/>
      <c r="C838" s="141"/>
      <c r="D838" s="142"/>
      <c r="E838" s="143"/>
      <c r="F838" s="141"/>
      <c r="G838" s="282"/>
      <c r="H838" s="141"/>
    </row>
    <row r="839" ht="15.75" customHeight="1">
      <c r="A839" s="141"/>
      <c r="B839" s="141"/>
      <c r="C839" s="141"/>
      <c r="D839" s="142"/>
      <c r="E839" s="143"/>
      <c r="F839" s="141"/>
      <c r="G839" s="282"/>
      <c r="H839" s="141"/>
    </row>
    <row r="840" ht="15.75" customHeight="1">
      <c r="A840" s="141"/>
      <c r="B840" s="141"/>
      <c r="C840" s="141"/>
      <c r="D840" s="142"/>
      <c r="E840" s="143"/>
      <c r="F840" s="141"/>
      <c r="G840" s="282"/>
      <c r="H840" s="141"/>
    </row>
    <row r="841" ht="15.75" customHeight="1">
      <c r="A841" s="141"/>
      <c r="B841" s="141"/>
      <c r="C841" s="141"/>
      <c r="D841" s="142"/>
      <c r="E841" s="143"/>
      <c r="F841" s="141"/>
      <c r="G841" s="282"/>
      <c r="H841" s="141"/>
    </row>
    <row r="842" ht="15.75" customHeight="1">
      <c r="A842" s="141"/>
      <c r="B842" s="141"/>
      <c r="C842" s="141"/>
      <c r="D842" s="142"/>
      <c r="E842" s="143"/>
      <c r="F842" s="141"/>
      <c r="G842" s="282"/>
      <c r="H842" s="141"/>
    </row>
    <row r="843" ht="15.75" customHeight="1">
      <c r="A843" s="141"/>
      <c r="B843" s="141"/>
      <c r="C843" s="141"/>
      <c r="D843" s="142"/>
      <c r="E843" s="143"/>
      <c r="F843" s="141"/>
      <c r="G843" s="282"/>
      <c r="H843" s="141"/>
    </row>
    <row r="844" ht="15.75" customHeight="1">
      <c r="A844" s="141"/>
      <c r="B844" s="141"/>
      <c r="C844" s="141"/>
      <c r="D844" s="142"/>
      <c r="E844" s="143"/>
      <c r="F844" s="141"/>
      <c r="G844" s="282"/>
      <c r="H844" s="141"/>
    </row>
    <row r="845" ht="15.75" customHeight="1">
      <c r="A845" s="141"/>
      <c r="B845" s="141"/>
      <c r="C845" s="141"/>
      <c r="D845" s="142"/>
      <c r="E845" s="143"/>
      <c r="F845" s="141"/>
      <c r="G845" s="282"/>
      <c r="H845" s="141"/>
    </row>
    <row r="846" ht="15.75" customHeight="1">
      <c r="A846" s="141"/>
      <c r="B846" s="141"/>
      <c r="C846" s="141"/>
      <c r="D846" s="142"/>
      <c r="E846" s="143"/>
      <c r="F846" s="141"/>
      <c r="G846" s="282"/>
      <c r="H846" s="141"/>
    </row>
    <row r="847" ht="15.75" customHeight="1">
      <c r="A847" s="141"/>
      <c r="B847" s="141"/>
      <c r="C847" s="141"/>
      <c r="D847" s="142"/>
      <c r="E847" s="143"/>
      <c r="F847" s="141"/>
      <c r="G847" s="282"/>
      <c r="H847" s="141"/>
    </row>
    <row r="848" ht="15.75" customHeight="1">
      <c r="A848" s="141"/>
      <c r="B848" s="141"/>
      <c r="C848" s="141"/>
      <c r="D848" s="142"/>
      <c r="E848" s="143"/>
      <c r="F848" s="141"/>
      <c r="G848" s="282"/>
      <c r="H848" s="141"/>
    </row>
    <row r="849" ht="15.75" customHeight="1">
      <c r="A849" s="141"/>
      <c r="B849" s="141"/>
      <c r="C849" s="141"/>
      <c r="D849" s="142"/>
      <c r="E849" s="143"/>
      <c r="F849" s="141"/>
      <c r="G849" s="282"/>
      <c r="H849" s="141"/>
    </row>
    <row r="850" ht="15.75" customHeight="1">
      <c r="A850" s="141"/>
      <c r="B850" s="141"/>
      <c r="C850" s="141"/>
      <c r="D850" s="142"/>
      <c r="E850" s="143"/>
      <c r="F850" s="141"/>
      <c r="G850" s="282"/>
      <c r="H850" s="141"/>
    </row>
    <row r="851" ht="15.75" customHeight="1">
      <c r="A851" s="141"/>
      <c r="B851" s="141"/>
      <c r="C851" s="141"/>
      <c r="D851" s="142"/>
      <c r="E851" s="143"/>
      <c r="F851" s="141"/>
      <c r="G851" s="282"/>
      <c r="H851" s="141"/>
    </row>
    <row r="852" ht="15.75" customHeight="1">
      <c r="A852" s="141"/>
      <c r="B852" s="141"/>
      <c r="C852" s="141"/>
      <c r="D852" s="142"/>
      <c r="E852" s="143"/>
      <c r="F852" s="141"/>
      <c r="G852" s="282"/>
      <c r="H852" s="141"/>
    </row>
    <row r="853" ht="15.75" customHeight="1">
      <c r="A853" s="141"/>
      <c r="B853" s="141"/>
      <c r="C853" s="141"/>
      <c r="D853" s="142"/>
      <c r="E853" s="143"/>
      <c r="F853" s="141"/>
      <c r="G853" s="282"/>
      <c r="H853" s="141"/>
    </row>
    <row r="854" ht="15.75" customHeight="1">
      <c r="A854" s="141"/>
      <c r="B854" s="141"/>
      <c r="C854" s="141"/>
      <c r="D854" s="142"/>
      <c r="E854" s="143"/>
      <c r="F854" s="141"/>
      <c r="G854" s="282"/>
      <c r="H854" s="141"/>
    </row>
    <row r="855" ht="15.75" customHeight="1">
      <c r="A855" s="141"/>
      <c r="B855" s="141"/>
      <c r="C855" s="141"/>
      <c r="D855" s="142"/>
      <c r="E855" s="143"/>
      <c r="F855" s="141"/>
      <c r="G855" s="282"/>
      <c r="H855" s="141"/>
    </row>
    <row r="856" ht="15.75" customHeight="1">
      <c r="A856" s="141"/>
      <c r="B856" s="141"/>
      <c r="C856" s="141"/>
      <c r="D856" s="142"/>
      <c r="E856" s="143"/>
      <c r="F856" s="141"/>
      <c r="G856" s="282"/>
      <c r="H856" s="141"/>
    </row>
    <row r="857" ht="15.75" customHeight="1">
      <c r="A857" s="141"/>
      <c r="B857" s="141"/>
      <c r="C857" s="141"/>
      <c r="D857" s="142"/>
      <c r="E857" s="143"/>
      <c r="F857" s="141"/>
      <c r="G857" s="282"/>
      <c r="H857" s="141"/>
    </row>
    <row r="858" ht="15.75" customHeight="1">
      <c r="A858" s="141"/>
      <c r="B858" s="141"/>
      <c r="C858" s="141"/>
      <c r="D858" s="142"/>
      <c r="E858" s="143"/>
      <c r="F858" s="141"/>
      <c r="G858" s="282"/>
      <c r="H858" s="141"/>
    </row>
    <row r="859" ht="15.75" customHeight="1">
      <c r="A859" s="141"/>
      <c r="B859" s="141"/>
      <c r="C859" s="141"/>
      <c r="D859" s="142"/>
      <c r="E859" s="143"/>
      <c r="F859" s="141"/>
      <c r="G859" s="282"/>
      <c r="H859" s="141"/>
    </row>
    <row r="860" ht="15.75" customHeight="1">
      <c r="A860" s="141"/>
      <c r="B860" s="141"/>
      <c r="C860" s="141"/>
      <c r="D860" s="142"/>
      <c r="E860" s="143"/>
      <c r="F860" s="141"/>
      <c r="G860" s="282"/>
      <c r="H860" s="141"/>
    </row>
    <row r="861" ht="15.75" customHeight="1">
      <c r="A861" s="141"/>
      <c r="B861" s="141"/>
      <c r="C861" s="141"/>
      <c r="D861" s="142"/>
      <c r="E861" s="143"/>
      <c r="F861" s="141"/>
      <c r="G861" s="282"/>
      <c r="H861" s="141"/>
    </row>
    <row r="862" ht="15.75" customHeight="1">
      <c r="A862" s="141"/>
      <c r="B862" s="141"/>
      <c r="C862" s="141"/>
      <c r="D862" s="142"/>
      <c r="E862" s="143"/>
      <c r="F862" s="141"/>
      <c r="G862" s="282"/>
      <c r="H862" s="141"/>
    </row>
    <row r="863" ht="15.75" customHeight="1">
      <c r="A863" s="141"/>
      <c r="B863" s="141"/>
      <c r="C863" s="141"/>
      <c r="D863" s="142"/>
      <c r="E863" s="143"/>
      <c r="F863" s="141"/>
      <c r="G863" s="282"/>
      <c r="H863" s="141"/>
    </row>
    <row r="864" ht="15.75" customHeight="1">
      <c r="A864" s="141"/>
      <c r="B864" s="141"/>
      <c r="C864" s="141"/>
      <c r="D864" s="142"/>
      <c r="E864" s="143"/>
      <c r="F864" s="141"/>
      <c r="G864" s="282"/>
      <c r="H864" s="141"/>
    </row>
    <row r="865" ht="15.75" customHeight="1">
      <c r="A865" s="141"/>
      <c r="B865" s="141"/>
      <c r="C865" s="141"/>
      <c r="D865" s="142"/>
      <c r="E865" s="143"/>
      <c r="F865" s="141"/>
      <c r="G865" s="282"/>
      <c r="H865" s="141"/>
    </row>
    <row r="866" ht="15.75" customHeight="1">
      <c r="A866" s="141"/>
      <c r="B866" s="141"/>
      <c r="C866" s="141"/>
      <c r="D866" s="142"/>
      <c r="E866" s="143"/>
      <c r="F866" s="141"/>
      <c r="G866" s="282"/>
      <c r="H866" s="141"/>
    </row>
    <row r="867" ht="15.75" customHeight="1">
      <c r="A867" s="141"/>
      <c r="B867" s="141"/>
      <c r="C867" s="141"/>
      <c r="D867" s="142"/>
      <c r="E867" s="143"/>
      <c r="F867" s="141"/>
      <c r="G867" s="282"/>
      <c r="H867" s="141"/>
    </row>
    <row r="868" ht="15.75" customHeight="1">
      <c r="A868" s="141"/>
      <c r="B868" s="141"/>
      <c r="C868" s="141"/>
      <c r="D868" s="142"/>
      <c r="E868" s="143"/>
      <c r="F868" s="141"/>
      <c r="G868" s="282"/>
      <c r="H868" s="141"/>
    </row>
    <row r="869" ht="15.75" customHeight="1">
      <c r="A869" s="141"/>
      <c r="B869" s="141"/>
      <c r="C869" s="141"/>
      <c r="D869" s="142"/>
      <c r="E869" s="143"/>
      <c r="F869" s="141"/>
      <c r="G869" s="282"/>
      <c r="H869" s="141"/>
    </row>
    <row r="870" ht="15.75" customHeight="1">
      <c r="A870" s="141"/>
      <c r="B870" s="141"/>
      <c r="C870" s="141"/>
      <c r="D870" s="142"/>
      <c r="E870" s="143"/>
      <c r="F870" s="141"/>
      <c r="G870" s="282"/>
      <c r="H870" s="141"/>
    </row>
    <row r="871" ht="15.75" customHeight="1">
      <c r="A871" s="141"/>
      <c r="B871" s="141"/>
      <c r="C871" s="141"/>
      <c r="D871" s="142"/>
      <c r="E871" s="143"/>
      <c r="F871" s="141"/>
      <c r="G871" s="282"/>
      <c r="H871" s="141"/>
    </row>
    <row r="872" ht="15.75" customHeight="1">
      <c r="A872" s="141"/>
      <c r="B872" s="141"/>
      <c r="C872" s="141"/>
      <c r="D872" s="142"/>
      <c r="E872" s="143"/>
      <c r="F872" s="141"/>
      <c r="G872" s="282"/>
      <c r="H872" s="141"/>
    </row>
    <row r="873" ht="15.75" customHeight="1">
      <c r="A873" s="141"/>
      <c r="B873" s="141"/>
      <c r="C873" s="141"/>
      <c r="D873" s="142"/>
      <c r="E873" s="143"/>
      <c r="F873" s="141"/>
      <c r="G873" s="282"/>
      <c r="H873" s="141"/>
    </row>
    <row r="874" ht="15.75" customHeight="1">
      <c r="A874" s="141"/>
      <c r="B874" s="141"/>
      <c r="C874" s="141"/>
      <c r="D874" s="142"/>
      <c r="E874" s="143"/>
      <c r="F874" s="141"/>
      <c r="G874" s="282"/>
      <c r="H874" s="141"/>
    </row>
    <row r="875" ht="15.75" customHeight="1">
      <c r="A875" s="141"/>
      <c r="B875" s="141"/>
      <c r="C875" s="141"/>
      <c r="D875" s="142"/>
      <c r="E875" s="143"/>
      <c r="F875" s="141"/>
      <c r="G875" s="282"/>
      <c r="H875" s="141"/>
    </row>
    <row r="876" ht="15.75" customHeight="1">
      <c r="A876" s="141"/>
      <c r="B876" s="141"/>
      <c r="C876" s="141"/>
      <c r="D876" s="142"/>
      <c r="E876" s="143"/>
      <c r="F876" s="141"/>
      <c r="G876" s="282"/>
      <c r="H876" s="141"/>
    </row>
    <row r="877" ht="15.75" customHeight="1">
      <c r="A877" s="141"/>
      <c r="B877" s="141"/>
      <c r="C877" s="141"/>
      <c r="D877" s="142"/>
      <c r="E877" s="143"/>
      <c r="F877" s="141"/>
      <c r="G877" s="282"/>
      <c r="H877" s="141"/>
    </row>
    <row r="878" ht="15.75" customHeight="1">
      <c r="A878" s="141"/>
      <c r="B878" s="141"/>
      <c r="C878" s="141"/>
      <c r="D878" s="142"/>
      <c r="E878" s="143"/>
      <c r="F878" s="141"/>
      <c r="G878" s="282"/>
      <c r="H878" s="141"/>
    </row>
    <row r="879" ht="15.75" customHeight="1">
      <c r="A879" s="141"/>
      <c r="B879" s="141"/>
      <c r="C879" s="141"/>
      <c r="D879" s="142"/>
      <c r="E879" s="143"/>
      <c r="F879" s="141"/>
      <c r="G879" s="282"/>
      <c r="H879" s="141"/>
    </row>
    <row r="880" ht="15.75" customHeight="1">
      <c r="A880" s="141"/>
      <c r="B880" s="141"/>
      <c r="C880" s="141"/>
      <c r="D880" s="142"/>
      <c r="E880" s="143"/>
      <c r="F880" s="141"/>
      <c r="G880" s="282"/>
      <c r="H880" s="141"/>
    </row>
    <row r="881" ht="15.75" customHeight="1">
      <c r="A881" s="141"/>
      <c r="B881" s="141"/>
      <c r="C881" s="141"/>
      <c r="D881" s="142"/>
      <c r="E881" s="143"/>
      <c r="F881" s="141"/>
      <c r="G881" s="282"/>
      <c r="H881" s="141"/>
    </row>
    <row r="882" ht="15.75" customHeight="1">
      <c r="A882" s="141"/>
      <c r="B882" s="141"/>
      <c r="C882" s="141"/>
      <c r="D882" s="142"/>
      <c r="E882" s="143"/>
      <c r="F882" s="141"/>
      <c r="G882" s="282"/>
      <c r="H882" s="141"/>
    </row>
    <row r="883" ht="15.75" customHeight="1">
      <c r="A883" s="141"/>
      <c r="B883" s="141"/>
      <c r="C883" s="141"/>
      <c r="D883" s="142"/>
      <c r="E883" s="143"/>
      <c r="F883" s="141"/>
      <c r="G883" s="282"/>
      <c r="H883" s="141"/>
    </row>
    <row r="884" ht="15.75" customHeight="1">
      <c r="A884" s="141"/>
      <c r="B884" s="141"/>
      <c r="C884" s="141"/>
      <c r="D884" s="142"/>
      <c r="E884" s="143"/>
      <c r="F884" s="141"/>
      <c r="G884" s="282"/>
      <c r="H884" s="141"/>
    </row>
    <row r="885" ht="15.75" customHeight="1">
      <c r="A885" s="141"/>
      <c r="B885" s="141"/>
      <c r="C885" s="141"/>
      <c r="D885" s="142"/>
      <c r="E885" s="143"/>
      <c r="F885" s="141"/>
      <c r="G885" s="282"/>
      <c r="H885" s="141"/>
    </row>
    <row r="886" ht="15.75" customHeight="1">
      <c r="A886" s="141"/>
      <c r="B886" s="141"/>
      <c r="C886" s="141"/>
      <c r="D886" s="142"/>
      <c r="E886" s="143"/>
      <c r="F886" s="141"/>
      <c r="G886" s="282"/>
      <c r="H886" s="141"/>
    </row>
    <row r="887" ht="15.75" customHeight="1">
      <c r="A887" s="141"/>
      <c r="B887" s="141"/>
      <c r="C887" s="141"/>
      <c r="D887" s="142"/>
      <c r="E887" s="143"/>
      <c r="F887" s="141"/>
      <c r="G887" s="282"/>
      <c r="H887" s="141"/>
    </row>
    <row r="888" ht="15.75" customHeight="1">
      <c r="A888" s="141"/>
      <c r="B888" s="141"/>
      <c r="C888" s="141"/>
      <c r="D888" s="142"/>
      <c r="E888" s="143"/>
      <c r="F888" s="141"/>
      <c r="G888" s="282"/>
      <c r="H888" s="141"/>
    </row>
    <row r="889" ht="15.75" customHeight="1">
      <c r="A889" s="141"/>
      <c r="B889" s="141"/>
      <c r="C889" s="141"/>
      <c r="D889" s="142"/>
      <c r="E889" s="143"/>
      <c r="F889" s="141"/>
      <c r="G889" s="282"/>
      <c r="H889" s="141"/>
    </row>
    <row r="890" ht="15.75" customHeight="1">
      <c r="A890" s="141"/>
      <c r="B890" s="141"/>
      <c r="C890" s="141"/>
      <c r="D890" s="142"/>
      <c r="E890" s="143"/>
      <c r="F890" s="141"/>
      <c r="G890" s="282"/>
      <c r="H890" s="141"/>
    </row>
    <row r="891" ht="15.75" customHeight="1">
      <c r="A891" s="141"/>
      <c r="B891" s="141"/>
      <c r="C891" s="141"/>
      <c r="D891" s="142"/>
      <c r="E891" s="143"/>
      <c r="F891" s="141"/>
      <c r="G891" s="282"/>
      <c r="H891" s="141"/>
    </row>
    <row r="892" ht="15.75" customHeight="1">
      <c r="A892" s="141"/>
      <c r="B892" s="141"/>
      <c r="C892" s="141"/>
      <c r="D892" s="142"/>
      <c r="E892" s="143"/>
      <c r="F892" s="141"/>
      <c r="G892" s="282"/>
      <c r="H892" s="141"/>
    </row>
    <row r="893" ht="15.75" customHeight="1">
      <c r="A893" s="141"/>
      <c r="B893" s="141"/>
      <c r="C893" s="141"/>
      <c r="D893" s="142"/>
      <c r="E893" s="143"/>
      <c r="F893" s="141"/>
      <c r="G893" s="282"/>
      <c r="H893" s="141"/>
    </row>
    <row r="894" ht="15.75" customHeight="1">
      <c r="A894" s="141"/>
      <c r="B894" s="141"/>
      <c r="C894" s="141"/>
      <c r="D894" s="142"/>
      <c r="E894" s="143"/>
      <c r="F894" s="141"/>
      <c r="G894" s="282"/>
      <c r="H894" s="141"/>
    </row>
    <row r="895" ht="15.75" customHeight="1">
      <c r="A895" s="141"/>
      <c r="B895" s="141"/>
      <c r="C895" s="141"/>
      <c r="D895" s="142"/>
      <c r="E895" s="143"/>
      <c r="F895" s="141"/>
      <c r="G895" s="282"/>
      <c r="H895" s="141"/>
    </row>
    <row r="896" ht="15.75" customHeight="1">
      <c r="A896" s="141"/>
      <c r="B896" s="141"/>
      <c r="C896" s="141"/>
      <c r="D896" s="142"/>
      <c r="E896" s="143"/>
      <c r="F896" s="141"/>
      <c r="G896" s="282"/>
      <c r="H896" s="141"/>
    </row>
    <row r="897" ht="15.75" customHeight="1">
      <c r="A897" s="141"/>
      <c r="B897" s="141"/>
      <c r="C897" s="141"/>
      <c r="D897" s="142"/>
      <c r="E897" s="143"/>
      <c r="F897" s="141"/>
      <c r="G897" s="282"/>
      <c r="H897" s="141"/>
    </row>
    <row r="898" ht="15.75" customHeight="1">
      <c r="A898" s="141"/>
      <c r="B898" s="141"/>
      <c r="C898" s="141"/>
      <c r="D898" s="142"/>
      <c r="E898" s="143"/>
      <c r="F898" s="141"/>
      <c r="G898" s="282"/>
      <c r="H898" s="141"/>
    </row>
    <row r="899" ht="15.75" customHeight="1">
      <c r="A899" s="141"/>
      <c r="B899" s="141"/>
      <c r="C899" s="141"/>
      <c r="D899" s="142"/>
      <c r="E899" s="143"/>
      <c r="F899" s="141"/>
      <c r="G899" s="282"/>
      <c r="H899" s="141"/>
    </row>
    <row r="900" ht="15.75" customHeight="1">
      <c r="A900" s="141"/>
      <c r="B900" s="141"/>
      <c r="C900" s="141"/>
      <c r="D900" s="142"/>
      <c r="E900" s="143"/>
      <c r="F900" s="141"/>
      <c r="G900" s="282"/>
      <c r="H900" s="141"/>
    </row>
    <row r="901" ht="15.75" customHeight="1">
      <c r="A901" s="141"/>
      <c r="B901" s="141"/>
      <c r="C901" s="141"/>
      <c r="D901" s="142"/>
      <c r="E901" s="143"/>
      <c r="F901" s="141"/>
      <c r="G901" s="282"/>
      <c r="H901" s="141"/>
    </row>
    <row r="902" ht="15.75" customHeight="1">
      <c r="A902" s="141"/>
      <c r="B902" s="141"/>
      <c r="C902" s="141"/>
      <c r="D902" s="142"/>
      <c r="E902" s="143"/>
      <c r="F902" s="141"/>
      <c r="G902" s="282"/>
      <c r="H902" s="141"/>
    </row>
    <row r="903" ht="15.75" customHeight="1">
      <c r="A903" s="141"/>
      <c r="B903" s="141"/>
      <c r="C903" s="141"/>
      <c r="D903" s="142"/>
      <c r="E903" s="143"/>
      <c r="F903" s="141"/>
      <c r="G903" s="282"/>
      <c r="H903" s="141"/>
    </row>
    <row r="904" ht="15.75" customHeight="1">
      <c r="A904" s="141"/>
      <c r="B904" s="141"/>
      <c r="C904" s="141"/>
      <c r="D904" s="142"/>
      <c r="E904" s="143"/>
      <c r="F904" s="141"/>
      <c r="G904" s="282"/>
      <c r="H904" s="141"/>
    </row>
    <row r="905" ht="15.75" customHeight="1">
      <c r="A905" s="141"/>
      <c r="B905" s="141"/>
      <c r="C905" s="141"/>
      <c r="D905" s="142"/>
      <c r="E905" s="143"/>
      <c r="F905" s="141"/>
      <c r="G905" s="282"/>
      <c r="H905" s="141"/>
    </row>
    <row r="906" ht="15.75" customHeight="1">
      <c r="A906" s="141"/>
      <c r="B906" s="141"/>
      <c r="C906" s="141"/>
      <c r="D906" s="142"/>
      <c r="E906" s="143"/>
      <c r="F906" s="141"/>
      <c r="G906" s="282"/>
      <c r="H906" s="141"/>
    </row>
    <row r="907" ht="15.75" customHeight="1">
      <c r="A907" s="141"/>
      <c r="B907" s="141"/>
      <c r="C907" s="141"/>
      <c r="D907" s="142"/>
      <c r="E907" s="143"/>
      <c r="F907" s="141"/>
      <c r="G907" s="282"/>
      <c r="H907" s="141"/>
    </row>
    <row r="908" ht="15.75" customHeight="1">
      <c r="A908" s="141"/>
      <c r="B908" s="141"/>
      <c r="C908" s="141"/>
      <c r="D908" s="142"/>
      <c r="E908" s="143"/>
      <c r="F908" s="141"/>
      <c r="G908" s="282"/>
      <c r="H908" s="141"/>
    </row>
    <row r="909" ht="15.75" customHeight="1">
      <c r="A909" s="141"/>
      <c r="B909" s="141"/>
      <c r="C909" s="141"/>
      <c r="D909" s="142"/>
      <c r="E909" s="143"/>
      <c r="F909" s="141"/>
      <c r="G909" s="282"/>
      <c r="H909" s="141"/>
    </row>
    <row r="910" ht="15.75" customHeight="1">
      <c r="A910" s="141"/>
      <c r="B910" s="141"/>
      <c r="C910" s="141"/>
      <c r="D910" s="142"/>
      <c r="E910" s="143"/>
      <c r="F910" s="141"/>
      <c r="G910" s="282"/>
      <c r="H910" s="141"/>
    </row>
    <row r="911" ht="15.75" customHeight="1">
      <c r="A911" s="141"/>
      <c r="B911" s="141"/>
      <c r="C911" s="141"/>
      <c r="D911" s="142"/>
      <c r="E911" s="143"/>
      <c r="F911" s="141"/>
      <c r="G911" s="282"/>
      <c r="H911" s="141"/>
    </row>
    <row r="912" ht="15.75" customHeight="1">
      <c r="A912" s="141"/>
      <c r="B912" s="141"/>
      <c r="C912" s="141"/>
      <c r="D912" s="142"/>
      <c r="E912" s="143"/>
      <c r="F912" s="141"/>
      <c r="G912" s="282"/>
      <c r="H912" s="141"/>
    </row>
    <row r="913" ht="15.75" customHeight="1">
      <c r="A913" s="141"/>
      <c r="B913" s="141"/>
      <c r="C913" s="141"/>
      <c r="D913" s="142"/>
      <c r="E913" s="143"/>
      <c r="F913" s="141"/>
      <c r="G913" s="282"/>
      <c r="H913" s="141"/>
    </row>
    <row r="914" ht="15.75" customHeight="1">
      <c r="A914" s="141"/>
      <c r="B914" s="141"/>
      <c r="C914" s="141"/>
      <c r="D914" s="142"/>
      <c r="E914" s="143"/>
      <c r="F914" s="141"/>
      <c r="G914" s="282"/>
      <c r="H914" s="141"/>
    </row>
    <row r="915" ht="15.75" customHeight="1">
      <c r="A915" s="141"/>
      <c r="B915" s="141"/>
      <c r="C915" s="141"/>
      <c r="D915" s="142"/>
      <c r="E915" s="143"/>
      <c r="F915" s="141"/>
      <c r="G915" s="282"/>
      <c r="H915" s="141"/>
    </row>
    <row r="916" ht="15.75" customHeight="1">
      <c r="A916" s="141"/>
      <c r="B916" s="141"/>
      <c r="C916" s="141"/>
      <c r="D916" s="142"/>
      <c r="E916" s="143"/>
      <c r="F916" s="141"/>
      <c r="G916" s="282"/>
      <c r="H916" s="141"/>
    </row>
    <row r="917" ht="15.75" customHeight="1">
      <c r="A917" s="141"/>
      <c r="B917" s="141"/>
      <c r="C917" s="141"/>
      <c r="D917" s="142"/>
      <c r="E917" s="143"/>
      <c r="F917" s="141"/>
      <c r="G917" s="282"/>
      <c r="H917" s="141"/>
    </row>
    <row r="918" ht="15.75" customHeight="1">
      <c r="A918" s="141"/>
      <c r="B918" s="141"/>
      <c r="C918" s="141"/>
      <c r="D918" s="142"/>
      <c r="E918" s="143"/>
      <c r="F918" s="141"/>
      <c r="G918" s="282"/>
      <c r="H918" s="141"/>
    </row>
    <row r="919" ht="15.75" customHeight="1">
      <c r="A919" s="141"/>
      <c r="B919" s="141"/>
      <c r="C919" s="141"/>
      <c r="D919" s="142"/>
      <c r="E919" s="143"/>
      <c r="F919" s="141"/>
      <c r="G919" s="282"/>
      <c r="H919" s="141"/>
    </row>
    <row r="920" ht="15.75" customHeight="1">
      <c r="A920" s="141"/>
      <c r="B920" s="141"/>
      <c r="C920" s="141"/>
      <c r="D920" s="142"/>
      <c r="E920" s="143"/>
      <c r="F920" s="141"/>
      <c r="G920" s="282"/>
      <c r="H920" s="141"/>
    </row>
    <row r="921" ht="15.75" customHeight="1">
      <c r="A921" s="141"/>
      <c r="B921" s="141"/>
      <c r="C921" s="141"/>
      <c r="D921" s="142"/>
      <c r="E921" s="143"/>
      <c r="F921" s="141"/>
      <c r="G921" s="282"/>
      <c r="H921" s="141"/>
    </row>
    <row r="922" ht="15.75" customHeight="1">
      <c r="A922" s="141"/>
      <c r="B922" s="141"/>
      <c r="C922" s="141"/>
      <c r="D922" s="142"/>
      <c r="E922" s="143"/>
      <c r="F922" s="141"/>
      <c r="G922" s="282"/>
      <c r="H922" s="141"/>
    </row>
    <row r="923" ht="15.75" customHeight="1">
      <c r="A923" s="141"/>
      <c r="B923" s="141"/>
      <c r="C923" s="141"/>
      <c r="D923" s="142"/>
      <c r="E923" s="143"/>
      <c r="F923" s="141"/>
      <c r="G923" s="282"/>
      <c r="H923" s="141"/>
    </row>
    <row r="924" ht="15.75" customHeight="1">
      <c r="A924" s="141"/>
      <c r="B924" s="141"/>
      <c r="C924" s="141"/>
      <c r="D924" s="142"/>
      <c r="E924" s="143"/>
      <c r="F924" s="141"/>
      <c r="G924" s="282"/>
      <c r="H924" s="141"/>
    </row>
    <row r="925" ht="15.75" customHeight="1">
      <c r="A925" s="141"/>
      <c r="B925" s="141"/>
      <c r="C925" s="141"/>
      <c r="D925" s="142"/>
      <c r="E925" s="143"/>
      <c r="F925" s="141"/>
      <c r="G925" s="282"/>
      <c r="H925" s="141"/>
    </row>
    <row r="926" ht="15.75" customHeight="1">
      <c r="A926" s="141"/>
      <c r="B926" s="141"/>
      <c r="C926" s="141"/>
      <c r="D926" s="142"/>
      <c r="E926" s="143"/>
      <c r="F926" s="141"/>
      <c r="G926" s="282"/>
      <c r="H926" s="141"/>
    </row>
    <row r="927" ht="15.75" customHeight="1">
      <c r="A927" s="141"/>
      <c r="B927" s="141"/>
      <c r="C927" s="141"/>
      <c r="D927" s="142"/>
      <c r="E927" s="143"/>
      <c r="F927" s="141"/>
      <c r="G927" s="282"/>
      <c r="H927" s="141"/>
    </row>
    <row r="928" ht="15.75" customHeight="1">
      <c r="A928" s="141"/>
      <c r="B928" s="141"/>
      <c r="C928" s="141"/>
      <c r="D928" s="142"/>
      <c r="E928" s="143"/>
      <c r="F928" s="141"/>
      <c r="G928" s="282"/>
      <c r="H928" s="141"/>
    </row>
    <row r="929" ht="15.75" customHeight="1">
      <c r="A929" s="141"/>
      <c r="B929" s="141"/>
      <c r="C929" s="141"/>
      <c r="D929" s="142"/>
      <c r="E929" s="143"/>
      <c r="F929" s="141"/>
      <c r="G929" s="282"/>
      <c r="H929" s="141"/>
    </row>
    <row r="930" ht="15.75" customHeight="1">
      <c r="A930" s="141"/>
      <c r="B930" s="141"/>
      <c r="C930" s="141"/>
      <c r="D930" s="142"/>
      <c r="E930" s="143"/>
      <c r="F930" s="141"/>
      <c r="G930" s="282"/>
      <c r="H930" s="141"/>
    </row>
    <row r="931" ht="15.75" customHeight="1">
      <c r="A931" s="141"/>
      <c r="B931" s="141"/>
      <c r="C931" s="141"/>
      <c r="D931" s="142"/>
      <c r="E931" s="143"/>
      <c r="F931" s="141"/>
      <c r="G931" s="282"/>
      <c r="H931" s="141"/>
    </row>
    <row r="932" ht="15.75" customHeight="1">
      <c r="A932" s="141"/>
      <c r="B932" s="141"/>
      <c r="C932" s="141"/>
      <c r="D932" s="142"/>
      <c r="E932" s="143"/>
      <c r="F932" s="141"/>
      <c r="G932" s="282"/>
      <c r="H932" s="141"/>
    </row>
    <row r="933" ht="15.75" customHeight="1">
      <c r="A933" s="141"/>
      <c r="B933" s="141"/>
      <c r="C933" s="141"/>
      <c r="D933" s="142"/>
      <c r="E933" s="143"/>
      <c r="F933" s="141"/>
      <c r="G933" s="282"/>
      <c r="H933" s="141"/>
    </row>
    <row r="934" ht="15.75" customHeight="1">
      <c r="A934" s="141"/>
      <c r="B934" s="141"/>
      <c r="C934" s="141"/>
      <c r="D934" s="142"/>
      <c r="E934" s="143"/>
      <c r="F934" s="141"/>
      <c r="G934" s="282"/>
      <c r="H934" s="141"/>
    </row>
    <row r="935" ht="15.75" customHeight="1">
      <c r="A935" s="141"/>
      <c r="B935" s="141"/>
      <c r="C935" s="141"/>
      <c r="D935" s="142"/>
      <c r="E935" s="143"/>
      <c r="F935" s="141"/>
      <c r="G935" s="282"/>
      <c r="H935" s="141"/>
    </row>
    <row r="936" ht="15.75" customHeight="1">
      <c r="A936" s="141"/>
      <c r="B936" s="141"/>
      <c r="C936" s="141"/>
      <c r="D936" s="142"/>
      <c r="E936" s="143"/>
      <c r="F936" s="141"/>
      <c r="G936" s="282"/>
      <c r="H936" s="141"/>
    </row>
    <row r="937" ht="15.75" customHeight="1">
      <c r="A937" s="141"/>
      <c r="B937" s="141"/>
      <c r="C937" s="141"/>
      <c r="D937" s="142"/>
      <c r="E937" s="143"/>
      <c r="F937" s="141"/>
      <c r="G937" s="282"/>
      <c r="H937" s="141"/>
    </row>
    <row r="938" ht="15.75" customHeight="1">
      <c r="A938" s="141"/>
      <c r="B938" s="141"/>
      <c r="C938" s="141"/>
      <c r="D938" s="142"/>
      <c r="E938" s="143"/>
      <c r="F938" s="141"/>
      <c r="G938" s="282"/>
      <c r="H938" s="141"/>
    </row>
    <row r="939" ht="15.75" customHeight="1">
      <c r="A939" s="141"/>
      <c r="B939" s="141"/>
      <c r="C939" s="141"/>
      <c r="D939" s="142"/>
      <c r="E939" s="143"/>
      <c r="F939" s="141"/>
      <c r="G939" s="282"/>
      <c r="H939" s="141"/>
    </row>
    <row r="940" ht="15.75" customHeight="1">
      <c r="A940" s="141"/>
      <c r="B940" s="141"/>
      <c r="C940" s="141"/>
      <c r="D940" s="142"/>
      <c r="E940" s="143"/>
      <c r="F940" s="141"/>
      <c r="G940" s="282"/>
      <c r="H940" s="141"/>
    </row>
    <row r="941" ht="15.75" customHeight="1">
      <c r="A941" s="141"/>
      <c r="B941" s="141"/>
      <c r="C941" s="141"/>
      <c r="D941" s="142"/>
      <c r="E941" s="143"/>
      <c r="F941" s="141"/>
      <c r="G941" s="282"/>
      <c r="H941" s="141"/>
    </row>
    <row r="942" ht="15.75" customHeight="1">
      <c r="A942" s="141"/>
      <c r="B942" s="141"/>
      <c r="C942" s="141"/>
      <c r="D942" s="142"/>
      <c r="E942" s="143"/>
      <c r="F942" s="141"/>
      <c r="G942" s="282"/>
      <c r="H942" s="141"/>
    </row>
    <row r="943" ht="15.75" customHeight="1">
      <c r="A943" s="141"/>
      <c r="B943" s="141"/>
      <c r="C943" s="141"/>
      <c r="D943" s="142"/>
      <c r="E943" s="143"/>
      <c r="F943" s="141"/>
      <c r="G943" s="282"/>
      <c r="H943" s="141"/>
    </row>
    <row r="944" ht="15.75" customHeight="1">
      <c r="A944" s="141"/>
      <c r="B944" s="141"/>
      <c r="C944" s="141"/>
      <c r="D944" s="142"/>
      <c r="E944" s="143"/>
      <c r="F944" s="141"/>
      <c r="G944" s="282"/>
      <c r="H944" s="141"/>
    </row>
    <row r="945" ht="15.75" customHeight="1">
      <c r="A945" s="141"/>
      <c r="B945" s="141"/>
      <c r="C945" s="141"/>
      <c r="D945" s="142"/>
      <c r="E945" s="143"/>
      <c r="F945" s="141"/>
      <c r="G945" s="282"/>
      <c r="H945" s="141"/>
    </row>
    <row r="946" ht="15.75" customHeight="1">
      <c r="A946" s="141"/>
      <c r="B946" s="141"/>
      <c r="C946" s="141"/>
      <c r="D946" s="142"/>
      <c r="E946" s="143"/>
      <c r="F946" s="141"/>
      <c r="G946" s="282"/>
      <c r="H946" s="141"/>
    </row>
    <row r="947" ht="15.75" customHeight="1">
      <c r="A947" s="141"/>
      <c r="B947" s="141"/>
      <c r="C947" s="141"/>
      <c r="D947" s="142"/>
      <c r="E947" s="143"/>
      <c r="F947" s="141"/>
      <c r="G947" s="282"/>
      <c r="H947" s="141"/>
    </row>
    <row r="948" ht="15.75" customHeight="1">
      <c r="A948" s="141"/>
      <c r="B948" s="141"/>
      <c r="C948" s="141"/>
      <c r="D948" s="142"/>
      <c r="E948" s="143"/>
      <c r="F948" s="141"/>
      <c r="G948" s="282"/>
      <c r="H948" s="141"/>
    </row>
    <row r="949" ht="15.75" customHeight="1">
      <c r="A949" s="141"/>
      <c r="B949" s="141"/>
      <c r="C949" s="141"/>
      <c r="D949" s="142"/>
      <c r="E949" s="143"/>
      <c r="F949" s="141"/>
      <c r="G949" s="282"/>
      <c r="H949" s="141"/>
    </row>
    <row r="950" ht="15.75" customHeight="1">
      <c r="A950" s="141"/>
      <c r="B950" s="141"/>
      <c r="C950" s="141"/>
      <c r="D950" s="142"/>
      <c r="E950" s="143"/>
      <c r="F950" s="141"/>
      <c r="G950" s="282"/>
      <c r="H950" s="141"/>
    </row>
    <row r="951" ht="15.75" customHeight="1">
      <c r="A951" s="141"/>
      <c r="B951" s="141"/>
      <c r="C951" s="141"/>
      <c r="D951" s="142"/>
      <c r="E951" s="143"/>
      <c r="F951" s="141"/>
      <c r="G951" s="282"/>
      <c r="H951" s="141"/>
    </row>
    <row r="952" ht="15.75" customHeight="1">
      <c r="A952" s="141"/>
      <c r="B952" s="141"/>
      <c r="C952" s="141"/>
      <c r="D952" s="142"/>
      <c r="E952" s="143"/>
      <c r="F952" s="141"/>
      <c r="G952" s="282"/>
      <c r="H952" s="141"/>
    </row>
    <row r="953" ht="15.75" customHeight="1">
      <c r="A953" s="141"/>
      <c r="B953" s="141"/>
      <c r="C953" s="141"/>
      <c r="D953" s="142"/>
      <c r="E953" s="143"/>
      <c r="F953" s="141"/>
      <c r="G953" s="282"/>
      <c r="H953" s="141"/>
    </row>
    <row r="954" ht="15.75" customHeight="1">
      <c r="A954" s="141"/>
      <c r="B954" s="141"/>
      <c r="C954" s="141"/>
      <c r="D954" s="142"/>
      <c r="E954" s="143"/>
      <c r="F954" s="141"/>
      <c r="G954" s="282"/>
      <c r="H954" s="141"/>
    </row>
    <row r="955" ht="15.75" customHeight="1">
      <c r="A955" s="141"/>
      <c r="B955" s="141"/>
      <c r="C955" s="141"/>
      <c r="D955" s="142"/>
      <c r="E955" s="143"/>
      <c r="F955" s="141"/>
      <c r="G955" s="282"/>
      <c r="H955" s="141"/>
    </row>
    <row r="956" ht="15.75" customHeight="1">
      <c r="A956" s="141"/>
      <c r="B956" s="141"/>
      <c r="C956" s="141"/>
      <c r="D956" s="142"/>
      <c r="E956" s="143"/>
      <c r="F956" s="141"/>
      <c r="G956" s="282"/>
      <c r="H956" s="141"/>
    </row>
    <row r="957" ht="15.75" customHeight="1">
      <c r="A957" s="141"/>
      <c r="B957" s="141"/>
      <c r="C957" s="141"/>
      <c r="D957" s="142"/>
      <c r="E957" s="143"/>
      <c r="F957" s="141"/>
      <c r="G957" s="282"/>
      <c r="H957" s="141"/>
    </row>
    <row r="958" ht="15.75" customHeight="1">
      <c r="A958" s="141"/>
      <c r="B958" s="141"/>
      <c r="C958" s="141"/>
      <c r="D958" s="142"/>
      <c r="E958" s="143"/>
      <c r="F958" s="141"/>
      <c r="G958" s="282"/>
      <c r="H958" s="141"/>
    </row>
    <row r="959" ht="15.75" customHeight="1">
      <c r="A959" s="141"/>
      <c r="B959" s="141"/>
      <c r="C959" s="141"/>
      <c r="D959" s="142"/>
      <c r="E959" s="143"/>
      <c r="F959" s="141"/>
      <c r="G959" s="282"/>
      <c r="H959" s="141"/>
    </row>
    <row r="960" ht="15.75" customHeight="1">
      <c r="A960" s="141"/>
      <c r="B960" s="141"/>
      <c r="C960" s="141"/>
      <c r="D960" s="142"/>
      <c r="E960" s="143"/>
      <c r="F960" s="141"/>
      <c r="G960" s="282"/>
      <c r="H960" s="141"/>
    </row>
    <row r="961" ht="15.75" customHeight="1">
      <c r="A961" s="141"/>
      <c r="B961" s="141"/>
      <c r="C961" s="141"/>
      <c r="D961" s="142"/>
      <c r="E961" s="143"/>
      <c r="F961" s="141"/>
      <c r="G961" s="282"/>
      <c r="H961" s="141"/>
    </row>
    <row r="962" ht="15.75" customHeight="1">
      <c r="A962" s="141"/>
      <c r="B962" s="141"/>
      <c r="C962" s="141"/>
      <c r="D962" s="142"/>
      <c r="E962" s="143"/>
      <c r="F962" s="141"/>
      <c r="G962" s="282"/>
      <c r="H962" s="141"/>
    </row>
    <row r="963" ht="15.75" customHeight="1">
      <c r="A963" s="141"/>
      <c r="B963" s="141"/>
      <c r="C963" s="141"/>
      <c r="D963" s="142"/>
      <c r="E963" s="143"/>
      <c r="F963" s="141"/>
      <c r="G963" s="282"/>
      <c r="H963" s="141"/>
    </row>
    <row r="964" ht="15.75" customHeight="1">
      <c r="A964" s="141"/>
      <c r="B964" s="141"/>
      <c r="C964" s="141"/>
      <c r="D964" s="142"/>
      <c r="E964" s="143"/>
      <c r="F964" s="141"/>
      <c r="G964" s="282"/>
      <c r="H964" s="141"/>
    </row>
    <row r="965" ht="15.75" customHeight="1">
      <c r="A965" s="141"/>
      <c r="B965" s="141"/>
      <c r="C965" s="141"/>
      <c r="D965" s="142"/>
      <c r="E965" s="143"/>
      <c r="F965" s="141"/>
      <c r="G965" s="282"/>
      <c r="H965" s="141"/>
    </row>
    <row r="966" ht="15.75" customHeight="1">
      <c r="A966" s="141"/>
      <c r="B966" s="141"/>
      <c r="C966" s="141"/>
      <c r="D966" s="142"/>
      <c r="E966" s="143"/>
      <c r="F966" s="141"/>
      <c r="G966" s="282"/>
      <c r="H966" s="141"/>
    </row>
    <row r="967" ht="15.75" customHeight="1">
      <c r="A967" s="141"/>
      <c r="B967" s="141"/>
      <c r="C967" s="141"/>
      <c r="D967" s="142"/>
      <c r="E967" s="143"/>
      <c r="F967" s="141"/>
      <c r="G967" s="282"/>
      <c r="H967" s="141"/>
    </row>
    <row r="968" ht="15.75" customHeight="1">
      <c r="A968" s="141"/>
      <c r="B968" s="141"/>
      <c r="C968" s="141"/>
      <c r="D968" s="142"/>
      <c r="E968" s="143"/>
      <c r="F968" s="141"/>
      <c r="G968" s="282"/>
      <c r="H968" s="141"/>
    </row>
    <row r="969" ht="15.75" customHeight="1">
      <c r="A969" s="141"/>
      <c r="B969" s="141"/>
      <c r="C969" s="141"/>
      <c r="D969" s="142"/>
      <c r="E969" s="143"/>
      <c r="F969" s="141"/>
      <c r="G969" s="282"/>
      <c r="H969" s="141"/>
    </row>
    <row r="970" ht="15.75" customHeight="1">
      <c r="A970" s="141"/>
      <c r="B970" s="141"/>
      <c r="C970" s="141"/>
      <c r="D970" s="142"/>
      <c r="E970" s="143"/>
      <c r="F970" s="141"/>
      <c r="G970" s="282"/>
      <c r="H970" s="141"/>
    </row>
    <row r="971" ht="15.75" customHeight="1">
      <c r="A971" s="141"/>
      <c r="B971" s="141"/>
      <c r="C971" s="141"/>
      <c r="D971" s="142"/>
      <c r="E971" s="143"/>
      <c r="F971" s="141"/>
      <c r="G971" s="282"/>
      <c r="H971" s="141"/>
    </row>
    <row r="972" ht="15.75" customHeight="1">
      <c r="A972" s="141"/>
      <c r="B972" s="141"/>
      <c r="C972" s="141"/>
      <c r="D972" s="142"/>
      <c r="E972" s="143"/>
      <c r="F972" s="141"/>
      <c r="G972" s="282"/>
      <c r="H972" s="141"/>
    </row>
    <row r="973" ht="15.75" customHeight="1">
      <c r="A973" s="141"/>
      <c r="B973" s="141"/>
      <c r="C973" s="141"/>
      <c r="D973" s="142"/>
      <c r="E973" s="143"/>
      <c r="F973" s="141"/>
      <c r="G973" s="282"/>
      <c r="H973" s="141"/>
    </row>
    <row r="974" ht="15.75" customHeight="1">
      <c r="A974" s="141"/>
      <c r="B974" s="141"/>
      <c r="C974" s="141"/>
      <c r="D974" s="142"/>
      <c r="E974" s="143"/>
      <c r="F974" s="141"/>
      <c r="G974" s="282"/>
      <c r="H974" s="141"/>
    </row>
    <row r="975" ht="15.75" customHeight="1">
      <c r="A975" s="141"/>
      <c r="B975" s="141"/>
      <c r="C975" s="141"/>
      <c r="D975" s="142"/>
      <c r="E975" s="143"/>
      <c r="F975" s="141"/>
      <c r="G975" s="282"/>
      <c r="H975" s="141"/>
    </row>
    <row r="976" ht="15.75" customHeight="1">
      <c r="A976" s="141"/>
      <c r="B976" s="141"/>
      <c r="C976" s="141"/>
      <c r="D976" s="142"/>
      <c r="E976" s="143"/>
      <c r="F976" s="141"/>
      <c r="G976" s="282"/>
      <c r="H976" s="141"/>
    </row>
    <row r="977" ht="15.75" customHeight="1">
      <c r="A977" s="141"/>
      <c r="B977" s="141"/>
      <c r="C977" s="141"/>
      <c r="D977" s="142"/>
      <c r="E977" s="143"/>
      <c r="F977" s="141"/>
      <c r="G977" s="282"/>
      <c r="H977" s="141"/>
    </row>
    <row r="978" ht="15.75" customHeight="1">
      <c r="A978" s="141"/>
      <c r="B978" s="141"/>
      <c r="C978" s="141"/>
      <c r="D978" s="142"/>
      <c r="E978" s="143"/>
      <c r="F978" s="141"/>
      <c r="G978" s="282"/>
      <c r="H978" s="141"/>
    </row>
    <row r="979" ht="15.75" customHeight="1">
      <c r="A979" s="141"/>
      <c r="B979" s="141"/>
      <c r="C979" s="141"/>
      <c r="D979" s="142"/>
      <c r="E979" s="143"/>
      <c r="F979" s="141"/>
      <c r="G979" s="282"/>
      <c r="H979" s="141"/>
    </row>
    <row r="980" ht="15.75" customHeight="1">
      <c r="A980" s="141"/>
      <c r="B980" s="141"/>
      <c r="C980" s="141"/>
      <c r="D980" s="142"/>
      <c r="E980" s="143"/>
      <c r="F980" s="141"/>
      <c r="G980" s="282"/>
      <c r="H980" s="141"/>
    </row>
    <row r="981" ht="15.75" customHeight="1">
      <c r="A981" s="141"/>
      <c r="B981" s="141"/>
      <c r="C981" s="141"/>
      <c r="D981" s="142"/>
      <c r="E981" s="143"/>
      <c r="F981" s="141"/>
      <c r="G981" s="282"/>
      <c r="H981" s="141"/>
    </row>
    <row r="982" ht="15.75" customHeight="1">
      <c r="A982" s="141"/>
      <c r="B982" s="141"/>
      <c r="C982" s="141"/>
      <c r="D982" s="142"/>
      <c r="E982" s="143"/>
      <c r="F982" s="141"/>
      <c r="G982" s="282"/>
      <c r="H982" s="141"/>
    </row>
    <row r="983" ht="15.75" customHeight="1">
      <c r="A983" s="141"/>
      <c r="B983" s="141"/>
      <c r="C983" s="141"/>
      <c r="D983" s="142"/>
      <c r="E983" s="143"/>
      <c r="F983" s="141"/>
      <c r="G983" s="282"/>
      <c r="H983" s="141"/>
    </row>
    <row r="984" ht="15.75" customHeight="1">
      <c r="A984" s="141"/>
      <c r="B984" s="141"/>
      <c r="C984" s="141"/>
      <c r="D984" s="142"/>
      <c r="E984" s="143"/>
      <c r="F984" s="141"/>
      <c r="G984" s="282"/>
      <c r="H984" s="141"/>
    </row>
    <row r="985" ht="15.75" customHeight="1">
      <c r="A985" s="141"/>
      <c r="B985" s="141"/>
      <c r="C985" s="141"/>
      <c r="D985" s="142"/>
      <c r="E985" s="143"/>
      <c r="F985" s="141"/>
      <c r="G985" s="282"/>
      <c r="H985" s="141"/>
    </row>
    <row r="986" ht="15.75" customHeight="1">
      <c r="A986" s="141"/>
      <c r="B986" s="141"/>
      <c r="C986" s="141"/>
      <c r="D986" s="142"/>
      <c r="E986" s="143"/>
      <c r="F986" s="141"/>
      <c r="G986" s="282"/>
      <c r="H986" s="141"/>
    </row>
    <row r="987" ht="15.75" customHeight="1">
      <c r="A987" s="141"/>
      <c r="B987" s="141"/>
      <c r="C987" s="141"/>
      <c r="D987" s="142"/>
      <c r="E987" s="143"/>
      <c r="F987" s="141"/>
      <c r="G987" s="282"/>
      <c r="H987" s="141"/>
    </row>
    <row r="988" ht="15.75" customHeight="1">
      <c r="A988" s="141"/>
      <c r="B988" s="141"/>
      <c r="C988" s="141"/>
      <c r="D988" s="142"/>
      <c r="E988" s="143"/>
      <c r="F988" s="141"/>
      <c r="G988" s="282"/>
      <c r="H988" s="141"/>
    </row>
    <row r="989" ht="15.75" customHeight="1">
      <c r="A989" s="141"/>
      <c r="B989" s="141"/>
      <c r="C989" s="141"/>
      <c r="D989" s="142"/>
      <c r="E989" s="143"/>
      <c r="F989" s="141"/>
      <c r="G989" s="282"/>
      <c r="H989" s="141"/>
    </row>
    <row r="990" ht="15.75" customHeight="1">
      <c r="A990" s="141"/>
      <c r="B990" s="141"/>
      <c r="C990" s="141"/>
      <c r="D990" s="142"/>
      <c r="E990" s="143"/>
      <c r="F990" s="141"/>
      <c r="G990" s="282"/>
      <c r="H990" s="141"/>
    </row>
    <row r="991" ht="15.75" customHeight="1">
      <c r="A991" s="141"/>
      <c r="B991" s="141"/>
      <c r="C991" s="141"/>
      <c r="D991" s="142"/>
      <c r="E991" s="143"/>
      <c r="F991" s="141"/>
      <c r="G991" s="282"/>
      <c r="H991" s="141"/>
    </row>
    <row r="992" ht="15.75" customHeight="1">
      <c r="A992" s="141"/>
      <c r="B992" s="141"/>
      <c r="C992" s="141"/>
      <c r="D992" s="142"/>
      <c r="E992" s="143"/>
      <c r="F992" s="141"/>
      <c r="G992" s="282"/>
      <c r="H992" s="141"/>
    </row>
    <row r="993" ht="15.75" customHeight="1">
      <c r="A993" s="141"/>
      <c r="B993" s="141"/>
      <c r="C993" s="141"/>
      <c r="D993" s="142"/>
      <c r="E993" s="143"/>
      <c r="F993" s="141"/>
      <c r="G993" s="282"/>
      <c r="H993" s="141"/>
    </row>
    <row r="994" ht="15.75" customHeight="1">
      <c r="A994" s="141"/>
      <c r="B994" s="141"/>
      <c r="C994" s="141"/>
      <c r="D994" s="142"/>
      <c r="E994" s="143"/>
      <c r="F994" s="141"/>
      <c r="G994" s="282"/>
      <c r="H994" s="141"/>
    </row>
    <row r="995" ht="15.75" customHeight="1">
      <c r="A995" s="141"/>
      <c r="B995" s="141"/>
      <c r="C995" s="141"/>
      <c r="D995" s="142"/>
      <c r="E995" s="143"/>
      <c r="F995" s="141"/>
      <c r="G995" s="282"/>
      <c r="H995" s="141"/>
    </row>
    <row r="996" ht="15.75" customHeight="1">
      <c r="A996" s="141"/>
      <c r="B996" s="141"/>
      <c r="C996" s="141"/>
      <c r="D996" s="142"/>
      <c r="E996" s="143"/>
      <c r="F996" s="141"/>
      <c r="G996" s="282"/>
      <c r="H996" s="141"/>
    </row>
    <row r="997" ht="15.75" customHeight="1">
      <c r="A997" s="141"/>
      <c r="B997" s="141"/>
      <c r="C997" s="141"/>
      <c r="D997" s="142"/>
      <c r="E997" s="143"/>
      <c r="F997" s="141"/>
      <c r="G997" s="282"/>
      <c r="H997" s="141"/>
    </row>
    <row r="998" ht="15.75" customHeight="1">
      <c r="A998" s="141"/>
      <c r="B998" s="141"/>
      <c r="C998" s="141"/>
      <c r="D998" s="142"/>
      <c r="E998" s="143"/>
      <c r="F998" s="141"/>
      <c r="G998" s="282"/>
      <c r="H998" s="141"/>
    </row>
    <row r="999" ht="15.75" customHeight="1">
      <c r="A999" s="141"/>
      <c r="B999" s="141"/>
      <c r="C999" s="141"/>
      <c r="D999" s="142"/>
      <c r="E999" s="143"/>
      <c r="F999" s="141"/>
      <c r="G999" s="282"/>
      <c r="H999" s="141"/>
    </row>
    <row r="1000" ht="15.75" customHeight="1">
      <c r="A1000" s="141"/>
      <c r="B1000" s="141"/>
      <c r="C1000" s="141"/>
      <c r="D1000" s="142"/>
      <c r="E1000" s="143"/>
      <c r="F1000" s="141"/>
      <c r="G1000" s="282"/>
      <c r="H1000" s="141"/>
    </row>
    <row r="1001" ht="15.75" customHeight="1">
      <c r="A1001" s="141"/>
      <c r="B1001" s="141"/>
      <c r="C1001" s="141"/>
      <c r="D1001" s="142"/>
      <c r="E1001" s="143"/>
      <c r="F1001" s="141"/>
      <c r="G1001" s="282"/>
      <c r="H1001" s="141"/>
    </row>
    <row r="1002" ht="15.75" customHeight="1">
      <c r="A1002" s="141"/>
      <c r="B1002" s="141"/>
      <c r="C1002" s="141"/>
      <c r="D1002" s="142"/>
      <c r="E1002" s="143"/>
      <c r="F1002" s="141"/>
      <c r="G1002" s="282"/>
      <c r="H1002" s="141"/>
    </row>
    <row r="1003" ht="15.75" customHeight="1">
      <c r="A1003" s="141"/>
      <c r="B1003" s="141"/>
      <c r="C1003" s="141"/>
      <c r="D1003" s="142"/>
      <c r="E1003" s="143"/>
      <c r="F1003" s="141"/>
      <c r="G1003" s="282"/>
      <c r="H1003" s="141"/>
    </row>
    <row r="1004" ht="15.75" customHeight="1">
      <c r="A1004" s="141"/>
      <c r="B1004" s="141"/>
      <c r="C1004" s="141"/>
      <c r="D1004" s="142"/>
      <c r="E1004" s="143"/>
      <c r="F1004" s="141"/>
      <c r="G1004" s="282"/>
      <c r="H1004" s="141"/>
    </row>
    <row r="1005" ht="15.75" customHeight="1">
      <c r="A1005" s="141"/>
      <c r="B1005" s="141"/>
      <c r="C1005" s="141"/>
      <c r="D1005" s="142"/>
      <c r="E1005" s="143"/>
      <c r="F1005" s="141"/>
      <c r="G1005" s="282"/>
      <c r="H1005" s="141"/>
    </row>
    <row r="1006" ht="15.75" customHeight="1">
      <c r="A1006" s="141"/>
      <c r="B1006" s="141"/>
      <c r="C1006" s="141"/>
      <c r="D1006" s="142"/>
      <c r="E1006" s="143"/>
      <c r="F1006" s="141"/>
      <c r="G1006" s="282"/>
      <c r="H1006" s="141"/>
    </row>
    <row r="1007" ht="15.75" customHeight="1">
      <c r="A1007" s="141"/>
      <c r="B1007" s="141"/>
      <c r="C1007" s="141"/>
      <c r="D1007" s="142"/>
      <c r="E1007" s="143"/>
      <c r="F1007" s="141"/>
      <c r="G1007" s="282"/>
      <c r="H1007" s="141"/>
    </row>
    <row r="1008" ht="15.75" customHeight="1">
      <c r="A1008" s="141"/>
      <c r="B1008" s="141"/>
      <c r="C1008" s="141"/>
      <c r="D1008" s="142"/>
      <c r="E1008" s="143"/>
      <c r="F1008" s="141"/>
      <c r="G1008" s="282"/>
      <c r="H1008" s="141"/>
    </row>
    <row r="1009" ht="15.75" customHeight="1">
      <c r="A1009" s="141"/>
      <c r="B1009" s="141"/>
      <c r="C1009" s="141"/>
      <c r="D1009" s="142"/>
      <c r="E1009" s="143"/>
      <c r="F1009" s="141"/>
      <c r="G1009" s="282"/>
      <c r="H1009" s="141"/>
    </row>
    <row r="1010" ht="15.75" customHeight="1">
      <c r="A1010" s="141"/>
      <c r="B1010" s="141"/>
      <c r="C1010" s="141"/>
      <c r="D1010" s="142"/>
      <c r="E1010" s="143"/>
      <c r="F1010" s="141"/>
      <c r="G1010" s="282"/>
      <c r="H1010" s="141"/>
    </row>
    <row r="1011" ht="15.75" customHeight="1">
      <c r="A1011" s="141"/>
      <c r="B1011" s="141"/>
      <c r="C1011" s="141"/>
      <c r="D1011" s="142"/>
      <c r="E1011" s="143"/>
      <c r="F1011" s="141"/>
      <c r="G1011" s="282"/>
      <c r="H1011" s="141"/>
    </row>
    <row r="1012" ht="15.75" customHeight="1">
      <c r="A1012" s="141"/>
      <c r="B1012" s="141"/>
      <c r="C1012" s="141"/>
      <c r="D1012" s="142"/>
      <c r="E1012" s="143"/>
      <c r="F1012" s="141"/>
      <c r="G1012" s="282"/>
      <c r="H1012" s="141"/>
    </row>
    <row r="1013" ht="15.75" customHeight="1">
      <c r="A1013" s="141"/>
      <c r="B1013" s="141"/>
      <c r="C1013" s="141"/>
      <c r="D1013" s="142"/>
      <c r="E1013" s="143"/>
      <c r="F1013" s="141"/>
      <c r="G1013" s="282"/>
      <c r="H1013" s="141"/>
    </row>
    <row r="1014" ht="15.75" customHeight="1">
      <c r="A1014" s="141"/>
      <c r="B1014" s="141"/>
      <c r="C1014" s="141"/>
      <c r="D1014" s="142"/>
      <c r="E1014" s="143"/>
      <c r="F1014" s="141"/>
      <c r="G1014" s="282"/>
      <c r="H1014" s="141"/>
    </row>
    <row r="1015" ht="15.75" customHeight="1">
      <c r="A1015" s="141"/>
      <c r="B1015" s="141"/>
      <c r="C1015" s="141"/>
      <c r="D1015" s="142"/>
      <c r="E1015" s="143"/>
      <c r="F1015" s="141"/>
      <c r="G1015" s="282"/>
      <c r="H1015" s="141"/>
    </row>
    <row r="1016" ht="15.75" customHeight="1">
      <c r="A1016" s="141"/>
      <c r="B1016" s="141"/>
      <c r="C1016" s="141"/>
      <c r="D1016" s="142"/>
      <c r="E1016" s="143"/>
      <c r="F1016" s="141"/>
      <c r="G1016" s="282"/>
      <c r="H1016" s="141"/>
    </row>
    <row r="1017" ht="15.75" customHeight="1">
      <c r="A1017" s="141"/>
      <c r="B1017" s="141"/>
      <c r="C1017" s="141"/>
      <c r="D1017" s="142"/>
      <c r="E1017" s="143"/>
      <c r="F1017" s="141"/>
      <c r="G1017" s="282"/>
      <c r="H1017" s="141"/>
    </row>
    <row r="1018" ht="15.75" customHeight="1">
      <c r="A1018" s="141"/>
      <c r="B1018" s="141"/>
      <c r="C1018" s="141"/>
      <c r="D1018" s="142"/>
      <c r="E1018" s="143"/>
      <c r="F1018" s="141"/>
      <c r="G1018" s="282"/>
      <c r="H1018" s="141"/>
    </row>
    <row r="1019" ht="15.75" customHeight="1">
      <c r="A1019" s="141"/>
      <c r="B1019" s="141"/>
      <c r="C1019" s="141"/>
      <c r="D1019" s="142"/>
      <c r="E1019" s="143"/>
      <c r="F1019" s="141"/>
      <c r="G1019" s="282"/>
      <c r="H1019" s="141"/>
    </row>
    <row r="1020" ht="15.75" customHeight="1">
      <c r="A1020" s="141"/>
      <c r="B1020" s="141"/>
      <c r="C1020" s="141"/>
      <c r="D1020" s="142"/>
      <c r="E1020" s="143"/>
      <c r="F1020" s="141"/>
      <c r="G1020" s="282"/>
      <c r="H1020" s="141"/>
    </row>
    <row r="1021" ht="15.75" customHeight="1">
      <c r="A1021" s="141"/>
      <c r="B1021" s="141"/>
      <c r="C1021" s="141"/>
      <c r="D1021" s="142"/>
      <c r="E1021" s="143"/>
      <c r="F1021" s="141"/>
      <c r="G1021" s="282"/>
      <c r="H1021" s="141"/>
    </row>
    <row r="1022" ht="15.75" customHeight="1">
      <c r="A1022" s="141"/>
      <c r="B1022" s="141"/>
      <c r="C1022" s="141"/>
      <c r="D1022" s="142"/>
      <c r="E1022" s="143"/>
      <c r="F1022" s="141"/>
      <c r="G1022" s="282"/>
      <c r="H1022" s="141"/>
    </row>
    <row r="1023" ht="15.75" customHeight="1">
      <c r="A1023" s="141"/>
      <c r="B1023" s="141"/>
      <c r="C1023" s="141"/>
      <c r="D1023" s="142"/>
      <c r="E1023" s="143"/>
      <c r="F1023" s="141"/>
      <c r="G1023" s="282"/>
      <c r="H1023" s="141"/>
    </row>
    <row r="1024" ht="15.75" customHeight="1">
      <c r="A1024" s="141"/>
      <c r="B1024" s="141"/>
      <c r="C1024" s="141"/>
      <c r="D1024" s="142"/>
      <c r="E1024" s="143"/>
      <c r="F1024" s="141"/>
      <c r="G1024" s="282"/>
      <c r="H1024" s="141"/>
    </row>
    <row r="1025" ht="15.75" customHeight="1">
      <c r="A1025" s="141"/>
      <c r="B1025" s="141"/>
      <c r="C1025" s="141"/>
      <c r="D1025" s="142"/>
      <c r="E1025" s="143"/>
      <c r="F1025" s="141"/>
      <c r="G1025" s="282"/>
      <c r="H1025" s="141"/>
    </row>
    <row r="1026" ht="15.75" customHeight="1">
      <c r="A1026" s="141"/>
      <c r="B1026" s="141"/>
      <c r="C1026" s="141"/>
      <c r="D1026" s="142"/>
      <c r="E1026" s="143"/>
      <c r="F1026" s="141"/>
      <c r="G1026" s="282"/>
      <c r="H1026" s="141"/>
    </row>
    <row r="1027" ht="15.75" customHeight="1">
      <c r="A1027" s="141"/>
      <c r="B1027" s="141"/>
      <c r="C1027" s="141"/>
      <c r="D1027" s="142"/>
      <c r="E1027" s="143"/>
      <c r="F1027" s="141"/>
      <c r="G1027" s="282"/>
      <c r="H1027" s="141"/>
    </row>
    <row r="1028" ht="15.75" customHeight="1">
      <c r="A1028" s="141"/>
      <c r="B1028" s="141"/>
      <c r="C1028" s="141"/>
      <c r="D1028" s="142"/>
      <c r="E1028" s="143"/>
      <c r="F1028" s="141"/>
      <c r="G1028" s="282"/>
      <c r="H1028" s="141"/>
    </row>
    <row r="1029" ht="15.75" customHeight="1">
      <c r="A1029" s="141"/>
      <c r="B1029" s="141"/>
      <c r="C1029" s="141"/>
      <c r="D1029" s="142"/>
      <c r="E1029" s="143"/>
      <c r="F1029" s="141"/>
      <c r="G1029" s="282"/>
      <c r="H1029" s="141"/>
    </row>
    <row r="1030" ht="15.75" customHeight="1">
      <c r="A1030" s="141"/>
      <c r="B1030" s="141"/>
      <c r="C1030" s="141"/>
      <c r="D1030" s="142"/>
      <c r="E1030" s="143"/>
      <c r="F1030" s="141"/>
      <c r="G1030" s="282"/>
      <c r="H1030" s="141"/>
    </row>
    <row r="1031" ht="15.75" customHeight="1">
      <c r="A1031" s="141"/>
      <c r="B1031" s="141"/>
      <c r="C1031" s="141"/>
      <c r="D1031" s="142"/>
      <c r="E1031" s="143"/>
      <c r="F1031" s="141"/>
      <c r="G1031" s="282"/>
      <c r="H1031" s="141"/>
    </row>
    <row r="1032" ht="15.75" customHeight="1">
      <c r="A1032" s="141"/>
      <c r="B1032" s="141"/>
      <c r="C1032" s="141"/>
      <c r="D1032" s="142"/>
      <c r="E1032" s="143"/>
      <c r="F1032" s="141"/>
      <c r="G1032" s="282"/>
      <c r="H1032" s="141"/>
    </row>
    <row r="1033" ht="15.75" customHeight="1">
      <c r="A1033" s="141"/>
      <c r="B1033" s="141"/>
      <c r="C1033" s="141"/>
      <c r="D1033" s="142"/>
      <c r="E1033" s="143"/>
      <c r="F1033" s="141"/>
      <c r="G1033" s="282"/>
      <c r="H1033" s="141"/>
    </row>
    <row r="1034" ht="15.75" customHeight="1">
      <c r="A1034" s="141"/>
      <c r="B1034" s="141"/>
      <c r="C1034" s="141"/>
      <c r="D1034" s="142"/>
      <c r="E1034" s="143"/>
      <c r="F1034" s="141"/>
      <c r="G1034" s="282"/>
      <c r="H1034" s="141"/>
    </row>
    <row r="1035" ht="15.75" customHeight="1">
      <c r="A1035" s="141"/>
      <c r="B1035" s="141"/>
      <c r="C1035" s="141"/>
      <c r="D1035" s="142"/>
      <c r="E1035" s="143"/>
      <c r="F1035" s="141"/>
      <c r="G1035" s="282"/>
      <c r="H1035" s="141"/>
    </row>
    <row r="1036" ht="15.75" customHeight="1">
      <c r="A1036" s="141"/>
      <c r="B1036" s="141"/>
      <c r="C1036" s="141"/>
      <c r="D1036" s="142"/>
      <c r="E1036" s="143"/>
      <c r="F1036" s="141"/>
      <c r="G1036" s="282"/>
      <c r="H1036" s="141"/>
    </row>
    <row r="1037" ht="15.75" customHeight="1">
      <c r="A1037" s="141"/>
      <c r="B1037" s="141"/>
      <c r="C1037" s="141"/>
      <c r="D1037" s="142"/>
      <c r="E1037" s="143"/>
      <c r="F1037" s="141"/>
      <c r="G1037" s="282"/>
      <c r="H1037" s="141"/>
    </row>
    <row r="1038" ht="15.75" customHeight="1">
      <c r="A1038" s="141"/>
      <c r="B1038" s="141"/>
      <c r="C1038" s="141"/>
      <c r="D1038" s="142"/>
      <c r="E1038" s="143"/>
      <c r="F1038" s="141"/>
      <c r="G1038" s="282"/>
      <c r="H1038" s="141"/>
    </row>
    <row r="1039" ht="15.75" customHeight="1">
      <c r="A1039" s="141"/>
      <c r="B1039" s="141"/>
      <c r="C1039" s="141"/>
      <c r="D1039" s="142"/>
      <c r="E1039" s="143"/>
      <c r="F1039" s="141"/>
      <c r="G1039" s="282"/>
      <c r="H1039" s="141"/>
    </row>
    <row r="1040" ht="15.75" customHeight="1">
      <c r="A1040" s="141"/>
      <c r="B1040" s="141"/>
      <c r="C1040" s="141"/>
      <c r="D1040" s="142"/>
      <c r="E1040" s="143"/>
      <c r="F1040" s="141"/>
      <c r="G1040" s="282"/>
      <c r="H1040" s="141"/>
    </row>
    <row r="1041" ht="15.75" customHeight="1">
      <c r="A1041" s="141"/>
      <c r="B1041" s="141"/>
      <c r="C1041" s="141"/>
      <c r="D1041" s="142"/>
      <c r="E1041" s="143"/>
      <c r="F1041" s="141"/>
      <c r="G1041" s="282"/>
      <c r="H1041" s="141"/>
    </row>
    <row r="1042" ht="15.75" customHeight="1">
      <c r="A1042" s="141"/>
      <c r="B1042" s="141"/>
      <c r="C1042" s="141"/>
      <c r="D1042" s="142"/>
      <c r="E1042" s="143"/>
      <c r="F1042" s="141"/>
      <c r="G1042" s="282"/>
      <c r="H1042" s="141"/>
    </row>
    <row r="1043" ht="15.75" customHeight="1">
      <c r="A1043" s="141"/>
      <c r="B1043" s="141"/>
      <c r="C1043" s="141"/>
      <c r="D1043" s="142"/>
      <c r="E1043" s="143"/>
      <c r="F1043" s="141"/>
      <c r="G1043" s="282"/>
      <c r="H1043" s="141"/>
    </row>
    <row r="1044" ht="15.75" customHeight="1">
      <c r="A1044" s="141"/>
      <c r="B1044" s="141"/>
      <c r="C1044" s="141"/>
      <c r="D1044" s="142"/>
      <c r="E1044" s="143"/>
      <c r="F1044" s="141"/>
      <c r="G1044" s="282"/>
      <c r="H1044" s="141"/>
    </row>
    <row r="1045" ht="15.75" customHeight="1">
      <c r="A1045" s="141"/>
      <c r="B1045" s="141"/>
      <c r="C1045" s="141"/>
      <c r="D1045" s="142"/>
      <c r="E1045" s="143"/>
      <c r="F1045" s="141"/>
      <c r="G1045" s="282"/>
      <c r="H1045" s="141"/>
    </row>
    <row r="1046" ht="15.75" customHeight="1">
      <c r="A1046" s="141"/>
      <c r="B1046" s="141"/>
      <c r="C1046" s="141"/>
      <c r="D1046" s="142"/>
      <c r="E1046" s="143"/>
      <c r="F1046" s="141"/>
      <c r="G1046" s="282"/>
      <c r="H1046" s="141"/>
    </row>
    <row r="1047" ht="15.75" customHeight="1">
      <c r="A1047" s="141"/>
      <c r="B1047" s="141"/>
      <c r="C1047" s="141"/>
      <c r="D1047" s="142"/>
      <c r="E1047" s="143"/>
      <c r="F1047" s="141"/>
      <c r="G1047" s="282"/>
      <c r="H1047" s="141"/>
    </row>
    <row r="1048" ht="15.75" customHeight="1">
      <c r="A1048" s="141"/>
      <c r="B1048" s="141"/>
      <c r="C1048" s="141"/>
      <c r="D1048" s="142"/>
      <c r="E1048" s="143"/>
      <c r="F1048" s="141"/>
      <c r="G1048" s="282"/>
      <c r="H1048" s="141"/>
    </row>
    <row r="1049" ht="15.75" customHeight="1">
      <c r="A1049" s="141"/>
      <c r="B1049" s="141"/>
      <c r="C1049" s="141"/>
      <c r="D1049" s="142"/>
      <c r="E1049" s="143"/>
      <c r="F1049" s="141"/>
      <c r="G1049" s="282"/>
      <c r="H1049" s="141"/>
    </row>
    <row r="1050" ht="15.75" customHeight="1">
      <c r="A1050" s="141"/>
      <c r="B1050" s="141"/>
      <c r="C1050" s="141"/>
      <c r="D1050" s="142"/>
      <c r="E1050" s="143"/>
      <c r="F1050" s="141"/>
      <c r="G1050" s="282"/>
      <c r="H1050" s="141"/>
    </row>
    <row r="1051" ht="15.75" customHeight="1">
      <c r="A1051" s="141"/>
      <c r="B1051" s="141"/>
      <c r="C1051" s="141"/>
      <c r="D1051" s="142"/>
      <c r="E1051" s="143"/>
      <c r="F1051" s="141"/>
      <c r="G1051" s="282"/>
      <c r="H1051" s="141"/>
    </row>
    <row r="1052" ht="15.75" customHeight="1">
      <c r="A1052" s="141"/>
      <c r="B1052" s="141"/>
      <c r="C1052" s="141"/>
      <c r="D1052" s="142"/>
      <c r="E1052" s="143"/>
      <c r="F1052" s="141"/>
      <c r="G1052" s="282"/>
      <c r="H1052" s="141"/>
    </row>
    <row r="1053" ht="15.75" customHeight="1">
      <c r="A1053" s="141"/>
      <c r="B1053" s="141"/>
      <c r="C1053" s="141"/>
      <c r="D1053" s="142"/>
      <c r="E1053" s="143"/>
      <c r="F1053" s="141"/>
      <c r="G1053" s="282"/>
      <c r="H1053" s="141"/>
    </row>
    <row r="1054" ht="15.75" customHeight="1">
      <c r="A1054" s="141"/>
      <c r="B1054" s="141"/>
      <c r="C1054" s="141"/>
      <c r="D1054" s="142"/>
      <c r="E1054" s="143"/>
      <c r="F1054" s="141"/>
      <c r="G1054" s="282"/>
      <c r="H1054" s="141"/>
    </row>
    <row r="1055" ht="15.75" customHeight="1">
      <c r="A1055" s="141"/>
      <c r="B1055" s="141"/>
      <c r="C1055" s="141"/>
      <c r="D1055" s="142"/>
      <c r="E1055" s="143"/>
      <c r="F1055" s="141"/>
      <c r="G1055" s="282"/>
      <c r="H1055" s="141"/>
    </row>
    <row r="1056" ht="15.75" customHeight="1">
      <c r="A1056" s="141"/>
      <c r="B1056" s="141"/>
      <c r="C1056" s="141"/>
      <c r="D1056" s="142"/>
      <c r="E1056" s="143"/>
      <c r="F1056" s="141"/>
      <c r="G1056" s="282"/>
      <c r="H1056" s="141"/>
    </row>
    <row r="1057" ht="15.75" customHeight="1">
      <c r="A1057" s="141"/>
      <c r="B1057" s="141"/>
      <c r="C1057" s="141"/>
      <c r="D1057" s="142"/>
      <c r="E1057" s="143"/>
      <c r="F1057" s="141"/>
      <c r="G1057" s="282"/>
      <c r="H1057" s="141"/>
    </row>
    <row r="1058" ht="15.75" customHeight="1">
      <c r="A1058" s="141"/>
      <c r="B1058" s="141"/>
      <c r="C1058" s="141"/>
      <c r="D1058" s="142"/>
      <c r="E1058" s="143"/>
      <c r="F1058" s="141"/>
      <c r="G1058" s="282"/>
      <c r="H1058" s="141"/>
    </row>
    <row r="1059" ht="15.75" customHeight="1">
      <c r="A1059" s="141"/>
      <c r="B1059" s="141"/>
      <c r="C1059" s="141"/>
      <c r="D1059" s="142"/>
      <c r="E1059" s="143"/>
      <c r="F1059" s="141"/>
      <c r="G1059" s="282"/>
      <c r="H1059" s="141"/>
    </row>
    <row r="1060" ht="15.75" customHeight="1">
      <c r="A1060" s="141"/>
      <c r="B1060" s="141"/>
      <c r="C1060" s="141"/>
      <c r="D1060" s="142"/>
      <c r="E1060" s="143"/>
      <c r="F1060" s="141"/>
      <c r="G1060" s="282"/>
      <c r="H1060" s="141"/>
    </row>
    <row r="1061" ht="15.75" customHeight="1">
      <c r="A1061" s="141"/>
      <c r="B1061" s="141"/>
      <c r="C1061" s="141"/>
      <c r="D1061" s="142"/>
      <c r="E1061" s="143"/>
      <c r="F1061" s="141"/>
      <c r="G1061" s="282"/>
      <c r="H1061" s="141"/>
    </row>
    <row r="1062" ht="15.75" customHeight="1">
      <c r="A1062" s="141"/>
      <c r="B1062" s="141"/>
      <c r="C1062" s="141"/>
      <c r="D1062" s="142"/>
      <c r="E1062" s="143"/>
      <c r="F1062" s="141"/>
      <c r="G1062" s="282"/>
      <c r="H1062" s="141"/>
    </row>
    <row r="1063" ht="15.75" customHeight="1">
      <c r="A1063" s="141"/>
      <c r="B1063" s="141"/>
      <c r="C1063" s="141"/>
      <c r="D1063" s="142"/>
      <c r="E1063" s="143"/>
      <c r="F1063" s="141"/>
      <c r="G1063" s="282"/>
      <c r="H1063" s="141"/>
    </row>
    <row r="1064" ht="15.75" customHeight="1">
      <c r="A1064" s="141"/>
      <c r="B1064" s="141"/>
      <c r="C1064" s="141"/>
      <c r="D1064" s="142"/>
      <c r="E1064" s="143"/>
      <c r="F1064" s="141"/>
      <c r="G1064" s="282"/>
      <c r="H1064" s="141"/>
    </row>
    <row r="1065" ht="15.75" customHeight="1">
      <c r="A1065" s="141"/>
      <c r="B1065" s="141"/>
      <c r="C1065" s="141"/>
      <c r="D1065" s="142"/>
      <c r="E1065" s="143"/>
      <c r="F1065" s="141"/>
      <c r="G1065" s="282"/>
      <c r="H1065" s="141"/>
    </row>
    <row r="1066" ht="15.75" customHeight="1">
      <c r="A1066" s="141"/>
      <c r="B1066" s="141"/>
      <c r="C1066" s="141"/>
      <c r="D1066" s="142"/>
      <c r="E1066" s="143"/>
      <c r="F1066" s="141"/>
      <c r="G1066" s="282"/>
      <c r="H1066" s="141"/>
    </row>
    <row r="1067" ht="15.75" customHeight="1">
      <c r="A1067" s="141"/>
      <c r="B1067" s="141"/>
      <c r="C1067" s="141"/>
      <c r="D1067" s="142"/>
      <c r="E1067" s="143"/>
      <c r="F1067" s="141"/>
      <c r="G1067" s="282"/>
      <c r="H1067" s="141"/>
    </row>
    <row r="1068" ht="15.75" customHeight="1">
      <c r="A1068" s="141"/>
      <c r="B1068" s="141"/>
      <c r="C1068" s="141"/>
      <c r="D1068" s="142"/>
      <c r="E1068" s="143"/>
      <c r="F1068" s="141"/>
      <c r="G1068" s="282"/>
      <c r="H1068" s="141"/>
    </row>
    <row r="1069" ht="15.75" customHeight="1">
      <c r="A1069" s="141"/>
      <c r="B1069" s="141"/>
      <c r="C1069" s="141"/>
      <c r="D1069" s="142"/>
      <c r="E1069" s="143"/>
      <c r="F1069" s="141"/>
      <c r="G1069" s="282"/>
      <c r="H1069" s="141"/>
    </row>
    <row r="1070" ht="15.75" customHeight="1">
      <c r="A1070" s="141"/>
      <c r="B1070" s="141"/>
      <c r="C1070" s="141"/>
      <c r="D1070" s="142"/>
      <c r="E1070" s="143"/>
      <c r="F1070" s="141"/>
      <c r="G1070" s="282"/>
      <c r="H1070" s="141"/>
    </row>
    <row r="1071" ht="15.75" customHeight="1">
      <c r="A1071" s="141"/>
      <c r="B1071" s="141"/>
      <c r="C1071" s="141"/>
      <c r="D1071" s="142"/>
      <c r="E1071" s="143"/>
      <c r="F1071" s="141"/>
      <c r="G1071" s="282"/>
      <c r="H1071" s="141"/>
    </row>
    <row r="1072" ht="15.75" customHeight="1">
      <c r="A1072" s="141"/>
      <c r="B1072" s="141"/>
      <c r="C1072" s="141"/>
      <c r="D1072" s="142"/>
      <c r="E1072" s="143"/>
      <c r="F1072" s="141"/>
      <c r="G1072" s="282"/>
      <c r="H1072" s="141"/>
    </row>
    <row r="1073" ht="15.75" customHeight="1">
      <c r="A1073" s="141"/>
      <c r="B1073" s="141"/>
      <c r="C1073" s="141"/>
      <c r="D1073" s="142"/>
      <c r="E1073" s="143"/>
      <c r="F1073" s="141"/>
      <c r="G1073" s="282"/>
      <c r="H1073" s="141"/>
    </row>
    <row r="1074" ht="15.75" customHeight="1">
      <c r="A1074" s="141"/>
      <c r="B1074" s="141"/>
      <c r="C1074" s="141"/>
      <c r="D1074" s="142"/>
      <c r="E1074" s="143"/>
      <c r="F1074" s="141"/>
      <c r="G1074" s="282"/>
      <c r="H1074" s="141"/>
    </row>
    <row r="1075" ht="15.75" customHeight="1">
      <c r="A1075" s="141"/>
      <c r="B1075" s="141"/>
      <c r="C1075" s="141"/>
      <c r="D1075" s="142"/>
      <c r="E1075" s="143"/>
      <c r="F1075" s="141"/>
      <c r="G1075" s="282"/>
      <c r="H1075" s="141"/>
    </row>
    <row r="1076" ht="15.75" customHeight="1">
      <c r="A1076" s="141"/>
      <c r="B1076" s="141"/>
      <c r="C1076" s="141"/>
      <c r="D1076" s="142"/>
      <c r="E1076" s="143"/>
      <c r="F1076" s="141"/>
      <c r="G1076" s="282"/>
      <c r="H1076" s="141"/>
    </row>
    <row r="1077" ht="15.75" customHeight="1">
      <c r="A1077" s="141"/>
      <c r="B1077" s="141"/>
      <c r="C1077" s="141"/>
      <c r="D1077" s="142"/>
      <c r="E1077" s="143"/>
      <c r="F1077" s="141"/>
      <c r="G1077" s="282"/>
      <c r="H1077" s="141"/>
    </row>
    <row r="1078" ht="15.75" customHeight="1">
      <c r="A1078" s="141"/>
      <c r="B1078" s="141"/>
      <c r="C1078" s="141"/>
      <c r="D1078" s="142"/>
      <c r="E1078" s="143"/>
      <c r="F1078" s="141"/>
      <c r="G1078" s="282"/>
      <c r="H1078" s="141"/>
    </row>
    <row r="1079" ht="15.75" customHeight="1">
      <c r="A1079" s="141"/>
      <c r="B1079" s="141"/>
      <c r="C1079" s="141"/>
      <c r="D1079" s="142"/>
      <c r="E1079" s="143"/>
      <c r="F1079" s="141"/>
      <c r="G1079" s="282"/>
      <c r="H1079" s="141"/>
    </row>
    <row r="1080" ht="15.75" customHeight="1">
      <c r="A1080" s="141"/>
      <c r="B1080" s="141"/>
      <c r="C1080" s="141"/>
      <c r="D1080" s="142"/>
      <c r="E1080" s="143"/>
      <c r="F1080" s="141"/>
      <c r="G1080" s="282"/>
      <c r="H1080" s="141"/>
    </row>
    <row r="1081" ht="15.75" customHeight="1">
      <c r="A1081" s="141"/>
      <c r="B1081" s="141"/>
      <c r="C1081" s="141"/>
      <c r="D1081" s="142"/>
      <c r="E1081" s="143"/>
      <c r="F1081" s="141"/>
      <c r="G1081" s="282"/>
      <c r="H1081" s="141"/>
    </row>
    <row r="1082" ht="15.75" customHeight="1">
      <c r="A1082" s="141"/>
      <c r="B1082" s="141"/>
      <c r="C1082" s="141"/>
      <c r="D1082" s="142"/>
      <c r="E1082" s="143"/>
      <c r="F1082" s="141"/>
      <c r="G1082" s="282"/>
      <c r="H1082" s="141"/>
    </row>
    <row r="1083" ht="15.75" customHeight="1">
      <c r="A1083" s="141"/>
      <c r="B1083" s="141"/>
      <c r="C1083" s="141"/>
      <c r="D1083" s="142"/>
      <c r="E1083" s="143"/>
      <c r="F1083" s="141"/>
      <c r="G1083" s="282"/>
      <c r="H1083" s="141"/>
    </row>
    <row r="1084" ht="15.75" customHeight="1">
      <c r="A1084" s="141"/>
      <c r="B1084" s="141"/>
      <c r="C1084" s="141"/>
      <c r="D1084" s="142"/>
      <c r="E1084" s="143"/>
      <c r="F1084" s="141"/>
      <c r="G1084" s="282"/>
      <c r="H1084" s="141"/>
    </row>
    <row r="1085" ht="15.75" customHeight="1">
      <c r="A1085" s="141"/>
      <c r="B1085" s="141"/>
      <c r="C1085" s="141"/>
      <c r="D1085" s="142"/>
      <c r="E1085" s="143"/>
      <c r="F1085" s="141"/>
      <c r="G1085" s="282"/>
      <c r="H1085" s="141"/>
    </row>
    <row r="1086" ht="15.75" customHeight="1">
      <c r="A1086" s="141"/>
      <c r="B1086" s="141"/>
      <c r="C1086" s="141"/>
      <c r="D1086" s="142"/>
      <c r="E1086" s="143"/>
      <c r="F1086" s="141"/>
      <c r="G1086" s="282"/>
      <c r="H1086" s="141"/>
    </row>
    <row r="1087" ht="15.75" customHeight="1">
      <c r="A1087" s="141"/>
      <c r="B1087" s="141"/>
      <c r="C1087" s="141"/>
      <c r="D1087" s="142"/>
      <c r="E1087" s="143"/>
      <c r="F1087" s="141"/>
      <c r="G1087" s="282"/>
      <c r="H1087" s="141"/>
    </row>
    <row r="1088" ht="15.75" customHeight="1">
      <c r="A1088" s="141"/>
      <c r="B1088" s="141"/>
      <c r="C1088" s="141"/>
      <c r="D1088" s="142"/>
      <c r="E1088" s="143"/>
      <c r="F1088" s="141"/>
      <c r="G1088" s="282"/>
      <c r="H1088" s="141"/>
    </row>
    <row r="1089" ht="15.75" customHeight="1">
      <c r="A1089" s="141"/>
      <c r="B1089" s="141"/>
      <c r="C1089" s="141"/>
      <c r="D1089" s="142"/>
      <c r="E1089" s="143"/>
      <c r="F1089" s="141"/>
      <c r="G1089" s="282"/>
      <c r="H1089" s="141"/>
    </row>
    <row r="1090" ht="15.75" customHeight="1">
      <c r="A1090" s="141"/>
      <c r="B1090" s="141"/>
      <c r="C1090" s="141"/>
      <c r="D1090" s="142"/>
      <c r="E1090" s="143"/>
      <c r="F1090" s="141"/>
      <c r="G1090" s="282"/>
      <c r="H1090" s="141"/>
    </row>
    <row r="1091" ht="15.75" customHeight="1">
      <c r="A1091" s="141"/>
      <c r="B1091" s="141"/>
      <c r="C1091" s="141"/>
      <c r="D1091" s="142"/>
      <c r="E1091" s="143"/>
      <c r="F1091" s="141"/>
      <c r="G1091" s="282"/>
      <c r="H1091" s="141"/>
    </row>
    <row r="1092" ht="15.75" customHeight="1">
      <c r="A1092" s="141"/>
      <c r="B1092" s="141"/>
      <c r="C1092" s="141"/>
      <c r="D1092" s="142"/>
      <c r="E1092" s="143"/>
      <c r="F1092" s="141"/>
      <c r="G1092" s="282"/>
      <c r="H1092" s="141"/>
    </row>
    <row r="1093" ht="15.75" customHeight="1">
      <c r="A1093" s="141"/>
      <c r="B1093" s="141"/>
      <c r="C1093" s="141"/>
      <c r="D1093" s="142"/>
      <c r="E1093" s="143"/>
      <c r="F1093" s="141"/>
      <c r="G1093" s="282"/>
      <c r="H1093" s="141"/>
    </row>
    <row r="1094" ht="15.75" customHeight="1">
      <c r="A1094" s="141"/>
      <c r="B1094" s="141"/>
      <c r="C1094" s="141"/>
      <c r="D1094" s="142"/>
      <c r="E1094" s="143"/>
      <c r="F1094" s="141"/>
      <c r="G1094" s="282"/>
      <c r="H1094" s="141"/>
    </row>
    <row r="1095" ht="15.75" customHeight="1">
      <c r="A1095" s="141"/>
      <c r="B1095" s="141"/>
      <c r="C1095" s="141"/>
      <c r="D1095" s="142"/>
      <c r="E1095" s="143"/>
      <c r="F1095" s="141"/>
      <c r="G1095" s="282"/>
      <c r="H1095" s="141"/>
    </row>
    <row r="1096" ht="15.75" customHeight="1">
      <c r="A1096" s="141"/>
      <c r="B1096" s="141"/>
      <c r="C1096" s="141"/>
      <c r="D1096" s="142"/>
      <c r="E1096" s="143"/>
      <c r="F1096" s="141"/>
      <c r="G1096" s="282"/>
      <c r="H1096" s="141"/>
    </row>
    <row r="1097" ht="15.75" customHeight="1">
      <c r="A1097" s="141"/>
      <c r="B1097" s="141"/>
      <c r="C1097" s="141"/>
      <c r="D1097" s="142"/>
      <c r="E1097" s="143"/>
      <c r="F1097" s="141"/>
      <c r="G1097" s="282"/>
      <c r="H1097" s="141"/>
    </row>
    <row r="1098" ht="15.75" customHeight="1">
      <c r="A1098" s="141"/>
      <c r="B1098" s="141"/>
      <c r="C1098" s="141"/>
      <c r="D1098" s="142"/>
      <c r="E1098" s="143"/>
      <c r="F1098" s="141"/>
      <c r="G1098" s="282"/>
      <c r="H1098" s="141"/>
    </row>
    <row r="1099" ht="15.75" customHeight="1">
      <c r="A1099" s="141"/>
      <c r="B1099" s="141"/>
      <c r="C1099" s="141"/>
      <c r="D1099" s="142"/>
      <c r="E1099" s="143"/>
      <c r="F1099" s="141"/>
      <c r="G1099" s="282"/>
      <c r="H1099" s="141"/>
    </row>
    <row r="1100" ht="15.75" customHeight="1">
      <c r="A1100" s="141"/>
      <c r="B1100" s="141"/>
      <c r="C1100" s="141"/>
      <c r="D1100" s="142"/>
      <c r="E1100" s="143"/>
      <c r="F1100" s="141"/>
      <c r="G1100" s="282"/>
      <c r="H1100" s="141"/>
    </row>
    <row r="1101" ht="15.75" customHeight="1">
      <c r="A1101" s="141"/>
      <c r="B1101" s="141"/>
      <c r="C1101" s="141"/>
      <c r="D1101" s="142"/>
      <c r="E1101" s="143"/>
      <c r="F1101" s="141"/>
      <c r="G1101" s="282"/>
      <c r="H1101" s="141"/>
    </row>
    <row r="1102" ht="15.75" customHeight="1">
      <c r="A1102" s="141"/>
      <c r="B1102" s="141"/>
      <c r="C1102" s="141"/>
      <c r="D1102" s="142"/>
      <c r="E1102" s="143"/>
      <c r="F1102" s="141"/>
      <c r="G1102" s="282"/>
      <c r="H1102" s="141"/>
    </row>
    <row r="1103" ht="15.75" customHeight="1">
      <c r="A1103" s="141"/>
      <c r="B1103" s="141"/>
      <c r="C1103" s="141"/>
      <c r="D1103" s="142"/>
      <c r="E1103" s="143"/>
      <c r="F1103" s="141"/>
      <c r="G1103" s="282"/>
      <c r="H1103" s="141"/>
    </row>
    <row r="1104" ht="15.75" customHeight="1">
      <c r="A1104" s="141"/>
      <c r="B1104" s="141"/>
      <c r="C1104" s="141"/>
      <c r="D1104" s="142"/>
      <c r="E1104" s="143"/>
      <c r="F1104" s="141"/>
      <c r="G1104" s="282"/>
      <c r="H1104" s="141"/>
    </row>
    <row r="1105" ht="15.75" customHeight="1">
      <c r="A1105" s="141"/>
      <c r="B1105" s="141"/>
      <c r="C1105" s="141"/>
      <c r="D1105" s="142"/>
      <c r="E1105" s="143"/>
      <c r="F1105" s="141"/>
      <c r="G1105" s="282"/>
      <c r="H1105" s="141"/>
    </row>
    <row r="1106" ht="15.75" customHeight="1">
      <c r="A1106" s="141"/>
      <c r="B1106" s="141"/>
      <c r="C1106" s="141"/>
      <c r="D1106" s="142"/>
      <c r="E1106" s="143"/>
      <c r="F1106" s="141"/>
      <c r="G1106" s="282"/>
      <c r="H1106" s="141"/>
    </row>
    <row r="1107" ht="15.75" customHeight="1">
      <c r="A1107" s="141"/>
      <c r="B1107" s="141"/>
      <c r="C1107" s="141"/>
      <c r="D1107" s="142"/>
      <c r="E1107" s="143"/>
      <c r="F1107" s="141"/>
      <c r="G1107" s="282"/>
      <c r="H1107" s="141"/>
    </row>
    <row r="1108" ht="15.75" customHeight="1">
      <c r="A1108" s="141"/>
      <c r="B1108" s="141"/>
      <c r="C1108" s="141"/>
      <c r="D1108" s="142"/>
      <c r="E1108" s="143"/>
      <c r="F1108" s="141"/>
      <c r="G1108" s="282"/>
      <c r="H1108" s="141"/>
    </row>
    <row r="1109" ht="15.75" customHeight="1">
      <c r="A1109" s="141"/>
      <c r="B1109" s="141"/>
      <c r="C1109" s="141"/>
      <c r="D1109" s="142"/>
      <c r="E1109" s="143"/>
      <c r="F1109" s="141"/>
      <c r="G1109" s="282"/>
      <c r="H1109" s="141"/>
    </row>
    <row r="1110" ht="15.75" customHeight="1">
      <c r="A1110" s="141"/>
      <c r="B1110" s="141"/>
      <c r="C1110" s="141"/>
      <c r="D1110" s="142"/>
      <c r="E1110" s="143"/>
      <c r="F1110" s="141"/>
      <c r="G1110" s="282"/>
      <c r="H1110" s="141"/>
    </row>
    <row r="1111" ht="15.75" customHeight="1">
      <c r="A1111" s="141"/>
      <c r="B1111" s="141"/>
      <c r="C1111" s="141"/>
      <c r="D1111" s="142"/>
      <c r="E1111" s="143"/>
      <c r="F1111" s="141"/>
      <c r="G1111" s="282"/>
      <c r="H1111" s="141"/>
    </row>
    <row r="1112" ht="15.75" customHeight="1">
      <c r="A1112" s="141"/>
      <c r="B1112" s="141"/>
      <c r="C1112" s="141"/>
      <c r="D1112" s="142"/>
      <c r="E1112" s="143"/>
      <c r="F1112" s="141"/>
      <c r="G1112" s="282"/>
      <c r="H1112" s="141"/>
    </row>
    <row r="1113" ht="15.75" customHeight="1">
      <c r="A1113" s="141"/>
      <c r="B1113" s="141"/>
      <c r="C1113" s="141"/>
      <c r="D1113" s="142"/>
      <c r="E1113" s="143"/>
      <c r="F1113" s="141"/>
      <c r="G1113" s="282"/>
      <c r="H1113" s="141"/>
    </row>
    <row r="1114" ht="15.75" customHeight="1">
      <c r="A1114" s="141"/>
      <c r="B1114" s="141"/>
      <c r="C1114" s="141"/>
      <c r="D1114" s="142"/>
      <c r="E1114" s="143"/>
      <c r="F1114" s="141"/>
      <c r="G1114" s="282"/>
      <c r="H1114" s="141"/>
    </row>
    <row r="1115" ht="15.75" customHeight="1">
      <c r="A1115" s="141"/>
      <c r="B1115" s="141"/>
      <c r="C1115" s="141"/>
      <c r="D1115" s="142"/>
      <c r="E1115" s="143"/>
      <c r="F1115" s="141"/>
      <c r="G1115" s="282"/>
      <c r="H1115" s="141"/>
    </row>
    <row r="1116" ht="15.75" customHeight="1">
      <c r="A1116" s="141"/>
      <c r="B1116" s="141"/>
      <c r="C1116" s="141"/>
      <c r="D1116" s="142"/>
      <c r="E1116" s="143"/>
      <c r="F1116" s="141"/>
      <c r="G1116" s="282"/>
      <c r="H1116" s="141"/>
    </row>
    <row r="1117" ht="15.75" customHeight="1">
      <c r="A1117" s="141"/>
      <c r="B1117" s="141"/>
      <c r="C1117" s="141"/>
      <c r="D1117" s="142"/>
      <c r="E1117" s="143"/>
      <c r="F1117" s="141"/>
      <c r="G1117" s="282"/>
      <c r="H1117" s="141"/>
    </row>
    <row r="1118" ht="15.75" customHeight="1">
      <c r="A1118" s="141"/>
      <c r="B1118" s="141"/>
      <c r="C1118" s="141"/>
      <c r="D1118" s="142"/>
      <c r="E1118" s="143"/>
      <c r="F1118" s="141"/>
      <c r="G1118" s="282"/>
      <c r="H1118" s="141"/>
    </row>
    <row r="1119" ht="15.75" customHeight="1">
      <c r="A1119" s="141"/>
      <c r="B1119" s="141"/>
      <c r="C1119" s="141"/>
      <c r="D1119" s="142"/>
      <c r="E1119" s="143"/>
      <c r="F1119" s="141"/>
      <c r="G1119" s="282"/>
      <c r="H1119" s="141"/>
    </row>
    <row r="1120" ht="15.75" customHeight="1">
      <c r="A1120" s="141"/>
      <c r="B1120" s="141"/>
      <c r="C1120" s="141"/>
      <c r="D1120" s="142"/>
      <c r="E1120" s="143"/>
      <c r="F1120" s="141"/>
      <c r="G1120" s="282"/>
      <c r="H1120" s="141"/>
    </row>
    <row r="1121" ht="15.75" customHeight="1">
      <c r="A1121" s="141"/>
      <c r="B1121" s="141"/>
      <c r="C1121" s="141"/>
      <c r="D1121" s="142"/>
      <c r="E1121" s="143"/>
      <c r="F1121" s="141"/>
      <c r="G1121" s="282"/>
      <c r="H1121" s="141"/>
    </row>
    <row r="1122" ht="15.75" customHeight="1">
      <c r="A1122" s="141"/>
      <c r="B1122" s="141"/>
      <c r="C1122" s="141"/>
      <c r="D1122" s="142"/>
      <c r="E1122" s="143"/>
      <c r="F1122" s="141"/>
      <c r="G1122" s="282"/>
      <c r="H1122" s="141"/>
    </row>
    <row r="1123" ht="15.75" customHeight="1">
      <c r="A1123" s="141"/>
      <c r="B1123" s="141"/>
      <c r="C1123" s="141"/>
      <c r="D1123" s="142"/>
      <c r="E1123" s="143"/>
      <c r="F1123" s="141"/>
      <c r="G1123" s="282"/>
      <c r="H1123" s="141"/>
    </row>
    <row r="1124" ht="15.75" customHeight="1">
      <c r="A1124" s="141"/>
      <c r="B1124" s="141"/>
      <c r="C1124" s="141"/>
      <c r="D1124" s="142"/>
      <c r="E1124" s="143"/>
      <c r="F1124" s="141"/>
      <c r="G1124" s="282"/>
      <c r="H1124" s="141"/>
    </row>
    <row r="1125" ht="15.75" customHeight="1">
      <c r="A1125" s="141"/>
      <c r="B1125" s="141"/>
      <c r="C1125" s="141"/>
      <c r="D1125" s="142"/>
      <c r="E1125" s="143"/>
      <c r="F1125" s="141"/>
      <c r="G1125" s="282"/>
      <c r="H1125" s="141"/>
    </row>
    <row r="1126" ht="15.75" customHeight="1">
      <c r="A1126" s="141"/>
      <c r="B1126" s="141"/>
      <c r="C1126" s="141"/>
      <c r="D1126" s="142"/>
      <c r="E1126" s="143"/>
      <c r="F1126" s="141"/>
      <c r="G1126" s="282"/>
      <c r="H1126" s="141"/>
    </row>
    <row r="1127" ht="15.75" customHeight="1">
      <c r="A1127" s="141"/>
      <c r="B1127" s="141"/>
      <c r="C1127" s="141"/>
      <c r="D1127" s="142"/>
      <c r="E1127" s="143"/>
      <c r="F1127" s="141"/>
      <c r="G1127" s="282"/>
      <c r="H1127" s="141"/>
    </row>
    <row r="1128" ht="15.75" customHeight="1">
      <c r="A1128" s="141"/>
      <c r="B1128" s="141"/>
      <c r="C1128" s="141"/>
      <c r="D1128" s="142"/>
      <c r="E1128" s="143"/>
      <c r="F1128" s="141"/>
      <c r="G1128" s="282"/>
      <c r="H1128" s="141"/>
    </row>
    <row r="1129" ht="15.75" customHeight="1">
      <c r="A1129" s="141"/>
      <c r="B1129" s="141"/>
      <c r="C1129" s="141"/>
      <c r="D1129" s="142"/>
      <c r="E1129" s="143"/>
      <c r="F1129" s="141"/>
      <c r="G1129" s="282"/>
      <c r="H1129" s="141"/>
    </row>
    <row r="1130" ht="15.75" customHeight="1">
      <c r="A1130" s="141"/>
      <c r="B1130" s="141"/>
      <c r="C1130" s="141"/>
      <c r="D1130" s="142"/>
      <c r="E1130" s="143"/>
      <c r="F1130" s="141"/>
      <c r="G1130" s="282"/>
      <c r="H1130" s="141"/>
    </row>
    <row r="1131" ht="15.75" customHeight="1">
      <c r="A1131" s="141"/>
      <c r="B1131" s="141"/>
      <c r="C1131" s="141"/>
      <c r="D1131" s="142"/>
      <c r="E1131" s="143"/>
      <c r="F1131" s="141"/>
      <c r="G1131" s="282"/>
      <c r="H1131" s="141"/>
    </row>
    <row r="1132" ht="15.75" customHeight="1">
      <c r="A1132" s="141"/>
      <c r="B1132" s="141"/>
      <c r="C1132" s="141"/>
      <c r="D1132" s="142"/>
      <c r="E1132" s="143"/>
      <c r="F1132" s="141"/>
      <c r="G1132" s="282"/>
      <c r="H1132" s="141"/>
    </row>
    <row r="1133" ht="15.75" customHeight="1">
      <c r="A1133" s="141"/>
      <c r="B1133" s="141"/>
      <c r="C1133" s="141"/>
      <c r="D1133" s="142"/>
      <c r="E1133" s="143"/>
      <c r="F1133" s="141"/>
      <c r="G1133" s="282"/>
      <c r="H1133" s="141"/>
    </row>
    <row r="1134" ht="15.75" customHeight="1">
      <c r="A1134" s="141"/>
      <c r="B1134" s="141"/>
      <c r="C1134" s="141"/>
      <c r="D1134" s="142"/>
      <c r="E1134" s="143"/>
      <c r="F1134" s="141"/>
      <c r="G1134" s="282"/>
      <c r="H1134" s="141"/>
    </row>
    <row r="1135" ht="15.75" customHeight="1">
      <c r="A1135" s="141"/>
      <c r="B1135" s="141"/>
      <c r="C1135" s="141"/>
      <c r="D1135" s="142"/>
      <c r="E1135" s="143"/>
      <c r="F1135" s="141"/>
      <c r="G1135" s="282"/>
      <c r="H1135" s="141"/>
    </row>
    <row r="1136" ht="15.75" customHeight="1">
      <c r="A1136" s="141"/>
      <c r="B1136" s="141"/>
      <c r="C1136" s="141"/>
      <c r="D1136" s="142"/>
      <c r="E1136" s="143"/>
      <c r="F1136" s="141"/>
      <c r="G1136" s="282"/>
      <c r="H1136" s="141"/>
    </row>
    <row r="1137" ht="15.75" customHeight="1">
      <c r="A1137" s="141"/>
      <c r="B1137" s="141"/>
      <c r="C1137" s="141"/>
      <c r="D1137" s="142"/>
      <c r="E1137" s="143"/>
      <c r="F1137" s="141"/>
      <c r="G1137" s="282"/>
      <c r="H1137" s="141"/>
    </row>
    <row r="1138" ht="15.75" customHeight="1">
      <c r="A1138" s="141"/>
      <c r="B1138" s="141"/>
      <c r="C1138" s="141"/>
      <c r="D1138" s="142"/>
      <c r="E1138" s="143"/>
      <c r="F1138" s="141"/>
      <c r="G1138" s="282"/>
      <c r="H1138" s="141"/>
    </row>
    <row r="1139" ht="15.75" customHeight="1">
      <c r="A1139" s="141"/>
      <c r="B1139" s="141"/>
      <c r="C1139" s="141"/>
      <c r="D1139" s="142"/>
      <c r="E1139" s="143"/>
      <c r="F1139" s="141"/>
      <c r="G1139" s="282"/>
      <c r="H1139" s="141"/>
    </row>
    <row r="1140" ht="15.75" customHeight="1">
      <c r="A1140" s="141"/>
      <c r="B1140" s="141"/>
      <c r="C1140" s="141"/>
      <c r="D1140" s="142"/>
      <c r="E1140" s="143"/>
      <c r="F1140" s="141"/>
      <c r="G1140" s="282"/>
      <c r="H1140" s="141"/>
    </row>
    <row r="1141" ht="15.75" customHeight="1">
      <c r="A1141" s="141"/>
      <c r="B1141" s="141"/>
      <c r="C1141" s="141"/>
      <c r="D1141" s="142"/>
      <c r="E1141" s="143"/>
      <c r="F1141" s="141"/>
      <c r="G1141" s="282"/>
      <c r="H1141" s="141"/>
    </row>
    <row r="1142" ht="15.75" customHeight="1">
      <c r="A1142" s="141"/>
      <c r="B1142" s="141"/>
      <c r="C1142" s="141"/>
      <c r="D1142" s="142"/>
      <c r="E1142" s="143"/>
      <c r="F1142" s="141"/>
      <c r="G1142" s="282"/>
      <c r="H1142" s="141"/>
    </row>
    <row r="1143" ht="15.75" customHeight="1">
      <c r="A1143" s="141"/>
      <c r="B1143" s="141"/>
      <c r="C1143" s="141"/>
      <c r="D1143" s="142"/>
      <c r="E1143" s="143"/>
      <c r="F1143" s="141"/>
      <c r="G1143" s="282"/>
      <c r="H1143" s="141"/>
    </row>
    <row r="1144" ht="15.75" customHeight="1">
      <c r="A1144" s="141"/>
      <c r="B1144" s="141"/>
      <c r="C1144" s="141"/>
      <c r="D1144" s="142"/>
      <c r="E1144" s="143"/>
      <c r="F1144" s="141"/>
      <c r="G1144" s="282"/>
      <c r="H1144" s="141"/>
    </row>
    <row r="1145" ht="15.75" customHeight="1">
      <c r="A1145" s="141"/>
      <c r="B1145" s="141"/>
      <c r="C1145" s="141"/>
      <c r="D1145" s="142"/>
      <c r="E1145" s="143"/>
      <c r="F1145" s="141"/>
      <c r="G1145" s="282"/>
      <c r="H1145" s="141"/>
    </row>
    <row r="1146" ht="15.75" customHeight="1">
      <c r="A1146" s="141"/>
      <c r="B1146" s="141"/>
      <c r="C1146" s="141"/>
      <c r="D1146" s="142"/>
      <c r="E1146" s="143"/>
      <c r="F1146" s="141"/>
      <c r="G1146" s="282"/>
      <c r="H1146" s="141"/>
    </row>
    <row r="1147" ht="15.75" customHeight="1">
      <c r="A1147" s="141"/>
      <c r="B1147" s="141"/>
      <c r="C1147" s="141"/>
      <c r="D1147" s="142"/>
      <c r="E1147" s="143"/>
      <c r="F1147" s="141"/>
      <c r="G1147" s="282"/>
      <c r="H1147" s="141"/>
    </row>
    <row r="1148" ht="15.75" customHeight="1">
      <c r="A1148" s="141"/>
      <c r="B1148" s="141"/>
      <c r="C1148" s="141"/>
      <c r="D1148" s="142"/>
      <c r="E1148" s="143"/>
      <c r="F1148" s="141"/>
      <c r="G1148" s="282"/>
      <c r="H1148" s="141"/>
    </row>
    <row r="1149" ht="15.75" customHeight="1">
      <c r="A1149" s="141"/>
      <c r="B1149" s="141"/>
      <c r="C1149" s="141"/>
      <c r="D1149" s="142"/>
      <c r="E1149" s="143"/>
      <c r="F1149" s="141"/>
      <c r="G1149" s="282"/>
      <c r="H1149" s="141"/>
    </row>
    <row r="1150" ht="15.75" customHeight="1">
      <c r="A1150" s="141"/>
      <c r="B1150" s="141"/>
      <c r="C1150" s="141"/>
      <c r="D1150" s="142"/>
      <c r="E1150" s="143"/>
      <c r="F1150" s="141"/>
      <c r="G1150" s="282"/>
      <c r="H1150" s="141"/>
    </row>
    <row r="1151" ht="15.75" customHeight="1">
      <c r="A1151" s="141"/>
      <c r="B1151" s="141"/>
      <c r="C1151" s="141"/>
      <c r="D1151" s="142"/>
      <c r="E1151" s="143"/>
      <c r="F1151" s="141"/>
      <c r="G1151" s="282"/>
      <c r="H1151" s="141"/>
    </row>
    <row r="1152" ht="15.75" customHeight="1">
      <c r="A1152" s="141"/>
      <c r="B1152" s="141"/>
      <c r="C1152" s="141"/>
      <c r="D1152" s="142"/>
      <c r="E1152" s="143"/>
      <c r="F1152" s="141"/>
      <c r="G1152" s="282"/>
      <c r="H1152" s="141"/>
    </row>
    <row r="1153" ht="15.75" customHeight="1">
      <c r="A1153" s="141"/>
      <c r="B1153" s="141"/>
      <c r="C1153" s="141"/>
      <c r="D1153" s="142"/>
      <c r="E1153" s="143"/>
      <c r="F1153" s="141"/>
      <c r="G1153" s="282"/>
      <c r="H1153" s="141"/>
    </row>
    <row r="1154" ht="15.75" customHeight="1">
      <c r="A1154" s="141"/>
      <c r="B1154" s="141"/>
      <c r="C1154" s="141"/>
      <c r="D1154" s="142"/>
      <c r="E1154" s="143"/>
      <c r="F1154" s="141"/>
      <c r="G1154" s="282"/>
      <c r="H1154" s="141"/>
    </row>
    <row r="1155" ht="15.75" customHeight="1">
      <c r="A1155" s="141"/>
      <c r="B1155" s="141"/>
      <c r="C1155" s="141"/>
      <c r="D1155" s="142"/>
      <c r="E1155" s="143"/>
      <c r="F1155" s="141"/>
      <c r="G1155" s="282"/>
      <c r="H1155" s="141"/>
    </row>
    <row r="1156" ht="15.75" customHeight="1">
      <c r="A1156" s="141"/>
      <c r="B1156" s="141"/>
      <c r="C1156" s="141"/>
      <c r="D1156" s="142"/>
      <c r="E1156" s="143"/>
      <c r="F1156" s="141"/>
      <c r="G1156" s="282"/>
      <c r="H1156" s="141"/>
    </row>
    <row r="1157" ht="15.75" customHeight="1">
      <c r="A1157" s="141"/>
      <c r="B1157" s="141"/>
      <c r="C1157" s="141"/>
      <c r="D1157" s="142"/>
      <c r="E1157" s="143"/>
      <c r="F1157" s="141"/>
      <c r="G1157" s="282"/>
      <c r="H1157" s="141"/>
    </row>
    <row r="1158" ht="15.75" customHeight="1">
      <c r="A1158" s="141"/>
      <c r="B1158" s="141"/>
      <c r="C1158" s="141"/>
      <c r="D1158" s="142"/>
      <c r="E1158" s="143"/>
      <c r="F1158" s="141"/>
      <c r="G1158" s="282"/>
      <c r="H1158" s="141"/>
    </row>
    <row r="1159" ht="15.75" customHeight="1">
      <c r="A1159" s="141"/>
      <c r="B1159" s="141"/>
      <c r="C1159" s="141"/>
      <c r="D1159" s="142"/>
      <c r="E1159" s="143"/>
      <c r="F1159" s="141"/>
      <c r="G1159" s="282"/>
      <c r="H1159" s="141"/>
    </row>
    <row r="1160" ht="15.75" customHeight="1">
      <c r="A1160" s="141"/>
      <c r="B1160" s="141"/>
      <c r="C1160" s="141"/>
      <c r="D1160" s="142"/>
      <c r="E1160" s="143"/>
      <c r="F1160" s="141"/>
      <c r="G1160" s="282"/>
      <c r="H1160" s="141"/>
    </row>
    <row r="1161" ht="15.75" customHeight="1">
      <c r="A1161" s="141"/>
      <c r="B1161" s="141"/>
      <c r="C1161" s="141"/>
      <c r="D1161" s="142"/>
      <c r="E1161" s="143"/>
      <c r="F1161" s="141"/>
      <c r="G1161" s="282"/>
      <c r="H1161" s="141"/>
    </row>
    <row r="1162" ht="15.75" customHeight="1">
      <c r="A1162" s="141"/>
      <c r="B1162" s="141"/>
      <c r="C1162" s="141"/>
      <c r="D1162" s="142"/>
      <c r="E1162" s="143"/>
      <c r="F1162" s="141"/>
      <c r="G1162" s="282"/>
      <c r="H1162" s="141"/>
    </row>
    <row r="1163" ht="15.75" customHeight="1">
      <c r="A1163" s="141"/>
      <c r="B1163" s="141"/>
      <c r="C1163" s="141"/>
      <c r="D1163" s="142"/>
      <c r="E1163" s="143"/>
      <c r="F1163" s="141"/>
      <c r="G1163" s="282"/>
      <c r="H1163" s="141"/>
    </row>
    <row r="1164" ht="15.75" customHeight="1">
      <c r="A1164" s="141"/>
      <c r="B1164" s="141"/>
      <c r="C1164" s="141"/>
      <c r="D1164" s="142"/>
      <c r="E1164" s="143"/>
      <c r="F1164" s="141"/>
      <c r="G1164" s="282"/>
      <c r="H1164" s="141"/>
    </row>
    <row r="1165" ht="15.75" customHeight="1">
      <c r="A1165" s="141"/>
      <c r="B1165" s="141"/>
      <c r="C1165" s="141"/>
      <c r="D1165" s="142"/>
      <c r="E1165" s="143"/>
      <c r="F1165" s="141"/>
      <c r="G1165" s="282"/>
      <c r="H1165" s="141"/>
    </row>
    <row r="1166" ht="15.75" customHeight="1">
      <c r="A1166" s="141"/>
      <c r="B1166" s="141"/>
      <c r="C1166" s="141"/>
      <c r="D1166" s="142"/>
      <c r="E1166" s="143"/>
      <c r="F1166" s="141"/>
      <c r="G1166" s="282"/>
      <c r="H1166" s="141"/>
    </row>
    <row r="1167" ht="15.75" customHeight="1">
      <c r="A1167" s="141"/>
      <c r="B1167" s="141"/>
      <c r="C1167" s="141"/>
      <c r="D1167" s="142"/>
      <c r="E1167" s="143"/>
      <c r="F1167" s="141"/>
      <c r="G1167" s="282"/>
      <c r="H1167" s="141"/>
    </row>
    <row r="1168" ht="15.75" customHeight="1">
      <c r="A1168" s="141"/>
      <c r="B1168" s="141"/>
      <c r="C1168" s="141"/>
      <c r="D1168" s="142"/>
      <c r="E1168" s="143"/>
      <c r="F1168" s="141"/>
      <c r="G1168" s="282"/>
      <c r="H1168" s="141"/>
    </row>
    <row r="1169" ht="15.75" customHeight="1">
      <c r="A1169" s="141"/>
      <c r="B1169" s="141"/>
      <c r="C1169" s="141"/>
      <c r="D1169" s="142"/>
      <c r="E1169" s="143"/>
      <c r="F1169" s="141"/>
      <c r="G1169" s="282"/>
      <c r="H1169" s="141"/>
    </row>
    <row r="1170" ht="15.75" customHeight="1">
      <c r="A1170" s="141"/>
      <c r="B1170" s="141"/>
      <c r="C1170" s="141"/>
      <c r="D1170" s="142"/>
      <c r="E1170" s="143"/>
      <c r="F1170" s="141"/>
      <c r="G1170" s="282"/>
      <c r="H1170" s="141"/>
    </row>
    <row r="1171" ht="15.75" customHeight="1">
      <c r="A1171" s="141"/>
      <c r="B1171" s="141"/>
      <c r="C1171" s="141"/>
      <c r="D1171" s="142"/>
      <c r="E1171" s="143"/>
      <c r="F1171" s="141"/>
      <c r="G1171" s="282"/>
      <c r="H1171" s="141"/>
    </row>
    <row r="1172" ht="15.75" customHeight="1">
      <c r="A1172" s="141"/>
      <c r="B1172" s="141"/>
      <c r="C1172" s="141"/>
      <c r="D1172" s="142"/>
      <c r="E1172" s="143"/>
      <c r="F1172" s="141"/>
      <c r="G1172" s="282"/>
      <c r="H1172" s="141"/>
    </row>
    <row r="1173" ht="15.75" customHeight="1">
      <c r="A1173" s="141"/>
      <c r="B1173" s="141"/>
      <c r="C1173" s="141"/>
      <c r="D1173" s="142"/>
      <c r="E1173" s="143"/>
      <c r="F1173" s="141"/>
      <c r="G1173" s="282"/>
      <c r="H1173" s="141"/>
    </row>
    <row r="1174" ht="15.75" customHeight="1">
      <c r="A1174" s="141"/>
      <c r="B1174" s="141"/>
      <c r="C1174" s="141"/>
      <c r="D1174" s="142"/>
      <c r="E1174" s="143"/>
      <c r="F1174" s="141"/>
      <c r="G1174" s="282"/>
      <c r="H1174" s="141"/>
    </row>
    <row r="1175" ht="15.75" customHeight="1">
      <c r="A1175" s="141"/>
      <c r="B1175" s="141"/>
      <c r="C1175" s="141"/>
      <c r="D1175" s="142"/>
      <c r="E1175" s="143"/>
      <c r="F1175" s="141"/>
      <c r="G1175" s="282"/>
      <c r="H1175" s="141"/>
    </row>
    <row r="1176" ht="15.75" customHeight="1">
      <c r="A1176" s="141"/>
      <c r="B1176" s="141"/>
      <c r="C1176" s="141"/>
      <c r="D1176" s="142"/>
      <c r="E1176" s="143"/>
      <c r="F1176" s="141"/>
      <c r="G1176" s="282"/>
      <c r="H1176" s="141"/>
    </row>
    <row r="1177" ht="15.75" customHeight="1">
      <c r="A1177" s="141"/>
      <c r="B1177" s="141"/>
      <c r="C1177" s="141"/>
      <c r="D1177" s="142"/>
      <c r="E1177" s="143"/>
      <c r="F1177" s="141"/>
      <c r="G1177" s="282"/>
      <c r="H1177" s="141"/>
    </row>
    <row r="1178" ht="15.75" customHeight="1">
      <c r="A1178" s="141"/>
      <c r="B1178" s="141"/>
      <c r="C1178" s="141"/>
      <c r="D1178" s="142"/>
      <c r="E1178" s="143"/>
      <c r="F1178" s="141"/>
      <c r="G1178" s="282"/>
      <c r="H1178" s="141"/>
    </row>
    <row r="1179" ht="15.75" customHeight="1">
      <c r="A1179" s="141"/>
      <c r="B1179" s="141"/>
      <c r="C1179" s="141"/>
      <c r="D1179" s="142"/>
      <c r="E1179" s="143"/>
      <c r="F1179" s="141"/>
      <c r="G1179" s="282"/>
      <c r="H1179" s="141"/>
    </row>
    <row r="1180" ht="15.75" customHeight="1">
      <c r="A1180" s="141"/>
      <c r="B1180" s="141"/>
      <c r="C1180" s="141"/>
      <c r="D1180" s="142"/>
      <c r="E1180" s="143"/>
      <c r="F1180" s="141"/>
      <c r="G1180" s="282"/>
      <c r="H1180" s="141"/>
    </row>
    <row r="1181" ht="15.75" customHeight="1">
      <c r="A1181" s="141"/>
      <c r="B1181" s="141"/>
      <c r="C1181" s="141"/>
      <c r="D1181" s="142"/>
      <c r="E1181" s="143"/>
      <c r="F1181" s="141"/>
      <c r="G1181" s="282"/>
      <c r="H1181" s="141"/>
    </row>
    <row r="1182" ht="15.75" customHeight="1">
      <c r="A1182" s="141"/>
      <c r="B1182" s="141"/>
      <c r="C1182" s="141"/>
      <c r="D1182" s="142"/>
      <c r="E1182" s="143"/>
      <c r="F1182" s="141"/>
      <c r="G1182" s="282"/>
      <c r="H1182" s="141"/>
    </row>
    <row r="1183" ht="15.75" customHeight="1">
      <c r="A1183" s="141"/>
      <c r="B1183" s="141"/>
      <c r="C1183" s="141"/>
      <c r="D1183" s="142"/>
      <c r="E1183" s="143"/>
      <c r="F1183" s="141"/>
      <c r="G1183" s="282"/>
      <c r="H1183" s="141"/>
    </row>
    <row r="1184" ht="15.75" customHeight="1">
      <c r="A1184" s="141"/>
      <c r="B1184" s="141"/>
      <c r="C1184" s="141"/>
      <c r="D1184" s="142"/>
      <c r="E1184" s="143"/>
      <c r="F1184" s="141"/>
      <c r="G1184" s="282"/>
      <c r="H1184" s="141"/>
    </row>
    <row r="1185" ht="15.75" customHeight="1">
      <c r="A1185" s="141"/>
      <c r="B1185" s="141"/>
      <c r="C1185" s="141"/>
      <c r="D1185" s="142"/>
      <c r="E1185" s="143"/>
      <c r="F1185" s="141"/>
      <c r="G1185" s="282"/>
      <c r="H1185" s="141"/>
    </row>
    <row r="1186" ht="15.75" customHeight="1">
      <c r="A1186" s="141"/>
      <c r="B1186" s="141"/>
      <c r="C1186" s="141"/>
      <c r="D1186" s="142"/>
      <c r="E1186" s="143"/>
      <c r="F1186" s="141"/>
      <c r="G1186" s="282"/>
      <c r="H1186" s="141"/>
    </row>
    <row r="1187" ht="15.75" customHeight="1">
      <c r="A1187" s="141"/>
      <c r="B1187" s="141"/>
      <c r="C1187" s="141"/>
      <c r="D1187" s="142"/>
      <c r="E1187" s="143"/>
      <c r="F1187" s="141"/>
      <c r="G1187" s="282"/>
      <c r="H1187" s="141"/>
    </row>
    <row r="1188" ht="15.75" customHeight="1">
      <c r="A1188" s="141"/>
      <c r="B1188" s="141"/>
      <c r="C1188" s="141"/>
      <c r="D1188" s="142"/>
      <c r="E1188" s="143"/>
      <c r="F1188" s="141"/>
      <c r="G1188" s="282"/>
      <c r="H1188" s="141"/>
    </row>
    <row r="1189" ht="15.75" customHeight="1">
      <c r="A1189" s="141"/>
      <c r="B1189" s="141"/>
      <c r="C1189" s="141"/>
      <c r="D1189" s="142"/>
      <c r="E1189" s="143"/>
      <c r="F1189" s="141"/>
      <c r="G1189" s="282"/>
      <c r="H1189" s="141"/>
    </row>
    <row r="1190" ht="15.75" customHeight="1">
      <c r="A1190" s="141"/>
      <c r="B1190" s="141"/>
      <c r="C1190" s="141"/>
      <c r="D1190" s="142"/>
      <c r="E1190" s="143"/>
      <c r="F1190" s="141"/>
      <c r="G1190" s="282"/>
      <c r="H1190" s="141"/>
    </row>
    <row r="1191" ht="15.75" customHeight="1">
      <c r="A1191" s="141"/>
      <c r="B1191" s="141"/>
      <c r="C1191" s="141"/>
      <c r="D1191" s="142"/>
      <c r="E1191" s="143"/>
      <c r="F1191" s="141"/>
      <c r="G1191" s="282"/>
      <c r="H1191" s="141"/>
    </row>
    <row r="1192" ht="15.75" customHeight="1">
      <c r="A1192" s="141"/>
      <c r="B1192" s="141"/>
      <c r="C1192" s="141"/>
      <c r="D1192" s="142"/>
      <c r="E1192" s="143"/>
      <c r="F1192" s="141"/>
      <c r="G1192" s="282"/>
      <c r="H1192" s="141"/>
    </row>
    <row r="1193" ht="15.75" customHeight="1">
      <c r="A1193" s="141"/>
      <c r="B1193" s="141"/>
      <c r="C1193" s="141"/>
      <c r="D1193" s="142"/>
      <c r="E1193" s="143"/>
      <c r="F1193" s="141"/>
      <c r="G1193" s="282"/>
      <c r="H1193" s="141"/>
    </row>
    <row r="1194" ht="15.75" customHeight="1">
      <c r="A1194" s="141"/>
      <c r="B1194" s="141"/>
      <c r="C1194" s="141"/>
      <c r="D1194" s="142"/>
      <c r="E1194" s="143"/>
      <c r="F1194" s="141"/>
      <c r="G1194" s="282"/>
      <c r="H1194" s="141"/>
    </row>
    <row r="1195" ht="15.75" customHeight="1">
      <c r="A1195" s="141"/>
      <c r="B1195" s="141"/>
      <c r="C1195" s="141"/>
      <c r="D1195" s="142"/>
      <c r="E1195" s="143"/>
      <c r="F1195" s="141"/>
      <c r="G1195" s="282"/>
      <c r="H1195" s="141"/>
    </row>
    <row r="1196" ht="15.75" customHeight="1">
      <c r="A1196" s="141"/>
      <c r="B1196" s="141"/>
      <c r="C1196" s="141"/>
      <c r="D1196" s="142"/>
      <c r="E1196" s="143"/>
      <c r="F1196" s="141"/>
      <c r="G1196" s="282"/>
      <c r="H1196" s="141"/>
    </row>
    <row r="1197" ht="15.75" customHeight="1">
      <c r="A1197" s="141"/>
      <c r="B1197" s="141"/>
      <c r="C1197" s="141"/>
      <c r="D1197" s="142"/>
      <c r="E1197" s="143"/>
      <c r="F1197" s="141"/>
      <c r="G1197" s="282"/>
      <c r="H1197" s="141"/>
    </row>
    <row r="1198" ht="15.75" customHeight="1">
      <c r="A1198" s="141"/>
      <c r="B1198" s="141"/>
      <c r="C1198" s="141"/>
      <c r="D1198" s="142"/>
      <c r="E1198" s="143"/>
      <c r="F1198" s="141"/>
      <c r="G1198" s="282"/>
      <c r="H1198" s="141"/>
    </row>
    <row r="1199" ht="15.75" customHeight="1">
      <c r="A1199" s="141"/>
      <c r="B1199" s="141"/>
      <c r="C1199" s="141"/>
      <c r="D1199" s="142"/>
      <c r="E1199" s="143"/>
      <c r="F1199" s="141"/>
      <c r="G1199" s="282"/>
      <c r="H1199" s="141"/>
    </row>
    <row r="1200" ht="15.75" customHeight="1">
      <c r="A1200" s="141"/>
      <c r="B1200" s="141"/>
      <c r="C1200" s="141"/>
      <c r="D1200" s="142"/>
      <c r="E1200" s="143"/>
      <c r="F1200" s="141"/>
      <c r="G1200" s="282"/>
      <c r="H1200" s="141"/>
    </row>
    <row r="1201" ht="15.75" customHeight="1">
      <c r="A1201" s="141"/>
      <c r="B1201" s="141"/>
      <c r="C1201" s="141"/>
      <c r="D1201" s="142"/>
      <c r="E1201" s="143"/>
      <c r="F1201" s="141"/>
      <c r="G1201" s="282"/>
      <c r="H1201" s="141"/>
    </row>
    <row r="1202" ht="15.75" customHeight="1">
      <c r="A1202" s="141"/>
      <c r="B1202" s="141"/>
      <c r="C1202" s="141"/>
      <c r="D1202" s="142"/>
      <c r="E1202" s="143"/>
      <c r="F1202" s="141"/>
      <c r="G1202" s="282"/>
      <c r="H1202" s="141"/>
    </row>
    <row r="1203" ht="15.75" customHeight="1">
      <c r="A1203" s="141"/>
      <c r="B1203" s="141"/>
      <c r="C1203" s="141"/>
      <c r="D1203" s="142"/>
      <c r="E1203" s="143"/>
      <c r="F1203" s="141"/>
      <c r="G1203" s="282"/>
      <c r="H1203" s="141"/>
    </row>
    <row r="1204" ht="15.75" customHeight="1">
      <c r="A1204" s="141"/>
      <c r="B1204" s="141"/>
      <c r="C1204" s="141"/>
      <c r="D1204" s="142"/>
      <c r="E1204" s="143"/>
      <c r="F1204" s="141"/>
      <c r="G1204" s="282"/>
      <c r="H1204" s="141"/>
    </row>
    <row r="1205" ht="15.75" customHeight="1">
      <c r="A1205" s="141"/>
      <c r="B1205" s="141"/>
      <c r="C1205" s="141"/>
      <c r="D1205" s="142"/>
      <c r="E1205" s="143"/>
      <c r="F1205" s="141"/>
      <c r="G1205" s="282"/>
      <c r="H1205" s="141"/>
    </row>
    <row r="1206" ht="15.75" customHeight="1">
      <c r="A1206" s="141"/>
      <c r="B1206" s="141"/>
      <c r="C1206" s="141"/>
      <c r="D1206" s="142"/>
      <c r="E1206" s="143"/>
      <c r="F1206" s="141"/>
      <c r="G1206" s="282"/>
      <c r="H1206" s="141"/>
    </row>
    <row r="1207" ht="15.75" customHeight="1">
      <c r="A1207" s="141"/>
      <c r="B1207" s="141"/>
      <c r="C1207" s="141"/>
      <c r="D1207" s="142"/>
      <c r="E1207" s="143"/>
      <c r="F1207" s="141"/>
      <c r="G1207" s="282"/>
      <c r="H1207" s="141"/>
    </row>
    <row r="1208" ht="15.75" customHeight="1">
      <c r="A1208" s="141"/>
      <c r="B1208" s="141"/>
      <c r="C1208" s="141"/>
      <c r="D1208" s="142"/>
      <c r="E1208" s="143"/>
      <c r="F1208" s="141"/>
      <c r="G1208" s="282"/>
      <c r="H1208" s="141"/>
    </row>
    <row r="1209" ht="15.75" customHeight="1">
      <c r="A1209" s="141"/>
      <c r="B1209" s="141"/>
      <c r="C1209" s="141"/>
      <c r="D1209" s="142"/>
      <c r="E1209" s="143"/>
      <c r="F1209" s="141"/>
      <c r="G1209" s="282"/>
      <c r="H1209" s="141"/>
    </row>
    <row r="1210" ht="15.75" customHeight="1">
      <c r="A1210" s="141"/>
      <c r="B1210" s="141"/>
      <c r="C1210" s="141"/>
      <c r="D1210" s="142"/>
      <c r="E1210" s="143"/>
      <c r="F1210" s="141"/>
      <c r="G1210" s="282"/>
      <c r="H1210" s="141"/>
    </row>
    <row r="1211" ht="15.75" customHeight="1">
      <c r="A1211" s="141"/>
      <c r="B1211" s="141"/>
      <c r="C1211" s="141"/>
      <c r="D1211" s="142"/>
      <c r="E1211" s="143"/>
      <c r="F1211" s="141"/>
      <c r="G1211" s="282"/>
      <c r="H1211" s="141"/>
    </row>
    <row r="1212" ht="15.75" customHeight="1">
      <c r="A1212" s="141"/>
      <c r="B1212" s="141"/>
      <c r="C1212" s="141"/>
      <c r="D1212" s="142"/>
      <c r="E1212" s="143"/>
      <c r="F1212" s="141"/>
      <c r="G1212" s="282"/>
      <c r="H1212" s="141"/>
    </row>
    <row r="1213" ht="15.75" customHeight="1">
      <c r="A1213" s="141"/>
      <c r="B1213" s="141"/>
      <c r="C1213" s="141"/>
      <c r="D1213" s="142"/>
      <c r="E1213" s="143"/>
      <c r="F1213" s="141"/>
      <c r="G1213" s="282"/>
      <c r="H1213" s="141"/>
    </row>
    <row r="1214" ht="15.75" customHeight="1">
      <c r="A1214" s="141"/>
      <c r="B1214" s="141"/>
      <c r="C1214" s="141"/>
      <c r="D1214" s="142"/>
      <c r="E1214" s="143"/>
      <c r="F1214" s="141"/>
      <c r="G1214" s="282"/>
      <c r="H1214" s="141"/>
    </row>
    <row r="1215" ht="15.75" customHeight="1">
      <c r="A1215" s="141"/>
      <c r="B1215" s="141"/>
      <c r="C1215" s="141"/>
      <c r="D1215" s="142"/>
      <c r="E1215" s="143"/>
      <c r="F1215" s="141"/>
      <c r="G1215" s="282"/>
      <c r="H1215" s="141"/>
    </row>
    <row r="1216" ht="15.75" customHeight="1">
      <c r="A1216" s="141"/>
      <c r="B1216" s="141"/>
      <c r="C1216" s="141"/>
      <c r="D1216" s="142"/>
      <c r="E1216" s="143"/>
      <c r="F1216" s="141"/>
      <c r="G1216" s="282"/>
      <c r="H1216" s="141"/>
    </row>
    <row r="1217" ht="15.75" customHeight="1">
      <c r="A1217" s="141"/>
      <c r="B1217" s="141"/>
      <c r="C1217" s="141"/>
      <c r="D1217" s="142"/>
      <c r="E1217" s="143"/>
      <c r="F1217" s="141"/>
      <c r="G1217" s="282"/>
      <c r="H1217" s="141"/>
    </row>
    <row r="1218" ht="15.75" customHeight="1">
      <c r="A1218" s="141"/>
      <c r="B1218" s="141"/>
      <c r="C1218" s="141"/>
      <c r="D1218" s="142"/>
      <c r="E1218" s="143"/>
      <c r="F1218" s="141"/>
      <c r="G1218" s="282"/>
      <c r="H1218" s="141"/>
    </row>
    <row r="1219" ht="15.75" customHeight="1">
      <c r="A1219" s="141"/>
      <c r="B1219" s="141"/>
      <c r="C1219" s="141"/>
      <c r="D1219" s="142"/>
      <c r="E1219" s="143"/>
      <c r="F1219" s="141"/>
      <c r="G1219" s="282"/>
      <c r="H1219" s="141"/>
    </row>
    <row r="1220" ht="15.75" customHeight="1">
      <c r="A1220" s="141"/>
      <c r="B1220" s="141"/>
      <c r="C1220" s="141"/>
      <c r="D1220" s="142"/>
      <c r="E1220" s="143"/>
      <c r="F1220" s="141"/>
      <c r="G1220" s="282"/>
      <c r="H1220" s="141"/>
    </row>
    <row r="1221" ht="15.75" customHeight="1">
      <c r="A1221" s="141"/>
      <c r="B1221" s="141"/>
      <c r="C1221" s="141"/>
      <c r="D1221" s="142"/>
      <c r="E1221" s="143"/>
      <c r="F1221" s="141"/>
      <c r="G1221" s="282"/>
      <c r="H1221" s="141"/>
    </row>
    <row r="1222" ht="15.75" customHeight="1">
      <c r="A1222" s="141"/>
      <c r="B1222" s="141"/>
      <c r="C1222" s="141"/>
      <c r="D1222" s="142"/>
      <c r="E1222" s="143"/>
      <c r="F1222" s="141"/>
      <c r="G1222" s="282"/>
      <c r="H1222" s="141"/>
    </row>
    <row r="1223" ht="15.75" customHeight="1">
      <c r="A1223" s="141"/>
      <c r="B1223" s="141"/>
      <c r="C1223" s="141"/>
      <c r="D1223" s="142"/>
      <c r="E1223" s="143"/>
      <c r="F1223" s="141"/>
      <c r="G1223" s="282"/>
      <c r="H1223" s="141"/>
    </row>
    <row r="1224" ht="15.75" customHeight="1">
      <c r="A1224" s="141"/>
      <c r="B1224" s="141"/>
      <c r="C1224" s="141"/>
      <c r="D1224" s="142"/>
      <c r="E1224" s="143"/>
      <c r="F1224" s="141"/>
      <c r="G1224" s="282"/>
      <c r="H1224" s="141"/>
    </row>
    <row r="1225" ht="15.75" customHeight="1">
      <c r="A1225" s="141"/>
      <c r="B1225" s="141"/>
      <c r="C1225" s="141"/>
      <c r="D1225" s="142"/>
      <c r="E1225" s="143"/>
      <c r="F1225" s="141"/>
      <c r="G1225" s="282"/>
      <c r="H1225" s="141"/>
    </row>
    <row r="1226" ht="15.75" customHeight="1">
      <c r="A1226" s="141"/>
      <c r="B1226" s="141"/>
      <c r="C1226" s="141"/>
      <c r="D1226" s="142"/>
      <c r="E1226" s="143"/>
      <c r="F1226" s="141"/>
      <c r="G1226" s="282"/>
      <c r="H1226" s="141"/>
    </row>
    <row r="1227" ht="15.75" customHeight="1">
      <c r="A1227" s="141"/>
      <c r="B1227" s="141"/>
      <c r="C1227" s="141"/>
      <c r="D1227" s="142"/>
      <c r="E1227" s="143"/>
      <c r="F1227" s="141"/>
      <c r="G1227" s="282"/>
      <c r="H1227" s="141"/>
    </row>
    <row r="1228" ht="15.75" customHeight="1">
      <c r="A1228" s="141"/>
      <c r="B1228" s="141"/>
      <c r="C1228" s="141"/>
      <c r="D1228" s="142"/>
      <c r="E1228" s="143"/>
      <c r="F1228" s="141"/>
      <c r="G1228" s="282"/>
      <c r="H1228" s="141"/>
    </row>
    <row r="1229" ht="15.75" customHeight="1">
      <c r="A1229" s="141"/>
      <c r="B1229" s="141"/>
      <c r="C1229" s="141"/>
      <c r="D1229" s="142"/>
      <c r="E1229" s="143"/>
      <c r="F1229" s="141"/>
      <c r="G1229" s="282"/>
      <c r="H1229" s="141"/>
    </row>
    <row r="1230" ht="15.75" customHeight="1">
      <c r="A1230" s="141"/>
      <c r="B1230" s="141"/>
      <c r="C1230" s="141"/>
      <c r="D1230" s="142"/>
      <c r="E1230" s="143"/>
      <c r="F1230" s="141"/>
      <c r="G1230" s="282"/>
      <c r="H1230" s="141"/>
    </row>
    <row r="1231" ht="15.75" customHeight="1">
      <c r="A1231" s="141"/>
      <c r="B1231" s="141"/>
      <c r="C1231" s="141"/>
      <c r="D1231" s="142"/>
      <c r="E1231" s="143"/>
      <c r="F1231" s="141"/>
      <c r="G1231" s="282"/>
      <c r="H1231" s="141"/>
    </row>
  </sheetData>
  <mergeCells count="24">
    <mergeCell ref="A1:H1"/>
    <mergeCell ref="A54:B54"/>
    <mergeCell ref="A57:H57"/>
    <mergeCell ref="A99:B99"/>
    <mergeCell ref="A103:H103"/>
    <mergeCell ref="A113:B113"/>
    <mergeCell ref="A116:H116"/>
    <mergeCell ref="A125:B125"/>
    <mergeCell ref="A128:H128"/>
    <mergeCell ref="A141:B141"/>
    <mergeCell ref="A144:H144"/>
    <mergeCell ref="G150:G151"/>
    <mergeCell ref="G152:G155"/>
    <mergeCell ref="A169:H169"/>
    <mergeCell ref="A283:B283"/>
    <mergeCell ref="A286:G286"/>
    <mergeCell ref="A288:A298"/>
    <mergeCell ref="A166:B166"/>
    <mergeCell ref="A207:B207"/>
    <mergeCell ref="A210:H210"/>
    <mergeCell ref="H221:H223"/>
    <mergeCell ref="G225:G235"/>
    <mergeCell ref="A244:B244"/>
    <mergeCell ref="A247:H247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56.29"/>
    <col customWidth="1" min="3" max="3" width="9.14"/>
    <col customWidth="1" min="4" max="4" width="16.0"/>
    <col customWidth="1" min="5" max="5" width="13.43"/>
    <col customWidth="1" min="6" max="7" width="51.14"/>
  </cols>
  <sheetData>
    <row r="1">
      <c r="A1" s="283" t="s">
        <v>1838</v>
      </c>
      <c r="C1" s="284"/>
      <c r="D1" s="284"/>
      <c r="E1" s="284"/>
      <c r="F1" s="284"/>
      <c r="G1" s="284"/>
    </row>
    <row r="2">
      <c r="A2" s="283" t="s">
        <v>1839</v>
      </c>
      <c r="C2" s="284"/>
      <c r="D2" s="285"/>
      <c r="E2" s="285"/>
      <c r="F2" s="284"/>
      <c r="G2" s="284" t="s">
        <v>1840</v>
      </c>
    </row>
    <row r="3">
      <c r="A3" s="286" t="s">
        <v>1841</v>
      </c>
      <c r="C3" s="287"/>
      <c r="D3" s="285"/>
      <c r="E3" s="285"/>
      <c r="F3" s="287"/>
      <c r="G3" s="287">
        <v>46128.0</v>
      </c>
    </row>
    <row r="4">
      <c r="A4" s="285"/>
      <c r="B4" s="285"/>
      <c r="C4" s="288"/>
      <c r="D4" s="288"/>
      <c r="E4" s="288"/>
      <c r="F4" s="288"/>
      <c r="G4" s="288"/>
    </row>
    <row r="5">
      <c r="A5" s="289" t="s">
        <v>1842</v>
      </c>
      <c r="B5" s="290"/>
      <c r="C5" s="290"/>
      <c r="D5" s="290"/>
      <c r="E5" s="290"/>
      <c r="F5" s="290"/>
      <c r="G5" s="291"/>
    </row>
    <row r="6">
      <c r="A6" s="292"/>
      <c r="B6" s="293"/>
      <c r="C6" s="293"/>
      <c r="D6" s="293"/>
      <c r="E6" s="293"/>
      <c r="F6" s="293"/>
      <c r="G6" s="294"/>
    </row>
    <row r="7">
      <c r="A7" s="295" t="s">
        <v>1435</v>
      </c>
      <c r="B7" s="296" t="s">
        <v>1436</v>
      </c>
      <c r="C7" s="295" t="s">
        <v>1843</v>
      </c>
      <c r="D7" s="297" t="s">
        <v>1438</v>
      </c>
      <c r="E7" s="297" t="s">
        <v>1438</v>
      </c>
      <c r="F7" s="295" t="s">
        <v>1844</v>
      </c>
      <c r="G7" s="298" t="s">
        <v>1441</v>
      </c>
    </row>
    <row r="8">
      <c r="A8" s="299">
        <v>1.0</v>
      </c>
      <c r="B8" s="299" t="s">
        <v>1443</v>
      </c>
      <c r="C8" s="299">
        <v>1.0</v>
      </c>
      <c r="D8" s="300">
        <v>144.0</v>
      </c>
      <c r="E8" s="300">
        <f t="shared" ref="E8:E11" si="1">C8*D8</f>
        <v>144</v>
      </c>
      <c r="F8" s="299" t="s">
        <v>1446</v>
      </c>
      <c r="G8" s="301"/>
    </row>
    <row r="9">
      <c r="A9" s="299">
        <v>2.0</v>
      </c>
      <c r="B9" s="299" t="s">
        <v>1444</v>
      </c>
      <c r="C9" s="299">
        <v>2.0</v>
      </c>
      <c r="D9" s="300">
        <v>3.2</v>
      </c>
      <c r="E9" s="300">
        <f t="shared" si="1"/>
        <v>6.4</v>
      </c>
      <c r="F9" s="302" t="s">
        <v>1446</v>
      </c>
      <c r="G9" s="301">
        <v>44574.0</v>
      </c>
    </row>
    <row r="10">
      <c r="A10" s="299">
        <v>3.0</v>
      </c>
      <c r="B10" s="299" t="s">
        <v>1845</v>
      </c>
      <c r="C10" s="299">
        <v>1.0</v>
      </c>
      <c r="D10" s="300">
        <v>5.5</v>
      </c>
      <c r="E10" s="300">
        <f t="shared" si="1"/>
        <v>5.5</v>
      </c>
      <c r="F10" s="299" t="s">
        <v>1446</v>
      </c>
      <c r="G10" s="301"/>
    </row>
    <row r="11">
      <c r="A11" s="299">
        <v>4.0</v>
      </c>
      <c r="B11" s="299" t="s">
        <v>1846</v>
      </c>
      <c r="C11" s="299">
        <v>1.0</v>
      </c>
      <c r="D11" s="300">
        <v>2.7</v>
      </c>
      <c r="E11" s="300">
        <f t="shared" si="1"/>
        <v>2.7</v>
      </c>
      <c r="F11" s="299" t="s">
        <v>1446</v>
      </c>
      <c r="G11" s="301">
        <v>44628.0</v>
      </c>
    </row>
    <row r="12">
      <c r="A12" s="303">
        <v>5.0</v>
      </c>
      <c r="B12" s="303" t="s">
        <v>1847</v>
      </c>
      <c r="C12" s="303"/>
      <c r="D12" s="304"/>
      <c r="E12" s="304"/>
      <c r="F12" s="303" t="s">
        <v>1848</v>
      </c>
      <c r="G12" s="305">
        <v>44712.0</v>
      </c>
    </row>
    <row r="13">
      <c r="A13" s="299">
        <v>6.0</v>
      </c>
      <c r="B13" s="306" t="s">
        <v>1472</v>
      </c>
      <c r="C13" s="299">
        <v>1.0</v>
      </c>
      <c r="D13" s="307">
        <v>2.5</v>
      </c>
      <c r="E13" s="300">
        <f t="shared" ref="E13:E15" si="2">C13*D13</f>
        <v>2.5</v>
      </c>
      <c r="F13" s="299" t="s">
        <v>1446</v>
      </c>
      <c r="G13" s="301"/>
    </row>
    <row r="14">
      <c r="A14" s="299">
        <v>7.0</v>
      </c>
      <c r="B14" s="299" t="s">
        <v>1696</v>
      </c>
      <c r="C14" s="306">
        <v>1.0</v>
      </c>
      <c r="D14" s="300">
        <v>9.8</v>
      </c>
      <c r="E14" s="300">
        <f t="shared" si="2"/>
        <v>9.8</v>
      </c>
      <c r="F14" s="299" t="s">
        <v>1446</v>
      </c>
      <c r="G14" s="301">
        <v>45343.0</v>
      </c>
    </row>
    <row r="15">
      <c r="A15" s="299">
        <v>8.0</v>
      </c>
      <c r="B15" s="299" t="s">
        <v>1849</v>
      </c>
      <c r="C15" s="299">
        <v>1.0</v>
      </c>
      <c r="D15" s="300">
        <v>14.5</v>
      </c>
      <c r="E15" s="300">
        <f t="shared" si="2"/>
        <v>14.5</v>
      </c>
      <c r="F15" s="299" t="s">
        <v>1446</v>
      </c>
      <c r="G15" s="301">
        <v>45365.0</v>
      </c>
    </row>
    <row r="16">
      <c r="A16" s="289" t="s">
        <v>1850</v>
      </c>
      <c r="B16" s="290"/>
      <c r="C16" s="290"/>
      <c r="D16" s="290"/>
      <c r="E16" s="290"/>
      <c r="F16" s="290"/>
      <c r="G16" s="291"/>
    </row>
    <row r="17">
      <c r="A17" s="292"/>
      <c r="B17" s="293"/>
      <c r="C17" s="293"/>
      <c r="D17" s="293"/>
      <c r="E17" s="293"/>
      <c r="F17" s="293"/>
      <c r="G17" s="294"/>
    </row>
    <row r="18">
      <c r="A18" s="295" t="s">
        <v>1435</v>
      </c>
      <c r="B18" s="296" t="s">
        <v>1436</v>
      </c>
      <c r="C18" s="295" t="s">
        <v>1843</v>
      </c>
      <c r="D18" s="297" t="s">
        <v>1438</v>
      </c>
      <c r="E18" s="297" t="s">
        <v>1438</v>
      </c>
      <c r="F18" s="295" t="s">
        <v>1844</v>
      </c>
      <c r="G18" s="298" t="s">
        <v>1441</v>
      </c>
    </row>
    <row r="19">
      <c r="A19" s="308">
        <v>1.0</v>
      </c>
      <c r="B19" s="309" t="s">
        <v>1646</v>
      </c>
      <c r="C19" s="310">
        <v>1.0</v>
      </c>
      <c r="D19" s="311">
        <v>2.0</v>
      </c>
      <c r="E19" s="311">
        <f t="shared" ref="E19:E22" si="3">C19*D19</f>
        <v>2</v>
      </c>
      <c r="F19" s="312" t="s">
        <v>1446</v>
      </c>
      <c r="G19" s="313">
        <v>45965.0</v>
      </c>
    </row>
    <row r="20">
      <c r="A20" s="308">
        <v>2.0</v>
      </c>
      <c r="B20" s="310" t="s">
        <v>1649</v>
      </c>
      <c r="C20" s="310">
        <v>1.0</v>
      </c>
      <c r="D20" s="311">
        <v>8.0</v>
      </c>
      <c r="E20" s="311">
        <f t="shared" si="3"/>
        <v>8</v>
      </c>
      <c r="F20" s="312" t="s">
        <v>1446</v>
      </c>
      <c r="G20" s="313">
        <v>45965.0</v>
      </c>
    </row>
    <row r="21">
      <c r="A21" s="308">
        <v>3.0</v>
      </c>
      <c r="B21" s="308" t="s">
        <v>1851</v>
      </c>
      <c r="C21" s="308">
        <v>1.0</v>
      </c>
      <c r="D21" s="314">
        <v>32.3</v>
      </c>
      <c r="E21" s="311">
        <f t="shared" si="3"/>
        <v>32.3</v>
      </c>
      <c r="F21" s="308" t="s">
        <v>1446</v>
      </c>
      <c r="G21" s="315">
        <v>46091.0</v>
      </c>
    </row>
    <row r="22">
      <c r="A22" s="316">
        <v>4.0</v>
      </c>
      <c r="B22" s="316" t="s">
        <v>1813</v>
      </c>
      <c r="C22" s="317">
        <v>2.0</v>
      </c>
      <c r="D22" s="318">
        <v>2.0</v>
      </c>
      <c r="E22" s="319">
        <f t="shared" si="3"/>
        <v>4</v>
      </c>
      <c r="F22" s="316" t="s">
        <v>1852</v>
      </c>
      <c r="G22" s="320">
        <v>46128.0</v>
      </c>
    </row>
    <row r="23">
      <c r="A23" s="299"/>
      <c r="B23" s="299" t="s">
        <v>1562</v>
      </c>
      <c r="C23" s="310">
        <f>SUM(C8:C21)-C12</f>
        <v>11</v>
      </c>
      <c r="D23" s="300">
        <f t="shared" ref="D23:E23" si="4">SUM(D8:D22)-D12</f>
        <v>226.5</v>
      </c>
      <c r="E23" s="300">
        <f t="shared" si="4"/>
        <v>231.7</v>
      </c>
      <c r="F23" s="299"/>
      <c r="G23" s="301"/>
    </row>
    <row r="24">
      <c r="C24" s="321"/>
      <c r="D24" s="321"/>
      <c r="E24" s="321"/>
      <c r="F24" s="321"/>
      <c r="G24" s="321"/>
    </row>
    <row r="25">
      <c r="C25" s="321"/>
      <c r="D25" s="321"/>
      <c r="E25" s="321"/>
      <c r="F25" s="321"/>
      <c r="G25" s="321"/>
    </row>
    <row r="26">
      <c r="C26" s="321"/>
      <c r="D26" s="321"/>
      <c r="E26" s="321"/>
      <c r="F26" s="321"/>
      <c r="G26" s="321"/>
    </row>
    <row r="27">
      <c r="C27" s="321"/>
      <c r="D27" s="321"/>
      <c r="E27" s="321"/>
      <c r="F27" s="321"/>
      <c r="G27" s="321"/>
    </row>
    <row r="28">
      <c r="C28" s="321"/>
      <c r="D28" s="321"/>
      <c r="E28" s="321"/>
      <c r="F28" s="321"/>
      <c r="G28" s="321"/>
    </row>
    <row r="29">
      <c r="C29" s="321"/>
      <c r="D29" s="321"/>
      <c r="E29" s="321"/>
      <c r="F29" s="321"/>
      <c r="G29" s="321"/>
    </row>
    <row r="30">
      <c r="C30" s="321"/>
      <c r="D30" s="321"/>
      <c r="E30" s="321"/>
      <c r="F30" s="321"/>
      <c r="G30" s="321"/>
    </row>
    <row r="31">
      <c r="C31" s="321"/>
      <c r="D31" s="321"/>
      <c r="E31" s="321"/>
      <c r="F31" s="321"/>
      <c r="G31" s="321"/>
    </row>
    <row r="32">
      <c r="C32" s="321"/>
      <c r="D32" s="321"/>
      <c r="E32" s="321"/>
      <c r="F32" s="321"/>
      <c r="G32" s="321"/>
    </row>
    <row r="33">
      <c r="C33" s="321"/>
      <c r="D33" s="321"/>
      <c r="E33" s="321"/>
      <c r="F33" s="321"/>
      <c r="G33" s="321"/>
    </row>
    <row r="34">
      <c r="C34" s="321"/>
      <c r="D34" s="321"/>
      <c r="E34" s="321"/>
      <c r="F34" s="321"/>
      <c r="G34" s="321"/>
    </row>
    <row r="35">
      <c r="C35" s="321"/>
      <c r="D35" s="321"/>
      <c r="E35" s="321"/>
      <c r="F35" s="321"/>
      <c r="G35" s="321"/>
    </row>
    <row r="36">
      <c r="C36" s="321"/>
      <c r="D36" s="321"/>
      <c r="E36" s="321"/>
      <c r="F36" s="321"/>
      <c r="G36" s="321"/>
    </row>
    <row r="37">
      <c r="C37" s="321"/>
      <c r="D37" s="321"/>
      <c r="E37" s="321"/>
      <c r="F37" s="321"/>
      <c r="G37" s="321"/>
    </row>
    <row r="38">
      <c r="C38" s="321"/>
      <c r="D38" s="321"/>
      <c r="E38" s="321"/>
      <c r="F38" s="321"/>
      <c r="G38" s="321"/>
    </row>
    <row r="39">
      <c r="C39" s="321"/>
      <c r="D39" s="321"/>
      <c r="E39" s="321"/>
      <c r="F39" s="321"/>
      <c r="G39" s="321"/>
    </row>
    <row r="40">
      <c r="C40" s="321"/>
      <c r="D40" s="321"/>
      <c r="E40" s="321"/>
      <c r="F40" s="321"/>
      <c r="G40" s="321"/>
    </row>
    <row r="41">
      <c r="C41" s="321"/>
      <c r="D41" s="321"/>
      <c r="E41" s="321"/>
      <c r="F41" s="321"/>
      <c r="G41" s="321"/>
    </row>
    <row r="42">
      <c r="C42" s="321"/>
      <c r="D42" s="321"/>
      <c r="E42" s="321"/>
      <c r="F42" s="321"/>
      <c r="G42" s="321"/>
    </row>
    <row r="43">
      <c r="C43" s="321"/>
      <c r="D43" s="321"/>
      <c r="E43" s="321"/>
      <c r="F43" s="321"/>
      <c r="G43" s="321"/>
    </row>
    <row r="44">
      <c r="C44" s="321"/>
      <c r="D44" s="321"/>
      <c r="E44" s="321"/>
      <c r="F44" s="321"/>
      <c r="G44" s="321"/>
    </row>
    <row r="45">
      <c r="C45" s="321"/>
      <c r="D45" s="321"/>
      <c r="E45" s="321"/>
      <c r="F45" s="321"/>
      <c r="G45" s="321"/>
    </row>
    <row r="46">
      <c r="C46" s="321"/>
      <c r="D46" s="321"/>
      <c r="E46" s="321"/>
      <c r="F46" s="321"/>
      <c r="G46" s="321"/>
    </row>
    <row r="47">
      <c r="C47" s="321"/>
      <c r="D47" s="321"/>
      <c r="E47" s="321"/>
      <c r="F47" s="321"/>
      <c r="G47" s="321"/>
    </row>
    <row r="48">
      <c r="C48" s="321"/>
      <c r="D48" s="321"/>
      <c r="E48" s="321"/>
      <c r="F48" s="321"/>
      <c r="G48" s="321"/>
    </row>
    <row r="49">
      <c r="C49" s="321"/>
      <c r="D49" s="321"/>
      <c r="E49" s="321"/>
      <c r="F49" s="321"/>
      <c r="G49" s="321"/>
    </row>
    <row r="50">
      <c r="C50" s="321"/>
      <c r="D50" s="321"/>
      <c r="E50" s="321"/>
      <c r="F50" s="321"/>
      <c r="G50" s="321"/>
    </row>
    <row r="51">
      <c r="C51" s="321"/>
      <c r="D51" s="321"/>
      <c r="E51" s="321"/>
      <c r="F51" s="321"/>
      <c r="G51" s="321"/>
    </row>
    <row r="52">
      <c r="C52" s="321"/>
      <c r="D52" s="321"/>
      <c r="E52" s="321"/>
      <c r="F52" s="321"/>
      <c r="G52" s="321"/>
    </row>
    <row r="53">
      <c r="C53" s="321"/>
      <c r="D53" s="321"/>
      <c r="E53" s="321"/>
      <c r="F53" s="321"/>
      <c r="G53" s="321"/>
    </row>
    <row r="54">
      <c r="C54" s="321"/>
      <c r="D54" s="321"/>
      <c r="E54" s="321"/>
      <c r="F54" s="321"/>
      <c r="G54" s="321"/>
    </row>
    <row r="55">
      <c r="C55" s="321"/>
      <c r="D55" s="321"/>
      <c r="E55" s="321"/>
      <c r="F55" s="321"/>
      <c r="G55" s="321"/>
    </row>
    <row r="56">
      <c r="C56" s="321"/>
      <c r="D56" s="321"/>
      <c r="E56" s="321"/>
      <c r="F56" s="321"/>
      <c r="G56" s="321"/>
    </row>
    <row r="57">
      <c r="C57" s="321"/>
      <c r="D57" s="321"/>
      <c r="E57" s="321"/>
      <c r="F57" s="321"/>
      <c r="G57" s="321"/>
    </row>
    <row r="58">
      <c r="C58" s="321"/>
      <c r="D58" s="321"/>
      <c r="E58" s="321"/>
      <c r="F58" s="321"/>
      <c r="G58" s="321"/>
    </row>
    <row r="59">
      <c r="C59" s="321"/>
      <c r="D59" s="321"/>
      <c r="E59" s="321"/>
      <c r="F59" s="321"/>
      <c r="G59" s="321"/>
    </row>
    <row r="60">
      <c r="C60" s="321"/>
      <c r="D60" s="321"/>
      <c r="E60" s="321"/>
      <c r="F60" s="321"/>
      <c r="G60" s="321"/>
    </row>
    <row r="61">
      <c r="C61" s="321"/>
      <c r="D61" s="321"/>
      <c r="E61" s="321"/>
      <c r="F61" s="321"/>
      <c r="G61" s="321"/>
    </row>
    <row r="62">
      <c r="C62" s="321"/>
      <c r="D62" s="321"/>
      <c r="E62" s="321"/>
      <c r="F62" s="321"/>
      <c r="G62" s="321"/>
    </row>
    <row r="63">
      <c r="C63" s="321"/>
      <c r="D63" s="321"/>
      <c r="E63" s="321"/>
      <c r="F63" s="321"/>
      <c r="G63" s="321"/>
    </row>
    <row r="64">
      <c r="C64" s="321"/>
      <c r="D64" s="321"/>
      <c r="E64" s="321"/>
      <c r="F64" s="321"/>
      <c r="G64" s="321"/>
    </row>
    <row r="65">
      <c r="C65" s="321"/>
      <c r="D65" s="321"/>
      <c r="E65" s="321"/>
      <c r="F65" s="321"/>
      <c r="G65" s="321"/>
    </row>
    <row r="66">
      <c r="C66" s="321"/>
      <c r="D66" s="321"/>
      <c r="E66" s="321"/>
      <c r="F66" s="321"/>
      <c r="G66" s="321"/>
    </row>
    <row r="67">
      <c r="C67" s="321"/>
      <c r="D67" s="321"/>
      <c r="E67" s="321"/>
      <c r="F67" s="321"/>
      <c r="G67" s="321"/>
    </row>
    <row r="68">
      <c r="C68" s="321"/>
      <c r="D68" s="321"/>
      <c r="E68" s="321"/>
      <c r="F68" s="321"/>
      <c r="G68" s="321"/>
    </row>
    <row r="69">
      <c r="C69" s="321"/>
      <c r="D69" s="321"/>
      <c r="E69" s="321"/>
      <c r="F69" s="321"/>
      <c r="G69" s="321"/>
    </row>
    <row r="70">
      <c r="C70" s="321"/>
      <c r="D70" s="321"/>
      <c r="E70" s="321"/>
      <c r="F70" s="321"/>
      <c r="G70" s="321"/>
    </row>
    <row r="71">
      <c r="C71" s="321"/>
      <c r="D71" s="321"/>
      <c r="E71" s="321"/>
      <c r="F71" s="321"/>
      <c r="G71" s="321"/>
    </row>
    <row r="72">
      <c r="C72" s="321"/>
      <c r="D72" s="321"/>
      <c r="E72" s="321"/>
      <c r="F72" s="321"/>
      <c r="G72" s="321"/>
    </row>
    <row r="73">
      <c r="C73" s="321"/>
      <c r="D73" s="321"/>
      <c r="E73" s="321"/>
      <c r="F73" s="321"/>
      <c r="G73" s="321"/>
    </row>
    <row r="74">
      <c r="C74" s="321"/>
      <c r="D74" s="321"/>
      <c r="E74" s="321"/>
      <c r="F74" s="321"/>
      <c r="G74" s="321"/>
    </row>
    <row r="75">
      <c r="C75" s="321"/>
      <c r="D75" s="321"/>
      <c r="E75" s="321"/>
      <c r="F75" s="321"/>
      <c r="G75" s="321"/>
    </row>
    <row r="76">
      <c r="C76" s="321"/>
      <c r="D76" s="321"/>
      <c r="E76" s="321"/>
      <c r="F76" s="321"/>
      <c r="G76" s="321"/>
    </row>
    <row r="77">
      <c r="C77" s="321"/>
      <c r="D77" s="321"/>
      <c r="E77" s="321"/>
      <c r="F77" s="321"/>
      <c r="G77" s="321"/>
    </row>
    <row r="78">
      <c r="C78" s="321"/>
      <c r="D78" s="321"/>
      <c r="E78" s="321"/>
      <c r="F78" s="321"/>
      <c r="G78" s="321"/>
    </row>
    <row r="79">
      <c r="C79" s="321"/>
      <c r="D79" s="321"/>
      <c r="E79" s="321"/>
      <c r="F79" s="321"/>
      <c r="G79" s="321"/>
    </row>
    <row r="80">
      <c r="C80" s="321"/>
      <c r="D80" s="321"/>
      <c r="E80" s="321"/>
      <c r="F80" s="321"/>
      <c r="G80" s="321"/>
    </row>
    <row r="81">
      <c r="C81" s="321"/>
      <c r="D81" s="321"/>
      <c r="E81" s="321"/>
      <c r="F81" s="321"/>
      <c r="G81" s="321"/>
    </row>
    <row r="82">
      <c r="C82" s="321"/>
      <c r="D82" s="321"/>
      <c r="E82" s="321"/>
      <c r="F82" s="321"/>
      <c r="G82" s="321"/>
    </row>
    <row r="83">
      <c r="C83" s="321"/>
      <c r="D83" s="321"/>
      <c r="E83" s="321"/>
      <c r="F83" s="321"/>
      <c r="G83" s="321"/>
    </row>
    <row r="84">
      <c r="C84" s="321"/>
      <c r="D84" s="321"/>
      <c r="E84" s="321"/>
      <c r="F84" s="321"/>
      <c r="G84" s="321"/>
    </row>
    <row r="85">
      <c r="C85" s="321"/>
      <c r="D85" s="321"/>
      <c r="E85" s="321"/>
      <c r="F85" s="321"/>
      <c r="G85" s="321"/>
    </row>
    <row r="86">
      <c r="C86" s="321"/>
      <c r="D86" s="321"/>
      <c r="E86" s="321"/>
      <c r="F86" s="321"/>
      <c r="G86" s="321"/>
    </row>
    <row r="87">
      <c r="C87" s="321"/>
      <c r="D87" s="321"/>
      <c r="E87" s="321"/>
      <c r="F87" s="321"/>
      <c r="G87" s="321"/>
    </row>
    <row r="88">
      <c r="C88" s="321"/>
      <c r="D88" s="321"/>
      <c r="E88" s="321"/>
      <c r="F88" s="321"/>
      <c r="G88" s="321"/>
    </row>
    <row r="89">
      <c r="C89" s="321"/>
      <c r="D89" s="321"/>
      <c r="E89" s="321"/>
      <c r="F89" s="321"/>
      <c r="G89" s="321"/>
    </row>
    <row r="90">
      <c r="C90" s="321"/>
      <c r="D90" s="321"/>
      <c r="E90" s="321"/>
      <c r="F90" s="321"/>
      <c r="G90" s="321"/>
    </row>
    <row r="91">
      <c r="C91" s="321"/>
      <c r="D91" s="321"/>
      <c r="E91" s="321"/>
      <c r="F91" s="321"/>
      <c r="G91" s="321"/>
    </row>
    <row r="92">
      <c r="C92" s="321"/>
      <c r="D92" s="321"/>
      <c r="E92" s="321"/>
      <c r="F92" s="321"/>
      <c r="G92" s="321"/>
    </row>
    <row r="93">
      <c r="C93" s="321"/>
      <c r="D93" s="321"/>
      <c r="E93" s="321"/>
      <c r="F93" s="321"/>
      <c r="G93" s="321"/>
    </row>
    <row r="94">
      <c r="C94" s="321"/>
      <c r="D94" s="321"/>
      <c r="E94" s="321"/>
      <c r="F94" s="321"/>
      <c r="G94" s="321"/>
    </row>
    <row r="95">
      <c r="C95" s="321"/>
      <c r="D95" s="321"/>
      <c r="E95" s="321"/>
      <c r="F95" s="321"/>
      <c r="G95" s="321"/>
    </row>
    <row r="96">
      <c r="C96" s="321"/>
      <c r="D96" s="321"/>
      <c r="E96" s="321"/>
      <c r="F96" s="321"/>
      <c r="G96" s="321"/>
    </row>
    <row r="97">
      <c r="C97" s="321"/>
      <c r="D97" s="321"/>
      <c r="E97" s="321"/>
      <c r="F97" s="321"/>
      <c r="G97" s="321"/>
    </row>
    <row r="98">
      <c r="C98" s="321"/>
      <c r="D98" s="321"/>
      <c r="E98" s="321"/>
      <c r="F98" s="321"/>
      <c r="G98" s="321"/>
    </row>
    <row r="99">
      <c r="C99" s="321"/>
      <c r="D99" s="321"/>
      <c r="E99" s="321"/>
      <c r="F99" s="321"/>
      <c r="G99" s="321"/>
    </row>
    <row r="100">
      <c r="C100" s="321"/>
      <c r="D100" s="321"/>
      <c r="E100" s="321"/>
      <c r="F100" s="321"/>
      <c r="G100" s="321"/>
    </row>
    <row r="101">
      <c r="C101" s="321"/>
      <c r="D101" s="321"/>
      <c r="E101" s="321"/>
      <c r="F101" s="321"/>
      <c r="G101" s="321"/>
    </row>
    <row r="102">
      <c r="C102" s="321"/>
      <c r="D102" s="321"/>
      <c r="E102" s="321"/>
      <c r="F102" s="321"/>
      <c r="G102" s="321"/>
    </row>
    <row r="103">
      <c r="C103" s="321"/>
      <c r="D103" s="321"/>
      <c r="E103" s="321"/>
      <c r="F103" s="321"/>
      <c r="G103" s="321"/>
    </row>
    <row r="104">
      <c r="C104" s="321"/>
      <c r="D104" s="321"/>
      <c r="E104" s="321"/>
      <c r="F104" s="321"/>
      <c r="G104" s="321"/>
    </row>
    <row r="105">
      <c r="C105" s="321"/>
      <c r="D105" s="321"/>
      <c r="E105" s="321"/>
      <c r="F105" s="321"/>
      <c r="G105" s="321"/>
    </row>
    <row r="106">
      <c r="C106" s="321"/>
      <c r="D106" s="321"/>
      <c r="E106" s="321"/>
      <c r="F106" s="321"/>
      <c r="G106" s="321"/>
    </row>
    <row r="107">
      <c r="C107" s="321"/>
      <c r="D107" s="321"/>
      <c r="E107" s="321"/>
      <c r="F107" s="321"/>
      <c r="G107" s="321"/>
    </row>
    <row r="108">
      <c r="C108" s="321"/>
      <c r="D108" s="321"/>
      <c r="E108" s="321"/>
      <c r="F108" s="321"/>
      <c r="G108" s="321"/>
    </row>
    <row r="109">
      <c r="C109" s="321"/>
      <c r="D109" s="321"/>
      <c r="E109" s="321"/>
      <c r="F109" s="321"/>
      <c r="G109" s="321"/>
    </row>
    <row r="110">
      <c r="C110" s="321"/>
      <c r="D110" s="321"/>
      <c r="E110" s="321"/>
      <c r="F110" s="321"/>
      <c r="G110" s="321"/>
    </row>
    <row r="111">
      <c r="C111" s="321"/>
      <c r="D111" s="321"/>
      <c r="E111" s="321"/>
      <c r="F111" s="321"/>
      <c r="G111" s="321"/>
    </row>
    <row r="112">
      <c r="C112" s="321"/>
      <c r="D112" s="321"/>
      <c r="E112" s="321"/>
      <c r="F112" s="321"/>
      <c r="G112" s="321"/>
    </row>
    <row r="113">
      <c r="C113" s="321"/>
      <c r="D113" s="321"/>
      <c r="E113" s="321"/>
      <c r="F113" s="321"/>
      <c r="G113" s="321"/>
    </row>
    <row r="114">
      <c r="C114" s="321"/>
      <c r="D114" s="321"/>
      <c r="E114" s="321"/>
      <c r="F114" s="321"/>
      <c r="G114" s="321"/>
    </row>
    <row r="115">
      <c r="C115" s="321"/>
      <c r="D115" s="321"/>
      <c r="E115" s="321"/>
      <c r="F115" s="321"/>
      <c r="G115" s="321"/>
    </row>
    <row r="116">
      <c r="C116" s="321"/>
      <c r="D116" s="321"/>
      <c r="E116" s="321"/>
      <c r="F116" s="321"/>
      <c r="G116" s="321"/>
    </row>
    <row r="117">
      <c r="C117" s="321"/>
      <c r="D117" s="321"/>
      <c r="E117" s="321"/>
      <c r="F117" s="321"/>
      <c r="G117" s="321"/>
    </row>
    <row r="118">
      <c r="C118" s="321"/>
      <c r="D118" s="321"/>
      <c r="E118" s="321"/>
      <c r="F118" s="321"/>
      <c r="G118" s="321"/>
    </row>
    <row r="119">
      <c r="C119" s="321"/>
      <c r="D119" s="321"/>
      <c r="E119" s="321"/>
      <c r="F119" s="321"/>
      <c r="G119" s="321"/>
    </row>
    <row r="120">
      <c r="C120" s="321"/>
      <c r="D120" s="321"/>
      <c r="E120" s="321"/>
      <c r="F120" s="321"/>
      <c r="G120" s="321"/>
    </row>
    <row r="121">
      <c r="C121" s="321"/>
      <c r="D121" s="321"/>
      <c r="E121" s="321"/>
      <c r="F121" s="321"/>
      <c r="G121" s="321"/>
    </row>
    <row r="122">
      <c r="C122" s="321"/>
      <c r="D122" s="321"/>
      <c r="E122" s="321"/>
      <c r="F122" s="321"/>
      <c r="G122" s="321"/>
    </row>
    <row r="123">
      <c r="C123" s="321"/>
      <c r="D123" s="321"/>
      <c r="E123" s="321"/>
      <c r="F123" s="321"/>
      <c r="G123" s="321"/>
    </row>
    <row r="124">
      <c r="C124" s="321"/>
      <c r="D124" s="321"/>
      <c r="E124" s="321"/>
      <c r="F124" s="321"/>
      <c r="G124" s="321"/>
    </row>
    <row r="125">
      <c r="C125" s="321"/>
      <c r="D125" s="321"/>
      <c r="E125" s="321"/>
      <c r="F125" s="321"/>
      <c r="G125" s="321"/>
    </row>
    <row r="126">
      <c r="C126" s="321"/>
      <c r="D126" s="321"/>
      <c r="E126" s="321"/>
      <c r="F126" s="321"/>
      <c r="G126" s="321"/>
    </row>
    <row r="127">
      <c r="C127" s="321"/>
      <c r="D127" s="321"/>
      <c r="E127" s="321"/>
      <c r="F127" s="321"/>
      <c r="G127" s="321"/>
    </row>
    <row r="128">
      <c r="C128" s="321"/>
      <c r="D128" s="321"/>
      <c r="E128" s="321"/>
      <c r="F128" s="321"/>
      <c r="G128" s="321"/>
    </row>
    <row r="129">
      <c r="C129" s="321"/>
      <c r="D129" s="321"/>
      <c r="E129" s="321"/>
      <c r="F129" s="321"/>
      <c r="G129" s="321"/>
    </row>
    <row r="130">
      <c r="C130" s="321"/>
      <c r="D130" s="321"/>
      <c r="E130" s="321"/>
      <c r="F130" s="321"/>
      <c r="G130" s="321"/>
    </row>
    <row r="131">
      <c r="C131" s="321"/>
      <c r="D131" s="321"/>
      <c r="E131" s="321"/>
      <c r="F131" s="321"/>
      <c r="G131" s="321"/>
    </row>
    <row r="132">
      <c r="C132" s="321"/>
      <c r="D132" s="321"/>
      <c r="E132" s="321"/>
      <c r="F132" s="321"/>
      <c r="G132" s="321"/>
    </row>
    <row r="133">
      <c r="C133" s="321"/>
      <c r="D133" s="321"/>
      <c r="E133" s="321"/>
      <c r="F133" s="321"/>
      <c r="G133" s="321"/>
    </row>
  </sheetData>
  <mergeCells count="5">
    <mergeCell ref="A1:B1"/>
    <mergeCell ref="A2:B2"/>
    <mergeCell ref="A3:B3"/>
    <mergeCell ref="A5:G6"/>
    <mergeCell ref="A16:G17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42.57"/>
    <col customWidth="1" min="3" max="3" width="8.86"/>
    <col customWidth="1" min="4" max="4" width="12.29"/>
    <col customWidth="1" min="5" max="5" width="10.0"/>
    <col customWidth="1" min="6" max="6" width="62.0"/>
    <col customWidth="1" min="7" max="7" width="95.71"/>
    <col customWidth="1" min="8" max="8" width="84.29"/>
  </cols>
  <sheetData>
    <row r="1" ht="30.75" customHeight="1">
      <c r="A1" s="322"/>
      <c r="B1" s="2"/>
      <c r="C1" s="2"/>
      <c r="D1" s="2"/>
      <c r="E1" s="2"/>
      <c r="F1" s="2"/>
      <c r="G1" s="2"/>
      <c r="H1" s="3"/>
    </row>
    <row r="2" ht="30.75" customHeight="1">
      <c r="A2" s="303" t="s">
        <v>1435</v>
      </c>
      <c r="B2" s="323" t="s">
        <v>1436</v>
      </c>
      <c r="C2" s="303" t="s">
        <v>1843</v>
      </c>
      <c r="D2" s="324" t="s">
        <v>1438</v>
      </c>
      <c r="E2" s="325" t="s">
        <v>1564</v>
      </c>
      <c r="F2" s="303" t="s">
        <v>1440</v>
      </c>
      <c r="G2" s="303" t="s">
        <v>1844</v>
      </c>
      <c r="H2" s="326" t="s">
        <v>1441</v>
      </c>
    </row>
    <row r="3">
      <c r="A3" s="303">
        <v>1.0</v>
      </c>
      <c r="B3" s="303" t="s">
        <v>1443</v>
      </c>
      <c r="C3" s="303"/>
      <c r="D3" s="304"/>
      <c r="E3" s="327"/>
      <c r="F3" s="303" t="s">
        <v>1518</v>
      </c>
      <c r="G3" s="303" t="s">
        <v>1446</v>
      </c>
      <c r="H3" s="305"/>
    </row>
    <row r="4">
      <c r="A4" s="303">
        <v>2.0</v>
      </c>
      <c r="B4" s="303" t="s">
        <v>1444</v>
      </c>
      <c r="C4" s="303"/>
      <c r="D4" s="304"/>
      <c r="E4" s="325"/>
      <c r="F4" s="303" t="s">
        <v>1518</v>
      </c>
      <c r="G4" s="303" t="s">
        <v>1446</v>
      </c>
      <c r="H4" s="305">
        <v>44574.0</v>
      </c>
    </row>
    <row r="5">
      <c r="A5" s="303">
        <v>3.0</v>
      </c>
      <c r="B5" s="303" t="s">
        <v>1853</v>
      </c>
      <c r="C5" s="303"/>
      <c r="D5" s="304"/>
      <c r="E5" s="327"/>
      <c r="F5" s="303" t="s">
        <v>1518</v>
      </c>
      <c r="G5" s="303" t="s">
        <v>1446</v>
      </c>
      <c r="H5" s="305">
        <v>44596.0</v>
      </c>
    </row>
    <row r="6">
      <c r="A6" s="303">
        <v>4.0</v>
      </c>
      <c r="B6" s="303" t="s">
        <v>1854</v>
      </c>
      <c r="C6" s="303"/>
      <c r="D6" s="304"/>
      <c r="E6" s="327"/>
      <c r="F6" s="303" t="s">
        <v>1855</v>
      </c>
      <c r="G6" s="303" t="s">
        <v>1446</v>
      </c>
      <c r="H6" s="328">
        <v>44908.0</v>
      </c>
    </row>
    <row r="7">
      <c r="A7" s="303">
        <v>5.0</v>
      </c>
      <c r="B7" s="303" t="s">
        <v>1856</v>
      </c>
      <c r="C7" s="303"/>
      <c r="D7" s="329"/>
      <c r="E7" s="327"/>
      <c r="F7" s="303" t="s">
        <v>1857</v>
      </c>
      <c r="G7" s="303" t="s">
        <v>1446</v>
      </c>
      <c r="H7" s="328">
        <v>44908.0</v>
      </c>
    </row>
    <row r="8">
      <c r="A8" s="303">
        <v>6.0</v>
      </c>
      <c r="B8" s="303" t="s">
        <v>1858</v>
      </c>
      <c r="C8" s="303"/>
      <c r="D8" s="329"/>
      <c r="E8" s="327"/>
      <c r="F8" s="303" t="s">
        <v>1859</v>
      </c>
      <c r="G8" s="303" t="s">
        <v>1446</v>
      </c>
      <c r="H8" s="328">
        <v>44908.0</v>
      </c>
    </row>
    <row r="9">
      <c r="A9" s="303">
        <v>7.0</v>
      </c>
      <c r="B9" s="303" t="s">
        <v>1860</v>
      </c>
      <c r="C9" s="303"/>
      <c r="D9" s="304"/>
      <c r="E9" s="327"/>
      <c r="F9" s="303" t="s">
        <v>1861</v>
      </c>
      <c r="G9" s="303" t="s">
        <v>1446</v>
      </c>
      <c r="H9" s="328">
        <v>45091.0</v>
      </c>
    </row>
    <row r="10">
      <c r="A10" s="303">
        <v>8.0</v>
      </c>
      <c r="B10" s="303" t="s">
        <v>1862</v>
      </c>
      <c r="C10" s="303"/>
      <c r="D10" s="304"/>
      <c r="E10" s="327"/>
      <c r="F10" s="303" t="s">
        <v>1863</v>
      </c>
      <c r="G10" s="303" t="s">
        <v>1446</v>
      </c>
      <c r="H10" s="328">
        <v>45091.0</v>
      </c>
    </row>
    <row r="11">
      <c r="A11" s="303">
        <v>8.0</v>
      </c>
      <c r="B11" s="303" t="s">
        <v>1862</v>
      </c>
      <c r="C11" s="303"/>
      <c r="D11" s="304"/>
      <c r="E11" s="327"/>
      <c r="F11" s="303" t="s">
        <v>1864</v>
      </c>
      <c r="G11" s="303" t="s">
        <v>1446</v>
      </c>
      <c r="H11" s="328">
        <v>45091.0</v>
      </c>
    </row>
    <row r="12">
      <c r="A12" s="303">
        <v>9.0</v>
      </c>
      <c r="B12" s="303" t="s">
        <v>1865</v>
      </c>
      <c r="C12" s="303"/>
      <c r="D12" s="304"/>
      <c r="E12" s="327"/>
      <c r="F12" s="303" t="s">
        <v>1866</v>
      </c>
      <c r="G12" s="303" t="s">
        <v>1446</v>
      </c>
      <c r="H12" s="328">
        <v>45091.0</v>
      </c>
    </row>
    <row r="13">
      <c r="A13" s="303">
        <v>10.0</v>
      </c>
      <c r="B13" s="303" t="s">
        <v>1867</v>
      </c>
      <c r="C13" s="303"/>
      <c r="D13" s="304"/>
      <c r="E13" s="327"/>
      <c r="F13" s="303"/>
      <c r="G13" s="303" t="s">
        <v>1446</v>
      </c>
      <c r="H13" s="328">
        <v>45426.0</v>
      </c>
    </row>
    <row r="14">
      <c r="A14" s="303">
        <v>11.0</v>
      </c>
      <c r="B14" s="303" t="s">
        <v>1867</v>
      </c>
      <c r="C14" s="303"/>
      <c r="D14" s="304"/>
      <c r="E14" s="327"/>
      <c r="F14" s="303"/>
      <c r="G14" s="303" t="s">
        <v>1446</v>
      </c>
      <c r="H14" s="328">
        <v>45426.0</v>
      </c>
    </row>
    <row r="15">
      <c r="A15" s="303">
        <v>12.0</v>
      </c>
      <c r="B15" s="303" t="s">
        <v>1867</v>
      </c>
      <c r="C15" s="303"/>
      <c r="D15" s="304"/>
      <c r="E15" s="327"/>
      <c r="F15" s="303"/>
      <c r="G15" s="303" t="s">
        <v>1446</v>
      </c>
      <c r="H15" s="328">
        <v>45426.0</v>
      </c>
    </row>
    <row r="16">
      <c r="A16" s="303">
        <v>13.0</v>
      </c>
      <c r="B16" s="303" t="s">
        <v>1868</v>
      </c>
      <c r="C16" s="303"/>
      <c r="D16" s="304"/>
      <c r="E16" s="327"/>
      <c r="F16" s="303"/>
      <c r="G16" s="303" t="s">
        <v>1446</v>
      </c>
      <c r="H16" s="328">
        <v>45426.0</v>
      </c>
    </row>
    <row r="17">
      <c r="A17" s="303">
        <v>14.0</v>
      </c>
      <c r="B17" s="303" t="s">
        <v>1868</v>
      </c>
      <c r="C17" s="303"/>
      <c r="D17" s="304"/>
      <c r="E17" s="327"/>
      <c r="F17" s="303"/>
      <c r="G17" s="303" t="s">
        <v>1446</v>
      </c>
      <c r="H17" s="328">
        <v>45426.0</v>
      </c>
    </row>
    <row r="18">
      <c r="A18" s="303">
        <v>15.0</v>
      </c>
      <c r="B18" s="303" t="s">
        <v>1869</v>
      </c>
      <c r="C18" s="303"/>
      <c r="D18" s="304"/>
      <c r="E18" s="327"/>
      <c r="F18" s="303"/>
      <c r="G18" s="303" t="s">
        <v>1446</v>
      </c>
      <c r="H18" s="328">
        <v>45426.0</v>
      </c>
    </row>
    <row r="19">
      <c r="A19" s="330" t="s">
        <v>1870</v>
      </c>
      <c r="B19" s="2"/>
      <c r="C19" s="2"/>
      <c r="D19" s="2"/>
      <c r="E19" s="2"/>
      <c r="F19" s="2"/>
      <c r="G19" s="2"/>
      <c r="H19" s="3"/>
    </row>
    <row r="20">
      <c r="A20" s="330" t="s">
        <v>1562</v>
      </c>
      <c r="B20" s="3"/>
      <c r="C20" s="303">
        <f t="shared" ref="C20:D20" si="1">sum(C3:C18)</f>
        <v>0</v>
      </c>
      <c r="D20" s="304">
        <f t="shared" si="1"/>
        <v>0</v>
      </c>
      <c r="E20" s="327">
        <f>sum(E5:E18)</f>
        <v>0</v>
      </c>
      <c r="F20" s="322"/>
      <c r="G20" s="2"/>
      <c r="H20" s="3"/>
    </row>
    <row r="21">
      <c r="A21" s="299"/>
      <c r="B21" s="299"/>
      <c r="C21" s="299"/>
      <c r="D21" s="300"/>
      <c r="E21" s="331"/>
      <c r="F21" s="299"/>
      <c r="G21" s="299"/>
      <c r="H21" s="299"/>
    </row>
    <row r="22">
      <c r="A22" s="332" t="s">
        <v>1871</v>
      </c>
      <c r="B22" s="2"/>
      <c r="C22" s="2"/>
      <c r="D22" s="2"/>
      <c r="E22" s="2"/>
      <c r="F22" s="2"/>
      <c r="G22" s="2"/>
      <c r="H22" s="3"/>
    </row>
    <row r="23">
      <c r="A23" s="333" t="s">
        <v>1435</v>
      </c>
      <c r="B23" s="333" t="s">
        <v>1436</v>
      </c>
      <c r="C23" s="333" t="s">
        <v>1843</v>
      </c>
      <c r="D23" s="334" t="s">
        <v>1438</v>
      </c>
      <c r="E23" s="335" t="s">
        <v>1564</v>
      </c>
      <c r="F23" s="333" t="s">
        <v>1440</v>
      </c>
      <c r="G23" s="333" t="s">
        <v>1844</v>
      </c>
      <c r="H23" s="336" t="s">
        <v>1441</v>
      </c>
    </row>
    <row r="24">
      <c r="A24" s="309">
        <v>1.0</v>
      </c>
      <c r="B24" s="309" t="s">
        <v>1443</v>
      </c>
      <c r="C24" s="299">
        <v>1.0</v>
      </c>
      <c r="D24" s="300">
        <v>144.0</v>
      </c>
      <c r="E24" s="337"/>
      <c r="F24" s="309" t="s">
        <v>1518</v>
      </c>
      <c r="G24" s="309" t="s">
        <v>1446</v>
      </c>
      <c r="H24" s="338"/>
    </row>
    <row r="25">
      <c r="A25" s="309">
        <v>2.0</v>
      </c>
      <c r="B25" s="309" t="s">
        <v>1444</v>
      </c>
      <c r="C25" s="299">
        <v>2.0</v>
      </c>
      <c r="D25" s="300">
        <v>1.6</v>
      </c>
      <c r="E25" s="337"/>
      <c r="F25" s="309" t="s">
        <v>1518</v>
      </c>
      <c r="G25" s="309" t="s">
        <v>1446</v>
      </c>
      <c r="H25" s="339">
        <v>44574.0</v>
      </c>
    </row>
    <row r="26" ht="14.25" customHeight="1">
      <c r="A26" s="309">
        <v>3.0</v>
      </c>
      <c r="B26" s="309" t="s">
        <v>1853</v>
      </c>
      <c r="C26" s="299">
        <v>1.0</v>
      </c>
      <c r="D26" s="300">
        <v>5.0</v>
      </c>
      <c r="E26" s="337"/>
      <c r="F26" s="309" t="s">
        <v>1518</v>
      </c>
      <c r="G26" s="309" t="s">
        <v>1446</v>
      </c>
      <c r="H26" s="339">
        <v>44596.0</v>
      </c>
    </row>
    <row r="27" ht="18.75" customHeight="1">
      <c r="A27" s="310">
        <v>4.0</v>
      </c>
      <c r="B27" s="312" t="s">
        <v>1872</v>
      </c>
      <c r="C27" s="340">
        <v>1.0</v>
      </c>
      <c r="D27" s="341">
        <v>14.4</v>
      </c>
      <c r="E27" s="342">
        <v>1.0</v>
      </c>
      <c r="F27" s="312" t="s">
        <v>1873</v>
      </c>
      <c r="G27" s="312" t="s">
        <v>1446</v>
      </c>
      <c r="H27" s="343">
        <v>46006.0</v>
      </c>
    </row>
    <row r="28">
      <c r="A28" s="309">
        <v>5.0</v>
      </c>
      <c r="B28" s="344" t="s">
        <v>1874</v>
      </c>
      <c r="C28" s="345">
        <v>1.0</v>
      </c>
      <c r="D28" s="346"/>
      <c r="E28" s="347">
        <v>1.0</v>
      </c>
      <c r="F28" s="344">
        <v>2.03555409108E11</v>
      </c>
      <c r="G28" s="344" t="s">
        <v>1875</v>
      </c>
      <c r="H28" s="344" t="s">
        <v>1875</v>
      </c>
    </row>
    <row r="29">
      <c r="A29" s="348">
        <v>6.0</v>
      </c>
      <c r="B29" s="317" t="s">
        <v>1853</v>
      </c>
      <c r="C29" s="349">
        <v>1.0</v>
      </c>
      <c r="D29" s="318">
        <v>1.6</v>
      </c>
      <c r="E29" s="350"/>
      <c r="F29" s="348"/>
      <c r="G29" s="317" t="s">
        <v>1876</v>
      </c>
      <c r="H29" s="351">
        <v>46082.0</v>
      </c>
    </row>
    <row r="30">
      <c r="A30" s="309">
        <v>7.0</v>
      </c>
      <c r="B30" s="309"/>
      <c r="C30" s="352"/>
      <c r="D30" s="346"/>
      <c r="E30" s="337"/>
      <c r="F30" s="309"/>
      <c r="G30" s="309"/>
      <c r="H30" s="353"/>
    </row>
    <row r="31">
      <c r="A31" s="309">
        <v>8.0</v>
      </c>
      <c r="B31" s="309"/>
      <c r="C31" s="352"/>
      <c r="D31" s="346"/>
      <c r="E31" s="337"/>
      <c r="F31" s="309"/>
      <c r="G31" s="309"/>
      <c r="H31" s="353"/>
    </row>
    <row r="32">
      <c r="A32" s="309">
        <v>8.0</v>
      </c>
      <c r="B32" s="309"/>
      <c r="C32" s="352"/>
      <c r="D32" s="346"/>
      <c r="E32" s="337"/>
      <c r="F32" s="309"/>
      <c r="G32" s="309"/>
      <c r="H32" s="353"/>
    </row>
    <row r="33">
      <c r="A33" s="309">
        <v>9.0</v>
      </c>
      <c r="B33" s="309"/>
      <c r="C33" s="352"/>
      <c r="D33" s="346"/>
      <c r="E33" s="337"/>
      <c r="F33" s="309"/>
      <c r="G33" s="309"/>
      <c r="H33" s="353"/>
    </row>
    <row r="34">
      <c r="A34" s="309">
        <v>10.0</v>
      </c>
      <c r="B34" s="309"/>
      <c r="C34" s="352"/>
      <c r="D34" s="346"/>
      <c r="E34" s="337"/>
      <c r="F34" s="352"/>
      <c r="G34" s="309"/>
      <c r="H34" s="353"/>
    </row>
    <row r="35">
      <c r="A35" s="309">
        <v>11.0</v>
      </c>
      <c r="B35" s="309"/>
      <c r="C35" s="352"/>
      <c r="D35" s="346"/>
      <c r="E35" s="337"/>
      <c r="F35" s="352"/>
      <c r="G35" s="309"/>
      <c r="H35" s="353"/>
    </row>
    <row r="36">
      <c r="A36" s="309">
        <v>12.0</v>
      </c>
      <c r="B36" s="309"/>
      <c r="C36" s="352"/>
      <c r="D36" s="346"/>
      <c r="E36" s="337"/>
      <c r="F36" s="352"/>
      <c r="G36" s="309"/>
      <c r="H36" s="353"/>
    </row>
    <row r="37">
      <c r="A37" s="309">
        <v>13.0</v>
      </c>
      <c r="B37" s="309"/>
      <c r="C37" s="352"/>
      <c r="D37" s="346"/>
      <c r="E37" s="337"/>
      <c r="F37" s="352"/>
      <c r="G37" s="309"/>
      <c r="H37" s="353"/>
    </row>
    <row r="38">
      <c r="A38" s="309">
        <v>14.0</v>
      </c>
      <c r="B38" s="309"/>
      <c r="C38" s="352"/>
      <c r="D38" s="346"/>
      <c r="E38" s="337"/>
      <c r="F38" s="352"/>
      <c r="G38" s="309"/>
      <c r="H38" s="353"/>
    </row>
    <row r="39">
      <c r="A39" s="309">
        <v>15.0</v>
      </c>
      <c r="B39" s="309"/>
      <c r="C39" s="352"/>
      <c r="D39" s="346"/>
      <c r="E39" s="337"/>
      <c r="F39" s="352"/>
      <c r="G39" s="309"/>
      <c r="H39" s="353"/>
    </row>
    <row r="40">
      <c r="A40" s="354" t="s">
        <v>1562</v>
      </c>
      <c r="B40" s="3"/>
      <c r="C40" s="309">
        <f t="shared" ref="C40:D40" si="2">sum(C24:C39)</f>
        <v>7</v>
      </c>
      <c r="D40" s="355">
        <f t="shared" si="2"/>
        <v>166.6</v>
      </c>
      <c r="E40" s="356">
        <f>sum(E26:E39)</f>
        <v>2</v>
      </c>
      <c r="F40" s="357"/>
      <c r="G40" s="2"/>
      <c r="H40" s="3"/>
    </row>
    <row r="41">
      <c r="A41" s="299"/>
      <c r="B41" s="299"/>
      <c r="C41" s="299"/>
      <c r="D41" s="300"/>
      <c r="E41" s="331"/>
      <c r="F41" s="299"/>
      <c r="G41" s="299"/>
      <c r="H41" s="301"/>
    </row>
    <row r="42">
      <c r="A42" s="299"/>
      <c r="B42" s="299"/>
      <c r="C42" s="299"/>
      <c r="D42" s="300"/>
      <c r="E42" s="331"/>
      <c r="F42" s="299"/>
      <c r="G42" s="299"/>
      <c r="H42" s="301"/>
    </row>
    <row r="43" ht="29.25" customHeight="1">
      <c r="A43" s="358" t="s">
        <v>1877</v>
      </c>
      <c r="B43" s="2"/>
      <c r="C43" s="2"/>
      <c r="D43" s="2"/>
      <c r="E43" s="2"/>
      <c r="F43" s="2"/>
      <c r="G43" s="2"/>
      <c r="H43" s="3"/>
    </row>
    <row r="44" ht="29.25" customHeight="1">
      <c r="A44" s="295" t="s">
        <v>1435</v>
      </c>
      <c r="B44" s="296" t="s">
        <v>1436</v>
      </c>
      <c r="C44" s="295" t="s">
        <v>1843</v>
      </c>
      <c r="D44" s="297" t="s">
        <v>1438</v>
      </c>
      <c r="E44" s="359" t="s">
        <v>1564</v>
      </c>
      <c r="F44" s="295" t="s">
        <v>1440</v>
      </c>
      <c r="G44" s="295" t="s">
        <v>1844</v>
      </c>
      <c r="H44" s="298" t="s">
        <v>1441</v>
      </c>
    </row>
    <row r="45">
      <c r="A45" s="299">
        <v>1.0</v>
      </c>
      <c r="B45" s="299" t="s">
        <v>1443</v>
      </c>
      <c r="C45" s="299">
        <v>1.0</v>
      </c>
      <c r="D45" s="300">
        <v>144.0</v>
      </c>
      <c r="E45" s="331"/>
      <c r="F45" s="299" t="s">
        <v>1518</v>
      </c>
      <c r="G45" s="299" t="s">
        <v>1446</v>
      </c>
      <c r="H45" s="301"/>
    </row>
    <row r="46">
      <c r="A46" s="299">
        <v>2.0</v>
      </c>
      <c r="B46" s="299" t="s">
        <v>1444</v>
      </c>
      <c r="C46" s="299">
        <v>2.0</v>
      </c>
      <c r="D46" s="300">
        <v>1.6</v>
      </c>
      <c r="E46" s="360"/>
      <c r="F46" s="299" t="s">
        <v>1518</v>
      </c>
      <c r="G46" s="299" t="s">
        <v>1446</v>
      </c>
      <c r="H46" s="301">
        <v>44574.0</v>
      </c>
    </row>
    <row r="47">
      <c r="A47" s="299">
        <v>3.0</v>
      </c>
      <c r="B47" s="299" t="s">
        <v>1853</v>
      </c>
      <c r="C47" s="299">
        <v>1.0</v>
      </c>
      <c r="D47" s="300">
        <v>5.0</v>
      </c>
      <c r="E47" s="331">
        <v>1.0</v>
      </c>
      <c r="F47" s="299" t="s">
        <v>1518</v>
      </c>
      <c r="G47" s="299" t="s">
        <v>1446</v>
      </c>
      <c r="H47" s="301">
        <v>44596.0</v>
      </c>
    </row>
    <row r="48">
      <c r="A48" s="299">
        <v>4.0</v>
      </c>
      <c r="B48" s="308">
        <v>878.0</v>
      </c>
      <c r="C48" s="299">
        <v>1.0</v>
      </c>
      <c r="D48" s="300">
        <v>7.9</v>
      </c>
      <c r="E48" s="331">
        <v>1.0</v>
      </c>
      <c r="F48" s="306" t="s">
        <v>1878</v>
      </c>
      <c r="G48" s="361"/>
      <c r="H48" s="301">
        <v>44622.0</v>
      </c>
    </row>
    <row r="49">
      <c r="A49" s="299">
        <v>5.0</v>
      </c>
      <c r="B49" s="308" t="s">
        <v>1879</v>
      </c>
      <c r="C49" s="299">
        <v>1.0</v>
      </c>
      <c r="D49" s="300">
        <v>7.9</v>
      </c>
      <c r="E49" s="331">
        <v>1.0</v>
      </c>
      <c r="F49" s="306" t="s">
        <v>1880</v>
      </c>
      <c r="G49" s="361"/>
      <c r="H49" s="301">
        <v>44622.0</v>
      </c>
    </row>
    <row r="50">
      <c r="A50" s="303">
        <v>6.0</v>
      </c>
      <c r="B50" s="303" t="s">
        <v>1881</v>
      </c>
      <c r="C50" s="303"/>
      <c r="D50" s="362"/>
      <c r="E50" s="327"/>
      <c r="F50" s="303" t="s">
        <v>1882</v>
      </c>
      <c r="G50" s="303" t="s">
        <v>1848</v>
      </c>
      <c r="H50" s="305">
        <v>44622.0</v>
      </c>
    </row>
    <row r="51">
      <c r="A51" s="299">
        <v>7.0</v>
      </c>
      <c r="B51" s="299" t="s">
        <v>1881</v>
      </c>
      <c r="C51" s="299"/>
      <c r="D51" s="363"/>
      <c r="E51" s="331"/>
      <c r="F51" s="299" t="s">
        <v>1883</v>
      </c>
      <c r="G51" s="299" t="s">
        <v>1884</v>
      </c>
      <c r="H51" s="301">
        <v>44622.0</v>
      </c>
    </row>
    <row r="52">
      <c r="A52" s="299">
        <v>8.0</v>
      </c>
      <c r="B52" s="308" t="s">
        <v>1881</v>
      </c>
      <c r="C52" s="299">
        <v>1.0</v>
      </c>
      <c r="D52" s="363">
        <v>8.2</v>
      </c>
      <c r="E52" s="331">
        <v>1.0</v>
      </c>
      <c r="F52" s="299" t="s">
        <v>1885</v>
      </c>
      <c r="G52" s="361"/>
      <c r="H52" s="301">
        <v>44622.0</v>
      </c>
    </row>
    <row r="53">
      <c r="A53" s="299">
        <v>9.0</v>
      </c>
      <c r="B53" s="308" t="s">
        <v>1886</v>
      </c>
      <c r="C53" s="299">
        <v>1.0</v>
      </c>
      <c r="D53" s="363">
        <v>8.0</v>
      </c>
      <c r="E53" s="331">
        <v>1.0</v>
      </c>
      <c r="F53" s="299"/>
      <c r="G53" s="361"/>
      <c r="H53" s="301">
        <v>44622.0</v>
      </c>
    </row>
    <row r="54">
      <c r="A54" s="299">
        <v>10.0</v>
      </c>
      <c r="B54" s="308" t="s">
        <v>1886</v>
      </c>
      <c r="C54" s="299">
        <v>1.0</v>
      </c>
      <c r="D54" s="363">
        <v>8.0</v>
      </c>
      <c r="E54" s="331">
        <v>1.0</v>
      </c>
      <c r="F54" s="299"/>
      <c r="G54" s="361"/>
      <c r="H54" s="301">
        <v>44622.0</v>
      </c>
    </row>
    <row r="55">
      <c r="A55" s="299">
        <v>11.0</v>
      </c>
      <c r="B55" s="299" t="s">
        <v>1886</v>
      </c>
      <c r="C55" s="299">
        <v>1.0</v>
      </c>
      <c r="D55" s="300">
        <v>8.0</v>
      </c>
      <c r="E55" s="331">
        <v>1.0</v>
      </c>
      <c r="F55" s="299"/>
      <c r="G55" s="299"/>
      <c r="H55" s="301">
        <v>44622.0</v>
      </c>
    </row>
    <row r="56">
      <c r="A56" s="299">
        <v>12.0</v>
      </c>
      <c r="B56" s="299" t="s">
        <v>1887</v>
      </c>
      <c r="C56" s="299">
        <v>1.0</v>
      </c>
      <c r="D56" s="300">
        <v>8.0</v>
      </c>
      <c r="E56" s="331">
        <v>1.0</v>
      </c>
      <c r="F56" s="299"/>
      <c r="G56" s="299"/>
      <c r="H56" s="301">
        <v>44622.0</v>
      </c>
    </row>
    <row r="57">
      <c r="A57" s="299">
        <v>13.0</v>
      </c>
      <c r="B57" s="299" t="s">
        <v>1887</v>
      </c>
      <c r="C57" s="299">
        <v>1.0</v>
      </c>
      <c r="D57" s="300">
        <v>8.0</v>
      </c>
      <c r="E57" s="331">
        <v>1.0</v>
      </c>
      <c r="F57" s="364"/>
      <c r="G57" s="299"/>
      <c r="H57" s="301">
        <v>44622.0</v>
      </c>
    </row>
    <row r="58">
      <c r="A58" s="299">
        <v>14.0</v>
      </c>
      <c r="B58" s="299" t="s">
        <v>1888</v>
      </c>
      <c r="C58" s="299">
        <v>1.0</v>
      </c>
      <c r="D58" s="300">
        <v>14.0</v>
      </c>
      <c r="E58" s="331">
        <v>1.0</v>
      </c>
      <c r="F58" s="299" t="s">
        <v>1889</v>
      </c>
      <c r="G58" s="299"/>
      <c r="H58" s="301">
        <v>44624.0</v>
      </c>
    </row>
    <row r="59">
      <c r="A59" s="299">
        <v>15.0</v>
      </c>
      <c r="B59" s="299" t="s">
        <v>1888</v>
      </c>
      <c r="C59" s="299">
        <v>1.0</v>
      </c>
      <c r="D59" s="300">
        <v>14.0</v>
      </c>
      <c r="E59" s="331">
        <v>1.0</v>
      </c>
      <c r="F59" s="299" t="s">
        <v>1890</v>
      </c>
      <c r="G59" s="299"/>
      <c r="H59" s="301">
        <v>44624.0</v>
      </c>
    </row>
    <row r="60">
      <c r="A60" s="299">
        <v>16.0</v>
      </c>
      <c r="B60" s="299" t="s">
        <v>1891</v>
      </c>
      <c r="C60" s="299">
        <v>1.0</v>
      </c>
      <c r="D60" s="300">
        <v>17.8</v>
      </c>
      <c r="E60" s="331">
        <v>1.0</v>
      </c>
      <c r="F60" s="299" t="s">
        <v>1892</v>
      </c>
      <c r="G60" s="299"/>
      <c r="H60" s="301">
        <v>44624.0</v>
      </c>
    </row>
    <row r="61">
      <c r="A61" s="299">
        <v>17.0</v>
      </c>
      <c r="B61" s="299" t="s">
        <v>1893</v>
      </c>
      <c r="C61" s="299">
        <v>1.0</v>
      </c>
      <c r="D61" s="300">
        <v>1.2</v>
      </c>
      <c r="E61" s="331">
        <v>1.0</v>
      </c>
      <c r="F61" s="299" t="s">
        <v>1894</v>
      </c>
      <c r="G61" s="299"/>
      <c r="H61" s="301">
        <v>44624.0</v>
      </c>
    </row>
    <row r="62">
      <c r="A62" s="303">
        <v>18.0</v>
      </c>
      <c r="B62" s="303" t="s">
        <v>1888</v>
      </c>
      <c r="C62" s="303"/>
      <c r="D62" s="304"/>
      <c r="E62" s="327"/>
      <c r="F62" s="303" t="s">
        <v>1895</v>
      </c>
      <c r="G62" s="303" t="s">
        <v>1896</v>
      </c>
      <c r="H62" s="305">
        <v>44627.0</v>
      </c>
    </row>
    <row r="63">
      <c r="A63" s="303">
        <v>19.0</v>
      </c>
      <c r="B63" s="303" t="s">
        <v>1897</v>
      </c>
      <c r="C63" s="303"/>
      <c r="D63" s="304"/>
      <c r="E63" s="327"/>
      <c r="F63" s="303" t="s">
        <v>1898</v>
      </c>
      <c r="G63" s="303" t="s">
        <v>1899</v>
      </c>
      <c r="H63" s="305">
        <v>44635.0</v>
      </c>
    </row>
    <row r="64">
      <c r="A64" s="299">
        <v>20.0</v>
      </c>
      <c r="B64" s="308" t="s">
        <v>1897</v>
      </c>
      <c r="C64" s="299">
        <v>1.0</v>
      </c>
      <c r="D64" s="300">
        <v>17.0</v>
      </c>
      <c r="E64" s="331">
        <v>2.0</v>
      </c>
      <c r="F64" s="308" t="s">
        <v>1900</v>
      </c>
      <c r="G64" s="299" t="s">
        <v>1901</v>
      </c>
      <c r="H64" s="301">
        <v>44635.0</v>
      </c>
    </row>
    <row r="65">
      <c r="A65" s="299">
        <v>21.0</v>
      </c>
      <c r="B65" s="308" t="s">
        <v>1897</v>
      </c>
      <c r="C65" s="299">
        <v>1.0</v>
      </c>
      <c r="D65" s="300">
        <v>17.0</v>
      </c>
      <c r="E65" s="331">
        <v>2.0</v>
      </c>
      <c r="F65" s="308" t="s">
        <v>1902</v>
      </c>
      <c r="G65" s="299" t="s">
        <v>1901</v>
      </c>
      <c r="H65" s="301">
        <v>44635.0</v>
      </c>
    </row>
    <row r="66">
      <c r="A66" s="308">
        <v>22.0</v>
      </c>
      <c r="B66" s="308" t="s">
        <v>1903</v>
      </c>
      <c r="C66" s="308">
        <v>1.0</v>
      </c>
      <c r="D66" s="314">
        <v>13.0</v>
      </c>
      <c r="E66" s="365">
        <v>1.0</v>
      </c>
      <c r="F66" s="308" t="s">
        <v>1904</v>
      </c>
      <c r="G66" s="308" t="s">
        <v>1901</v>
      </c>
      <c r="H66" s="315">
        <v>44635.0</v>
      </c>
    </row>
    <row r="67">
      <c r="A67" s="303">
        <v>23.0</v>
      </c>
      <c r="B67" s="303" t="s">
        <v>1903</v>
      </c>
      <c r="C67" s="303"/>
      <c r="D67" s="304"/>
      <c r="E67" s="327"/>
      <c r="F67" s="303" t="s">
        <v>1905</v>
      </c>
      <c r="G67" s="303" t="s">
        <v>1899</v>
      </c>
      <c r="H67" s="305">
        <v>44635.0</v>
      </c>
    </row>
    <row r="68">
      <c r="A68" s="303">
        <v>24.0</v>
      </c>
      <c r="B68" s="303" t="s">
        <v>1906</v>
      </c>
      <c r="C68" s="303"/>
      <c r="D68" s="304"/>
      <c r="E68" s="327"/>
      <c r="F68" s="303" t="s">
        <v>1907</v>
      </c>
      <c r="G68" s="303" t="s">
        <v>1899</v>
      </c>
      <c r="H68" s="305">
        <v>44635.0</v>
      </c>
    </row>
    <row r="69">
      <c r="A69" s="303">
        <v>25.0</v>
      </c>
      <c r="B69" s="303" t="s">
        <v>1906</v>
      </c>
      <c r="C69" s="303"/>
      <c r="D69" s="304"/>
      <c r="E69" s="327"/>
      <c r="F69" s="303" t="s">
        <v>1908</v>
      </c>
      <c r="G69" s="303" t="s">
        <v>1899</v>
      </c>
      <c r="H69" s="305">
        <v>44635.0</v>
      </c>
    </row>
    <row r="70">
      <c r="A70" s="308">
        <v>26.0</v>
      </c>
      <c r="B70" s="308" t="s">
        <v>1906</v>
      </c>
      <c r="C70" s="299">
        <v>1.0</v>
      </c>
      <c r="D70" s="300">
        <v>17.0</v>
      </c>
      <c r="E70" s="331">
        <v>2.0</v>
      </c>
      <c r="F70" s="308" t="s">
        <v>1909</v>
      </c>
      <c r="G70" s="299" t="s">
        <v>1901</v>
      </c>
      <c r="H70" s="301">
        <v>44635.0</v>
      </c>
    </row>
    <row r="71">
      <c r="A71" s="303">
        <v>27.0</v>
      </c>
      <c r="B71" s="303" t="s">
        <v>1906</v>
      </c>
      <c r="C71" s="303"/>
      <c r="D71" s="304"/>
      <c r="E71" s="327"/>
      <c r="F71" s="303" t="s">
        <v>1910</v>
      </c>
      <c r="G71" s="303" t="s">
        <v>1899</v>
      </c>
      <c r="H71" s="305">
        <v>44635.0</v>
      </c>
    </row>
    <row r="72">
      <c r="A72" s="299">
        <v>28.0</v>
      </c>
      <c r="B72" s="308" t="s">
        <v>1911</v>
      </c>
      <c r="C72" s="299">
        <v>1.0</v>
      </c>
      <c r="D72" s="300">
        <v>13.0</v>
      </c>
      <c r="E72" s="331">
        <v>1.0</v>
      </c>
      <c r="F72" s="308" t="s">
        <v>1912</v>
      </c>
      <c r="G72" s="299" t="s">
        <v>1901</v>
      </c>
      <c r="H72" s="301">
        <v>44635.0</v>
      </c>
    </row>
    <row r="73">
      <c r="A73" s="299">
        <v>29.0</v>
      </c>
      <c r="B73" s="308" t="s">
        <v>1913</v>
      </c>
      <c r="C73" s="299">
        <v>1.0</v>
      </c>
      <c r="D73" s="300">
        <v>10.4</v>
      </c>
      <c r="E73" s="331">
        <v>1.0</v>
      </c>
      <c r="F73" s="308" t="s">
        <v>1914</v>
      </c>
      <c r="G73" s="299" t="s">
        <v>1446</v>
      </c>
      <c r="H73" s="301">
        <v>45343.0</v>
      </c>
    </row>
    <row r="74">
      <c r="A74" s="303">
        <v>30.0</v>
      </c>
      <c r="B74" s="303" t="s">
        <v>1913</v>
      </c>
      <c r="C74" s="303">
        <v>1.0</v>
      </c>
      <c r="D74" s="304"/>
      <c r="E74" s="327"/>
      <c r="F74" s="303" t="s">
        <v>1915</v>
      </c>
      <c r="G74" s="303" t="s">
        <v>1916</v>
      </c>
      <c r="H74" s="305">
        <v>45343.0</v>
      </c>
    </row>
    <row r="75">
      <c r="A75" s="299">
        <v>31.0</v>
      </c>
      <c r="B75" s="308" t="s">
        <v>1913</v>
      </c>
      <c r="C75" s="299">
        <v>1.0</v>
      </c>
      <c r="D75" s="300">
        <v>10.4</v>
      </c>
      <c r="E75" s="331">
        <v>1.0</v>
      </c>
      <c r="F75" s="308" t="s">
        <v>1917</v>
      </c>
      <c r="G75" s="299" t="s">
        <v>1446</v>
      </c>
      <c r="H75" s="301">
        <v>45343.0</v>
      </c>
    </row>
    <row r="76">
      <c r="A76" s="366" t="s">
        <v>1562</v>
      </c>
      <c r="B76" s="3"/>
      <c r="C76" s="299">
        <f t="shared" ref="C76:E76" si="3">sum(C47:C72)</f>
        <v>18</v>
      </c>
      <c r="D76" s="300">
        <f t="shared" si="3"/>
        <v>193</v>
      </c>
      <c r="E76" s="331">
        <f t="shared" si="3"/>
        <v>21</v>
      </c>
      <c r="F76" s="299"/>
      <c r="G76" s="301"/>
      <c r="H76" s="301"/>
    </row>
    <row r="77">
      <c r="A77" s="299"/>
      <c r="B77" s="299"/>
      <c r="C77" s="299"/>
      <c r="D77" s="300"/>
      <c r="E77" s="331"/>
      <c r="F77" s="299"/>
      <c r="G77" s="299"/>
      <c r="H77" s="301"/>
    </row>
    <row r="78">
      <c r="A78" s="299"/>
      <c r="B78" s="299"/>
      <c r="C78" s="299"/>
      <c r="D78" s="300"/>
      <c r="E78" s="331"/>
      <c r="F78" s="299"/>
      <c r="G78" s="299"/>
      <c r="H78" s="301"/>
    </row>
    <row r="79" ht="27.75" customHeight="1">
      <c r="A79" s="358" t="s">
        <v>1918</v>
      </c>
      <c r="B79" s="2"/>
      <c r="C79" s="2"/>
      <c r="D79" s="2"/>
      <c r="E79" s="2"/>
      <c r="F79" s="2"/>
      <c r="G79" s="2"/>
      <c r="H79" s="3"/>
    </row>
    <row r="80" ht="27.75" customHeight="1">
      <c r="A80" s="295" t="s">
        <v>1435</v>
      </c>
      <c r="B80" s="296" t="s">
        <v>1436</v>
      </c>
      <c r="C80" s="295" t="s">
        <v>1843</v>
      </c>
      <c r="D80" s="297" t="s">
        <v>1438</v>
      </c>
      <c r="E80" s="359" t="s">
        <v>1564</v>
      </c>
      <c r="F80" s="295" t="s">
        <v>1440</v>
      </c>
      <c r="G80" s="295" t="s">
        <v>1844</v>
      </c>
      <c r="H80" s="298" t="s">
        <v>1441</v>
      </c>
    </row>
    <row r="81">
      <c r="A81" s="299">
        <v>1.0</v>
      </c>
      <c r="B81" s="299" t="s">
        <v>1443</v>
      </c>
      <c r="C81" s="299">
        <v>1.0</v>
      </c>
      <c r="D81" s="300">
        <v>144.0</v>
      </c>
      <c r="E81" s="331"/>
      <c r="F81" s="299" t="s">
        <v>1518</v>
      </c>
      <c r="G81" s="299" t="s">
        <v>1446</v>
      </c>
      <c r="H81" s="301"/>
    </row>
    <row r="82">
      <c r="A82" s="299">
        <v>2.0</v>
      </c>
      <c r="B82" s="299" t="s">
        <v>1444</v>
      </c>
      <c r="C82" s="299">
        <v>2.0</v>
      </c>
      <c r="D82" s="300">
        <v>3.2</v>
      </c>
      <c r="E82" s="360"/>
      <c r="F82" s="299" t="s">
        <v>1518</v>
      </c>
      <c r="G82" s="299" t="s">
        <v>1446</v>
      </c>
      <c r="H82" s="301">
        <v>44574.0</v>
      </c>
    </row>
    <row r="83">
      <c r="A83" s="299">
        <v>3.0</v>
      </c>
      <c r="B83" s="299" t="s">
        <v>1853</v>
      </c>
      <c r="C83" s="299">
        <v>1.0</v>
      </c>
      <c r="D83" s="300">
        <v>5.0</v>
      </c>
      <c r="E83" s="331">
        <v>1.0</v>
      </c>
      <c r="F83" s="299" t="s">
        <v>1518</v>
      </c>
      <c r="G83" s="299" t="s">
        <v>1446</v>
      </c>
      <c r="H83" s="301">
        <v>44596.0</v>
      </c>
    </row>
    <row r="84">
      <c r="A84" s="299">
        <v>4.0</v>
      </c>
      <c r="B84" s="299" t="s">
        <v>1919</v>
      </c>
      <c r="C84" s="299">
        <v>1.0</v>
      </c>
      <c r="D84" s="300">
        <v>25.0</v>
      </c>
      <c r="E84" s="331">
        <v>1.0</v>
      </c>
      <c r="F84" s="299" t="s">
        <v>1920</v>
      </c>
      <c r="G84" s="299" t="s">
        <v>1921</v>
      </c>
      <c r="H84" s="301">
        <v>44655.0</v>
      </c>
    </row>
    <row r="85">
      <c r="A85" s="299">
        <v>5.0</v>
      </c>
      <c r="B85" s="299" t="s">
        <v>1919</v>
      </c>
      <c r="C85" s="299">
        <v>1.0</v>
      </c>
      <c r="D85" s="300">
        <v>25.0</v>
      </c>
      <c r="E85" s="331">
        <v>1.0</v>
      </c>
      <c r="F85" s="299" t="s">
        <v>1922</v>
      </c>
      <c r="G85" s="299" t="s">
        <v>1921</v>
      </c>
      <c r="H85" s="301">
        <v>44655.0</v>
      </c>
    </row>
    <row r="86">
      <c r="A86" s="299">
        <v>6.0</v>
      </c>
      <c r="B86" s="299" t="s">
        <v>1923</v>
      </c>
      <c r="C86" s="299">
        <v>1.0</v>
      </c>
      <c r="D86" s="300">
        <v>18.0</v>
      </c>
      <c r="E86" s="331">
        <v>1.0</v>
      </c>
      <c r="F86" s="299" t="s">
        <v>1924</v>
      </c>
      <c r="G86" s="299" t="s">
        <v>1921</v>
      </c>
      <c r="H86" s="301">
        <v>44655.0</v>
      </c>
    </row>
    <row r="87">
      <c r="A87" s="299">
        <v>7.0</v>
      </c>
      <c r="B87" s="299" t="s">
        <v>1923</v>
      </c>
      <c r="C87" s="299">
        <v>1.0</v>
      </c>
      <c r="D87" s="300">
        <v>18.0</v>
      </c>
      <c r="E87" s="331">
        <v>1.0</v>
      </c>
      <c r="F87" s="299" t="s">
        <v>1925</v>
      </c>
      <c r="G87" s="299" t="s">
        <v>1921</v>
      </c>
      <c r="H87" s="301">
        <v>44655.0</v>
      </c>
    </row>
    <row r="88">
      <c r="A88" s="299">
        <v>8.0</v>
      </c>
      <c r="B88" s="299" t="s">
        <v>1926</v>
      </c>
      <c r="C88" s="299">
        <v>1.0</v>
      </c>
      <c r="D88" s="300">
        <v>1.2</v>
      </c>
      <c r="E88" s="331">
        <v>1.0</v>
      </c>
      <c r="F88" s="299" t="s">
        <v>1927</v>
      </c>
      <c r="G88" s="299" t="s">
        <v>1921</v>
      </c>
      <c r="H88" s="301">
        <v>44655.0</v>
      </c>
    </row>
    <row r="89">
      <c r="A89" s="299">
        <v>9.0</v>
      </c>
      <c r="B89" s="299" t="s">
        <v>1928</v>
      </c>
      <c r="C89" s="299">
        <v>1.0</v>
      </c>
      <c r="D89" s="300">
        <v>18.0</v>
      </c>
      <c r="E89" s="331">
        <v>1.0</v>
      </c>
      <c r="F89" s="308" t="s">
        <v>1929</v>
      </c>
      <c r="G89" s="299"/>
      <c r="H89" s="301">
        <v>44663.0</v>
      </c>
    </row>
    <row r="90">
      <c r="A90" s="299">
        <v>10.0</v>
      </c>
      <c r="B90" s="299" t="s">
        <v>1930</v>
      </c>
      <c r="C90" s="299">
        <v>1.0</v>
      </c>
      <c r="D90" s="300">
        <v>15.9</v>
      </c>
      <c r="E90" s="331">
        <v>1.0</v>
      </c>
      <c r="F90" s="308" t="s">
        <v>1931</v>
      </c>
      <c r="G90" s="299" t="s">
        <v>1876</v>
      </c>
      <c r="H90" s="301">
        <v>44663.0</v>
      </c>
    </row>
    <row r="91">
      <c r="A91" s="299">
        <v>11.0</v>
      </c>
      <c r="B91" s="299" t="s">
        <v>1932</v>
      </c>
      <c r="C91" s="299">
        <v>1.0</v>
      </c>
      <c r="D91" s="300">
        <v>8.0</v>
      </c>
      <c r="E91" s="331">
        <v>1.0</v>
      </c>
      <c r="F91" s="308" t="s">
        <v>1933</v>
      </c>
      <c r="G91" s="299"/>
      <c r="H91" s="301">
        <v>44663.0</v>
      </c>
    </row>
    <row r="92">
      <c r="A92" s="299">
        <v>12.0</v>
      </c>
      <c r="B92" s="299" t="s">
        <v>1934</v>
      </c>
      <c r="C92" s="299">
        <v>1.0</v>
      </c>
      <c r="D92" s="300">
        <v>1.9</v>
      </c>
      <c r="E92" s="331">
        <v>1.0</v>
      </c>
      <c r="F92" s="308" t="s">
        <v>1935</v>
      </c>
      <c r="G92" s="299"/>
      <c r="H92" s="301">
        <v>44663.0</v>
      </c>
    </row>
    <row r="93">
      <c r="A93" s="299">
        <v>13.0</v>
      </c>
      <c r="B93" s="299" t="s">
        <v>1936</v>
      </c>
      <c r="C93" s="299">
        <v>1.0</v>
      </c>
      <c r="D93" s="300">
        <v>1.2</v>
      </c>
      <c r="E93" s="331">
        <v>1.0</v>
      </c>
      <c r="F93" s="308" t="s">
        <v>1937</v>
      </c>
      <c r="G93" s="299"/>
      <c r="H93" s="301">
        <v>44663.0</v>
      </c>
    </row>
    <row r="94">
      <c r="A94" s="299">
        <v>14.0</v>
      </c>
      <c r="B94" s="299" t="s">
        <v>1938</v>
      </c>
      <c r="C94" s="299">
        <v>1.0</v>
      </c>
      <c r="D94" s="300">
        <v>17.8</v>
      </c>
      <c r="E94" s="331">
        <v>1.0</v>
      </c>
      <c r="F94" s="299" t="s">
        <v>1939</v>
      </c>
      <c r="G94" s="299" t="s">
        <v>1921</v>
      </c>
      <c r="H94" s="301">
        <v>44676.0</v>
      </c>
    </row>
    <row r="95">
      <c r="A95" s="299">
        <v>15.0</v>
      </c>
      <c r="B95" s="308" t="s">
        <v>1940</v>
      </c>
      <c r="C95" s="299">
        <v>1.0</v>
      </c>
      <c r="D95" s="300">
        <v>16.0</v>
      </c>
      <c r="E95" s="331">
        <v>2.0</v>
      </c>
      <c r="F95" s="308" t="s">
        <v>1941</v>
      </c>
      <c r="G95" s="299" t="s">
        <v>1446</v>
      </c>
      <c r="H95" s="301">
        <v>44678.0</v>
      </c>
    </row>
    <row r="96">
      <c r="A96" s="299">
        <v>16.0</v>
      </c>
      <c r="B96" s="367" t="s">
        <v>1942</v>
      </c>
      <c r="C96" s="299">
        <v>1.0</v>
      </c>
      <c r="D96" s="300"/>
      <c r="E96" s="331">
        <v>1.0</v>
      </c>
      <c r="F96" s="367" t="s">
        <v>1943</v>
      </c>
      <c r="G96" s="299" t="s">
        <v>1446</v>
      </c>
      <c r="H96" s="301">
        <v>44851.0</v>
      </c>
    </row>
    <row r="97">
      <c r="A97" s="299">
        <v>17.0</v>
      </c>
      <c r="B97" s="299" t="s">
        <v>1944</v>
      </c>
      <c r="C97" s="299">
        <v>1.0</v>
      </c>
      <c r="D97" s="300">
        <v>24.9</v>
      </c>
      <c r="E97" s="331">
        <v>2.0</v>
      </c>
      <c r="F97" s="308" t="s">
        <v>1945</v>
      </c>
      <c r="G97" s="299" t="s">
        <v>1446</v>
      </c>
      <c r="H97" s="301">
        <v>44923.0</v>
      </c>
    </row>
    <row r="98">
      <c r="A98" s="299">
        <v>18.0</v>
      </c>
      <c r="B98" s="308" t="s">
        <v>1946</v>
      </c>
      <c r="C98" s="299">
        <v>1.0</v>
      </c>
      <c r="D98" s="314">
        <v>18.9</v>
      </c>
      <c r="E98" s="331">
        <v>2.0</v>
      </c>
      <c r="F98" s="299" t="s">
        <v>1947</v>
      </c>
      <c r="G98" s="299" t="s">
        <v>1446</v>
      </c>
      <c r="H98" s="301">
        <v>45022.0</v>
      </c>
    </row>
    <row r="99">
      <c r="A99" s="299">
        <v>19.0</v>
      </c>
      <c r="B99" s="308" t="s">
        <v>1946</v>
      </c>
      <c r="C99" s="299">
        <v>1.0</v>
      </c>
      <c r="D99" s="314">
        <v>18.9</v>
      </c>
      <c r="E99" s="331">
        <v>2.0</v>
      </c>
      <c r="F99" s="299" t="s">
        <v>1948</v>
      </c>
      <c r="G99" s="299" t="s">
        <v>1446</v>
      </c>
      <c r="H99" s="301">
        <v>45022.0</v>
      </c>
    </row>
    <row r="100">
      <c r="A100" s="299">
        <v>20.0</v>
      </c>
      <c r="B100" s="308" t="s">
        <v>1949</v>
      </c>
      <c r="C100" s="299">
        <v>1.0</v>
      </c>
      <c r="D100" s="314">
        <v>10.8</v>
      </c>
      <c r="E100" s="331">
        <v>1.0</v>
      </c>
      <c r="F100" s="299" t="s">
        <v>1950</v>
      </c>
      <c r="G100" s="299" t="s">
        <v>1446</v>
      </c>
      <c r="H100" s="301">
        <v>45022.0</v>
      </c>
    </row>
    <row r="101">
      <c r="A101" s="366" t="s">
        <v>1562</v>
      </c>
      <c r="B101" s="3"/>
      <c r="C101" s="299">
        <f>sum(C81:C100)</f>
        <v>21</v>
      </c>
      <c r="D101" s="300">
        <f>sum(D81:D97)</f>
        <v>343.1</v>
      </c>
      <c r="E101" s="331">
        <f>sum(E81:E100)</f>
        <v>22</v>
      </c>
      <c r="F101" s="299"/>
      <c r="G101" s="301"/>
      <c r="H101" s="301"/>
    </row>
    <row r="102">
      <c r="A102" s="299"/>
      <c r="B102" s="299"/>
      <c r="C102" s="299"/>
      <c r="D102" s="300"/>
      <c r="E102" s="331"/>
      <c r="F102" s="299"/>
      <c r="G102" s="299"/>
      <c r="H102" s="301"/>
    </row>
    <row r="103">
      <c r="A103" s="299"/>
      <c r="B103" s="299"/>
      <c r="C103" s="299"/>
      <c r="D103" s="300"/>
      <c r="E103" s="331"/>
      <c r="F103" s="299"/>
      <c r="G103" s="299"/>
      <c r="H103" s="301"/>
    </row>
    <row r="104" ht="30.75" customHeight="1">
      <c r="A104" s="368" t="s">
        <v>1951</v>
      </c>
      <c r="B104" s="2"/>
      <c r="C104" s="2"/>
      <c r="D104" s="2"/>
      <c r="E104" s="2"/>
      <c r="F104" s="2"/>
      <c r="G104" s="2"/>
      <c r="H104" s="3"/>
    </row>
    <row r="105" ht="30.75" customHeight="1">
      <c r="A105" s="369" t="s">
        <v>1435</v>
      </c>
      <c r="B105" s="370" t="s">
        <v>1436</v>
      </c>
      <c r="C105" s="369" t="s">
        <v>1843</v>
      </c>
      <c r="D105" s="371" t="s">
        <v>1438</v>
      </c>
      <c r="E105" s="372" t="s">
        <v>1564</v>
      </c>
      <c r="F105" s="369" t="s">
        <v>1440</v>
      </c>
      <c r="G105" s="369" t="s">
        <v>1844</v>
      </c>
      <c r="H105" s="373" t="s">
        <v>1441</v>
      </c>
    </row>
    <row r="106">
      <c r="A106" s="299">
        <v>1.0</v>
      </c>
      <c r="B106" s="299" t="s">
        <v>1443</v>
      </c>
      <c r="C106" s="299">
        <v>1.0</v>
      </c>
      <c r="D106" s="300">
        <v>144.0</v>
      </c>
      <c r="E106" s="331"/>
      <c r="F106" s="299" t="s">
        <v>1518</v>
      </c>
      <c r="G106" s="299" t="s">
        <v>1446</v>
      </c>
      <c r="H106" s="301"/>
    </row>
    <row r="107">
      <c r="A107" s="299">
        <v>2.0</v>
      </c>
      <c r="B107" s="299" t="s">
        <v>1444</v>
      </c>
      <c r="C107" s="299">
        <v>2.0</v>
      </c>
      <c r="D107" s="300">
        <v>1.6</v>
      </c>
      <c r="E107" s="360"/>
      <c r="F107" s="299" t="s">
        <v>1518</v>
      </c>
      <c r="G107" s="299" t="s">
        <v>1446</v>
      </c>
      <c r="H107" s="301">
        <v>44574.0</v>
      </c>
    </row>
    <row r="108">
      <c r="A108" s="299">
        <v>3.0</v>
      </c>
      <c r="B108" s="299" t="s">
        <v>1853</v>
      </c>
      <c r="C108" s="299">
        <v>1.0</v>
      </c>
      <c r="D108" s="300">
        <v>5.0</v>
      </c>
      <c r="E108" s="331">
        <v>1.0</v>
      </c>
      <c r="F108" s="299" t="s">
        <v>1518</v>
      </c>
      <c r="G108" s="299" t="s">
        <v>1446</v>
      </c>
      <c r="H108" s="301">
        <v>44596.0</v>
      </c>
    </row>
    <row r="109">
      <c r="A109" s="303">
        <v>4.0</v>
      </c>
      <c r="B109" s="303" t="s">
        <v>1952</v>
      </c>
      <c r="C109" s="303">
        <v>1.0</v>
      </c>
      <c r="D109" s="304"/>
      <c r="E109" s="327"/>
      <c r="F109" s="303" t="s">
        <v>1953</v>
      </c>
      <c r="G109" s="303" t="s">
        <v>1954</v>
      </c>
      <c r="H109" s="303" t="s">
        <v>1955</v>
      </c>
    </row>
    <row r="110">
      <c r="A110" s="303">
        <v>5.0</v>
      </c>
      <c r="B110" s="303" t="s">
        <v>1956</v>
      </c>
      <c r="C110" s="303">
        <v>1.0</v>
      </c>
      <c r="D110" s="304"/>
      <c r="E110" s="327"/>
      <c r="F110" s="303" t="s">
        <v>1957</v>
      </c>
      <c r="G110" s="303" t="s">
        <v>1954</v>
      </c>
      <c r="H110" s="303" t="s">
        <v>1958</v>
      </c>
    </row>
    <row r="111">
      <c r="A111" s="303">
        <v>6.0</v>
      </c>
      <c r="B111" s="303" t="s">
        <v>1959</v>
      </c>
      <c r="C111" s="303">
        <v>1.0</v>
      </c>
      <c r="D111" s="304"/>
      <c r="E111" s="327"/>
      <c r="F111" s="303" t="s">
        <v>1960</v>
      </c>
      <c r="G111" s="303" t="s">
        <v>1954</v>
      </c>
      <c r="H111" s="303" t="s">
        <v>1958</v>
      </c>
    </row>
    <row r="112">
      <c r="A112" s="303">
        <v>7.0</v>
      </c>
      <c r="B112" s="303" t="s">
        <v>1961</v>
      </c>
      <c r="C112" s="303">
        <v>1.0</v>
      </c>
      <c r="D112" s="304"/>
      <c r="E112" s="327"/>
      <c r="F112" s="303" t="s">
        <v>1962</v>
      </c>
      <c r="G112" s="303" t="s">
        <v>1954</v>
      </c>
      <c r="H112" s="303" t="s">
        <v>1958</v>
      </c>
    </row>
    <row r="113">
      <c r="A113" s="303">
        <v>8.0</v>
      </c>
      <c r="B113" s="303" t="s">
        <v>1963</v>
      </c>
      <c r="C113" s="303">
        <v>1.0</v>
      </c>
      <c r="D113" s="304"/>
      <c r="E113" s="327"/>
      <c r="F113" s="303">
        <v>5935161.0</v>
      </c>
      <c r="G113" s="303" t="s">
        <v>1954</v>
      </c>
      <c r="H113" s="303" t="s">
        <v>1958</v>
      </c>
    </row>
    <row r="114">
      <c r="A114" s="303">
        <v>9.0</v>
      </c>
      <c r="B114" s="303" t="s">
        <v>1964</v>
      </c>
      <c r="C114" s="303">
        <v>1.0</v>
      </c>
      <c r="D114" s="304"/>
      <c r="E114" s="327"/>
      <c r="F114" s="303" t="s">
        <v>1965</v>
      </c>
      <c r="G114" s="303" t="s">
        <v>1954</v>
      </c>
      <c r="H114" s="303" t="s">
        <v>1966</v>
      </c>
    </row>
    <row r="115">
      <c r="A115" s="303">
        <v>10.0</v>
      </c>
      <c r="B115" s="303" t="s">
        <v>1635</v>
      </c>
      <c r="C115" s="303">
        <v>1.0</v>
      </c>
      <c r="D115" s="304"/>
      <c r="E115" s="327"/>
      <c r="F115" s="303" t="s">
        <v>1967</v>
      </c>
      <c r="G115" s="303" t="s">
        <v>1954</v>
      </c>
      <c r="H115" s="303" t="s">
        <v>1966</v>
      </c>
    </row>
    <row r="116">
      <c r="A116" s="303">
        <v>11.0</v>
      </c>
      <c r="B116" s="303" t="s">
        <v>1968</v>
      </c>
      <c r="C116" s="303">
        <v>1.0</v>
      </c>
      <c r="D116" s="304"/>
      <c r="E116" s="327"/>
      <c r="F116" s="303" t="s">
        <v>1969</v>
      </c>
      <c r="G116" s="303" t="s">
        <v>1954</v>
      </c>
      <c r="H116" s="303" t="s">
        <v>1970</v>
      </c>
    </row>
    <row r="117">
      <c r="A117" s="303">
        <v>12.0</v>
      </c>
      <c r="B117" s="303" t="s">
        <v>1635</v>
      </c>
      <c r="C117" s="303">
        <v>1.0</v>
      </c>
      <c r="D117" s="304"/>
      <c r="E117" s="327"/>
      <c r="F117" s="303" t="s">
        <v>1971</v>
      </c>
      <c r="G117" s="303" t="s">
        <v>1954</v>
      </c>
      <c r="H117" s="303" t="s">
        <v>1970</v>
      </c>
    </row>
    <row r="118">
      <c r="A118" s="303">
        <v>13.0</v>
      </c>
      <c r="B118" s="303" t="s">
        <v>1972</v>
      </c>
      <c r="C118" s="303">
        <v>1.0</v>
      </c>
      <c r="D118" s="304"/>
      <c r="E118" s="327"/>
      <c r="F118" s="303" t="s">
        <v>1969</v>
      </c>
      <c r="G118" s="303" t="s">
        <v>1954</v>
      </c>
      <c r="H118" s="303" t="s">
        <v>1970</v>
      </c>
    </row>
    <row r="119">
      <c r="A119" s="303">
        <v>14.0</v>
      </c>
      <c r="B119" s="303" t="s">
        <v>1635</v>
      </c>
      <c r="C119" s="303">
        <v>1.0</v>
      </c>
      <c r="D119" s="304"/>
      <c r="E119" s="327"/>
      <c r="F119" s="303" t="s">
        <v>1973</v>
      </c>
      <c r="G119" s="303" t="s">
        <v>1954</v>
      </c>
      <c r="H119" s="303" t="s">
        <v>1974</v>
      </c>
    </row>
    <row r="120">
      <c r="A120" s="303">
        <v>15.0</v>
      </c>
      <c r="B120" s="303" t="s">
        <v>1635</v>
      </c>
      <c r="C120" s="303">
        <v>1.0</v>
      </c>
      <c r="D120" s="304"/>
      <c r="E120" s="327"/>
      <c r="F120" s="303" t="s">
        <v>1975</v>
      </c>
      <c r="G120" s="303" t="s">
        <v>1954</v>
      </c>
      <c r="H120" s="303" t="s">
        <v>1974</v>
      </c>
    </row>
    <row r="121">
      <c r="A121" s="303">
        <v>16.0</v>
      </c>
      <c r="B121" s="303" t="s">
        <v>1976</v>
      </c>
      <c r="C121" s="303">
        <v>1.0</v>
      </c>
      <c r="D121" s="304"/>
      <c r="E121" s="327"/>
      <c r="F121" s="303" t="s">
        <v>1977</v>
      </c>
      <c r="G121" s="303" t="s">
        <v>1954</v>
      </c>
      <c r="H121" s="303" t="s">
        <v>1974</v>
      </c>
    </row>
    <row r="122">
      <c r="A122" s="303">
        <v>17.0</v>
      </c>
      <c r="B122" s="374" t="s">
        <v>1978</v>
      </c>
      <c r="C122" s="303">
        <v>1.0</v>
      </c>
      <c r="D122" s="304"/>
      <c r="E122" s="327"/>
      <c r="F122" s="374" t="s">
        <v>1979</v>
      </c>
      <c r="G122" s="303" t="s">
        <v>1954</v>
      </c>
      <c r="H122" s="303" t="s">
        <v>1980</v>
      </c>
    </row>
    <row r="123">
      <c r="A123" s="303">
        <v>18.0</v>
      </c>
      <c r="B123" s="374" t="s">
        <v>1981</v>
      </c>
      <c r="C123" s="303">
        <v>1.0</v>
      </c>
      <c r="D123" s="304"/>
      <c r="E123" s="327"/>
      <c r="F123" s="374" t="s">
        <v>1982</v>
      </c>
      <c r="G123" s="303" t="s">
        <v>1954</v>
      </c>
      <c r="H123" s="303" t="s">
        <v>1980</v>
      </c>
    </row>
    <row r="124">
      <c r="A124" s="303">
        <v>19.0</v>
      </c>
      <c r="B124" s="374" t="s">
        <v>1983</v>
      </c>
      <c r="C124" s="303">
        <v>1.0</v>
      </c>
      <c r="D124" s="304"/>
      <c r="E124" s="327"/>
      <c r="F124" s="374" t="s">
        <v>1984</v>
      </c>
      <c r="G124" s="303" t="s">
        <v>1985</v>
      </c>
      <c r="H124" s="303" t="s">
        <v>1980</v>
      </c>
    </row>
    <row r="125">
      <c r="A125" s="303">
        <v>20.0</v>
      </c>
      <c r="B125" s="374" t="s">
        <v>1983</v>
      </c>
      <c r="C125" s="303">
        <v>1.0</v>
      </c>
      <c r="D125" s="304"/>
      <c r="E125" s="327"/>
      <c r="F125" s="374" t="s">
        <v>1986</v>
      </c>
      <c r="G125" s="303" t="s">
        <v>1954</v>
      </c>
      <c r="H125" s="303" t="s">
        <v>1980</v>
      </c>
    </row>
    <row r="126">
      <c r="A126" s="303">
        <v>21.0</v>
      </c>
      <c r="B126" s="374" t="s">
        <v>1983</v>
      </c>
      <c r="C126" s="303">
        <v>1.0</v>
      </c>
      <c r="D126" s="304"/>
      <c r="E126" s="327"/>
      <c r="F126" s="374" t="s">
        <v>1987</v>
      </c>
      <c r="G126" s="303" t="s">
        <v>1954</v>
      </c>
      <c r="H126" s="303" t="s">
        <v>1980</v>
      </c>
    </row>
    <row r="127">
      <c r="A127" s="303">
        <v>22.0</v>
      </c>
      <c r="B127" s="374" t="s">
        <v>1988</v>
      </c>
      <c r="C127" s="303">
        <v>1.0</v>
      </c>
      <c r="D127" s="304"/>
      <c r="E127" s="327"/>
      <c r="F127" s="374" t="s">
        <v>1989</v>
      </c>
      <c r="G127" s="303" t="s">
        <v>1954</v>
      </c>
      <c r="H127" s="303" t="s">
        <v>1980</v>
      </c>
    </row>
    <row r="128">
      <c r="A128" s="303">
        <v>23.0</v>
      </c>
      <c r="B128" s="374" t="s">
        <v>1990</v>
      </c>
      <c r="C128" s="303">
        <v>1.0</v>
      </c>
      <c r="D128" s="304"/>
      <c r="E128" s="327"/>
      <c r="F128" s="375" t="s">
        <v>1991</v>
      </c>
      <c r="G128" s="303" t="s">
        <v>1954</v>
      </c>
      <c r="H128" s="303" t="s">
        <v>1980</v>
      </c>
    </row>
    <row r="129">
      <c r="A129" s="303">
        <v>24.0</v>
      </c>
      <c r="B129" s="374" t="s">
        <v>1992</v>
      </c>
      <c r="C129" s="303">
        <v>1.0</v>
      </c>
      <c r="D129" s="304"/>
      <c r="E129" s="327"/>
      <c r="F129" s="375" t="s">
        <v>1993</v>
      </c>
      <c r="G129" s="303" t="s">
        <v>1994</v>
      </c>
      <c r="H129" s="376">
        <v>45730.0</v>
      </c>
    </row>
    <row r="130">
      <c r="A130" s="322" t="s">
        <v>1562</v>
      </c>
      <c r="B130" s="3"/>
      <c r="C130" s="303">
        <f>sum(C106:C123)</f>
        <v>19</v>
      </c>
      <c r="D130" s="304">
        <f>sum(D106:D122)</f>
        <v>150.6</v>
      </c>
      <c r="E130" s="327">
        <f>sum(E106:E123)</f>
        <v>1</v>
      </c>
      <c r="F130" s="303"/>
      <c r="G130" s="303"/>
      <c r="H130" s="305"/>
    </row>
    <row r="131">
      <c r="A131" s="299"/>
      <c r="B131" s="299"/>
      <c r="C131" s="299"/>
      <c r="D131" s="300"/>
      <c r="E131" s="331"/>
      <c r="F131" s="299"/>
      <c r="G131" s="299"/>
      <c r="H131" s="301"/>
    </row>
    <row r="132">
      <c r="A132" s="332" t="s">
        <v>1995</v>
      </c>
      <c r="B132" s="2"/>
      <c r="C132" s="2"/>
      <c r="D132" s="2"/>
      <c r="E132" s="2"/>
      <c r="F132" s="2"/>
      <c r="G132" s="2"/>
      <c r="H132" s="3"/>
    </row>
    <row r="133">
      <c r="A133" s="333" t="s">
        <v>1435</v>
      </c>
      <c r="B133" s="333" t="s">
        <v>1436</v>
      </c>
      <c r="C133" s="333" t="s">
        <v>1843</v>
      </c>
      <c r="D133" s="334" t="s">
        <v>1438</v>
      </c>
      <c r="E133" s="335" t="s">
        <v>1564</v>
      </c>
      <c r="F133" s="333" t="s">
        <v>1440</v>
      </c>
      <c r="G133" s="333" t="s">
        <v>1844</v>
      </c>
      <c r="H133" s="336" t="s">
        <v>1441</v>
      </c>
    </row>
    <row r="134">
      <c r="A134" s="310">
        <v>1.0</v>
      </c>
      <c r="B134" s="310" t="s">
        <v>1443</v>
      </c>
      <c r="C134" s="310">
        <v>1.0</v>
      </c>
      <c r="D134" s="311">
        <v>144.0</v>
      </c>
      <c r="E134" s="377"/>
      <c r="F134" s="310" t="s">
        <v>1518</v>
      </c>
      <c r="G134" s="310" t="s">
        <v>1446</v>
      </c>
      <c r="H134" s="378"/>
    </row>
    <row r="135">
      <c r="A135" s="310">
        <v>2.0</v>
      </c>
      <c r="B135" s="310" t="s">
        <v>1444</v>
      </c>
      <c r="C135" s="310">
        <v>2.0</v>
      </c>
      <c r="D135" s="311">
        <f>C135*1.6</f>
        <v>3.2</v>
      </c>
      <c r="E135" s="377"/>
      <c r="F135" s="310" t="s">
        <v>1518</v>
      </c>
      <c r="G135" s="310" t="s">
        <v>1446</v>
      </c>
      <c r="H135" s="378">
        <v>44574.0</v>
      </c>
    </row>
    <row r="136">
      <c r="A136" s="310">
        <v>3.0</v>
      </c>
      <c r="B136" s="310" t="s">
        <v>1853</v>
      </c>
      <c r="C136" s="310">
        <v>1.0</v>
      </c>
      <c r="D136" s="311">
        <v>5.0</v>
      </c>
      <c r="E136" s="377">
        <v>1.0</v>
      </c>
      <c r="F136" s="310" t="s">
        <v>1518</v>
      </c>
      <c r="G136" s="310" t="s">
        <v>1446</v>
      </c>
      <c r="H136" s="378">
        <v>44596.0</v>
      </c>
    </row>
    <row r="137">
      <c r="A137" s="310">
        <v>4.0</v>
      </c>
      <c r="B137" s="379" t="s">
        <v>1996</v>
      </c>
      <c r="C137" s="380">
        <v>1.0</v>
      </c>
      <c r="D137" s="363">
        <v>8.8</v>
      </c>
      <c r="E137" s="331">
        <v>1.0</v>
      </c>
      <c r="F137" s="380" t="s">
        <v>1997</v>
      </c>
      <c r="G137" s="299" t="s">
        <v>1998</v>
      </c>
      <c r="H137" s="301">
        <v>45734.0</v>
      </c>
    </row>
    <row r="138">
      <c r="A138" s="310">
        <v>5.0</v>
      </c>
      <c r="B138" s="379" t="s">
        <v>1999</v>
      </c>
      <c r="C138" s="380">
        <v>1.0</v>
      </c>
      <c r="D138" s="363">
        <v>21.1</v>
      </c>
      <c r="E138" s="331">
        <v>2.0</v>
      </c>
      <c r="F138" s="380" t="s">
        <v>2000</v>
      </c>
      <c r="G138" s="299" t="s">
        <v>1998</v>
      </c>
      <c r="H138" s="301">
        <v>45734.0</v>
      </c>
    </row>
    <row r="139">
      <c r="A139" s="310">
        <v>6.0</v>
      </c>
      <c r="B139" s="379" t="s">
        <v>1999</v>
      </c>
      <c r="C139" s="380">
        <v>1.0</v>
      </c>
      <c r="D139" s="363">
        <v>21.1</v>
      </c>
      <c r="E139" s="331">
        <v>2.0</v>
      </c>
      <c r="F139" s="380" t="s">
        <v>2001</v>
      </c>
      <c r="G139" s="299" t="s">
        <v>1998</v>
      </c>
      <c r="H139" s="301">
        <v>45734.0</v>
      </c>
    </row>
    <row r="140">
      <c r="A140" s="310">
        <v>7.0</v>
      </c>
      <c r="B140" s="379" t="s">
        <v>1999</v>
      </c>
      <c r="C140" s="380">
        <v>1.0</v>
      </c>
      <c r="D140" s="363">
        <v>21.1</v>
      </c>
      <c r="E140" s="331">
        <v>2.0</v>
      </c>
      <c r="F140" s="380" t="s">
        <v>2002</v>
      </c>
      <c r="G140" s="299" t="s">
        <v>1998</v>
      </c>
      <c r="H140" s="301">
        <v>45734.0</v>
      </c>
    </row>
    <row r="141">
      <c r="A141" s="310">
        <v>8.0</v>
      </c>
      <c r="B141" s="379" t="s">
        <v>1999</v>
      </c>
      <c r="C141" s="380">
        <v>1.0</v>
      </c>
      <c r="D141" s="363">
        <v>21.1</v>
      </c>
      <c r="E141" s="331">
        <v>2.0</v>
      </c>
      <c r="F141" s="380" t="s">
        <v>2003</v>
      </c>
      <c r="G141" s="299" t="s">
        <v>1998</v>
      </c>
      <c r="H141" s="301">
        <v>45734.0</v>
      </c>
    </row>
    <row r="142">
      <c r="A142" s="381">
        <v>9.0</v>
      </c>
      <c r="B142" s="303" t="s">
        <v>2004</v>
      </c>
      <c r="C142" s="303"/>
      <c r="D142" s="304"/>
      <c r="E142" s="327"/>
      <c r="F142" s="303" t="s">
        <v>2005</v>
      </c>
      <c r="G142" s="240" t="s">
        <v>1446</v>
      </c>
      <c r="H142" s="303" t="s">
        <v>2006</v>
      </c>
    </row>
    <row r="143">
      <c r="A143" s="381">
        <v>10.0</v>
      </c>
      <c r="B143" s="303" t="s">
        <v>2007</v>
      </c>
      <c r="C143" s="303"/>
      <c r="D143" s="304"/>
      <c r="E143" s="327"/>
      <c r="F143" s="303" t="s">
        <v>2008</v>
      </c>
      <c r="G143" s="240" t="s">
        <v>1446</v>
      </c>
      <c r="H143" s="303" t="s">
        <v>2009</v>
      </c>
    </row>
    <row r="144">
      <c r="A144" s="240">
        <v>11.0</v>
      </c>
      <c r="B144" s="240" t="s">
        <v>2010</v>
      </c>
      <c r="C144" s="240"/>
      <c r="D144" s="382"/>
      <c r="E144" s="383"/>
      <c r="F144" s="384" t="s">
        <v>2011</v>
      </c>
      <c r="G144" s="240" t="s">
        <v>2012</v>
      </c>
      <c r="H144" s="376">
        <v>45763.0</v>
      </c>
    </row>
    <row r="145">
      <c r="A145" s="312">
        <v>12.0</v>
      </c>
      <c r="B145" s="385" t="s">
        <v>1999</v>
      </c>
      <c r="C145" s="312">
        <v>1.0</v>
      </c>
      <c r="D145" s="386">
        <v>21.1</v>
      </c>
      <c r="E145" s="387">
        <v>2.0</v>
      </c>
      <c r="F145" s="385" t="s">
        <v>2013</v>
      </c>
      <c r="G145" s="312" t="s">
        <v>1446</v>
      </c>
      <c r="H145" s="313">
        <v>45763.0</v>
      </c>
    </row>
    <row r="146">
      <c r="A146" s="312">
        <v>13.0</v>
      </c>
      <c r="B146" s="385" t="s">
        <v>1999</v>
      </c>
      <c r="C146" s="312">
        <v>1.0</v>
      </c>
      <c r="D146" s="386">
        <v>21.1</v>
      </c>
      <c r="E146" s="387">
        <v>2.0</v>
      </c>
      <c r="F146" s="385" t="s">
        <v>2014</v>
      </c>
      <c r="G146" s="312" t="s">
        <v>1446</v>
      </c>
      <c r="H146" s="313">
        <v>45763.0</v>
      </c>
    </row>
    <row r="147">
      <c r="A147" s="312">
        <v>14.0</v>
      </c>
      <c r="B147" s="385" t="s">
        <v>1999</v>
      </c>
      <c r="C147" s="312">
        <v>1.0</v>
      </c>
      <c r="D147" s="386">
        <v>21.1</v>
      </c>
      <c r="E147" s="387">
        <v>2.0</v>
      </c>
      <c r="F147" s="385" t="s">
        <v>2015</v>
      </c>
      <c r="G147" s="312" t="s">
        <v>1446</v>
      </c>
      <c r="H147" s="313">
        <v>45763.0</v>
      </c>
    </row>
    <row r="148">
      <c r="A148" s="240">
        <v>15.0</v>
      </c>
      <c r="B148" s="240" t="s">
        <v>2016</v>
      </c>
      <c r="C148" s="240"/>
      <c r="D148" s="382"/>
      <c r="E148" s="387"/>
      <c r="F148" s="240" t="s">
        <v>2017</v>
      </c>
      <c r="G148" s="240" t="s">
        <v>2018</v>
      </c>
      <c r="H148" s="376">
        <v>45796.0</v>
      </c>
    </row>
    <row r="149">
      <c r="A149" s="240">
        <v>16.0</v>
      </c>
      <c r="B149" s="388" t="s">
        <v>2019</v>
      </c>
      <c r="C149" s="240"/>
      <c r="D149" s="382"/>
      <c r="E149" s="387"/>
      <c r="F149" s="389" t="s">
        <v>2020</v>
      </c>
      <c r="G149" s="240" t="s">
        <v>300</v>
      </c>
      <c r="H149" s="376">
        <v>45989.0</v>
      </c>
    </row>
    <row r="150">
      <c r="A150" s="344">
        <v>17.0</v>
      </c>
      <c r="B150" s="390" t="s">
        <v>2021</v>
      </c>
      <c r="C150" s="344">
        <v>1.0</v>
      </c>
      <c r="D150" s="391">
        <v>9.8</v>
      </c>
      <c r="E150" s="387">
        <v>1.0</v>
      </c>
      <c r="F150" s="392"/>
      <c r="G150" s="344" t="s">
        <v>1554</v>
      </c>
      <c r="H150" s="393"/>
    </row>
    <row r="151">
      <c r="A151" s="344">
        <v>18.0</v>
      </c>
      <c r="B151" s="390" t="s">
        <v>2022</v>
      </c>
      <c r="C151" s="344">
        <v>1.0</v>
      </c>
      <c r="D151" s="391">
        <v>26.5</v>
      </c>
      <c r="E151" s="387">
        <v>2.0</v>
      </c>
      <c r="F151" s="392"/>
      <c r="G151" s="344" t="s">
        <v>1554</v>
      </c>
      <c r="H151" s="393"/>
    </row>
    <row r="152">
      <c r="A152" s="344">
        <v>19.0</v>
      </c>
      <c r="B152" s="390" t="s">
        <v>2022</v>
      </c>
      <c r="C152" s="344">
        <v>1.0</v>
      </c>
      <c r="D152" s="394">
        <v>46168.0</v>
      </c>
      <c r="E152" s="387">
        <v>2.0</v>
      </c>
      <c r="F152" s="392"/>
      <c r="G152" s="344" t="s">
        <v>1554</v>
      </c>
      <c r="H152" s="393"/>
    </row>
    <row r="153">
      <c r="A153" s="312"/>
      <c r="B153" s="312" t="s">
        <v>1562</v>
      </c>
      <c r="C153" s="310">
        <f t="shared" ref="C153:E153" si="4">SUM(C134:C152)</f>
        <v>15</v>
      </c>
      <c r="D153" s="311">
        <f t="shared" si="4"/>
        <v>46513</v>
      </c>
      <c r="E153" s="377">
        <f t="shared" si="4"/>
        <v>21</v>
      </c>
      <c r="F153" s="310"/>
      <c r="G153" s="310"/>
      <c r="H153" s="310"/>
    </row>
    <row r="154">
      <c r="A154" s="299"/>
      <c r="B154" s="299"/>
      <c r="C154" s="299"/>
      <c r="D154" s="300"/>
      <c r="E154" s="331"/>
      <c r="F154" s="299"/>
      <c r="G154" s="299"/>
      <c r="H154" s="301"/>
    </row>
    <row r="155" ht="30.75" customHeight="1">
      <c r="A155" s="358" t="s">
        <v>2023</v>
      </c>
      <c r="B155" s="2"/>
      <c r="C155" s="2"/>
      <c r="D155" s="2"/>
      <c r="E155" s="2"/>
      <c r="F155" s="2"/>
      <c r="G155" s="2"/>
      <c r="H155" s="3"/>
    </row>
    <row r="156" ht="30.75" customHeight="1">
      <c r="A156" s="295" t="s">
        <v>1435</v>
      </c>
      <c r="B156" s="296" t="s">
        <v>1436</v>
      </c>
      <c r="C156" s="295" t="s">
        <v>1843</v>
      </c>
      <c r="D156" s="395" t="s">
        <v>1684</v>
      </c>
      <c r="E156" s="359" t="s">
        <v>1564</v>
      </c>
      <c r="F156" s="295" t="s">
        <v>1440</v>
      </c>
      <c r="G156" s="295" t="s">
        <v>1844</v>
      </c>
      <c r="H156" s="298" t="s">
        <v>1441</v>
      </c>
    </row>
    <row r="157">
      <c r="A157" s="299">
        <v>1.0</v>
      </c>
      <c r="B157" s="299" t="s">
        <v>1443</v>
      </c>
      <c r="C157" s="299">
        <v>1.0</v>
      </c>
      <c r="D157" s="396">
        <v>144.0</v>
      </c>
      <c r="E157" s="331"/>
      <c r="F157" s="299" t="s">
        <v>1518</v>
      </c>
      <c r="G157" s="299" t="s">
        <v>1446</v>
      </c>
      <c r="H157" s="301"/>
    </row>
    <row r="158">
      <c r="A158" s="299">
        <v>2.0</v>
      </c>
      <c r="B158" s="299" t="s">
        <v>1444</v>
      </c>
      <c r="C158" s="299">
        <v>2.0</v>
      </c>
      <c r="D158" s="396">
        <v>1.6</v>
      </c>
      <c r="E158" s="360"/>
      <c r="F158" s="299" t="s">
        <v>1518</v>
      </c>
      <c r="G158" s="299" t="s">
        <v>1446</v>
      </c>
      <c r="H158" s="301">
        <v>44574.0</v>
      </c>
    </row>
    <row r="159">
      <c r="A159" s="299">
        <v>3.0</v>
      </c>
      <c r="B159" s="299" t="s">
        <v>1853</v>
      </c>
      <c r="C159" s="299">
        <v>1.0</v>
      </c>
      <c r="D159" s="396">
        <v>5.0</v>
      </c>
      <c r="E159" s="331">
        <v>1.0</v>
      </c>
      <c r="F159" s="299" t="s">
        <v>1518</v>
      </c>
      <c r="G159" s="299" t="s">
        <v>1446</v>
      </c>
      <c r="H159" s="301">
        <v>44596.0</v>
      </c>
    </row>
    <row r="160">
      <c r="A160" s="299">
        <v>4.0</v>
      </c>
      <c r="B160" s="380" t="s">
        <v>2024</v>
      </c>
      <c r="C160" s="299">
        <v>1.0</v>
      </c>
      <c r="D160" s="397">
        <v>3.8</v>
      </c>
      <c r="E160" s="331">
        <v>1.0</v>
      </c>
      <c r="F160" s="380" t="s">
        <v>2025</v>
      </c>
      <c r="G160" s="299" t="s">
        <v>1446</v>
      </c>
      <c r="H160" s="301">
        <v>44613.0</v>
      </c>
    </row>
    <row r="161">
      <c r="A161" s="299">
        <v>5.0</v>
      </c>
      <c r="B161" s="380" t="s">
        <v>2026</v>
      </c>
      <c r="C161" s="299">
        <v>1.0</v>
      </c>
      <c r="D161" s="397">
        <v>1.7</v>
      </c>
      <c r="E161" s="331">
        <v>1.0</v>
      </c>
      <c r="F161" s="380" t="s">
        <v>2027</v>
      </c>
      <c r="G161" s="299" t="s">
        <v>1446</v>
      </c>
      <c r="H161" s="301">
        <v>44613.0</v>
      </c>
    </row>
    <row r="162">
      <c r="A162" s="299">
        <v>6.0</v>
      </c>
      <c r="B162" s="380" t="s">
        <v>2028</v>
      </c>
      <c r="C162" s="299">
        <v>1.0</v>
      </c>
      <c r="D162" s="397">
        <v>7.1</v>
      </c>
      <c r="E162" s="331">
        <v>1.0</v>
      </c>
      <c r="F162" s="380" t="s">
        <v>2029</v>
      </c>
      <c r="G162" s="299" t="s">
        <v>1446</v>
      </c>
      <c r="H162" s="301">
        <v>44613.0</v>
      </c>
    </row>
    <row r="163">
      <c r="A163" s="299">
        <v>7.0</v>
      </c>
      <c r="B163" s="380" t="s">
        <v>2030</v>
      </c>
      <c r="C163" s="299">
        <v>1.0</v>
      </c>
      <c r="D163" s="397">
        <v>14.2</v>
      </c>
      <c r="E163" s="331">
        <v>1.0</v>
      </c>
      <c r="F163" s="380" t="s">
        <v>2031</v>
      </c>
      <c r="G163" s="299" t="s">
        <v>1446</v>
      </c>
      <c r="H163" s="301">
        <v>44613.0</v>
      </c>
    </row>
    <row r="164">
      <c r="A164" s="299">
        <v>8.0</v>
      </c>
      <c r="B164" s="398" t="s">
        <v>2032</v>
      </c>
      <c r="C164" s="303"/>
      <c r="D164" s="399"/>
      <c r="E164" s="327"/>
      <c r="F164" s="398" t="s">
        <v>2033</v>
      </c>
      <c r="G164" s="303" t="s">
        <v>2034</v>
      </c>
      <c r="H164" s="305">
        <v>44613.0</v>
      </c>
    </row>
    <row r="165">
      <c r="A165" s="299">
        <v>9.0</v>
      </c>
      <c r="B165" s="380" t="s">
        <v>2035</v>
      </c>
      <c r="C165" s="299">
        <v>1.0</v>
      </c>
      <c r="D165" s="397">
        <v>6.0</v>
      </c>
      <c r="E165" s="331">
        <v>1.0</v>
      </c>
      <c r="F165" s="380" t="s">
        <v>2036</v>
      </c>
      <c r="G165" s="299" t="s">
        <v>1446</v>
      </c>
      <c r="H165" s="301">
        <v>44613.0</v>
      </c>
    </row>
    <row r="166">
      <c r="A166" s="299">
        <v>10.0</v>
      </c>
      <c r="B166" s="303" t="s">
        <v>2037</v>
      </c>
      <c r="C166" s="303"/>
      <c r="D166" s="399"/>
      <c r="E166" s="327"/>
      <c r="F166" s="303" t="s">
        <v>2038</v>
      </c>
      <c r="G166" s="303" t="s">
        <v>2039</v>
      </c>
      <c r="H166" s="305">
        <v>44673.0</v>
      </c>
    </row>
    <row r="167">
      <c r="A167" s="299">
        <v>11.0</v>
      </c>
      <c r="B167" s="303" t="s">
        <v>2037</v>
      </c>
      <c r="C167" s="303"/>
      <c r="D167" s="399"/>
      <c r="E167" s="327"/>
      <c r="F167" s="303" t="s">
        <v>2040</v>
      </c>
      <c r="G167" s="303" t="s">
        <v>2039</v>
      </c>
      <c r="H167" s="305">
        <v>44673.0</v>
      </c>
    </row>
    <row r="168">
      <c r="A168" s="299">
        <v>12.0</v>
      </c>
      <c r="B168" s="303" t="s">
        <v>2037</v>
      </c>
      <c r="C168" s="303"/>
      <c r="D168" s="399"/>
      <c r="E168" s="327"/>
      <c r="F168" s="303" t="s">
        <v>2041</v>
      </c>
      <c r="G168" s="303" t="s">
        <v>2039</v>
      </c>
      <c r="H168" s="305">
        <v>44673.0</v>
      </c>
    </row>
    <row r="169">
      <c r="A169" s="299">
        <v>13.0</v>
      </c>
      <c r="B169" s="303" t="s">
        <v>2037</v>
      </c>
      <c r="C169" s="303"/>
      <c r="D169" s="399"/>
      <c r="E169" s="327"/>
      <c r="F169" s="303" t="s">
        <v>2042</v>
      </c>
      <c r="G169" s="303" t="s">
        <v>2039</v>
      </c>
      <c r="H169" s="305">
        <v>44673.0</v>
      </c>
    </row>
    <row r="170">
      <c r="A170" s="299">
        <v>14.0</v>
      </c>
      <c r="B170" s="303" t="s">
        <v>2037</v>
      </c>
      <c r="C170" s="303"/>
      <c r="D170" s="399"/>
      <c r="E170" s="327"/>
      <c r="F170" s="303" t="s">
        <v>2043</v>
      </c>
      <c r="G170" s="303" t="s">
        <v>2039</v>
      </c>
      <c r="H170" s="305">
        <v>44673.0</v>
      </c>
    </row>
    <row r="171">
      <c r="A171" s="299">
        <v>15.0</v>
      </c>
      <c r="B171" s="303" t="s">
        <v>2037</v>
      </c>
      <c r="C171" s="303"/>
      <c r="D171" s="399"/>
      <c r="E171" s="327"/>
      <c r="F171" s="303" t="s">
        <v>2044</v>
      </c>
      <c r="G171" s="303" t="s">
        <v>2039</v>
      </c>
      <c r="H171" s="305">
        <v>44673.0</v>
      </c>
    </row>
    <row r="172">
      <c r="A172" s="299">
        <v>16.0</v>
      </c>
      <c r="B172" s="303" t="s">
        <v>2037</v>
      </c>
      <c r="C172" s="303"/>
      <c r="D172" s="399"/>
      <c r="E172" s="327"/>
      <c r="F172" s="303" t="s">
        <v>2045</v>
      </c>
      <c r="G172" s="303" t="s">
        <v>2039</v>
      </c>
      <c r="H172" s="305">
        <v>44673.0</v>
      </c>
    </row>
    <row r="173">
      <c r="A173" s="299">
        <v>17.0</v>
      </c>
      <c r="B173" s="303" t="s">
        <v>2037</v>
      </c>
      <c r="C173" s="303"/>
      <c r="D173" s="399"/>
      <c r="E173" s="327"/>
      <c r="F173" s="303" t="s">
        <v>2046</v>
      </c>
      <c r="G173" s="303" t="s">
        <v>2039</v>
      </c>
      <c r="H173" s="305">
        <v>44673.0</v>
      </c>
    </row>
    <row r="174">
      <c r="A174" s="299">
        <v>18.0</v>
      </c>
      <c r="B174" s="303" t="s">
        <v>2037</v>
      </c>
      <c r="C174" s="303"/>
      <c r="D174" s="399"/>
      <c r="E174" s="327"/>
      <c r="F174" s="303" t="s">
        <v>2047</v>
      </c>
      <c r="G174" s="303" t="s">
        <v>2039</v>
      </c>
      <c r="H174" s="305">
        <v>44673.0</v>
      </c>
    </row>
    <row r="175">
      <c r="A175" s="299">
        <v>19.0</v>
      </c>
      <c r="B175" s="303" t="s">
        <v>2037</v>
      </c>
      <c r="C175" s="303"/>
      <c r="D175" s="399"/>
      <c r="E175" s="327"/>
      <c r="F175" s="303" t="s">
        <v>2048</v>
      </c>
      <c r="G175" s="303" t="s">
        <v>2039</v>
      </c>
      <c r="H175" s="305">
        <v>44673.0</v>
      </c>
    </row>
    <row r="176">
      <c r="A176" s="299">
        <v>20.0</v>
      </c>
      <c r="B176" s="303" t="s">
        <v>2037</v>
      </c>
      <c r="C176" s="303"/>
      <c r="D176" s="399"/>
      <c r="E176" s="327"/>
      <c r="F176" s="303" t="s">
        <v>2049</v>
      </c>
      <c r="G176" s="303" t="s">
        <v>2039</v>
      </c>
      <c r="H176" s="305">
        <v>44673.0</v>
      </c>
    </row>
    <row r="177">
      <c r="A177" s="299">
        <v>21.0</v>
      </c>
      <c r="B177" s="303" t="s">
        <v>2037</v>
      </c>
      <c r="C177" s="303"/>
      <c r="D177" s="399"/>
      <c r="E177" s="327"/>
      <c r="F177" s="303" t="s">
        <v>2050</v>
      </c>
      <c r="G177" s="303" t="s">
        <v>2039</v>
      </c>
      <c r="H177" s="305">
        <v>44673.0</v>
      </c>
    </row>
    <row r="178">
      <c r="A178" s="299">
        <v>22.0</v>
      </c>
      <c r="B178" s="303" t="s">
        <v>2037</v>
      </c>
      <c r="C178" s="303"/>
      <c r="D178" s="399"/>
      <c r="E178" s="327"/>
      <c r="F178" s="398" t="s">
        <v>2051</v>
      </c>
      <c r="G178" s="303" t="s">
        <v>2039</v>
      </c>
      <c r="H178" s="305">
        <v>44673.0</v>
      </c>
    </row>
    <row r="179">
      <c r="A179" s="299">
        <v>23.0</v>
      </c>
      <c r="B179" s="303" t="s">
        <v>2052</v>
      </c>
      <c r="C179" s="303"/>
      <c r="D179" s="399"/>
      <c r="E179" s="327"/>
      <c r="F179" s="398" t="s">
        <v>2053</v>
      </c>
      <c r="G179" s="303" t="s">
        <v>2039</v>
      </c>
      <c r="H179" s="305">
        <v>44742.0</v>
      </c>
    </row>
    <row r="180">
      <c r="A180" s="299">
        <v>24.0</v>
      </c>
      <c r="B180" s="299" t="s">
        <v>2054</v>
      </c>
      <c r="C180" s="299">
        <v>1.0</v>
      </c>
      <c r="D180" s="397">
        <v>15.7</v>
      </c>
      <c r="E180" s="331">
        <v>2.0</v>
      </c>
      <c r="F180" s="380" t="s">
        <v>2055</v>
      </c>
      <c r="G180" s="299" t="s">
        <v>1446</v>
      </c>
      <c r="H180" s="301">
        <v>44917.0</v>
      </c>
    </row>
    <row r="181">
      <c r="A181" s="299">
        <v>25.0</v>
      </c>
      <c r="B181" s="303" t="s">
        <v>2056</v>
      </c>
      <c r="C181" s="303"/>
      <c r="D181" s="399"/>
      <c r="E181" s="327"/>
      <c r="F181" s="303" t="s">
        <v>2057</v>
      </c>
      <c r="G181" s="303" t="s">
        <v>2058</v>
      </c>
      <c r="H181" s="305">
        <v>44923.0</v>
      </c>
    </row>
    <row r="182">
      <c r="A182" s="299">
        <v>26.0</v>
      </c>
      <c r="B182" s="303" t="s">
        <v>2056</v>
      </c>
      <c r="C182" s="303"/>
      <c r="D182" s="399"/>
      <c r="E182" s="327"/>
      <c r="F182" s="303" t="s">
        <v>2059</v>
      </c>
      <c r="G182" s="303" t="s">
        <v>2060</v>
      </c>
      <c r="H182" s="305">
        <v>44923.0</v>
      </c>
    </row>
    <row r="183">
      <c r="A183" s="299">
        <v>27.0</v>
      </c>
      <c r="B183" s="303" t="s">
        <v>2061</v>
      </c>
      <c r="C183" s="303"/>
      <c r="D183" s="399"/>
      <c r="E183" s="327"/>
      <c r="F183" s="303" t="s">
        <v>2062</v>
      </c>
      <c r="G183" s="303" t="s">
        <v>2063</v>
      </c>
      <c r="H183" s="305">
        <v>44923.0</v>
      </c>
    </row>
    <row r="184">
      <c r="A184" s="299">
        <v>28.0</v>
      </c>
      <c r="B184" s="308" t="s">
        <v>1458</v>
      </c>
      <c r="C184" s="308">
        <v>1.0</v>
      </c>
      <c r="D184" s="314">
        <v>2.4</v>
      </c>
      <c r="E184" s="365">
        <v>1.0</v>
      </c>
      <c r="F184" s="308" t="s">
        <v>2064</v>
      </c>
      <c r="G184" s="299" t="s">
        <v>1446</v>
      </c>
      <c r="H184" s="315">
        <v>44970.0</v>
      </c>
    </row>
    <row r="185">
      <c r="A185" s="299">
        <v>29.0</v>
      </c>
      <c r="B185" s="303" t="s">
        <v>1458</v>
      </c>
      <c r="C185" s="303"/>
      <c r="D185" s="304"/>
      <c r="E185" s="327"/>
      <c r="F185" s="303" t="s">
        <v>2065</v>
      </c>
      <c r="G185" s="303" t="s">
        <v>1446</v>
      </c>
      <c r="H185" s="305">
        <v>44970.0</v>
      </c>
    </row>
    <row r="186">
      <c r="A186" s="299">
        <v>30.0</v>
      </c>
      <c r="B186" s="308" t="s">
        <v>2066</v>
      </c>
      <c r="C186" s="308">
        <v>1.0</v>
      </c>
      <c r="D186" s="314">
        <v>29.5</v>
      </c>
      <c r="E186" s="365">
        <v>2.0</v>
      </c>
      <c r="F186" s="308" t="s">
        <v>2067</v>
      </c>
      <c r="G186" s="299" t="s">
        <v>1446</v>
      </c>
      <c r="H186" s="315">
        <v>44970.0</v>
      </c>
    </row>
    <row r="187">
      <c r="A187" s="299">
        <v>31.0</v>
      </c>
      <c r="B187" s="303" t="s">
        <v>2068</v>
      </c>
      <c r="C187" s="303"/>
      <c r="D187" s="304"/>
      <c r="E187" s="327"/>
      <c r="F187" s="206" t="s">
        <v>2069</v>
      </c>
      <c r="G187" s="303" t="s">
        <v>2070</v>
      </c>
      <c r="H187" s="305">
        <v>45019.0</v>
      </c>
    </row>
    <row r="188">
      <c r="A188" s="299">
        <v>32.0</v>
      </c>
      <c r="B188" s="303" t="s">
        <v>2071</v>
      </c>
      <c r="C188" s="303"/>
      <c r="D188" s="304"/>
      <c r="E188" s="327"/>
      <c r="F188" s="303" t="s">
        <v>2072</v>
      </c>
      <c r="G188" s="303" t="s">
        <v>2073</v>
      </c>
      <c r="H188" s="305">
        <v>45019.0</v>
      </c>
    </row>
    <row r="189">
      <c r="A189" s="299">
        <v>33.0</v>
      </c>
      <c r="B189" s="303" t="s">
        <v>2074</v>
      </c>
      <c r="C189" s="303"/>
      <c r="D189" s="304"/>
      <c r="E189" s="327"/>
      <c r="F189" s="206" t="s">
        <v>2075</v>
      </c>
      <c r="G189" s="303" t="s">
        <v>2073</v>
      </c>
      <c r="H189" s="305">
        <v>45019.0</v>
      </c>
    </row>
    <row r="190">
      <c r="A190" s="299">
        <v>34.0</v>
      </c>
      <c r="B190" s="308" t="s">
        <v>2076</v>
      </c>
      <c r="C190" s="308">
        <v>1.0</v>
      </c>
      <c r="D190" s="314">
        <v>17.4</v>
      </c>
      <c r="E190" s="365" t="s">
        <v>2077</v>
      </c>
      <c r="F190" s="308" t="s">
        <v>2078</v>
      </c>
      <c r="G190" s="308" t="s">
        <v>1852</v>
      </c>
      <c r="H190" s="315">
        <v>45112.0</v>
      </c>
    </row>
    <row r="191">
      <c r="A191" s="299">
        <v>35.0</v>
      </c>
      <c r="B191" s="299" t="s">
        <v>2079</v>
      </c>
      <c r="C191" s="308">
        <v>1.0</v>
      </c>
      <c r="D191" s="314">
        <v>10.6</v>
      </c>
      <c r="E191" s="365">
        <v>1.0</v>
      </c>
      <c r="F191" s="299" t="s">
        <v>2080</v>
      </c>
      <c r="G191" s="299" t="s">
        <v>1446</v>
      </c>
      <c r="H191" s="315">
        <v>45022.0</v>
      </c>
    </row>
    <row r="192">
      <c r="A192" s="299">
        <v>36.0</v>
      </c>
      <c r="B192" s="299" t="s">
        <v>1579</v>
      </c>
      <c r="C192" s="299">
        <v>1.0</v>
      </c>
      <c r="D192" s="300">
        <v>1.5</v>
      </c>
      <c r="E192" s="331">
        <v>1.0</v>
      </c>
      <c r="F192" s="299" t="s">
        <v>2081</v>
      </c>
      <c r="G192" s="299" t="s">
        <v>1446</v>
      </c>
      <c r="H192" s="301">
        <v>45163.0</v>
      </c>
    </row>
    <row r="193">
      <c r="A193" s="299">
        <v>37.0</v>
      </c>
      <c r="B193" s="299" t="s">
        <v>2082</v>
      </c>
      <c r="C193" s="299">
        <v>1.0</v>
      </c>
      <c r="D193" s="300">
        <v>14.7</v>
      </c>
      <c r="E193" s="331">
        <v>1.0</v>
      </c>
      <c r="F193" s="299" t="s">
        <v>2083</v>
      </c>
      <c r="G193" s="299" t="s">
        <v>1446</v>
      </c>
      <c r="H193" s="301">
        <v>45266.0</v>
      </c>
    </row>
    <row r="194">
      <c r="A194" s="299">
        <v>38.0</v>
      </c>
      <c r="B194" s="299" t="s">
        <v>2082</v>
      </c>
      <c r="C194" s="299">
        <v>1.0</v>
      </c>
      <c r="D194" s="300">
        <v>14.7</v>
      </c>
      <c r="E194" s="331">
        <v>1.0</v>
      </c>
      <c r="F194" s="299" t="s">
        <v>2084</v>
      </c>
      <c r="G194" s="299" t="s">
        <v>1554</v>
      </c>
      <c r="H194" s="301">
        <v>45278.0</v>
      </c>
    </row>
    <row r="195">
      <c r="A195" s="303">
        <v>39.0</v>
      </c>
      <c r="B195" s="303" t="s">
        <v>2085</v>
      </c>
      <c r="C195" s="303">
        <v>1.0</v>
      </c>
      <c r="D195" s="304">
        <v>25.0</v>
      </c>
      <c r="E195" s="327">
        <v>2.0</v>
      </c>
      <c r="F195" s="303" t="s">
        <v>2086</v>
      </c>
      <c r="G195" s="303" t="s">
        <v>2087</v>
      </c>
      <c r="H195" s="305">
        <v>45322.0</v>
      </c>
    </row>
    <row r="196">
      <c r="A196" s="303">
        <v>40.0</v>
      </c>
      <c r="B196" s="303" t="s">
        <v>2085</v>
      </c>
      <c r="C196" s="303">
        <v>1.0</v>
      </c>
      <c r="D196" s="304">
        <v>25.0</v>
      </c>
      <c r="E196" s="327">
        <v>2.0</v>
      </c>
      <c r="F196" s="303" t="s">
        <v>2088</v>
      </c>
      <c r="G196" s="303" t="s">
        <v>2087</v>
      </c>
      <c r="H196" s="305">
        <v>45322.0</v>
      </c>
    </row>
    <row r="197">
      <c r="A197" s="303">
        <v>41.0</v>
      </c>
      <c r="B197" s="303" t="s">
        <v>2089</v>
      </c>
      <c r="C197" s="303">
        <v>1.0</v>
      </c>
      <c r="D197" s="304">
        <v>29.5</v>
      </c>
      <c r="E197" s="327">
        <v>2.0</v>
      </c>
      <c r="F197" s="303" t="s">
        <v>2090</v>
      </c>
      <c r="G197" s="303" t="s">
        <v>2087</v>
      </c>
      <c r="H197" s="305">
        <v>45322.0</v>
      </c>
    </row>
    <row r="198">
      <c r="A198" s="303">
        <v>42.0</v>
      </c>
      <c r="B198" s="303" t="s">
        <v>2091</v>
      </c>
      <c r="C198" s="303">
        <v>1.0</v>
      </c>
      <c r="D198" s="304">
        <v>15.0</v>
      </c>
      <c r="E198" s="327">
        <v>2.0</v>
      </c>
      <c r="F198" s="303" t="s">
        <v>2092</v>
      </c>
      <c r="G198" s="303" t="s">
        <v>2087</v>
      </c>
      <c r="H198" s="305">
        <v>45322.0</v>
      </c>
    </row>
    <row r="199">
      <c r="A199" s="303">
        <v>43.0</v>
      </c>
      <c r="B199" s="303" t="s">
        <v>2091</v>
      </c>
      <c r="C199" s="303">
        <v>1.0</v>
      </c>
      <c r="D199" s="304">
        <v>14.7</v>
      </c>
      <c r="E199" s="327">
        <v>2.0</v>
      </c>
      <c r="F199" s="303" t="s">
        <v>2093</v>
      </c>
      <c r="G199" s="303" t="s">
        <v>2087</v>
      </c>
      <c r="H199" s="305">
        <v>45322.0</v>
      </c>
    </row>
    <row r="200">
      <c r="A200" s="308">
        <v>44.0</v>
      </c>
      <c r="B200" s="308" t="s">
        <v>2094</v>
      </c>
      <c r="C200" s="308">
        <v>1.0</v>
      </c>
      <c r="D200" s="314">
        <v>1.0</v>
      </c>
      <c r="E200" s="365"/>
      <c r="F200" s="308" t="s">
        <v>2095</v>
      </c>
      <c r="G200" s="308" t="s">
        <v>1554</v>
      </c>
      <c r="H200" s="315">
        <v>45322.0</v>
      </c>
    </row>
    <row r="201">
      <c r="A201" s="303">
        <v>45.0</v>
      </c>
      <c r="B201" s="303" t="s">
        <v>2096</v>
      </c>
      <c r="C201" s="303">
        <v>1.0</v>
      </c>
      <c r="D201" s="304">
        <v>14.7</v>
      </c>
      <c r="E201" s="327">
        <v>2.0</v>
      </c>
      <c r="F201" s="303" t="s">
        <v>2097</v>
      </c>
      <c r="G201" s="303" t="s">
        <v>2087</v>
      </c>
      <c r="H201" s="305">
        <v>45322.0</v>
      </c>
    </row>
    <row r="202">
      <c r="A202" s="303">
        <v>46.0</v>
      </c>
      <c r="B202" s="303" t="s">
        <v>2098</v>
      </c>
      <c r="C202" s="303">
        <v>1.0</v>
      </c>
      <c r="D202" s="304">
        <v>1.0</v>
      </c>
      <c r="E202" s="327"/>
      <c r="F202" s="303" t="s">
        <v>2099</v>
      </c>
      <c r="G202" s="303" t="s">
        <v>2087</v>
      </c>
      <c r="H202" s="305">
        <v>45322.0</v>
      </c>
    </row>
    <row r="203">
      <c r="A203" s="303">
        <v>47.0</v>
      </c>
      <c r="B203" s="303" t="s">
        <v>2100</v>
      </c>
      <c r="C203" s="303">
        <v>1.0</v>
      </c>
      <c r="D203" s="304">
        <v>1.0</v>
      </c>
      <c r="E203" s="327">
        <v>1.0</v>
      </c>
      <c r="F203" s="303" t="s">
        <v>1554</v>
      </c>
      <c r="G203" s="303" t="s">
        <v>2087</v>
      </c>
      <c r="H203" s="305">
        <v>45322.0</v>
      </c>
    </row>
    <row r="204">
      <c r="A204" s="299">
        <v>48.0</v>
      </c>
      <c r="B204" s="303" t="s">
        <v>2101</v>
      </c>
      <c r="C204" s="303"/>
      <c r="D204" s="304"/>
      <c r="E204" s="327"/>
      <c r="F204" s="303" t="s">
        <v>2102</v>
      </c>
      <c r="G204" s="303" t="s">
        <v>1554</v>
      </c>
      <c r="H204" s="305">
        <v>45322.0</v>
      </c>
    </row>
    <row r="205">
      <c r="A205" s="299">
        <v>49.0</v>
      </c>
      <c r="B205" s="303" t="s">
        <v>1579</v>
      </c>
      <c r="C205" s="303"/>
      <c r="D205" s="304"/>
      <c r="E205" s="327"/>
      <c r="F205" s="375" t="s">
        <v>2103</v>
      </c>
      <c r="G205" s="303" t="s">
        <v>1554</v>
      </c>
      <c r="H205" s="303" t="s">
        <v>2104</v>
      </c>
    </row>
    <row r="206">
      <c r="A206" s="299">
        <v>50.0</v>
      </c>
      <c r="B206" s="308" t="s">
        <v>2105</v>
      </c>
      <c r="C206" s="308">
        <v>1.0</v>
      </c>
      <c r="D206" s="314"/>
      <c r="E206" s="365"/>
      <c r="F206" s="400" t="s">
        <v>2106</v>
      </c>
      <c r="G206" s="308"/>
      <c r="H206" s="315"/>
    </row>
    <row r="207">
      <c r="A207" s="299">
        <v>51.0</v>
      </c>
      <c r="B207" s="308" t="s">
        <v>2016</v>
      </c>
      <c r="C207" s="308">
        <v>1.0</v>
      </c>
      <c r="D207" s="314">
        <v>15.4</v>
      </c>
      <c r="E207" s="365">
        <v>1.0</v>
      </c>
      <c r="F207" s="400" t="s">
        <v>2107</v>
      </c>
      <c r="G207" s="308" t="s">
        <v>2108</v>
      </c>
      <c r="H207" s="315">
        <v>45793.0</v>
      </c>
    </row>
    <row r="208">
      <c r="A208" s="299">
        <v>52.0</v>
      </c>
      <c r="B208" s="308" t="s">
        <v>2016</v>
      </c>
      <c r="C208" s="308">
        <v>1.0</v>
      </c>
      <c r="D208" s="314">
        <v>18.0</v>
      </c>
      <c r="E208" s="365">
        <v>1.0</v>
      </c>
      <c r="F208" s="400" t="s">
        <v>2109</v>
      </c>
      <c r="G208" s="308" t="s">
        <v>2108</v>
      </c>
      <c r="H208" s="315">
        <v>45859.0</v>
      </c>
    </row>
    <row r="209">
      <c r="A209" s="303">
        <v>53.0</v>
      </c>
      <c r="B209" s="401" t="s">
        <v>2110</v>
      </c>
      <c r="C209" s="303">
        <v>1.0</v>
      </c>
      <c r="D209" s="362"/>
      <c r="E209" s="327" t="s">
        <v>2111</v>
      </c>
      <c r="F209" s="401" t="s">
        <v>2112</v>
      </c>
      <c r="G209" s="303" t="s">
        <v>2087</v>
      </c>
      <c r="H209" s="305"/>
    </row>
    <row r="210">
      <c r="A210" s="299">
        <v>54.0</v>
      </c>
      <c r="B210" s="402" t="s">
        <v>2113</v>
      </c>
      <c r="C210" s="308">
        <v>1.0</v>
      </c>
      <c r="D210" s="403">
        <v>10.4</v>
      </c>
      <c r="E210" s="365">
        <v>1.0</v>
      </c>
      <c r="F210" s="402" t="s">
        <v>2114</v>
      </c>
      <c r="G210" s="308" t="s">
        <v>1447</v>
      </c>
      <c r="H210" s="315">
        <v>45931.0</v>
      </c>
    </row>
    <row r="211">
      <c r="A211" s="299">
        <v>55.0</v>
      </c>
      <c r="B211" s="402" t="s">
        <v>2115</v>
      </c>
      <c r="C211" s="308">
        <v>1.0</v>
      </c>
      <c r="D211" s="403">
        <v>2.7</v>
      </c>
      <c r="E211" s="365">
        <v>1.0</v>
      </c>
      <c r="F211" s="402" t="s">
        <v>2116</v>
      </c>
      <c r="G211" s="308" t="s">
        <v>1447</v>
      </c>
      <c r="H211" s="315">
        <v>45931.0</v>
      </c>
    </row>
    <row r="212">
      <c r="A212" s="299">
        <v>56.0</v>
      </c>
      <c r="B212" s="404" t="s">
        <v>2110</v>
      </c>
      <c r="C212" s="299">
        <v>1.0</v>
      </c>
      <c r="D212" s="363"/>
      <c r="E212" s="331">
        <v>1.0</v>
      </c>
      <c r="F212" s="404" t="s">
        <v>2117</v>
      </c>
      <c r="G212" s="299" t="s">
        <v>2118</v>
      </c>
      <c r="H212" s="301">
        <v>46002.0</v>
      </c>
    </row>
    <row r="213">
      <c r="A213" s="299"/>
      <c r="B213" s="405"/>
      <c r="C213" s="299">
        <f t="shared" ref="C213:E213" si="5">SUM(C157:C209)</f>
        <v>30</v>
      </c>
      <c r="D213" s="363">
        <f t="shared" si="5"/>
        <v>450.2</v>
      </c>
      <c r="E213" s="331">
        <f t="shared" si="5"/>
        <v>30</v>
      </c>
      <c r="F213" s="405"/>
      <c r="G213" s="299"/>
      <c r="H213" s="301"/>
    </row>
    <row r="214">
      <c r="A214" s="299"/>
      <c r="B214" s="380"/>
      <c r="C214" s="299"/>
      <c r="D214" s="363"/>
      <c r="E214" s="331"/>
      <c r="F214" s="380"/>
      <c r="G214" s="299"/>
      <c r="H214" s="301"/>
    </row>
    <row r="215" ht="29.25" customHeight="1">
      <c r="A215" s="145" t="s">
        <v>2119</v>
      </c>
      <c r="B215" s="2"/>
      <c r="C215" s="2"/>
      <c r="D215" s="2"/>
      <c r="E215" s="2"/>
      <c r="F215" s="2"/>
      <c r="G215" s="2"/>
      <c r="H215" s="3"/>
    </row>
    <row r="216" ht="29.25" customHeight="1">
      <c r="A216" s="146" t="s">
        <v>1435</v>
      </c>
      <c r="B216" s="147" t="s">
        <v>1436</v>
      </c>
      <c r="C216" s="146" t="s">
        <v>1843</v>
      </c>
      <c r="D216" s="148" t="s">
        <v>1438</v>
      </c>
      <c r="E216" s="149" t="s">
        <v>1564</v>
      </c>
      <c r="F216" s="146" t="s">
        <v>1440</v>
      </c>
      <c r="G216" s="146" t="s">
        <v>1844</v>
      </c>
      <c r="H216" s="150" t="s">
        <v>1441</v>
      </c>
    </row>
    <row r="217">
      <c r="A217" s="151">
        <v>1.0</v>
      </c>
      <c r="B217" s="151" t="s">
        <v>1443</v>
      </c>
      <c r="C217" s="151">
        <v>1.0</v>
      </c>
      <c r="D217" s="152">
        <v>144.0</v>
      </c>
      <c r="E217" s="157"/>
      <c r="F217" s="151" t="s">
        <v>1518</v>
      </c>
      <c r="G217" s="151" t="s">
        <v>1446</v>
      </c>
      <c r="H217" s="155"/>
    </row>
    <row r="218">
      <c r="A218" s="151">
        <v>2.0</v>
      </c>
      <c r="B218" s="151" t="s">
        <v>1444</v>
      </c>
      <c r="C218" s="151">
        <v>4.0</v>
      </c>
      <c r="D218" s="152">
        <f>C218*3.2</f>
        <v>12.8</v>
      </c>
      <c r="E218" s="153"/>
      <c r="F218" s="151" t="s">
        <v>1518</v>
      </c>
      <c r="G218" s="151" t="s">
        <v>1446</v>
      </c>
      <c r="H218" s="155">
        <v>44574.0</v>
      </c>
    </row>
    <row r="219">
      <c r="A219" s="151">
        <v>3.0</v>
      </c>
      <c r="B219" s="151" t="s">
        <v>1853</v>
      </c>
      <c r="C219" s="151">
        <v>2.0</v>
      </c>
      <c r="D219" s="152">
        <f>5*C219</f>
        <v>10</v>
      </c>
      <c r="E219" s="157">
        <f>1*C219</f>
        <v>2</v>
      </c>
      <c r="F219" s="151" t="s">
        <v>1518</v>
      </c>
      <c r="G219" s="151" t="s">
        <v>1446</v>
      </c>
      <c r="H219" s="155">
        <v>44596.0</v>
      </c>
    </row>
    <row r="220">
      <c r="A220" s="151">
        <v>4.0</v>
      </c>
      <c r="B220" s="151" t="s">
        <v>2120</v>
      </c>
      <c r="C220" s="151">
        <v>1.0</v>
      </c>
      <c r="D220" s="152">
        <v>10.4</v>
      </c>
      <c r="E220" s="157">
        <v>1.0</v>
      </c>
      <c r="F220" s="151" t="s">
        <v>2121</v>
      </c>
      <c r="G220" s="151" t="s">
        <v>1446</v>
      </c>
      <c r="H220" s="155">
        <v>44601.0</v>
      </c>
    </row>
    <row r="221">
      <c r="A221" s="151">
        <v>5.0</v>
      </c>
      <c r="B221" s="151" t="s">
        <v>2122</v>
      </c>
      <c r="C221" s="151">
        <v>1.0</v>
      </c>
      <c r="D221" s="152">
        <v>14.4</v>
      </c>
      <c r="E221" s="157">
        <v>1.0</v>
      </c>
      <c r="F221" s="151" t="s">
        <v>2123</v>
      </c>
      <c r="G221" s="151" t="s">
        <v>1446</v>
      </c>
      <c r="H221" s="155">
        <v>44602.0</v>
      </c>
    </row>
    <row r="222">
      <c r="A222" s="151">
        <v>6.0</v>
      </c>
      <c r="B222" s="151" t="s">
        <v>2124</v>
      </c>
      <c r="C222" s="151">
        <v>1.0</v>
      </c>
      <c r="D222" s="152">
        <v>21.1</v>
      </c>
      <c r="E222" s="157">
        <v>1.0</v>
      </c>
      <c r="F222" s="151" t="s">
        <v>2125</v>
      </c>
      <c r="G222" s="151" t="s">
        <v>1446</v>
      </c>
      <c r="H222" s="155">
        <v>44602.0</v>
      </c>
    </row>
    <row r="223">
      <c r="A223" s="162">
        <v>7.0</v>
      </c>
      <c r="B223" s="406" t="s">
        <v>2126</v>
      </c>
      <c r="C223" s="406"/>
      <c r="D223" s="407"/>
      <c r="E223" s="167"/>
      <c r="F223" s="406" t="s">
        <v>2127</v>
      </c>
      <c r="G223" s="162" t="s">
        <v>425</v>
      </c>
      <c r="H223" s="164">
        <v>44602.0</v>
      </c>
    </row>
    <row r="224">
      <c r="A224" s="162">
        <v>8.0</v>
      </c>
      <c r="B224" s="406" t="s">
        <v>2126</v>
      </c>
      <c r="C224" s="406"/>
      <c r="D224" s="407"/>
      <c r="E224" s="167"/>
      <c r="F224" s="406" t="s">
        <v>2128</v>
      </c>
      <c r="G224" s="162" t="s">
        <v>425</v>
      </c>
      <c r="H224" s="164">
        <v>44602.0</v>
      </c>
    </row>
    <row r="225">
      <c r="A225" s="162">
        <v>9.0</v>
      </c>
      <c r="B225" s="406" t="s">
        <v>2126</v>
      </c>
      <c r="C225" s="406"/>
      <c r="D225" s="407"/>
      <c r="E225" s="167"/>
      <c r="F225" s="406" t="s">
        <v>2129</v>
      </c>
      <c r="G225" s="162" t="s">
        <v>425</v>
      </c>
      <c r="H225" s="164">
        <v>44602.0</v>
      </c>
    </row>
    <row r="226">
      <c r="A226" s="162">
        <v>10.0</v>
      </c>
      <c r="B226" s="406" t="s">
        <v>2130</v>
      </c>
      <c r="C226" s="406"/>
      <c r="D226" s="407"/>
      <c r="E226" s="167"/>
      <c r="F226" s="406" t="s">
        <v>2131</v>
      </c>
      <c r="G226" s="162" t="s">
        <v>2132</v>
      </c>
      <c r="H226" s="164">
        <v>44602.0</v>
      </c>
    </row>
    <row r="227">
      <c r="A227" s="162">
        <v>11.0</v>
      </c>
      <c r="B227" s="406" t="s">
        <v>2133</v>
      </c>
      <c r="C227" s="406"/>
      <c r="D227" s="407"/>
      <c r="E227" s="167"/>
      <c r="F227" s="406" t="s">
        <v>2134</v>
      </c>
      <c r="G227" s="162" t="s">
        <v>2135</v>
      </c>
      <c r="H227" s="164">
        <v>44602.0</v>
      </c>
    </row>
    <row r="228">
      <c r="A228" s="162">
        <v>12.0</v>
      </c>
      <c r="B228" s="406" t="s">
        <v>2136</v>
      </c>
      <c r="C228" s="406"/>
      <c r="D228" s="407"/>
      <c r="E228" s="167"/>
      <c r="F228" s="406" t="s">
        <v>2137</v>
      </c>
      <c r="G228" s="162" t="s">
        <v>2138</v>
      </c>
      <c r="H228" s="164">
        <v>44602.0</v>
      </c>
    </row>
    <row r="229">
      <c r="A229" s="162">
        <v>13.0</v>
      </c>
      <c r="B229" s="406" t="s">
        <v>2139</v>
      </c>
      <c r="C229" s="406"/>
      <c r="D229" s="407"/>
      <c r="E229" s="167"/>
      <c r="F229" s="406" t="s">
        <v>2140</v>
      </c>
      <c r="G229" s="162" t="s">
        <v>1446</v>
      </c>
      <c r="H229" s="162" t="s">
        <v>2141</v>
      </c>
    </row>
    <row r="230">
      <c r="A230" s="151">
        <v>14.0</v>
      </c>
      <c r="B230" s="408" t="s">
        <v>2142</v>
      </c>
      <c r="C230" s="408">
        <v>1.0</v>
      </c>
      <c r="D230" s="409">
        <v>1.9</v>
      </c>
      <c r="E230" s="157">
        <v>1.0</v>
      </c>
      <c r="F230" s="408" t="s">
        <v>2143</v>
      </c>
      <c r="G230" s="151" t="s">
        <v>1446</v>
      </c>
      <c r="H230" s="155">
        <v>44629.0</v>
      </c>
    </row>
    <row r="231">
      <c r="A231" s="162">
        <v>15.0</v>
      </c>
      <c r="B231" s="406" t="s">
        <v>2144</v>
      </c>
      <c r="C231" s="406"/>
      <c r="D231" s="407"/>
      <c r="E231" s="167"/>
      <c r="F231" s="162" t="s">
        <v>2145</v>
      </c>
      <c r="G231" s="162" t="s">
        <v>2146</v>
      </c>
      <c r="H231" s="164">
        <v>44630.0</v>
      </c>
    </row>
    <row r="232">
      <c r="A232" s="162">
        <v>16.0</v>
      </c>
      <c r="B232" s="406" t="s">
        <v>2147</v>
      </c>
      <c r="C232" s="406"/>
      <c r="D232" s="407"/>
      <c r="E232" s="167"/>
      <c r="F232" s="406"/>
      <c r="G232" s="162" t="s">
        <v>1446</v>
      </c>
      <c r="H232" s="164">
        <v>44642.0</v>
      </c>
    </row>
    <row r="233">
      <c r="A233" s="162">
        <v>17.0</v>
      </c>
      <c r="B233" s="406" t="s">
        <v>2147</v>
      </c>
      <c r="C233" s="406"/>
      <c r="D233" s="407"/>
      <c r="E233" s="167"/>
      <c r="F233" s="410"/>
      <c r="G233" s="162" t="s">
        <v>1446</v>
      </c>
      <c r="H233" s="164">
        <v>44642.0</v>
      </c>
    </row>
    <row r="234">
      <c r="A234" s="162">
        <v>18.0</v>
      </c>
      <c r="B234" s="406" t="s">
        <v>2148</v>
      </c>
      <c r="C234" s="406"/>
      <c r="D234" s="407"/>
      <c r="E234" s="167"/>
      <c r="F234" s="406"/>
      <c r="G234" s="162" t="s">
        <v>2149</v>
      </c>
      <c r="H234" s="164">
        <v>44642.0</v>
      </c>
    </row>
    <row r="235">
      <c r="A235" s="162">
        <v>19.0</v>
      </c>
      <c r="B235" s="406" t="s">
        <v>1996</v>
      </c>
      <c r="C235" s="406"/>
      <c r="D235" s="407"/>
      <c r="E235" s="167"/>
      <c r="F235" s="406" t="s">
        <v>1997</v>
      </c>
      <c r="G235" s="162" t="s">
        <v>2150</v>
      </c>
      <c r="H235" s="164">
        <v>44673.0</v>
      </c>
    </row>
    <row r="236">
      <c r="A236" s="162">
        <v>20.0</v>
      </c>
      <c r="B236" s="406" t="s">
        <v>1999</v>
      </c>
      <c r="C236" s="406"/>
      <c r="D236" s="407"/>
      <c r="E236" s="167"/>
      <c r="F236" s="406" t="s">
        <v>2000</v>
      </c>
      <c r="G236" s="162" t="s">
        <v>2150</v>
      </c>
      <c r="H236" s="164">
        <v>44673.0</v>
      </c>
    </row>
    <row r="237">
      <c r="A237" s="162">
        <v>21.0</v>
      </c>
      <c r="B237" s="406" t="s">
        <v>1999</v>
      </c>
      <c r="C237" s="406"/>
      <c r="D237" s="407"/>
      <c r="E237" s="167"/>
      <c r="F237" s="406" t="s">
        <v>2001</v>
      </c>
      <c r="G237" s="162" t="s">
        <v>2150</v>
      </c>
      <c r="H237" s="164">
        <v>44673.0</v>
      </c>
    </row>
    <row r="238">
      <c r="A238" s="162">
        <v>22.0</v>
      </c>
      <c r="B238" s="406" t="s">
        <v>1999</v>
      </c>
      <c r="C238" s="406"/>
      <c r="D238" s="407"/>
      <c r="E238" s="167"/>
      <c r="F238" s="406" t="s">
        <v>2002</v>
      </c>
      <c r="G238" s="162" t="s">
        <v>2150</v>
      </c>
      <c r="H238" s="164">
        <v>44673.0</v>
      </c>
    </row>
    <row r="239">
      <c r="A239" s="162">
        <v>23.0</v>
      </c>
      <c r="B239" s="406" t="s">
        <v>1999</v>
      </c>
      <c r="C239" s="406"/>
      <c r="D239" s="407"/>
      <c r="E239" s="167"/>
      <c r="F239" s="406" t="s">
        <v>2003</v>
      </c>
      <c r="G239" s="162" t="s">
        <v>2150</v>
      </c>
      <c r="H239" s="164">
        <v>44673.0</v>
      </c>
    </row>
    <row r="240">
      <c r="A240" s="162">
        <v>24.0</v>
      </c>
      <c r="B240" s="406" t="s">
        <v>1741</v>
      </c>
      <c r="C240" s="406"/>
      <c r="D240" s="407"/>
      <c r="E240" s="167"/>
      <c r="F240" s="406" t="s">
        <v>2151</v>
      </c>
      <c r="G240" s="162" t="s">
        <v>2152</v>
      </c>
      <c r="H240" s="164">
        <v>44673.0</v>
      </c>
    </row>
    <row r="241">
      <c r="A241" s="162">
        <v>25.0</v>
      </c>
      <c r="B241" s="406" t="s">
        <v>1741</v>
      </c>
      <c r="C241" s="406"/>
      <c r="D241" s="407"/>
      <c r="E241" s="167"/>
      <c r="F241" s="406" t="s">
        <v>2153</v>
      </c>
      <c r="G241" s="162" t="s">
        <v>2154</v>
      </c>
      <c r="H241" s="164">
        <v>44673.0</v>
      </c>
    </row>
    <row r="242">
      <c r="A242" s="162">
        <v>26.0</v>
      </c>
      <c r="B242" s="162" t="s">
        <v>2155</v>
      </c>
      <c r="C242" s="406"/>
      <c r="D242" s="407"/>
      <c r="E242" s="167"/>
      <c r="F242" s="410" t="s">
        <v>2156</v>
      </c>
      <c r="G242" s="162" t="s">
        <v>1446</v>
      </c>
      <c r="H242" s="162" t="s">
        <v>2157</v>
      </c>
    </row>
    <row r="243">
      <c r="A243" s="162">
        <v>27.0</v>
      </c>
      <c r="B243" s="162" t="s">
        <v>2158</v>
      </c>
      <c r="C243" s="406"/>
      <c r="D243" s="407"/>
      <c r="E243" s="167"/>
      <c r="F243" s="406"/>
      <c r="G243" s="162" t="s">
        <v>425</v>
      </c>
      <c r="H243" s="196">
        <v>44890.0</v>
      </c>
    </row>
    <row r="244">
      <c r="A244" s="162">
        <v>28.0</v>
      </c>
      <c r="B244" s="162" t="s">
        <v>2159</v>
      </c>
      <c r="C244" s="406"/>
      <c r="D244" s="407"/>
      <c r="E244" s="167"/>
      <c r="F244" s="406"/>
      <c r="G244" s="162" t="s">
        <v>425</v>
      </c>
      <c r="H244" s="196">
        <v>44890.0</v>
      </c>
    </row>
    <row r="245">
      <c r="A245" s="162">
        <v>29.0</v>
      </c>
      <c r="B245" s="162" t="s">
        <v>1755</v>
      </c>
      <c r="C245" s="162"/>
      <c r="D245" s="163"/>
      <c r="E245" s="167"/>
      <c r="F245" s="162" t="s">
        <v>2160</v>
      </c>
      <c r="G245" s="162" t="s">
        <v>2161</v>
      </c>
      <c r="H245" s="164">
        <v>45593.0</v>
      </c>
    </row>
    <row r="246">
      <c r="A246" s="162">
        <v>30.0</v>
      </c>
      <c r="B246" s="261" t="s">
        <v>2162</v>
      </c>
      <c r="C246" s="162"/>
      <c r="D246" s="163"/>
      <c r="E246" s="167"/>
      <c r="F246" s="261" t="s">
        <v>2163</v>
      </c>
      <c r="G246" s="162" t="s">
        <v>2154</v>
      </c>
      <c r="H246" s="164">
        <v>45615.0</v>
      </c>
    </row>
    <row r="247">
      <c r="A247" s="162">
        <v>31.0</v>
      </c>
      <c r="B247" s="261" t="s">
        <v>2113</v>
      </c>
      <c r="C247" s="162"/>
      <c r="D247" s="163"/>
      <c r="E247" s="167"/>
      <c r="F247" s="261" t="s">
        <v>2164</v>
      </c>
      <c r="G247" s="162" t="s">
        <v>1446</v>
      </c>
      <c r="H247" s="162" t="s">
        <v>2165</v>
      </c>
    </row>
    <row r="248">
      <c r="A248" s="151">
        <v>32.0</v>
      </c>
      <c r="B248" s="270" t="s">
        <v>2166</v>
      </c>
      <c r="C248" s="151">
        <v>1.0</v>
      </c>
      <c r="D248" s="152">
        <v>23.3</v>
      </c>
      <c r="E248" s="157">
        <v>2.0</v>
      </c>
      <c r="F248" s="270" t="s">
        <v>2167</v>
      </c>
      <c r="G248" s="151" t="s">
        <v>1446</v>
      </c>
      <c r="H248" s="155">
        <v>45694.0</v>
      </c>
    </row>
    <row r="249">
      <c r="A249" s="261">
        <v>33.0</v>
      </c>
      <c r="B249" s="261" t="s">
        <v>2016</v>
      </c>
      <c r="C249" s="261"/>
      <c r="D249" s="411"/>
      <c r="E249" s="412"/>
      <c r="F249" s="261" t="s">
        <v>2017</v>
      </c>
      <c r="G249" s="261" t="s">
        <v>2168</v>
      </c>
      <c r="H249" s="261" t="s">
        <v>2169</v>
      </c>
    </row>
    <row r="250">
      <c r="A250" s="151">
        <v>34.0</v>
      </c>
      <c r="B250" s="151" t="s">
        <v>2170</v>
      </c>
      <c r="C250" s="151">
        <v>1.0</v>
      </c>
      <c r="D250" s="152">
        <v>17.4</v>
      </c>
      <c r="E250" s="157">
        <v>1.0</v>
      </c>
      <c r="F250" s="209" t="s">
        <v>2171</v>
      </c>
      <c r="G250" s="151" t="s">
        <v>1446</v>
      </c>
      <c r="H250" s="155">
        <v>45806.0</v>
      </c>
    </row>
    <row r="251">
      <c r="A251" s="162">
        <v>35.0</v>
      </c>
      <c r="B251" s="162" t="s">
        <v>2170</v>
      </c>
      <c r="C251" s="162"/>
      <c r="D251" s="163"/>
      <c r="E251" s="167"/>
      <c r="F251" s="162" t="s">
        <v>2172</v>
      </c>
      <c r="G251" s="162" t="s">
        <v>1446</v>
      </c>
      <c r="H251" s="162" t="s">
        <v>2173</v>
      </c>
    </row>
    <row r="252">
      <c r="A252" s="151">
        <v>36.0</v>
      </c>
      <c r="B252" s="209" t="s">
        <v>2010</v>
      </c>
      <c r="C252" s="209">
        <v>1.0</v>
      </c>
      <c r="D252" s="413">
        <v>1.4</v>
      </c>
      <c r="E252" s="414">
        <v>1.0</v>
      </c>
      <c r="F252" s="209" t="s">
        <v>2011</v>
      </c>
      <c r="G252" s="209" t="s">
        <v>2174</v>
      </c>
      <c r="H252" s="415">
        <v>45763.0</v>
      </c>
    </row>
    <row r="253">
      <c r="A253" s="151">
        <v>37.0</v>
      </c>
      <c r="B253" s="151" t="s">
        <v>2175</v>
      </c>
      <c r="C253" s="151">
        <v>1.0</v>
      </c>
      <c r="D253" s="152">
        <v>1.0</v>
      </c>
      <c r="E253" s="157">
        <v>1.0</v>
      </c>
      <c r="F253" s="151"/>
      <c r="G253" s="151" t="s">
        <v>1446</v>
      </c>
      <c r="H253" s="415"/>
    </row>
    <row r="254">
      <c r="A254" s="151">
        <v>38.0</v>
      </c>
      <c r="B254" s="270" t="s">
        <v>2176</v>
      </c>
      <c r="C254" s="151">
        <v>1.0</v>
      </c>
      <c r="D254" s="152">
        <v>21.7</v>
      </c>
      <c r="E254" s="157">
        <v>2.0</v>
      </c>
      <c r="F254" s="270" t="s">
        <v>2177</v>
      </c>
      <c r="G254" s="151" t="s">
        <v>1446</v>
      </c>
      <c r="H254" s="155">
        <v>45836.0</v>
      </c>
    </row>
    <row r="255">
      <c r="A255" s="151">
        <v>39.0</v>
      </c>
      <c r="B255" s="151" t="s">
        <v>1548</v>
      </c>
      <c r="C255" s="151">
        <v>1.0</v>
      </c>
      <c r="D255" s="152">
        <v>17.4</v>
      </c>
      <c r="E255" s="157">
        <v>1.0</v>
      </c>
      <c r="F255" s="270" t="s">
        <v>2178</v>
      </c>
      <c r="G255" s="151" t="s">
        <v>1446</v>
      </c>
      <c r="H255" s="155">
        <v>45860.0</v>
      </c>
    </row>
    <row r="256">
      <c r="A256" s="162">
        <v>40.0</v>
      </c>
      <c r="B256" s="162" t="s">
        <v>2179</v>
      </c>
      <c r="C256" s="162"/>
      <c r="D256" s="163"/>
      <c r="E256" s="167"/>
      <c r="F256" s="162"/>
      <c r="G256" s="261" t="s">
        <v>425</v>
      </c>
      <c r="H256" s="162" t="s">
        <v>2180</v>
      </c>
    </row>
    <row r="257">
      <c r="A257" s="162">
        <v>41.0</v>
      </c>
      <c r="B257" s="162" t="s">
        <v>2181</v>
      </c>
      <c r="C257" s="162"/>
      <c r="D257" s="163"/>
      <c r="E257" s="167"/>
      <c r="F257" s="162"/>
      <c r="G257" s="261" t="s">
        <v>425</v>
      </c>
      <c r="H257" s="416">
        <v>45882.0</v>
      </c>
    </row>
    <row r="258">
      <c r="A258" s="151">
        <v>42.0</v>
      </c>
      <c r="B258" s="211" t="s">
        <v>2007</v>
      </c>
      <c r="C258" s="211">
        <v>1.0</v>
      </c>
      <c r="D258" s="260">
        <v>2.0</v>
      </c>
      <c r="E258" s="252">
        <v>1.0</v>
      </c>
      <c r="F258" s="211" t="s">
        <v>2008</v>
      </c>
      <c r="G258" s="270" t="s">
        <v>2182</v>
      </c>
      <c r="H258" s="417">
        <v>45734.0</v>
      </c>
    </row>
    <row r="259">
      <c r="A259" s="162">
        <v>43.0</v>
      </c>
      <c r="B259" s="162" t="s">
        <v>2183</v>
      </c>
      <c r="C259" s="162"/>
      <c r="D259" s="163"/>
      <c r="E259" s="167"/>
      <c r="F259" s="162" t="s">
        <v>2184</v>
      </c>
      <c r="G259" s="162" t="s">
        <v>425</v>
      </c>
      <c r="H259" s="416">
        <v>45901.0</v>
      </c>
    </row>
    <row r="260">
      <c r="A260" s="151">
        <v>44.0</v>
      </c>
      <c r="B260" s="270" t="s">
        <v>1643</v>
      </c>
      <c r="C260" s="151">
        <v>1.0</v>
      </c>
      <c r="D260" s="152">
        <v>2.8</v>
      </c>
      <c r="E260" s="157">
        <v>1.0</v>
      </c>
      <c r="F260" s="270" t="s">
        <v>2185</v>
      </c>
      <c r="G260" s="151" t="s">
        <v>1446</v>
      </c>
      <c r="H260" s="155">
        <v>45924.0</v>
      </c>
    </row>
    <row r="261">
      <c r="A261" s="151">
        <v>45.0</v>
      </c>
      <c r="B261" s="270" t="s">
        <v>2113</v>
      </c>
      <c r="C261" s="151">
        <v>1.0</v>
      </c>
      <c r="D261" s="152">
        <v>17.5</v>
      </c>
      <c r="E261" s="157">
        <v>1.0</v>
      </c>
      <c r="F261" s="270" t="s">
        <v>2186</v>
      </c>
      <c r="G261" s="151" t="s">
        <v>1446</v>
      </c>
      <c r="H261" s="155">
        <v>45986.0</v>
      </c>
    </row>
    <row r="262">
      <c r="A262" s="151">
        <v>46.0</v>
      </c>
      <c r="B262" s="270" t="s">
        <v>2113</v>
      </c>
      <c r="C262" s="151">
        <v>1.0</v>
      </c>
      <c r="D262" s="152">
        <v>17.5</v>
      </c>
      <c r="E262" s="157">
        <v>1.0</v>
      </c>
      <c r="F262" s="418" t="s">
        <v>2187</v>
      </c>
      <c r="G262" s="151" t="s">
        <v>1447</v>
      </c>
      <c r="H262" s="155">
        <v>45988.0</v>
      </c>
    </row>
    <row r="263">
      <c r="A263" s="151"/>
      <c r="B263" s="209" t="s">
        <v>2113</v>
      </c>
      <c r="C263" s="151">
        <v>1.0</v>
      </c>
      <c r="D263" s="152">
        <v>17.5</v>
      </c>
      <c r="E263" s="157">
        <v>1.0</v>
      </c>
      <c r="F263" s="418" t="s">
        <v>2188</v>
      </c>
      <c r="G263" s="151" t="s">
        <v>1554</v>
      </c>
      <c r="H263" s="155">
        <v>46000.0</v>
      </c>
    </row>
    <row r="264">
      <c r="A264" s="162">
        <v>47.0</v>
      </c>
      <c r="B264" s="162" t="s">
        <v>2189</v>
      </c>
      <c r="C264" s="162"/>
      <c r="D264" s="163"/>
      <c r="E264" s="167"/>
      <c r="F264" s="410" t="s">
        <v>2190</v>
      </c>
      <c r="G264" s="162" t="s">
        <v>2161</v>
      </c>
      <c r="H264" s="164">
        <v>45995.0</v>
      </c>
    </row>
    <row r="265">
      <c r="A265" s="151">
        <v>48.0</v>
      </c>
      <c r="B265" s="151" t="s">
        <v>1872</v>
      </c>
      <c r="C265" s="151">
        <v>1.0</v>
      </c>
      <c r="D265" s="152">
        <v>10.4</v>
      </c>
      <c r="E265" s="157">
        <v>1.0</v>
      </c>
      <c r="F265" s="418"/>
      <c r="G265" s="151" t="s">
        <v>1554</v>
      </c>
      <c r="H265" s="155">
        <v>46035.0</v>
      </c>
    </row>
    <row r="266">
      <c r="A266" s="151">
        <v>49.0</v>
      </c>
      <c r="B266" s="151" t="s">
        <v>2191</v>
      </c>
      <c r="C266" s="151">
        <v>1.0</v>
      </c>
      <c r="D266" s="152">
        <v>1.5</v>
      </c>
      <c r="E266" s="157">
        <v>1.0</v>
      </c>
      <c r="F266" s="418"/>
      <c r="G266" s="151" t="s">
        <v>1554</v>
      </c>
      <c r="H266" s="155">
        <v>46035.0</v>
      </c>
    </row>
    <row r="267">
      <c r="A267" s="151">
        <v>50.0</v>
      </c>
      <c r="B267" s="151" t="s">
        <v>2022</v>
      </c>
      <c r="C267" s="151">
        <v>1.0</v>
      </c>
      <c r="D267" s="152">
        <v>26.5</v>
      </c>
      <c r="E267" s="157">
        <v>2.0</v>
      </c>
      <c r="F267" s="418"/>
      <c r="G267" s="151" t="s">
        <v>1554</v>
      </c>
      <c r="H267" s="155">
        <v>46035.0</v>
      </c>
    </row>
    <row r="268">
      <c r="A268" s="151">
        <v>51.0</v>
      </c>
      <c r="B268" s="151" t="s">
        <v>2022</v>
      </c>
      <c r="C268" s="151">
        <v>1.0</v>
      </c>
      <c r="D268" s="152">
        <v>26.5</v>
      </c>
      <c r="E268" s="157">
        <v>2.0</v>
      </c>
      <c r="F268" s="418"/>
      <c r="G268" s="151" t="s">
        <v>1554</v>
      </c>
      <c r="H268" s="155">
        <v>46035.0</v>
      </c>
    </row>
    <row r="269">
      <c r="A269" s="151">
        <v>52.0</v>
      </c>
      <c r="B269" s="151" t="s">
        <v>2192</v>
      </c>
      <c r="C269" s="151">
        <v>1.0</v>
      </c>
      <c r="D269" s="152">
        <v>16.0</v>
      </c>
      <c r="E269" s="157">
        <v>1.0</v>
      </c>
      <c r="F269" s="418" t="s">
        <v>2193</v>
      </c>
      <c r="G269" s="151" t="s">
        <v>1554</v>
      </c>
      <c r="H269" s="155">
        <v>46037.0</v>
      </c>
    </row>
    <row r="270">
      <c r="A270" s="151">
        <v>53.0</v>
      </c>
      <c r="B270" s="151" t="s">
        <v>2194</v>
      </c>
      <c r="C270" s="151">
        <v>1.0</v>
      </c>
      <c r="D270" s="152">
        <v>41.4</v>
      </c>
      <c r="E270" s="157">
        <v>2.0</v>
      </c>
      <c r="F270" s="418" t="s">
        <v>1707</v>
      </c>
      <c r="G270" s="151" t="s">
        <v>1554</v>
      </c>
      <c r="H270" s="155">
        <v>46106.0</v>
      </c>
    </row>
    <row r="271">
      <c r="A271" s="161" t="s">
        <v>1562</v>
      </c>
      <c r="B271" s="3"/>
      <c r="C271" s="151">
        <f>sum(C217:C269)</f>
        <v>27</v>
      </c>
      <c r="D271" s="152">
        <f>SUM(D217:D269)</f>
        <v>435</v>
      </c>
      <c r="E271" s="157">
        <f>sum(E217:E269)</f>
        <v>26</v>
      </c>
      <c r="F271" s="151"/>
      <c r="G271" s="155"/>
      <c r="H271" s="155"/>
    </row>
    <row r="272">
      <c r="A272" s="299"/>
      <c r="B272" s="380"/>
      <c r="C272" s="380"/>
      <c r="D272" s="363"/>
      <c r="E272" s="331"/>
      <c r="F272" s="380"/>
      <c r="G272" s="299"/>
      <c r="H272" s="301"/>
    </row>
    <row r="273">
      <c r="A273" s="299"/>
      <c r="B273" s="380"/>
      <c r="C273" s="380"/>
      <c r="D273" s="363"/>
      <c r="E273" s="331"/>
      <c r="F273" s="380"/>
      <c r="G273" s="299"/>
      <c r="H273" s="301"/>
    </row>
    <row r="274">
      <c r="A274" s="419" t="s">
        <v>2195</v>
      </c>
      <c r="B274" s="2"/>
      <c r="C274" s="2"/>
      <c r="D274" s="2"/>
      <c r="E274" s="2"/>
      <c r="F274" s="2"/>
      <c r="G274" s="2"/>
      <c r="H274" s="3"/>
    </row>
    <row r="275">
      <c r="A275" s="420" t="s">
        <v>1435</v>
      </c>
      <c r="B275" s="420" t="s">
        <v>1436</v>
      </c>
      <c r="C275" s="420" t="s">
        <v>1843</v>
      </c>
      <c r="D275" s="421" t="s">
        <v>1438</v>
      </c>
      <c r="E275" s="422" t="s">
        <v>1564</v>
      </c>
      <c r="F275" s="423" t="s">
        <v>1440</v>
      </c>
      <c r="G275" s="420" t="s">
        <v>1844</v>
      </c>
      <c r="H275" s="424" t="s">
        <v>1441</v>
      </c>
    </row>
    <row r="276">
      <c r="A276" s="425">
        <v>1.0</v>
      </c>
      <c r="B276" s="425" t="s">
        <v>1443</v>
      </c>
      <c r="C276" s="426">
        <v>1.0</v>
      </c>
      <c r="D276" s="427">
        <v>144.0</v>
      </c>
      <c r="E276" s="360"/>
      <c r="F276" s="425" t="s">
        <v>1518</v>
      </c>
      <c r="G276" s="425" t="s">
        <v>1446</v>
      </c>
      <c r="H276" s="428"/>
    </row>
    <row r="277">
      <c r="A277" s="425">
        <v>2.0</v>
      </c>
      <c r="B277" s="425" t="s">
        <v>1444</v>
      </c>
      <c r="C277" s="426">
        <v>2.0</v>
      </c>
      <c r="D277" s="427">
        <v>1.6</v>
      </c>
      <c r="E277" s="360"/>
      <c r="F277" s="425"/>
      <c r="G277" s="425" t="s">
        <v>1446</v>
      </c>
      <c r="H277" s="428">
        <v>44574.0</v>
      </c>
    </row>
    <row r="278">
      <c r="A278" s="425">
        <v>3.0</v>
      </c>
      <c r="B278" s="425" t="s">
        <v>1853</v>
      </c>
      <c r="C278" s="426">
        <v>1.0</v>
      </c>
      <c r="D278" s="427">
        <v>5.0</v>
      </c>
      <c r="E278" s="360">
        <v>1.0</v>
      </c>
      <c r="F278" s="425"/>
      <c r="G278" s="425" t="s">
        <v>1446</v>
      </c>
      <c r="H278" s="428">
        <v>44596.0</v>
      </c>
    </row>
    <row r="279">
      <c r="A279" s="425">
        <v>4.0</v>
      </c>
      <c r="B279" s="308" t="s">
        <v>2196</v>
      </c>
      <c r="C279" s="426">
        <v>1.0</v>
      </c>
      <c r="D279" s="300">
        <v>3.9</v>
      </c>
      <c r="E279" s="331">
        <v>1.0</v>
      </c>
      <c r="F279" s="299" t="s">
        <v>2197</v>
      </c>
      <c r="G279" s="425" t="s">
        <v>1446</v>
      </c>
      <c r="H279" s="301">
        <v>45091.0</v>
      </c>
    </row>
    <row r="280">
      <c r="A280" s="425">
        <v>5.0</v>
      </c>
      <c r="B280" s="308" t="s">
        <v>2198</v>
      </c>
      <c r="C280" s="426">
        <v>1.0</v>
      </c>
      <c r="D280" s="300">
        <v>1.7</v>
      </c>
      <c r="E280" s="331">
        <v>1.0</v>
      </c>
      <c r="F280" s="299" t="s">
        <v>2199</v>
      </c>
      <c r="G280" s="425" t="s">
        <v>1446</v>
      </c>
      <c r="H280" s="301">
        <v>45091.0</v>
      </c>
    </row>
    <row r="281">
      <c r="A281" s="425">
        <v>6.0</v>
      </c>
      <c r="B281" s="308" t="s">
        <v>2198</v>
      </c>
      <c r="C281" s="426">
        <v>1.0</v>
      </c>
      <c r="D281" s="300">
        <v>1.7</v>
      </c>
      <c r="E281" s="331">
        <v>1.0</v>
      </c>
      <c r="F281" s="299" t="s">
        <v>2200</v>
      </c>
      <c r="G281" s="425" t="s">
        <v>1446</v>
      </c>
      <c r="H281" s="301">
        <v>45091.0</v>
      </c>
    </row>
    <row r="282">
      <c r="A282" s="425">
        <v>7.0</v>
      </c>
      <c r="B282" s="308" t="s">
        <v>2201</v>
      </c>
      <c r="C282" s="426">
        <v>1.0</v>
      </c>
      <c r="D282" s="300">
        <v>7.1</v>
      </c>
      <c r="E282" s="331">
        <v>1.0</v>
      </c>
      <c r="F282" s="299"/>
      <c r="G282" s="425" t="s">
        <v>1446</v>
      </c>
      <c r="H282" s="301">
        <v>45091.0</v>
      </c>
    </row>
    <row r="283">
      <c r="A283" s="425">
        <v>8.0</v>
      </c>
      <c r="B283" s="308" t="s">
        <v>1862</v>
      </c>
      <c r="C283" s="426">
        <v>1.0</v>
      </c>
      <c r="D283" s="300">
        <v>12.1</v>
      </c>
      <c r="E283" s="331">
        <v>1.0</v>
      </c>
      <c r="F283" s="299">
        <v>2.5871892698E10</v>
      </c>
      <c r="G283" s="425" t="s">
        <v>1446</v>
      </c>
      <c r="H283" s="301">
        <v>45091.0</v>
      </c>
    </row>
    <row r="284">
      <c r="A284" s="425">
        <v>9.0</v>
      </c>
      <c r="B284" s="308" t="s">
        <v>2202</v>
      </c>
      <c r="C284" s="426">
        <v>1.0</v>
      </c>
      <c r="D284" s="300">
        <v>33.0</v>
      </c>
      <c r="E284" s="331">
        <v>1.0</v>
      </c>
      <c r="F284" s="299" t="s">
        <v>2203</v>
      </c>
      <c r="G284" s="425" t="s">
        <v>1446</v>
      </c>
      <c r="H284" s="301">
        <v>45091.0</v>
      </c>
    </row>
    <row r="285">
      <c r="A285" s="429">
        <v>10.0</v>
      </c>
      <c r="B285" s="303" t="s">
        <v>2204</v>
      </c>
      <c r="C285" s="430"/>
      <c r="D285" s="304"/>
      <c r="E285" s="327"/>
      <c r="F285" s="303" t="s">
        <v>2205</v>
      </c>
      <c r="G285" s="303" t="s">
        <v>2206</v>
      </c>
      <c r="H285" s="431">
        <v>45099.0</v>
      </c>
    </row>
    <row r="286">
      <c r="A286" s="425">
        <v>11.0</v>
      </c>
      <c r="B286" s="299" t="s">
        <v>1620</v>
      </c>
      <c r="C286" s="426">
        <v>1.0</v>
      </c>
      <c r="D286" s="300">
        <v>1.7</v>
      </c>
      <c r="E286" s="331">
        <v>1.0</v>
      </c>
      <c r="F286" s="308" t="s">
        <v>2207</v>
      </c>
      <c r="G286" s="425" t="s">
        <v>1446</v>
      </c>
      <c r="H286" s="301">
        <v>45099.0</v>
      </c>
    </row>
    <row r="287">
      <c r="A287" s="425">
        <v>12.0</v>
      </c>
      <c r="B287" s="299" t="s">
        <v>1482</v>
      </c>
      <c r="C287" s="426">
        <v>1.0</v>
      </c>
      <c r="D287" s="300">
        <v>19.0</v>
      </c>
      <c r="E287" s="331">
        <v>1.0</v>
      </c>
      <c r="F287" s="308" t="s">
        <v>2208</v>
      </c>
      <c r="G287" s="425" t="s">
        <v>1446</v>
      </c>
      <c r="H287" s="301">
        <v>45159.0</v>
      </c>
    </row>
    <row r="288">
      <c r="A288" s="429">
        <v>13.0</v>
      </c>
      <c r="B288" s="303" t="s">
        <v>2209</v>
      </c>
      <c r="C288" s="430"/>
      <c r="D288" s="304"/>
      <c r="E288" s="327"/>
      <c r="F288" s="303" t="s">
        <v>2210</v>
      </c>
      <c r="G288" s="303" t="s">
        <v>2211</v>
      </c>
      <c r="H288" s="305">
        <v>45163.0</v>
      </c>
    </row>
    <row r="289" ht="16.5" customHeight="1">
      <c r="A289" s="303">
        <v>14.0</v>
      </c>
      <c r="B289" s="206" t="s">
        <v>2212</v>
      </c>
      <c r="C289" s="430"/>
      <c r="D289" s="304"/>
      <c r="E289" s="327"/>
      <c r="F289" s="206" t="s">
        <v>2213</v>
      </c>
      <c r="G289" s="303" t="s">
        <v>300</v>
      </c>
      <c r="H289" s="303" t="s">
        <v>2214</v>
      </c>
    </row>
    <row r="290">
      <c r="A290" s="308">
        <v>14.0</v>
      </c>
      <c r="B290" s="308" t="s">
        <v>2215</v>
      </c>
      <c r="C290" s="266">
        <v>1.0</v>
      </c>
      <c r="D290" s="314">
        <v>13.3</v>
      </c>
      <c r="E290" s="365">
        <v>1.0</v>
      </c>
      <c r="F290" s="308" t="s">
        <v>2216</v>
      </c>
      <c r="G290" s="425" t="s">
        <v>1446</v>
      </c>
      <c r="H290" s="315">
        <v>45194.0</v>
      </c>
    </row>
    <row r="291">
      <c r="A291" s="308">
        <v>15.0</v>
      </c>
      <c r="B291" s="308" t="s">
        <v>2209</v>
      </c>
      <c r="C291" s="266">
        <v>1.0</v>
      </c>
      <c r="D291" s="314">
        <v>13.3</v>
      </c>
      <c r="E291" s="365">
        <v>1.0</v>
      </c>
      <c r="F291" s="308" t="s">
        <v>2217</v>
      </c>
      <c r="G291" s="425" t="s">
        <v>1446</v>
      </c>
      <c r="H291" s="315">
        <v>45233.0</v>
      </c>
    </row>
    <row r="292">
      <c r="A292" s="299">
        <v>16.0</v>
      </c>
      <c r="B292" s="299" t="s">
        <v>2218</v>
      </c>
      <c r="C292" s="426">
        <v>1.0</v>
      </c>
      <c r="D292" s="300">
        <v>12.3</v>
      </c>
      <c r="E292" s="331">
        <v>1.0</v>
      </c>
      <c r="F292" s="299" t="s">
        <v>2219</v>
      </c>
      <c r="G292" s="299" t="s">
        <v>1446</v>
      </c>
      <c r="H292" s="301">
        <v>45296.0</v>
      </c>
    </row>
    <row r="293">
      <c r="A293" s="303">
        <v>17.0</v>
      </c>
      <c r="B293" s="303" t="s">
        <v>2220</v>
      </c>
      <c r="C293" s="430"/>
      <c r="D293" s="304"/>
      <c r="E293" s="327"/>
      <c r="F293" s="303" t="s">
        <v>2221</v>
      </c>
      <c r="G293" s="303" t="s">
        <v>2222</v>
      </c>
      <c r="H293" s="305">
        <v>45426.0</v>
      </c>
    </row>
    <row r="294">
      <c r="A294" s="299">
        <v>18.0</v>
      </c>
      <c r="B294" s="299" t="s">
        <v>2223</v>
      </c>
      <c r="C294" s="426">
        <v>1.0</v>
      </c>
      <c r="D294" s="300">
        <v>3.2</v>
      </c>
      <c r="E294" s="331">
        <v>1.0</v>
      </c>
      <c r="F294" s="432" t="s">
        <v>2224</v>
      </c>
      <c r="G294" s="299" t="s">
        <v>1554</v>
      </c>
      <c r="H294" s="433">
        <v>45726.0</v>
      </c>
    </row>
    <row r="295">
      <c r="A295" s="303">
        <v>19.0</v>
      </c>
      <c r="B295" s="303" t="s">
        <v>2225</v>
      </c>
      <c r="C295" s="430"/>
      <c r="D295" s="324"/>
      <c r="E295" s="327"/>
      <c r="F295" s="434" t="s">
        <v>2226</v>
      </c>
      <c r="G295" s="303" t="s">
        <v>155</v>
      </c>
      <c r="H295" s="303" t="s">
        <v>2227</v>
      </c>
    </row>
    <row r="296">
      <c r="A296" s="303">
        <v>20.0</v>
      </c>
      <c r="B296" s="434" t="s">
        <v>1579</v>
      </c>
      <c r="C296" s="430"/>
      <c r="D296" s="304"/>
      <c r="E296" s="327"/>
      <c r="F296" s="434" t="s">
        <v>2228</v>
      </c>
      <c r="G296" s="303" t="s">
        <v>155</v>
      </c>
      <c r="H296" s="303" t="s">
        <v>2229</v>
      </c>
    </row>
    <row r="297">
      <c r="A297" s="303">
        <v>21.0</v>
      </c>
      <c r="B297" s="303" t="s">
        <v>2016</v>
      </c>
      <c r="C297" s="430"/>
      <c r="D297" s="304"/>
      <c r="E297" s="327"/>
      <c r="F297" s="434" t="s">
        <v>2230</v>
      </c>
      <c r="G297" s="303" t="s">
        <v>155</v>
      </c>
      <c r="H297" s="303" t="s">
        <v>2231</v>
      </c>
    </row>
    <row r="298">
      <c r="A298" s="308">
        <v>22.0</v>
      </c>
      <c r="B298" s="308" t="s">
        <v>2232</v>
      </c>
      <c r="C298" s="266">
        <v>1.0</v>
      </c>
      <c r="D298" s="314">
        <v>13.7</v>
      </c>
      <c r="E298" s="365">
        <v>2.0</v>
      </c>
      <c r="F298" s="435" t="s">
        <v>2233</v>
      </c>
      <c r="G298" s="308" t="s">
        <v>1554</v>
      </c>
      <c r="H298" s="436">
        <v>45952.0</v>
      </c>
    </row>
    <row r="299">
      <c r="A299" s="308">
        <v>23.0</v>
      </c>
      <c r="B299" s="308" t="s">
        <v>1872</v>
      </c>
      <c r="C299" s="266">
        <v>1.0</v>
      </c>
      <c r="D299" s="314">
        <v>10.5</v>
      </c>
      <c r="E299" s="365">
        <v>1.0</v>
      </c>
      <c r="F299" s="437" t="s">
        <v>2234</v>
      </c>
      <c r="G299" s="308" t="s">
        <v>1554</v>
      </c>
      <c r="H299" s="436">
        <v>45999.0</v>
      </c>
    </row>
    <row r="300">
      <c r="A300" s="299">
        <v>24.0</v>
      </c>
      <c r="B300" s="299" t="s">
        <v>2235</v>
      </c>
      <c r="C300" s="426">
        <v>1.0</v>
      </c>
      <c r="D300" s="300">
        <v>13.7</v>
      </c>
      <c r="E300" s="331">
        <v>2.0</v>
      </c>
      <c r="F300" s="299" t="s">
        <v>2236</v>
      </c>
      <c r="G300" s="299" t="s">
        <v>1554</v>
      </c>
      <c r="H300" s="301">
        <v>45675.0</v>
      </c>
    </row>
    <row r="301">
      <c r="A301" s="86">
        <v>25.0</v>
      </c>
      <c r="B301" s="86" t="s">
        <v>1652</v>
      </c>
      <c r="C301" s="430"/>
      <c r="D301" s="438"/>
      <c r="E301" s="83"/>
      <c r="F301" s="86" t="s">
        <v>2237</v>
      </c>
      <c r="G301" s="86" t="s">
        <v>2238</v>
      </c>
      <c r="H301" s="86" t="s">
        <v>2238</v>
      </c>
    </row>
    <row r="302">
      <c r="A302" s="299">
        <v>26.0</v>
      </c>
      <c r="B302" s="299" t="s">
        <v>2239</v>
      </c>
      <c r="C302" s="426">
        <v>1.0</v>
      </c>
      <c r="D302" s="300">
        <v>10.5</v>
      </c>
      <c r="E302" s="331">
        <v>1.0</v>
      </c>
      <c r="F302" s="299" t="s">
        <v>2240</v>
      </c>
      <c r="G302" s="299" t="s">
        <v>1447</v>
      </c>
      <c r="H302" s="301">
        <v>46109.0</v>
      </c>
    </row>
    <row r="303">
      <c r="A303" s="299">
        <v>27.0</v>
      </c>
      <c r="B303" s="299" t="s">
        <v>1652</v>
      </c>
      <c r="C303" s="426">
        <v>1.0</v>
      </c>
      <c r="D303" s="300">
        <v>3.0</v>
      </c>
      <c r="E303" s="331">
        <v>1.0</v>
      </c>
      <c r="F303" s="36" t="s">
        <v>2241</v>
      </c>
      <c r="G303" s="299" t="s">
        <v>1447</v>
      </c>
      <c r="H303" s="301">
        <v>46114.0</v>
      </c>
    </row>
    <row r="304">
      <c r="A304" s="299">
        <v>28.0</v>
      </c>
      <c r="B304" s="299" t="s">
        <v>1652</v>
      </c>
      <c r="C304" s="426">
        <v>1.0</v>
      </c>
      <c r="D304" s="300">
        <v>3.0</v>
      </c>
      <c r="E304" s="331">
        <v>1.0</v>
      </c>
      <c r="F304" s="439" t="s">
        <v>2242</v>
      </c>
      <c r="G304" s="299" t="s">
        <v>1447</v>
      </c>
      <c r="H304" s="301">
        <v>46118.0</v>
      </c>
    </row>
    <row r="305">
      <c r="A305" s="440" t="s">
        <v>1562</v>
      </c>
      <c r="B305" s="3"/>
      <c r="C305" s="425">
        <f t="shared" ref="C305:E305" si="6">sum(C276:C304)</f>
        <v>22</v>
      </c>
      <c r="D305" s="427">
        <f t="shared" si="6"/>
        <v>327.3</v>
      </c>
      <c r="E305" s="331">
        <f t="shared" si="6"/>
        <v>21</v>
      </c>
      <c r="F305" s="425"/>
      <c r="G305" s="428"/>
      <c r="H305" s="428"/>
    </row>
    <row r="306">
      <c r="A306" s="299"/>
      <c r="B306" s="380"/>
      <c r="C306" s="380"/>
      <c r="D306" s="363"/>
      <c r="E306" s="331"/>
      <c r="F306" s="380"/>
      <c r="G306" s="299"/>
      <c r="H306" s="301"/>
    </row>
    <row r="307">
      <c r="A307" s="441"/>
      <c r="B307" s="442"/>
      <c r="C307" s="442"/>
      <c r="D307" s="442"/>
      <c r="E307" s="442"/>
      <c r="F307" s="442"/>
      <c r="G307" s="442"/>
      <c r="H307" s="443"/>
    </row>
    <row r="308">
      <c r="A308" s="444"/>
      <c r="B308" s="445"/>
      <c r="C308" s="445"/>
      <c r="D308" s="445"/>
      <c r="E308" s="445"/>
      <c r="F308" s="445"/>
      <c r="G308" s="445"/>
      <c r="H308" s="446"/>
    </row>
    <row r="309" ht="32.25" customHeight="1">
      <c r="A309" s="447" t="s">
        <v>2243</v>
      </c>
      <c r="B309" s="2"/>
      <c r="C309" s="2"/>
      <c r="D309" s="2"/>
      <c r="E309" s="2"/>
      <c r="F309" s="2"/>
      <c r="G309" s="2"/>
      <c r="H309" s="3"/>
    </row>
    <row r="310" ht="32.25" customHeight="1">
      <c r="A310" s="448" t="s">
        <v>1435</v>
      </c>
      <c r="B310" s="449" t="s">
        <v>1436</v>
      </c>
      <c r="C310" s="448" t="s">
        <v>1843</v>
      </c>
      <c r="D310" s="450" t="s">
        <v>1438</v>
      </c>
      <c r="E310" s="451" t="s">
        <v>1564</v>
      </c>
      <c r="F310" s="448" t="s">
        <v>1440</v>
      </c>
      <c r="G310" s="448" t="s">
        <v>1844</v>
      </c>
      <c r="H310" s="452" t="s">
        <v>1441</v>
      </c>
    </row>
    <row r="311">
      <c r="A311" s="299">
        <v>1.0</v>
      </c>
      <c r="B311" s="299" t="s">
        <v>1443</v>
      </c>
      <c r="C311" s="299">
        <v>1.0</v>
      </c>
      <c r="D311" s="300">
        <v>144.0</v>
      </c>
      <c r="E311" s="331"/>
      <c r="F311" s="299" t="s">
        <v>1518</v>
      </c>
      <c r="G311" s="299" t="s">
        <v>1446</v>
      </c>
      <c r="H311" s="301"/>
    </row>
    <row r="312">
      <c r="A312" s="299">
        <v>2.0</v>
      </c>
      <c r="B312" s="299" t="s">
        <v>1444</v>
      </c>
      <c r="C312" s="299">
        <v>2.0</v>
      </c>
      <c r="D312" s="300">
        <v>1.6</v>
      </c>
      <c r="E312" s="360"/>
      <c r="F312" s="425"/>
      <c r="G312" s="425"/>
      <c r="H312" s="301">
        <v>44574.0</v>
      </c>
    </row>
    <row r="313">
      <c r="A313" s="299">
        <v>3.0</v>
      </c>
      <c r="B313" s="299" t="s">
        <v>1853</v>
      </c>
      <c r="C313" s="299">
        <v>1.0</v>
      </c>
      <c r="D313" s="300">
        <v>5.0</v>
      </c>
      <c r="E313" s="331">
        <v>1.0</v>
      </c>
      <c r="F313" s="425"/>
      <c r="G313" s="425"/>
      <c r="H313" s="301">
        <v>44596.0</v>
      </c>
    </row>
    <row r="314">
      <c r="A314" s="299">
        <v>4.0</v>
      </c>
      <c r="B314" s="299" t="s">
        <v>1444</v>
      </c>
      <c r="C314" s="299">
        <v>2.0</v>
      </c>
      <c r="D314" s="300">
        <v>8.5</v>
      </c>
      <c r="E314" s="360"/>
      <c r="F314" s="364"/>
      <c r="G314" s="299" t="s">
        <v>1446</v>
      </c>
      <c r="H314" s="301">
        <v>44796.0</v>
      </c>
    </row>
    <row r="315">
      <c r="A315" s="299">
        <v>5.0</v>
      </c>
      <c r="B315" s="299" t="s">
        <v>2244</v>
      </c>
      <c r="C315" s="299">
        <v>1.0</v>
      </c>
      <c r="D315" s="300">
        <v>1.4</v>
      </c>
      <c r="E315" s="331">
        <v>1.0</v>
      </c>
      <c r="F315" s="299" t="s">
        <v>2245</v>
      </c>
      <c r="G315" s="299" t="s">
        <v>1446</v>
      </c>
      <c r="H315" s="301">
        <v>44830.0</v>
      </c>
    </row>
    <row r="316">
      <c r="A316" s="299">
        <v>6.0</v>
      </c>
      <c r="B316" s="299" t="s">
        <v>2244</v>
      </c>
      <c r="C316" s="299">
        <v>1.0</v>
      </c>
      <c r="D316" s="300">
        <v>1.4</v>
      </c>
      <c r="E316" s="331">
        <v>1.0</v>
      </c>
      <c r="F316" s="299" t="s">
        <v>2246</v>
      </c>
      <c r="G316" s="299" t="s">
        <v>1446</v>
      </c>
      <c r="H316" s="301">
        <v>44830.0</v>
      </c>
    </row>
    <row r="317">
      <c r="A317" s="299">
        <v>7.0</v>
      </c>
      <c r="B317" s="299" t="s">
        <v>2247</v>
      </c>
      <c r="C317" s="299">
        <v>1.0</v>
      </c>
      <c r="D317" s="300">
        <v>2.9</v>
      </c>
      <c r="E317" s="331">
        <v>1.0</v>
      </c>
      <c r="F317" s="299">
        <v>7.1162011100038E13</v>
      </c>
      <c r="G317" s="299" t="s">
        <v>1446</v>
      </c>
      <c r="H317" s="301">
        <v>44830.0</v>
      </c>
    </row>
    <row r="318">
      <c r="A318" s="299">
        <v>8.0</v>
      </c>
      <c r="B318" s="299" t="s">
        <v>2248</v>
      </c>
      <c r="C318" s="299">
        <v>1.0</v>
      </c>
      <c r="D318" s="300">
        <v>3.8</v>
      </c>
      <c r="E318" s="331">
        <v>1.0</v>
      </c>
      <c r="F318" s="299" t="s">
        <v>2249</v>
      </c>
      <c r="G318" s="299" t="s">
        <v>1446</v>
      </c>
      <c r="H318" s="301">
        <v>44830.0</v>
      </c>
    </row>
    <row r="319">
      <c r="A319" s="299">
        <v>9.0</v>
      </c>
      <c r="B319" s="299" t="s">
        <v>2250</v>
      </c>
      <c r="C319" s="299">
        <v>1.0</v>
      </c>
      <c r="D319" s="300">
        <v>10.1</v>
      </c>
      <c r="E319" s="331">
        <v>1.0</v>
      </c>
      <c r="F319" s="299" t="s">
        <v>2251</v>
      </c>
      <c r="G319" s="299" t="s">
        <v>1446</v>
      </c>
      <c r="H319" s="301">
        <v>44830.0</v>
      </c>
    </row>
    <row r="320">
      <c r="A320" s="299">
        <v>10.0</v>
      </c>
      <c r="B320" s="299" t="s">
        <v>2250</v>
      </c>
      <c r="C320" s="299">
        <v>1.0</v>
      </c>
      <c r="D320" s="300">
        <v>10.1</v>
      </c>
      <c r="E320" s="331">
        <v>1.0</v>
      </c>
      <c r="F320" s="299" t="s">
        <v>2252</v>
      </c>
      <c r="G320" s="299" t="s">
        <v>1446</v>
      </c>
      <c r="H320" s="301">
        <v>44830.0</v>
      </c>
    </row>
    <row r="321">
      <c r="A321" s="299">
        <v>11.0</v>
      </c>
      <c r="B321" s="299" t="s">
        <v>2253</v>
      </c>
      <c r="C321" s="299">
        <v>1.0</v>
      </c>
      <c r="D321" s="300">
        <v>10.5</v>
      </c>
      <c r="E321" s="331">
        <v>1.0</v>
      </c>
      <c r="F321" s="299" t="s">
        <v>2254</v>
      </c>
      <c r="G321" s="299" t="s">
        <v>1446</v>
      </c>
      <c r="H321" s="301">
        <v>44830.0</v>
      </c>
    </row>
    <row r="322">
      <c r="A322" s="299">
        <v>12.0</v>
      </c>
      <c r="B322" s="299" t="s">
        <v>2253</v>
      </c>
      <c r="C322" s="299">
        <v>1.0</v>
      </c>
      <c r="D322" s="300">
        <v>10.5</v>
      </c>
      <c r="E322" s="331">
        <v>1.0</v>
      </c>
      <c r="F322" s="299" t="s">
        <v>2255</v>
      </c>
      <c r="G322" s="299" t="s">
        <v>1446</v>
      </c>
      <c r="H322" s="301">
        <v>44830.0</v>
      </c>
    </row>
    <row r="323">
      <c r="A323" s="299">
        <v>13.0</v>
      </c>
      <c r="B323" s="299" t="s">
        <v>2256</v>
      </c>
      <c r="C323" s="299">
        <v>1.0</v>
      </c>
      <c r="D323" s="300">
        <v>13.2</v>
      </c>
      <c r="E323" s="331">
        <v>1.0</v>
      </c>
      <c r="F323" s="299" t="s">
        <v>2257</v>
      </c>
      <c r="G323" s="299" t="s">
        <v>1446</v>
      </c>
      <c r="H323" s="301">
        <v>44830.0</v>
      </c>
    </row>
    <row r="324">
      <c r="A324" s="299">
        <v>14.0</v>
      </c>
      <c r="B324" s="299" t="s">
        <v>2256</v>
      </c>
      <c r="C324" s="299">
        <v>1.0</v>
      </c>
      <c r="D324" s="300">
        <v>13.2</v>
      </c>
      <c r="E324" s="331">
        <v>1.0</v>
      </c>
      <c r="F324" s="299" t="s">
        <v>2258</v>
      </c>
      <c r="G324" s="299" t="s">
        <v>1446</v>
      </c>
      <c r="H324" s="301">
        <v>44830.0</v>
      </c>
    </row>
    <row r="325">
      <c r="A325" s="299">
        <v>15.0</v>
      </c>
      <c r="B325" s="299" t="s">
        <v>2259</v>
      </c>
      <c r="C325" s="299">
        <v>1.0</v>
      </c>
      <c r="D325" s="300">
        <v>23.5</v>
      </c>
      <c r="E325" s="331">
        <v>2.0</v>
      </c>
      <c r="F325" s="299" t="s">
        <v>2260</v>
      </c>
      <c r="G325" s="299" t="s">
        <v>1446</v>
      </c>
      <c r="H325" s="301">
        <v>44830.0</v>
      </c>
    </row>
    <row r="326">
      <c r="A326" s="366" t="s">
        <v>1562</v>
      </c>
      <c r="B326" s="3"/>
      <c r="C326" s="299">
        <f t="shared" ref="C326:E326" si="7">sum(C311:C325)</f>
        <v>17</v>
      </c>
      <c r="D326" s="300">
        <f t="shared" si="7"/>
        <v>259.7</v>
      </c>
      <c r="E326" s="331">
        <f t="shared" si="7"/>
        <v>13</v>
      </c>
      <c r="F326" s="299"/>
      <c r="G326" s="301"/>
      <c r="H326" s="301"/>
    </row>
    <row r="327">
      <c r="A327" s="299"/>
      <c r="B327" s="299"/>
      <c r="C327" s="299"/>
      <c r="D327" s="300"/>
      <c r="E327" s="331"/>
      <c r="F327" s="299"/>
      <c r="G327" s="299"/>
      <c r="H327" s="301"/>
    </row>
    <row r="328">
      <c r="A328" s="299"/>
      <c r="B328" s="299"/>
      <c r="C328" s="299"/>
      <c r="D328" s="300"/>
      <c r="E328" s="331"/>
      <c r="F328" s="299"/>
      <c r="G328" s="299"/>
      <c r="H328" s="301"/>
    </row>
    <row r="329" ht="30.0" customHeight="1">
      <c r="A329" s="358" t="s">
        <v>2261</v>
      </c>
      <c r="B329" s="2"/>
      <c r="C329" s="2"/>
      <c r="D329" s="2"/>
      <c r="E329" s="2"/>
      <c r="F329" s="2"/>
      <c r="G329" s="2"/>
      <c r="H329" s="3"/>
    </row>
    <row r="330" ht="30.0" customHeight="1">
      <c r="A330" s="295" t="s">
        <v>1435</v>
      </c>
      <c r="B330" s="296" t="s">
        <v>1436</v>
      </c>
      <c r="C330" s="295" t="s">
        <v>1843</v>
      </c>
      <c r="D330" s="297" t="s">
        <v>1438</v>
      </c>
      <c r="E330" s="359" t="s">
        <v>1564</v>
      </c>
      <c r="F330" s="295" t="s">
        <v>1440</v>
      </c>
      <c r="G330" s="295" t="s">
        <v>1844</v>
      </c>
      <c r="H330" s="298" t="s">
        <v>1441</v>
      </c>
    </row>
    <row r="331">
      <c r="A331" s="299">
        <v>1.0</v>
      </c>
      <c r="B331" s="299" t="s">
        <v>1443</v>
      </c>
      <c r="C331" s="299">
        <v>1.0</v>
      </c>
      <c r="D331" s="300">
        <v>144.0</v>
      </c>
      <c r="E331" s="331"/>
      <c r="F331" s="299" t="s">
        <v>1518</v>
      </c>
      <c r="G331" s="299" t="s">
        <v>1446</v>
      </c>
      <c r="H331" s="301"/>
    </row>
    <row r="332">
      <c r="A332" s="299">
        <v>2.0</v>
      </c>
      <c r="B332" s="299" t="s">
        <v>1444</v>
      </c>
      <c r="C332" s="299">
        <v>2.0</v>
      </c>
      <c r="D332" s="300">
        <v>1.6</v>
      </c>
      <c r="E332" s="360"/>
      <c r="F332" s="425"/>
      <c r="G332" s="302" t="s">
        <v>1554</v>
      </c>
      <c r="H332" s="301">
        <v>44574.0</v>
      </c>
    </row>
    <row r="333">
      <c r="A333" s="299">
        <v>3.0</v>
      </c>
      <c r="B333" s="299" t="s">
        <v>1853</v>
      </c>
      <c r="C333" s="299">
        <v>1.0</v>
      </c>
      <c r="D333" s="300">
        <v>5.0</v>
      </c>
      <c r="E333" s="331">
        <v>1.0</v>
      </c>
      <c r="F333" s="425"/>
      <c r="G333" s="302" t="s">
        <v>1554</v>
      </c>
      <c r="H333" s="301">
        <v>44596.0</v>
      </c>
    </row>
    <row r="334">
      <c r="A334" s="299">
        <v>4.0</v>
      </c>
      <c r="B334" s="299" t="s">
        <v>1696</v>
      </c>
      <c r="C334" s="299">
        <v>1.0</v>
      </c>
      <c r="D334" s="300">
        <v>10.4</v>
      </c>
      <c r="E334" s="331">
        <v>1.0</v>
      </c>
      <c r="F334" s="299" t="s">
        <v>2262</v>
      </c>
      <c r="G334" s="425"/>
      <c r="H334" s="301">
        <v>44694.0</v>
      </c>
    </row>
    <row r="335">
      <c r="A335" s="299">
        <v>5.0</v>
      </c>
      <c r="B335" s="299" t="s">
        <v>1741</v>
      </c>
      <c r="C335" s="299">
        <v>1.0</v>
      </c>
      <c r="D335" s="300">
        <v>8.9</v>
      </c>
      <c r="E335" s="331">
        <v>1.0</v>
      </c>
      <c r="F335" s="299">
        <v>1.02180331445E11</v>
      </c>
      <c r="G335" s="299"/>
      <c r="H335" s="301">
        <v>44742.0</v>
      </c>
    </row>
    <row r="336">
      <c r="A336" s="299">
        <v>6.0</v>
      </c>
      <c r="B336" s="306" t="s">
        <v>2263</v>
      </c>
      <c r="C336" s="306">
        <v>1.0</v>
      </c>
      <c r="D336" s="307">
        <v>37.0</v>
      </c>
      <c r="E336" s="453">
        <v>2.0</v>
      </c>
      <c r="F336" s="306" t="s">
        <v>1518</v>
      </c>
      <c r="G336" s="306" t="s">
        <v>2264</v>
      </c>
      <c r="H336" s="454">
        <v>44708.0</v>
      </c>
    </row>
    <row r="337">
      <c r="A337" s="299">
        <v>7.0</v>
      </c>
      <c r="B337" s="306" t="s">
        <v>2263</v>
      </c>
      <c r="C337" s="306">
        <v>1.0</v>
      </c>
      <c r="D337" s="307">
        <v>37.0</v>
      </c>
      <c r="E337" s="453">
        <v>2.0</v>
      </c>
      <c r="F337" s="306" t="s">
        <v>1518</v>
      </c>
      <c r="G337" s="306" t="s">
        <v>2264</v>
      </c>
      <c r="H337" s="454">
        <v>44708.0</v>
      </c>
    </row>
    <row r="338">
      <c r="A338" s="299">
        <v>8.0</v>
      </c>
      <c r="B338" s="306" t="s">
        <v>2265</v>
      </c>
      <c r="C338" s="306">
        <v>1.0</v>
      </c>
      <c r="D338" s="307">
        <v>9.6</v>
      </c>
      <c r="E338" s="453">
        <v>2.0</v>
      </c>
      <c r="F338" s="306" t="s">
        <v>1518</v>
      </c>
      <c r="G338" s="306" t="s">
        <v>2264</v>
      </c>
      <c r="H338" s="454">
        <v>44711.0</v>
      </c>
    </row>
    <row r="339">
      <c r="A339" s="299">
        <v>9.0</v>
      </c>
      <c r="B339" s="306" t="s">
        <v>2266</v>
      </c>
      <c r="C339" s="306">
        <v>1.0</v>
      </c>
      <c r="D339" s="300">
        <v>7.8</v>
      </c>
      <c r="E339" s="453">
        <v>1.0</v>
      </c>
      <c r="F339" s="306" t="s">
        <v>1518</v>
      </c>
      <c r="G339" s="306" t="s">
        <v>2264</v>
      </c>
      <c r="H339" s="306" t="s">
        <v>1518</v>
      </c>
    </row>
    <row r="340">
      <c r="A340" s="299">
        <v>10.0</v>
      </c>
      <c r="B340" s="306" t="s">
        <v>2267</v>
      </c>
      <c r="C340" s="306">
        <v>1.0</v>
      </c>
      <c r="D340" s="300">
        <v>20.5</v>
      </c>
      <c r="E340" s="453">
        <v>2.0</v>
      </c>
      <c r="F340" s="306" t="s">
        <v>1518</v>
      </c>
      <c r="G340" s="306" t="s">
        <v>2264</v>
      </c>
      <c r="H340" s="306" t="s">
        <v>1518</v>
      </c>
    </row>
    <row r="341">
      <c r="A341" s="299">
        <v>11.0</v>
      </c>
      <c r="B341" s="306" t="s">
        <v>2268</v>
      </c>
      <c r="C341" s="306">
        <v>1.0</v>
      </c>
      <c r="D341" s="300">
        <v>15.9</v>
      </c>
      <c r="E341" s="453">
        <v>1.0</v>
      </c>
      <c r="F341" s="306" t="s">
        <v>1518</v>
      </c>
      <c r="G341" s="306" t="s">
        <v>2264</v>
      </c>
      <c r="H341" s="306" t="s">
        <v>1518</v>
      </c>
    </row>
    <row r="342">
      <c r="A342" s="303">
        <v>12.0</v>
      </c>
      <c r="B342" s="303" t="s">
        <v>1726</v>
      </c>
      <c r="C342" s="303"/>
      <c r="D342" s="304"/>
      <c r="E342" s="327"/>
      <c r="F342" s="303" t="s">
        <v>1727</v>
      </c>
      <c r="G342" s="303" t="s">
        <v>2269</v>
      </c>
      <c r="H342" s="303" t="s">
        <v>155</v>
      </c>
    </row>
    <row r="343">
      <c r="A343" s="299">
        <v>13.0</v>
      </c>
      <c r="B343" s="299" t="s">
        <v>1696</v>
      </c>
      <c r="C343" s="299">
        <v>1.0</v>
      </c>
      <c r="D343" s="300">
        <v>10.4</v>
      </c>
      <c r="E343" s="453">
        <v>1.0</v>
      </c>
      <c r="F343" s="299" t="s">
        <v>2270</v>
      </c>
      <c r="G343" s="299" t="s">
        <v>2271</v>
      </c>
      <c r="H343" s="454">
        <v>44970.0</v>
      </c>
    </row>
    <row r="344">
      <c r="A344" s="299">
        <v>14.0</v>
      </c>
      <c r="B344" s="299" t="s">
        <v>2272</v>
      </c>
      <c r="C344" s="299">
        <v>1.0</v>
      </c>
      <c r="D344" s="300">
        <v>2.0</v>
      </c>
      <c r="E344" s="453">
        <v>1.0</v>
      </c>
      <c r="F344" s="299" t="s">
        <v>2273</v>
      </c>
      <c r="G344" s="299"/>
      <c r="H344" s="454"/>
    </row>
    <row r="345">
      <c r="A345" s="308">
        <v>15.0</v>
      </c>
      <c r="B345" s="308" t="s">
        <v>2274</v>
      </c>
      <c r="C345" s="308">
        <v>1.0</v>
      </c>
      <c r="D345" s="314">
        <v>9.9</v>
      </c>
      <c r="E345" s="365">
        <v>1.0</v>
      </c>
      <c r="F345" s="308" t="s">
        <v>2275</v>
      </c>
      <c r="G345" s="308" t="s">
        <v>1554</v>
      </c>
      <c r="H345" s="315">
        <v>45196.0</v>
      </c>
    </row>
    <row r="346">
      <c r="A346" s="299">
        <v>16.0</v>
      </c>
      <c r="B346" s="308" t="s">
        <v>2274</v>
      </c>
      <c r="C346" s="308">
        <v>1.0</v>
      </c>
      <c r="D346" s="314">
        <v>9.9</v>
      </c>
      <c r="E346" s="365">
        <v>1.0</v>
      </c>
      <c r="F346" s="308" t="s">
        <v>2276</v>
      </c>
      <c r="G346" s="308" t="s">
        <v>1554</v>
      </c>
      <c r="H346" s="315">
        <v>45204.0</v>
      </c>
    </row>
    <row r="347">
      <c r="A347" s="299">
        <v>17.0</v>
      </c>
      <c r="B347" s="306" t="s">
        <v>1669</v>
      </c>
      <c r="C347" s="306">
        <v>1.0</v>
      </c>
      <c r="D347" s="307">
        <v>16.0</v>
      </c>
      <c r="E347" s="453">
        <v>1.0</v>
      </c>
      <c r="F347" s="455"/>
      <c r="G347" s="306" t="s">
        <v>2277</v>
      </c>
      <c r="H347" s="454">
        <v>44595.0</v>
      </c>
    </row>
    <row r="348">
      <c r="A348" s="299">
        <v>18.0</v>
      </c>
      <c r="B348" s="308" t="s">
        <v>2274</v>
      </c>
      <c r="C348" s="308">
        <v>1.0</v>
      </c>
      <c r="D348" s="314">
        <v>7.7</v>
      </c>
      <c r="E348" s="453">
        <v>1.0</v>
      </c>
      <c r="F348" s="306" t="s">
        <v>2278</v>
      </c>
      <c r="G348" s="306" t="s">
        <v>1554</v>
      </c>
      <c r="H348" s="454">
        <v>45327.0</v>
      </c>
    </row>
    <row r="349">
      <c r="A349" s="299">
        <v>19.0</v>
      </c>
      <c r="B349" s="308" t="s">
        <v>2274</v>
      </c>
      <c r="C349" s="308">
        <v>1.0</v>
      </c>
      <c r="D349" s="314">
        <v>7.7</v>
      </c>
      <c r="E349" s="453">
        <v>1.0</v>
      </c>
      <c r="F349" s="306" t="s">
        <v>2279</v>
      </c>
      <c r="G349" s="306" t="s">
        <v>1554</v>
      </c>
      <c r="H349" s="454">
        <v>45327.0</v>
      </c>
    </row>
    <row r="350">
      <c r="A350" s="299">
        <v>20.0</v>
      </c>
      <c r="B350" s="306" t="s">
        <v>1669</v>
      </c>
      <c r="C350" s="308">
        <v>1.0</v>
      </c>
      <c r="D350" s="307">
        <v>10.1</v>
      </c>
      <c r="E350" s="453">
        <v>1.0</v>
      </c>
      <c r="F350" s="306" t="s">
        <v>2280</v>
      </c>
      <c r="G350" s="306" t="s">
        <v>1554</v>
      </c>
      <c r="H350" s="454">
        <v>45327.0</v>
      </c>
    </row>
    <row r="351">
      <c r="A351" s="299">
        <v>21.0</v>
      </c>
      <c r="B351" s="306" t="s">
        <v>1669</v>
      </c>
      <c r="C351" s="308">
        <v>1.0</v>
      </c>
      <c r="D351" s="307">
        <v>10.1</v>
      </c>
      <c r="E351" s="453">
        <v>1.0</v>
      </c>
      <c r="F351" s="306" t="s">
        <v>2281</v>
      </c>
      <c r="G351" s="306" t="s">
        <v>1554</v>
      </c>
      <c r="H351" s="454">
        <v>45327.0</v>
      </c>
    </row>
    <row r="352">
      <c r="A352" s="299">
        <v>22.0</v>
      </c>
      <c r="B352" s="299" t="s">
        <v>2282</v>
      </c>
      <c r="C352" s="299">
        <v>1.0</v>
      </c>
      <c r="D352" s="300">
        <v>13.0</v>
      </c>
      <c r="E352" s="331">
        <v>1.0</v>
      </c>
      <c r="F352" s="299" t="s">
        <v>2283</v>
      </c>
      <c r="G352" s="299" t="s">
        <v>1554</v>
      </c>
      <c r="H352" s="301">
        <v>45337.0</v>
      </c>
    </row>
    <row r="353">
      <c r="A353" s="299">
        <v>23.0</v>
      </c>
      <c r="B353" s="299" t="s">
        <v>2284</v>
      </c>
      <c r="C353" s="299">
        <v>1.0</v>
      </c>
      <c r="D353" s="300">
        <v>7.6</v>
      </c>
      <c r="E353" s="331">
        <v>1.0</v>
      </c>
      <c r="F353" s="299" t="s">
        <v>2285</v>
      </c>
      <c r="G353" s="299" t="s">
        <v>1554</v>
      </c>
      <c r="H353" s="301">
        <v>45349.0</v>
      </c>
    </row>
    <row r="354">
      <c r="A354" s="299">
        <v>24.0</v>
      </c>
      <c r="B354" s="299" t="s">
        <v>2286</v>
      </c>
      <c r="C354" s="299">
        <v>1.0</v>
      </c>
      <c r="D354" s="300">
        <v>26.9</v>
      </c>
      <c r="E354" s="331">
        <v>1.0</v>
      </c>
      <c r="F354" s="299" t="s">
        <v>2287</v>
      </c>
      <c r="G354" s="299" t="s">
        <v>1554</v>
      </c>
      <c r="H354" s="301">
        <v>45349.0</v>
      </c>
    </row>
    <row r="355">
      <c r="A355" s="299">
        <v>25.0</v>
      </c>
      <c r="B355" s="299" t="s">
        <v>2288</v>
      </c>
      <c r="C355" s="299">
        <v>1.0</v>
      </c>
      <c r="D355" s="300">
        <v>7.8</v>
      </c>
      <c r="E355" s="331">
        <v>1.0</v>
      </c>
      <c r="F355" s="299" t="s">
        <v>2289</v>
      </c>
      <c r="G355" s="299" t="s">
        <v>1554</v>
      </c>
      <c r="H355" s="301">
        <v>45467.0</v>
      </c>
    </row>
    <row r="356">
      <c r="A356" s="299">
        <v>26.0</v>
      </c>
      <c r="B356" s="299" t="s">
        <v>2290</v>
      </c>
      <c r="C356" s="299">
        <v>1.0</v>
      </c>
      <c r="D356" s="300">
        <v>15.4</v>
      </c>
      <c r="E356" s="331">
        <v>1.0</v>
      </c>
      <c r="F356" s="299" t="s">
        <v>2291</v>
      </c>
      <c r="G356" s="299" t="s">
        <v>1554</v>
      </c>
      <c r="H356" s="301">
        <v>45539.0</v>
      </c>
    </row>
    <row r="357">
      <c r="A357" s="299">
        <v>27.0</v>
      </c>
      <c r="B357" s="299" t="s">
        <v>2292</v>
      </c>
      <c r="C357" s="299">
        <v>1.0</v>
      </c>
      <c r="D357" s="300">
        <v>15.4</v>
      </c>
      <c r="E357" s="331">
        <v>1.0</v>
      </c>
      <c r="F357" s="299" t="s">
        <v>2293</v>
      </c>
      <c r="G357" s="299" t="s">
        <v>1554</v>
      </c>
      <c r="H357" s="301">
        <v>45539.0</v>
      </c>
    </row>
    <row r="358">
      <c r="A358" s="299">
        <v>28.0</v>
      </c>
      <c r="B358" s="299" t="s">
        <v>2294</v>
      </c>
      <c r="C358" s="299">
        <v>1.0</v>
      </c>
      <c r="D358" s="300">
        <v>15.4</v>
      </c>
      <c r="E358" s="331">
        <v>1.0</v>
      </c>
      <c r="F358" s="299" t="s">
        <v>2295</v>
      </c>
      <c r="G358" s="299" t="s">
        <v>1554</v>
      </c>
      <c r="H358" s="301">
        <v>45540.0</v>
      </c>
    </row>
    <row r="359">
      <c r="A359" s="299">
        <v>29.0</v>
      </c>
      <c r="B359" s="299" t="s">
        <v>2272</v>
      </c>
      <c r="C359" s="299">
        <v>1.0</v>
      </c>
      <c r="D359" s="300">
        <v>1.0</v>
      </c>
      <c r="E359" s="331">
        <v>1.0</v>
      </c>
      <c r="F359" s="299" t="s">
        <v>2296</v>
      </c>
      <c r="G359" s="299" t="s">
        <v>1554</v>
      </c>
      <c r="H359" s="301">
        <v>45543.0</v>
      </c>
    </row>
    <row r="360">
      <c r="A360" s="303">
        <v>30.0</v>
      </c>
      <c r="B360" s="303" t="s">
        <v>2297</v>
      </c>
      <c r="C360" s="303"/>
      <c r="D360" s="304"/>
      <c r="E360" s="327"/>
      <c r="F360" s="303" t="s">
        <v>2298</v>
      </c>
      <c r="G360" s="303" t="s">
        <v>425</v>
      </c>
      <c r="H360" s="305">
        <v>45574.0</v>
      </c>
    </row>
    <row r="361">
      <c r="A361" s="299">
        <v>31.0</v>
      </c>
      <c r="B361" s="299" t="s">
        <v>2299</v>
      </c>
      <c r="C361" s="299">
        <v>1.0</v>
      </c>
      <c r="D361" s="300">
        <v>6.1</v>
      </c>
      <c r="E361" s="331">
        <v>1.0</v>
      </c>
      <c r="F361" s="299" t="s">
        <v>2300</v>
      </c>
      <c r="G361" s="299" t="s">
        <v>1554</v>
      </c>
      <c r="H361" s="301">
        <v>45614.0</v>
      </c>
    </row>
    <row r="362">
      <c r="A362" s="299">
        <v>32.0</v>
      </c>
      <c r="B362" s="299" t="s">
        <v>2301</v>
      </c>
      <c r="C362" s="299">
        <v>1.0</v>
      </c>
      <c r="D362" s="300">
        <v>1.0</v>
      </c>
      <c r="E362" s="331">
        <v>1.0</v>
      </c>
      <c r="F362" s="299" t="s">
        <v>2302</v>
      </c>
      <c r="G362" s="299" t="s">
        <v>1554</v>
      </c>
      <c r="H362" s="301">
        <v>45707.0</v>
      </c>
    </row>
    <row r="363">
      <c r="A363" s="366" t="s">
        <v>1562</v>
      </c>
      <c r="B363" s="3"/>
      <c r="C363" s="299">
        <f t="shared" ref="C363:E363" si="8">sum(C331:C362)</f>
        <v>31</v>
      </c>
      <c r="D363" s="300">
        <f t="shared" si="8"/>
        <v>491.1</v>
      </c>
      <c r="E363" s="331">
        <f t="shared" si="8"/>
        <v>32</v>
      </c>
      <c r="F363" s="299"/>
      <c r="G363" s="301"/>
      <c r="H363" s="301"/>
    </row>
    <row r="364">
      <c r="A364" s="299"/>
      <c r="B364" s="299"/>
      <c r="C364" s="299"/>
      <c r="D364" s="299"/>
      <c r="E364" s="456"/>
      <c r="F364" s="299"/>
      <c r="G364" s="299"/>
      <c r="H364" s="301"/>
    </row>
    <row r="365">
      <c r="A365" s="299"/>
      <c r="B365" s="299"/>
      <c r="C365" s="299"/>
      <c r="D365" s="299"/>
      <c r="E365" s="331"/>
      <c r="F365" s="299"/>
      <c r="G365" s="299"/>
      <c r="H365" s="301"/>
    </row>
    <row r="366" ht="29.25" customHeight="1">
      <c r="A366" s="457" t="s">
        <v>2303</v>
      </c>
      <c r="B366" s="2"/>
      <c r="C366" s="2"/>
      <c r="D366" s="2"/>
      <c r="E366" s="2"/>
      <c r="F366" s="2"/>
      <c r="G366" s="2"/>
      <c r="H366" s="3"/>
    </row>
    <row r="367" ht="29.25" customHeight="1">
      <c r="A367" s="458" t="s">
        <v>1435</v>
      </c>
      <c r="B367" s="459" t="s">
        <v>1436</v>
      </c>
      <c r="C367" s="458" t="s">
        <v>1843</v>
      </c>
      <c r="D367" s="460" t="s">
        <v>1438</v>
      </c>
      <c r="E367" s="461" t="s">
        <v>1564</v>
      </c>
      <c r="F367" s="458" t="s">
        <v>1440</v>
      </c>
      <c r="G367" s="458" t="s">
        <v>1844</v>
      </c>
      <c r="H367" s="462" t="s">
        <v>1441</v>
      </c>
    </row>
    <row r="368">
      <c r="A368" s="299">
        <v>1.0</v>
      </c>
      <c r="B368" s="299" t="s">
        <v>1443</v>
      </c>
      <c r="C368" s="299">
        <v>1.0</v>
      </c>
      <c r="D368" s="300">
        <v>144.0</v>
      </c>
      <c r="E368" s="331"/>
      <c r="F368" s="299" t="s">
        <v>1518</v>
      </c>
      <c r="G368" s="302" t="s">
        <v>1554</v>
      </c>
      <c r="H368" s="301"/>
    </row>
    <row r="369">
      <c r="A369" s="299">
        <v>2.0</v>
      </c>
      <c r="B369" s="299" t="s">
        <v>1444</v>
      </c>
      <c r="C369" s="299">
        <v>2.0</v>
      </c>
      <c r="D369" s="300">
        <f>3.2*C369</f>
        <v>6.4</v>
      </c>
      <c r="E369" s="360"/>
      <c r="F369" s="425"/>
      <c r="G369" s="302" t="s">
        <v>1554</v>
      </c>
      <c r="H369" s="301">
        <v>44574.0</v>
      </c>
    </row>
    <row r="370">
      <c r="A370" s="299">
        <v>3.0</v>
      </c>
      <c r="B370" s="299" t="s">
        <v>1853</v>
      </c>
      <c r="C370" s="299">
        <v>1.0</v>
      </c>
      <c r="D370" s="300">
        <v>5.0</v>
      </c>
      <c r="E370" s="331">
        <v>1.0</v>
      </c>
      <c r="F370" s="425"/>
      <c r="G370" s="302" t="s">
        <v>1554</v>
      </c>
      <c r="H370" s="301">
        <v>44596.0</v>
      </c>
    </row>
    <row r="371">
      <c r="A371" s="303">
        <v>4.0</v>
      </c>
      <c r="B371" s="303" t="s">
        <v>2304</v>
      </c>
      <c r="C371" s="303"/>
      <c r="D371" s="304"/>
      <c r="E371" s="327"/>
      <c r="F371" s="303" t="s">
        <v>2305</v>
      </c>
      <c r="G371" s="303" t="s">
        <v>2306</v>
      </c>
      <c r="H371" s="305">
        <v>44692.0</v>
      </c>
    </row>
    <row r="372">
      <c r="A372" s="303">
        <v>5.0</v>
      </c>
      <c r="B372" s="303" t="s">
        <v>2307</v>
      </c>
      <c r="C372" s="303"/>
      <c r="D372" s="304"/>
      <c r="E372" s="327"/>
      <c r="F372" s="303" t="s">
        <v>2308</v>
      </c>
      <c r="G372" s="303" t="s">
        <v>2309</v>
      </c>
      <c r="H372" s="305">
        <v>44692.0</v>
      </c>
    </row>
    <row r="373">
      <c r="A373" s="303">
        <v>6.0</v>
      </c>
      <c r="B373" s="303" t="s">
        <v>2310</v>
      </c>
      <c r="C373" s="303"/>
      <c r="D373" s="304"/>
      <c r="E373" s="327"/>
      <c r="F373" s="303" t="s">
        <v>2311</v>
      </c>
      <c r="G373" s="303" t="s">
        <v>1848</v>
      </c>
      <c r="H373" s="305">
        <v>44692.0</v>
      </c>
    </row>
    <row r="374">
      <c r="A374" s="303">
        <v>7.0</v>
      </c>
      <c r="B374" s="303" t="s">
        <v>2312</v>
      </c>
      <c r="C374" s="303"/>
      <c r="D374" s="304"/>
      <c r="E374" s="327"/>
      <c r="F374" s="303" t="s">
        <v>2313</v>
      </c>
      <c r="G374" s="303" t="s">
        <v>1446</v>
      </c>
      <c r="H374" s="303" t="s">
        <v>2314</v>
      </c>
    </row>
    <row r="375">
      <c r="A375" s="299">
        <v>8.0</v>
      </c>
      <c r="B375" s="306" t="s">
        <v>2315</v>
      </c>
      <c r="C375" s="306">
        <v>1.0</v>
      </c>
      <c r="D375" s="300">
        <v>12.0</v>
      </c>
      <c r="E375" s="331">
        <v>1.0</v>
      </c>
      <c r="F375" s="299" t="s">
        <v>2316</v>
      </c>
      <c r="G375" s="299" t="s">
        <v>1446</v>
      </c>
      <c r="H375" s="301">
        <v>44706.0</v>
      </c>
    </row>
    <row r="376">
      <c r="A376" s="299">
        <v>9.0</v>
      </c>
      <c r="B376" s="308" t="s">
        <v>2317</v>
      </c>
      <c r="C376" s="299">
        <v>1.0</v>
      </c>
      <c r="D376" s="300">
        <v>2.0</v>
      </c>
      <c r="E376" s="331">
        <v>1.0</v>
      </c>
      <c r="F376" s="308" t="s">
        <v>2318</v>
      </c>
      <c r="G376" s="299" t="s">
        <v>1446</v>
      </c>
      <c r="H376" s="301">
        <v>44708.0</v>
      </c>
    </row>
    <row r="377">
      <c r="A377" s="299">
        <v>10.0</v>
      </c>
      <c r="B377" s="306" t="s">
        <v>1620</v>
      </c>
      <c r="C377" s="306">
        <v>1.0</v>
      </c>
      <c r="D377" s="307">
        <v>2.8</v>
      </c>
      <c r="E377" s="453">
        <v>1.0</v>
      </c>
      <c r="F377" s="306"/>
      <c r="G377" s="306" t="s">
        <v>2319</v>
      </c>
      <c r="H377" s="454">
        <v>44756.0</v>
      </c>
    </row>
    <row r="378">
      <c r="A378" s="303">
        <v>11.0</v>
      </c>
      <c r="B378" s="303" t="s">
        <v>2320</v>
      </c>
      <c r="C378" s="303"/>
      <c r="D378" s="304"/>
      <c r="E378" s="327"/>
      <c r="F378" s="303" t="s">
        <v>2321</v>
      </c>
      <c r="G378" s="303" t="s">
        <v>2322</v>
      </c>
      <c r="H378" s="305">
        <v>44798.0</v>
      </c>
    </row>
    <row r="379">
      <c r="A379" s="299">
        <v>12.0</v>
      </c>
      <c r="B379" s="306" t="s">
        <v>2076</v>
      </c>
      <c r="C379" s="306">
        <v>1.0</v>
      </c>
      <c r="D379" s="307">
        <v>17.5</v>
      </c>
      <c r="E379" s="453">
        <v>1.0</v>
      </c>
      <c r="F379" s="308" t="s">
        <v>2323</v>
      </c>
      <c r="G379" s="306" t="s">
        <v>1446</v>
      </c>
      <c r="H379" s="454">
        <v>44807.0</v>
      </c>
    </row>
    <row r="380">
      <c r="A380" s="303">
        <v>13.0</v>
      </c>
      <c r="B380" s="303" t="s">
        <v>2324</v>
      </c>
      <c r="C380" s="303"/>
      <c r="D380" s="304"/>
      <c r="E380" s="327"/>
      <c r="F380" s="303" t="s">
        <v>2325</v>
      </c>
      <c r="G380" s="303" t="s">
        <v>1848</v>
      </c>
      <c r="H380" s="305">
        <v>44811.0</v>
      </c>
    </row>
    <row r="381">
      <c r="A381" s="303">
        <v>14.0</v>
      </c>
      <c r="B381" s="303" t="s">
        <v>2326</v>
      </c>
      <c r="C381" s="303"/>
      <c r="D381" s="304"/>
      <c r="E381" s="327"/>
      <c r="F381" s="303" t="s">
        <v>2327</v>
      </c>
      <c r="G381" s="303" t="s">
        <v>1848</v>
      </c>
      <c r="H381" s="305">
        <v>44912.0</v>
      </c>
    </row>
    <row r="382">
      <c r="A382" s="303">
        <v>15.0</v>
      </c>
      <c r="B382" s="303" t="s">
        <v>1952</v>
      </c>
      <c r="C382" s="303"/>
      <c r="D382" s="304"/>
      <c r="E382" s="327"/>
      <c r="F382" s="303" t="s">
        <v>2328</v>
      </c>
      <c r="G382" s="303" t="s">
        <v>2329</v>
      </c>
      <c r="H382" s="305">
        <v>44925.0</v>
      </c>
    </row>
    <row r="383">
      <c r="A383" s="303">
        <v>16.0</v>
      </c>
      <c r="B383" s="303" t="s">
        <v>1635</v>
      </c>
      <c r="C383" s="303"/>
      <c r="D383" s="304"/>
      <c r="E383" s="327"/>
      <c r="F383" s="303" t="s">
        <v>2330</v>
      </c>
      <c r="G383" s="303" t="s">
        <v>1446</v>
      </c>
      <c r="H383" s="305">
        <v>44930.0</v>
      </c>
    </row>
    <row r="384">
      <c r="A384" s="303">
        <v>17.0</v>
      </c>
      <c r="B384" s="303" t="s">
        <v>2331</v>
      </c>
      <c r="C384" s="303"/>
      <c r="D384" s="304"/>
      <c r="E384" s="327"/>
      <c r="F384" s="303" t="s">
        <v>2332</v>
      </c>
      <c r="G384" s="303" t="s">
        <v>2333</v>
      </c>
      <c r="H384" s="305">
        <v>44930.0</v>
      </c>
    </row>
    <row r="385">
      <c r="A385" s="303">
        <v>18.0</v>
      </c>
      <c r="B385" s="303" t="s">
        <v>2334</v>
      </c>
      <c r="C385" s="303"/>
      <c r="D385" s="304"/>
      <c r="E385" s="327"/>
      <c r="F385" s="303" t="s">
        <v>2335</v>
      </c>
      <c r="G385" s="303" t="s">
        <v>2329</v>
      </c>
      <c r="H385" s="305">
        <v>44943.0</v>
      </c>
    </row>
    <row r="386">
      <c r="A386" s="303">
        <v>19.0</v>
      </c>
      <c r="B386" s="303" t="s">
        <v>2336</v>
      </c>
      <c r="C386" s="303"/>
      <c r="D386" s="304"/>
      <c r="E386" s="327"/>
      <c r="F386" s="303"/>
      <c r="G386" s="303" t="s">
        <v>1848</v>
      </c>
      <c r="H386" s="305">
        <v>44955.0</v>
      </c>
    </row>
    <row r="387">
      <c r="A387" s="303">
        <v>20.0</v>
      </c>
      <c r="B387" s="303" t="s">
        <v>2337</v>
      </c>
      <c r="C387" s="303"/>
      <c r="D387" s="304"/>
      <c r="E387" s="327"/>
      <c r="F387" s="303"/>
      <c r="G387" s="303" t="s">
        <v>2338</v>
      </c>
      <c r="H387" s="305">
        <v>44955.0</v>
      </c>
    </row>
    <row r="388">
      <c r="A388" s="303">
        <v>21.0</v>
      </c>
      <c r="B388" s="303" t="s">
        <v>1620</v>
      </c>
      <c r="C388" s="303"/>
      <c r="D388" s="304"/>
      <c r="E388" s="327"/>
      <c r="F388" s="303" t="s">
        <v>2339</v>
      </c>
      <c r="G388" s="303" t="s">
        <v>2322</v>
      </c>
      <c r="H388" s="305">
        <v>44999.0</v>
      </c>
    </row>
    <row r="389">
      <c r="A389" s="303">
        <v>22.0</v>
      </c>
      <c r="B389" s="303" t="s">
        <v>2340</v>
      </c>
      <c r="C389" s="303"/>
      <c r="D389" s="304"/>
      <c r="E389" s="327"/>
      <c r="F389" s="303" t="s">
        <v>2341</v>
      </c>
      <c r="G389" s="303" t="s">
        <v>2342</v>
      </c>
      <c r="H389" s="305">
        <v>45010.0</v>
      </c>
    </row>
    <row r="390">
      <c r="A390" s="303">
        <v>23.0</v>
      </c>
      <c r="B390" s="303" t="s">
        <v>2340</v>
      </c>
      <c r="C390" s="303"/>
      <c r="D390" s="304"/>
      <c r="E390" s="327"/>
      <c r="F390" s="303" t="s">
        <v>2343</v>
      </c>
      <c r="G390" s="303" t="s">
        <v>2342</v>
      </c>
      <c r="H390" s="305">
        <v>45010.0</v>
      </c>
    </row>
    <row r="391">
      <c r="A391" s="303">
        <v>24.0</v>
      </c>
      <c r="B391" s="303" t="s">
        <v>2344</v>
      </c>
      <c r="C391" s="303"/>
      <c r="D391" s="304"/>
      <c r="E391" s="327"/>
      <c r="F391" s="303" t="s">
        <v>2345</v>
      </c>
      <c r="G391" s="305"/>
      <c r="H391" s="305">
        <v>45053.0</v>
      </c>
    </row>
    <row r="392">
      <c r="A392" s="303">
        <v>25.0</v>
      </c>
      <c r="B392" s="303" t="s">
        <v>1579</v>
      </c>
      <c r="C392" s="303"/>
      <c r="D392" s="304"/>
      <c r="E392" s="327"/>
      <c r="F392" s="303" t="s">
        <v>2346</v>
      </c>
      <c r="G392" s="303" t="s">
        <v>2347</v>
      </c>
      <c r="H392" s="305">
        <v>45068.0</v>
      </c>
    </row>
    <row r="393">
      <c r="A393" s="303">
        <v>26.0</v>
      </c>
      <c r="B393" s="303" t="s">
        <v>2348</v>
      </c>
      <c r="C393" s="303"/>
      <c r="D393" s="304"/>
      <c r="E393" s="327"/>
      <c r="F393" s="303" t="s">
        <v>2349</v>
      </c>
      <c r="G393" s="303" t="s">
        <v>1446</v>
      </c>
      <c r="H393" s="305">
        <v>45077.0</v>
      </c>
    </row>
    <row r="394">
      <c r="A394" s="303">
        <v>27.0</v>
      </c>
      <c r="B394" s="303" t="s">
        <v>2350</v>
      </c>
      <c r="C394" s="303"/>
      <c r="D394" s="304"/>
      <c r="E394" s="327"/>
      <c r="F394" s="303" t="s">
        <v>2351</v>
      </c>
      <c r="G394" s="303" t="s">
        <v>1554</v>
      </c>
      <c r="H394" s="303" t="s">
        <v>2352</v>
      </c>
    </row>
    <row r="395">
      <c r="A395" s="299">
        <v>28.0</v>
      </c>
      <c r="B395" s="299" t="s">
        <v>1862</v>
      </c>
      <c r="C395" s="299">
        <v>1.0</v>
      </c>
      <c r="D395" s="300">
        <v>17.5</v>
      </c>
      <c r="E395" s="331">
        <v>1.0</v>
      </c>
      <c r="F395" s="299" t="s">
        <v>2353</v>
      </c>
      <c r="G395" s="306" t="s">
        <v>1554</v>
      </c>
      <c r="H395" s="454">
        <v>45098.0</v>
      </c>
    </row>
    <row r="396">
      <c r="A396" s="303">
        <v>29.0</v>
      </c>
      <c r="B396" s="303" t="s">
        <v>1862</v>
      </c>
      <c r="C396" s="303"/>
      <c r="D396" s="304"/>
      <c r="E396" s="327"/>
      <c r="F396" s="303" t="s">
        <v>2354</v>
      </c>
      <c r="G396" s="303" t="s">
        <v>1554</v>
      </c>
      <c r="H396" s="305">
        <v>45127.0</v>
      </c>
    </row>
    <row r="397">
      <c r="A397" s="303">
        <v>30.0</v>
      </c>
      <c r="B397" s="303" t="s">
        <v>1862</v>
      </c>
      <c r="C397" s="303"/>
      <c r="D397" s="304"/>
      <c r="E397" s="327"/>
      <c r="F397" s="303" t="s">
        <v>2355</v>
      </c>
      <c r="G397" s="303" t="s">
        <v>2356</v>
      </c>
      <c r="H397" s="305">
        <v>45127.0</v>
      </c>
    </row>
    <row r="398">
      <c r="A398" s="299">
        <v>31.0</v>
      </c>
      <c r="B398" s="299" t="s">
        <v>1862</v>
      </c>
      <c r="C398" s="299">
        <v>1.0</v>
      </c>
      <c r="D398" s="300">
        <v>17.5</v>
      </c>
      <c r="E398" s="331">
        <v>1.0</v>
      </c>
      <c r="F398" s="299" t="s">
        <v>2357</v>
      </c>
      <c r="G398" s="306" t="s">
        <v>1554</v>
      </c>
      <c r="H398" s="454">
        <v>45127.0</v>
      </c>
    </row>
    <row r="399">
      <c r="A399" s="303">
        <v>32.0</v>
      </c>
      <c r="B399" s="303" t="s">
        <v>2358</v>
      </c>
      <c r="C399" s="303"/>
      <c r="D399" s="304"/>
      <c r="E399" s="327"/>
      <c r="F399" s="303" t="s">
        <v>2359</v>
      </c>
      <c r="G399" s="303" t="s">
        <v>1554</v>
      </c>
      <c r="H399" s="303" t="s">
        <v>2360</v>
      </c>
    </row>
    <row r="400">
      <c r="A400" s="299">
        <v>33.0</v>
      </c>
      <c r="B400" s="299" t="s">
        <v>1862</v>
      </c>
      <c r="C400" s="299">
        <v>1.0</v>
      </c>
      <c r="D400" s="300">
        <v>17.5</v>
      </c>
      <c r="E400" s="331">
        <v>1.0</v>
      </c>
      <c r="F400" s="308" t="s">
        <v>2361</v>
      </c>
      <c r="G400" s="306" t="s">
        <v>1554</v>
      </c>
      <c r="H400" s="454">
        <v>45169.0</v>
      </c>
    </row>
    <row r="401">
      <c r="A401" s="303">
        <v>34.0</v>
      </c>
      <c r="B401" s="303" t="s">
        <v>2362</v>
      </c>
      <c r="C401" s="303"/>
      <c r="D401" s="304"/>
      <c r="E401" s="327"/>
      <c r="F401" s="303" t="s">
        <v>2363</v>
      </c>
      <c r="G401" s="303" t="s">
        <v>2364</v>
      </c>
      <c r="H401" s="305">
        <v>45127.0</v>
      </c>
    </row>
    <row r="402">
      <c r="A402" s="303">
        <v>35.0</v>
      </c>
      <c r="B402" s="303" t="s">
        <v>2362</v>
      </c>
      <c r="C402" s="303"/>
      <c r="D402" s="304"/>
      <c r="E402" s="327"/>
      <c r="F402" s="303" t="s">
        <v>2365</v>
      </c>
      <c r="G402" s="303" t="s">
        <v>2364</v>
      </c>
      <c r="H402" s="305">
        <v>45127.0</v>
      </c>
    </row>
    <row r="403">
      <c r="A403" s="303">
        <v>36.0</v>
      </c>
      <c r="B403" s="303" t="s">
        <v>2366</v>
      </c>
      <c r="C403" s="303"/>
      <c r="D403" s="304"/>
      <c r="E403" s="327"/>
      <c r="F403" s="303" t="s">
        <v>2367</v>
      </c>
      <c r="G403" s="303" t="s">
        <v>2368</v>
      </c>
      <c r="H403" s="305">
        <v>45132.0</v>
      </c>
    </row>
    <row r="404">
      <c r="A404" s="299">
        <v>37.0</v>
      </c>
      <c r="B404" s="308" t="s">
        <v>2369</v>
      </c>
      <c r="C404" s="463">
        <v>1.0</v>
      </c>
      <c r="D404" s="314">
        <v>1.3</v>
      </c>
      <c r="E404" s="464">
        <v>1.0</v>
      </c>
      <c r="F404" s="364"/>
      <c r="G404" s="306" t="s">
        <v>1554</v>
      </c>
      <c r="H404" s="364"/>
    </row>
    <row r="405">
      <c r="A405" s="303">
        <v>38.0</v>
      </c>
      <c r="B405" s="303" t="s">
        <v>2370</v>
      </c>
      <c r="C405" s="303"/>
      <c r="D405" s="303"/>
      <c r="E405" s="325"/>
      <c r="F405" s="303"/>
      <c r="G405" s="303" t="s">
        <v>2371</v>
      </c>
      <c r="H405" s="305">
        <v>45206.0</v>
      </c>
    </row>
    <row r="406">
      <c r="A406" s="299">
        <v>39.0</v>
      </c>
      <c r="B406" s="299" t="s">
        <v>2274</v>
      </c>
      <c r="C406" s="299">
        <v>1.0</v>
      </c>
      <c r="D406" s="299">
        <v>10.4</v>
      </c>
      <c r="E406" s="360">
        <v>1.0</v>
      </c>
      <c r="F406" s="299" t="s">
        <v>2372</v>
      </c>
      <c r="G406" s="299" t="s">
        <v>1554</v>
      </c>
      <c r="H406" s="301">
        <v>45233.0</v>
      </c>
    </row>
    <row r="407">
      <c r="A407" s="303">
        <v>40.0</v>
      </c>
      <c r="B407" s="303" t="s">
        <v>1579</v>
      </c>
      <c r="C407" s="303"/>
      <c r="D407" s="304"/>
      <c r="E407" s="325"/>
      <c r="F407" s="303" t="s">
        <v>2373</v>
      </c>
      <c r="G407" s="303" t="s">
        <v>1554</v>
      </c>
      <c r="H407" s="305">
        <v>45301.0</v>
      </c>
    </row>
    <row r="408">
      <c r="A408" s="303">
        <v>41.0</v>
      </c>
      <c r="B408" s="303" t="s">
        <v>2374</v>
      </c>
      <c r="C408" s="303"/>
      <c r="D408" s="304"/>
      <c r="E408" s="327"/>
      <c r="F408" s="303" t="s">
        <v>2375</v>
      </c>
      <c r="G408" s="303" t="s">
        <v>1554</v>
      </c>
      <c r="H408" s="305">
        <v>45310.0</v>
      </c>
    </row>
    <row r="409">
      <c r="A409" s="299">
        <v>42.0</v>
      </c>
      <c r="B409" s="299" t="s">
        <v>2376</v>
      </c>
      <c r="C409" s="299">
        <v>1.0</v>
      </c>
      <c r="D409" s="300">
        <v>4.1</v>
      </c>
      <c r="E409" s="331">
        <v>1.0</v>
      </c>
      <c r="F409" s="308">
        <v>5.6191234E7</v>
      </c>
      <c r="G409" s="299" t="s">
        <v>1554</v>
      </c>
      <c r="H409" s="301">
        <v>45350.0</v>
      </c>
    </row>
    <row r="410">
      <c r="A410" s="303">
        <v>43.0</v>
      </c>
      <c r="B410" s="303" t="s">
        <v>2377</v>
      </c>
      <c r="C410" s="303">
        <v>1.0</v>
      </c>
      <c r="D410" s="304">
        <v>12.3</v>
      </c>
      <c r="E410" s="327">
        <v>1.0</v>
      </c>
      <c r="F410" s="303">
        <v>2.1040879E7</v>
      </c>
      <c r="G410" s="303" t="s">
        <v>2378</v>
      </c>
      <c r="H410" s="305">
        <v>45350.0</v>
      </c>
    </row>
    <row r="411">
      <c r="A411" s="303">
        <v>44.0</v>
      </c>
      <c r="B411" s="303" t="s">
        <v>2379</v>
      </c>
      <c r="C411" s="303"/>
      <c r="D411" s="304"/>
      <c r="E411" s="327"/>
      <c r="F411" s="303" t="s">
        <v>2380</v>
      </c>
      <c r="G411" s="303" t="s">
        <v>1554</v>
      </c>
      <c r="H411" s="303" t="s">
        <v>2381</v>
      </c>
    </row>
    <row r="412">
      <c r="A412" s="299">
        <v>45.0</v>
      </c>
      <c r="B412" s="299" t="s">
        <v>1862</v>
      </c>
      <c r="C412" s="299">
        <v>1.0</v>
      </c>
      <c r="D412" s="300">
        <v>17.5</v>
      </c>
      <c r="E412" s="331">
        <v>1.0</v>
      </c>
      <c r="F412" s="299" t="s">
        <v>2382</v>
      </c>
      <c r="G412" s="299" t="s">
        <v>1554</v>
      </c>
      <c r="H412" s="301">
        <v>45442.0</v>
      </c>
    </row>
    <row r="413">
      <c r="A413" s="303">
        <v>46.0</v>
      </c>
      <c r="B413" s="303" t="s">
        <v>1620</v>
      </c>
      <c r="C413" s="303"/>
      <c r="D413" s="304"/>
      <c r="E413" s="327"/>
      <c r="F413" s="303" t="s">
        <v>2383</v>
      </c>
      <c r="G413" s="303" t="s">
        <v>2384</v>
      </c>
      <c r="H413" s="305">
        <v>45517.0</v>
      </c>
    </row>
    <row r="414">
      <c r="A414" s="299">
        <v>47.0</v>
      </c>
      <c r="B414" s="299" t="s">
        <v>2385</v>
      </c>
      <c r="C414" s="299">
        <v>1.0</v>
      </c>
      <c r="D414" s="300">
        <v>17.5</v>
      </c>
      <c r="E414" s="331">
        <v>1.0</v>
      </c>
      <c r="F414" s="299" t="s">
        <v>2386</v>
      </c>
      <c r="G414" s="299" t="s">
        <v>1554</v>
      </c>
      <c r="H414" s="301">
        <v>45519.0</v>
      </c>
    </row>
    <row r="415">
      <c r="A415" s="303">
        <v>48.0</v>
      </c>
      <c r="B415" s="303" t="s">
        <v>2387</v>
      </c>
      <c r="C415" s="303"/>
      <c r="D415" s="304"/>
      <c r="E415" s="327"/>
      <c r="F415" s="303" t="s">
        <v>2388</v>
      </c>
      <c r="G415" s="303" t="s">
        <v>2384</v>
      </c>
      <c r="H415" s="305">
        <v>45520.0</v>
      </c>
    </row>
    <row r="416">
      <c r="A416" s="303">
        <v>49.0</v>
      </c>
      <c r="B416" s="303" t="s">
        <v>2389</v>
      </c>
      <c r="C416" s="303"/>
      <c r="D416" s="304"/>
      <c r="E416" s="327"/>
      <c r="F416" s="303" t="s">
        <v>2390</v>
      </c>
      <c r="G416" s="303" t="s">
        <v>2384</v>
      </c>
      <c r="H416" s="305">
        <v>45526.0</v>
      </c>
    </row>
    <row r="417">
      <c r="A417" s="299">
        <v>50.0</v>
      </c>
      <c r="B417" s="302" t="s">
        <v>2391</v>
      </c>
      <c r="C417" s="299">
        <v>1.0</v>
      </c>
      <c r="D417" s="300">
        <v>8.3</v>
      </c>
      <c r="E417" s="331">
        <v>2.0</v>
      </c>
      <c r="F417" s="302">
        <v>2.5021202E7</v>
      </c>
      <c r="G417" s="299" t="s">
        <v>1554</v>
      </c>
      <c r="H417" s="301">
        <v>45701.0</v>
      </c>
    </row>
    <row r="418">
      <c r="A418" s="303">
        <v>51.0</v>
      </c>
      <c r="B418" s="303" t="s">
        <v>2392</v>
      </c>
      <c r="C418" s="303"/>
      <c r="D418" s="304"/>
      <c r="E418" s="327"/>
      <c r="F418" s="303"/>
      <c r="G418" s="303" t="s">
        <v>425</v>
      </c>
      <c r="H418" s="305">
        <v>45776.0</v>
      </c>
    </row>
    <row r="419">
      <c r="A419" s="299">
        <v>52.0</v>
      </c>
      <c r="B419" s="299" t="s">
        <v>2393</v>
      </c>
      <c r="C419" s="299">
        <v>1.0</v>
      </c>
      <c r="D419" s="300">
        <v>17.5</v>
      </c>
      <c r="E419" s="331">
        <v>1.0</v>
      </c>
      <c r="F419" s="299" t="s">
        <v>2394</v>
      </c>
      <c r="G419" s="299" t="s">
        <v>1446</v>
      </c>
      <c r="H419" s="301">
        <v>45794.0</v>
      </c>
    </row>
    <row r="420">
      <c r="A420" s="299">
        <v>54.0</v>
      </c>
      <c r="B420" s="299" t="s">
        <v>1620</v>
      </c>
      <c r="C420" s="299">
        <v>1.0</v>
      </c>
      <c r="D420" s="300">
        <v>2.0</v>
      </c>
      <c r="E420" s="331">
        <v>1.0</v>
      </c>
      <c r="F420" s="299"/>
      <c r="G420" s="299" t="s">
        <v>1446</v>
      </c>
      <c r="H420" s="301">
        <v>45794.0</v>
      </c>
    </row>
    <row r="421">
      <c r="A421" s="303">
        <v>55.0</v>
      </c>
      <c r="B421" s="303" t="s">
        <v>2393</v>
      </c>
      <c r="C421" s="303"/>
      <c r="D421" s="304"/>
      <c r="E421" s="327"/>
      <c r="F421" s="303" t="s">
        <v>2395</v>
      </c>
      <c r="G421" s="303" t="s">
        <v>2384</v>
      </c>
      <c r="H421" s="305">
        <v>45797.0</v>
      </c>
    </row>
    <row r="422">
      <c r="A422" s="465">
        <v>56.0</v>
      </c>
      <c r="B422" s="465" t="s">
        <v>2393</v>
      </c>
      <c r="C422" s="465"/>
      <c r="D422" s="466"/>
      <c r="E422" s="467"/>
      <c r="F422" s="465" t="s">
        <v>2396</v>
      </c>
      <c r="G422" s="303" t="s">
        <v>2384</v>
      </c>
      <c r="H422" s="468">
        <v>45797.0</v>
      </c>
    </row>
    <row r="423">
      <c r="A423" s="299">
        <v>57.0</v>
      </c>
      <c r="B423" s="469" t="s">
        <v>2397</v>
      </c>
      <c r="C423" s="299">
        <v>1.0</v>
      </c>
      <c r="D423" s="300">
        <v>6.2</v>
      </c>
      <c r="E423" s="331">
        <v>1.0</v>
      </c>
      <c r="F423" s="469" t="s">
        <v>2398</v>
      </c>
      <c r="G423" s="299" t="s">
        <v>1446</v>
      </c>
      <c r="H423" s="301">
        <v>45825.0</v>
      </c>
    </row>
    <row r="424">
      <c r="A424" s="299">
        <v>58.0</v>
      </c>
      <c r="B424" s="469" t="s">
        <v>1872</v>
      </c>
      <c r="C424" s="299">
        <v>1.0</v>
      </c>
      <c r="D424" s="300">
        <v>15.0</v>
      </c>
      <c r="E424" s="331">
        <v>1.0</v>
      </c>
      <c r="F424" s="469" t="s">
        <v>2399</v>
      </c>
      <c r="G424" s="299" t="s">
        <v>1554</v>
      </c>
      <c r="H424" s="301">
        <v>45945.0</v>
      </c>
    </row>
    <row r="425">
      <c r="A425" s="366" t="s">
        <v>1562</v>
      </c>
      <c r="B425" s="3"/>
      <c r="C425" s="299">
        <f>sum(C368:C424)</f>
        <v>22</v>
      </c>
      <c r="D425" s="300">
        <f>SUM(D368:D424)</f>
        <v>354.3</v>
      </c>
      <c r="E425" s="331">
        <f>sum(E368:E424)</f>
        <v>20</v>
      </c>
      <c r="F425" s="299"/>
      <c r="G425" s="301"/>
      <c r="H425" s="301"/>
    </row>
    <row r="426">
      <c r="A426" s="299"/>
      <c r="B426" s="299"/>
      <c r="C426" s="299"/>
      <c r="D426" s="300"/>
      <c r="E426" s="331"/>
      <c r="F426" s="299"/>
      <c r="G426" s="299"/>
      <c r="H426" s="301"/>
    </row>
    <row r="427">
      <c r="A427" s="299"/>
      <c r="B427" s="299"/>
      <c r="C427" s="299"/>
      <c r="D427" s="300"/>
      <c r="E427" s="331"/>
      <c r="F427" s="299"/>
      <c r="G427" s="299"/>
      <c r="H427" s="301"/>
    </row>
    <row r="428" ht="27.75" customHeight="1">
      <c r="A428" s="358" t="s">
        <v>2400</v>
      </c>
      <c r="B428" s="2"/>
      <c r="C428" s="2"/>
      <c r="D428" s="2"/>
      <c r="E428" s="2"/>
      <c r="F428" s="2"/>
      <c r="G428" s="2"/>
      <c r="H428" s="3"/>
    </row>
    <row r="429" ht="27.75" customHeight="1">
      <c r="A429" s="295" t="s">
        <v>1435</v>
      </c>
      <c r="B429" s="296" t="s">
        <v>1436</v>
      </c>
      <c r="C429" s="295" t="s">
        <v>1843</v>
      </c>
      <c r="D429" s="297" t="s">
        <v>1438</v>
      </c>
      <c r="E429" s="359" t="s">
        <v>1564</v>
      </c>
      <c r="F429" s="295" t="s">
        <v>1440</v>
      </c>
      <c r="G429" s="295" t="s">
        <v>1844</v>
      </c>
      <c r="H429" s="298" t="s">
        <v>1441</v>
      </c>
    </row>
    <row r="430">
      <c r="A430" s="299">
        <v>1.0</v>
      </c>
      <c r="B430" s="299" t="s">
        <v>1443</v>
      </c>
      <c r="C430" s="299">
        <v>1.0</v>
      </c>
      <c r="D430" s="300">
        <v>144.0</v>
      </c>
      <c r="E430" s="331"/>
      <c r="F430" s="299" t="s">
        <v>1518</v>
      </c>
      <c r="G430" s="299" t="s">
        <v>1446</v>
      </c>
      <c r="H430" s="301"/>
    </row>
    <row r="431">
      <c r="A431" s="299">
        <v>2.0</v>
      </c>
      <c r="B431" s="299" t="s">
        <v>1444</v>
      </c>
      <c r="C431" s="299">
        <v>2.0</v>
      </c>
      <c r="D431" s="300">
        <v>1.6</v>
      </c>
      <c r="E431" s="360"/>
      <c r="F431" s="425"/>
      <c r="G431" s="299" t="s">
        <v>1446</v>
      </c>
      <c r="H431" s="301">
        <v>44574.0</v>
      </c>
    </row>
    <row r="432">
      <c r="A432" s="299">
        <v>3.0</v>
      </c>
      <c r="B432" s="299" t="s">
        <v>1853</v>
      </c>
      <c r="C432" s="299">
        <v>1.0</v>
      </c>
      <c r="D432" s="300">
        <v>5.0</v>
      </c>
      <c r="E432" s="331">
        <v>1.0</v>
      </c>
      <c r="F432" s="425"/>
      <c r="G432" s="299" t="s">
        <v>1446</v>
      </c>
      <c r="H432" s="301">
        <v>44596.0</v>
      </c>
    </row>
    <row r="433">
      <c r="A433" s="303">
        <v>4.0</v>
      </c>
      <c r="B433" s="303" t="s">
        <v>2401</v>
      </c>
      <c r="C433" s="303"/>
      <c r="D433" s="303"/>
      <c r="E433" s="303"/>
      <c r="F433" s="303" t="s">
        <v>2402</v>
      </c>
      <c r="G433" s="303" t="s">
        <v>293</v>
      </c>
      <c r="H433" s="305">
        <v>44679.0</v>
      </c>
    </row>
    <row r="434">
      <c r="A434" s="303">
        <v>5.0</v>
      </c>
      <c r="B434" s="303" t="s">
        <v>2403</v>
      </c>
      <c r="C434" s="303"/>
      <c r="D434" s="303"/>
      <c r="E434" s="303"/>
      <c r="F434" s="303" t="s">
        <v>2404</v>
      </c>
      <c r="G434" s="303" t="s">
        <v>293</v>
      </c>
      <c r="H434" s="305">
        <v>44681.0</v>
      </c>
    </row>
    <row r="435">
      <c r="A435" s="303">
        <v>6.0</v>
      </c>
      <c r="B435" s="303" t="s">
        <v>2405</v>
      </c>
      <c r="C435" s="303"/>
      <c r="D435" s="304"/>
      <c r="E435" s="327"/>
      <c r="F435" s="303" t="s">
        <v>2406</v>
      </c>
      <c r="G435" s="303" t="s">
        <v>293</v>
      </c>
      <c r="H435" s="305">
        <v>44681.0</v>
      </c>
    </row>
    <row r="436">
      <c r="A436" s="303">
        <v>7.0</v>
      </c>
      <c r="B436" s="303" t="s">
        <v>2405</v>
      </c>
      <c r="C436" s="303"/>
      <c r="D436" s="304"/>
      <c r="E436" s="327"/>
      <c r="F436" s="303" t="s">
        <v>2407</v>
      </c>
      <c r="G436" s="303" t="s">
        <v>293</v>
      </c>
      <c r="H436" s="305">
        <v>44681.0</v>
      </c>
    </row>
    <row r="437">
      <c r="A437" s="303">
        <v>8.0</v>
      </c>
      <c r="B437" s="303" t="s">
        <v>2408</v>
      </c>
      <c r="C437" s="303"/>
      <c r="D437" s="304"/>
      <c r="E437" s="327"/>
      <c r="F437" s="303">
        <v>1.5310000612E10</v>
      </c>
      <c r="G437" s="303" t="s">
        <v>293</v>
      </c>
      <c r="H437" s="305">
        <v>44681.0</v>
      </c>
    </row>
    <row r="438" ht="16.5" customHeight="1">
      <c r="A438" s="303">
        <v>9.0</v>
      </c>
      <c r="B438" s="303" t="s">
        <v>2408</v>
      </c>
      <c r="C438" s="303"/>
      <c r="D438" s="304"/>
      <c r="E438" s="327"/>
      <c r="F438" s="303">
        <v>1.442554282E10</v>
      </c>
      <c r="G438" s="303" t="s">
        <v>293</v>
      </c>
      <c r="H438" s="305">
        <v>44681.0</v>
      </c>
    </row>
    <row r="439" ht="15.75" customHeight="1">
      <c r="A439" s="303">
        <v>10.0</v>
      </c>
      <c r="B439" s="303" t="s">
        <v>2408</v>
      </c>
      <c r="C439" s="303"/>
      <c r="D439" s="304"/>
      <c r="E439" s="327"/>
      <c r="F439" s="303">
        <v>3.6474871828E10</v>
      </c>
      <c r="G439" s="303" t="s">
        <v>293</v>
      </c>
      <c r="H439" s="305">
        <v>44681.0</v>
      </c>
    </row>
    <row r="440" ht="15.75" customHeight="1">
      <c r="A440" s="303">
        <v>11.0</v>
      </c>
      <c r="B440" s="303" t="s">
        <v>2408</v>
      </c>
      <c r="C440" s="303"/>
      <c r="D440" s="304"/>
      <c r="E440" s="327"/>
      <c r="F440" s="303">
        <v>1.3019516308E10</v>
      </c>
      <c r="G440" s="303" t="s">
        <v>293</v>
      </c>
      <c r="H440" s="305">
        <v>44681.0</v>
      </c>
    </row>
    <row r="441" ht="15.75" customHeight="1">
      <c r="A441" s="303">
        <v>12.0</v>
      </c>
      <c r="B441" s="303" t="s">
        <v>2408</v>
      </c>
      <c r="C441" s="303"/>
      <c r="D441" s="304"/>
      <c r="E441" s="327"/>
      <c r="F441" s="303">
        <v>1.5196298644E10</v>
      </c>
      <c r="G441" s="303" t="s">
        <v>293</v>
      </c>
      <c r="H441" s="305">
        <v>44681.0</v>
      </c>
    </row>
    <row r="442" ht="15.75" customHeight="1">
      <c r="A442" s="303">
        <v>13.0</v>
      </c>
      <c r="B442" s="303" t="s">
        <v>2408</v>
      </c>
      <c r="C442" s="303"/>
      <c r="D442" s="304"/>
      <c r="E442" s="327"/>
      <c r="F442" s="303" t="s">
        <v>2409</v>
      </c>
      <c r="G442" s="303" t="s">
        <v>293</v>
      </c>
      <c r="H442" s="305">
        <v>44681.0</v>
      </c>
    </row>
    <row r="443" ht="15.75" customHeight="1">
      <c r="A443" s="303">
        <v>14.0</v>
      </c>
      <c r="B443" s="398" t="s">
        <v>2410</v>
      </c>
      <c r="C443" s="303"/>
      <c r="D443" s="304"/>
      <c r="E443" s="327"/>
      <c r="F443" s="303" t="s">
        <v>2411</v>
      </c>
      <c r="G443" s="303" t="s">
        <v>293</v>
      </c>
      <c r="H443" s="305">
        <v>44691.0</v>
      </c>
    </row>
    <row r="444" ht="15.75" customHeight="1">
      <c r="A444" s="303">
        <v>15.0</v>
      </c>
      <c r="B444" s="398" t="s">
        <v>2408</v>
      </c>
      <c r="C444" s="303"/>
      <c r="D444" s="304"/>
      <c r="E444" s="327"/>
      <c r="F444" s="303" t="s">
        <v>2412</v>
      </c>
      <c r="G444" s="303" t="s">
        <v>293</v>
      </c>
      <c r="H444" s="305">
        <v>44691.0</v>
      </c>
    </row>
    <row r="445" ht="15.75" customHeight="1">
      <c r="A445" s="303">
        <v>16.0</v>
      </c>
      <c r="B445" s="303" t="s">
        <v>2413</v>
      </c>
      <c r="C445" s="303"/>
      <c r="D445" s="304"/>
      <c r="E445" s="327"/>
      <c r="F445" s="303" t="s">
        <v>2414</v>
      </c>
      <c r="G445" s="303" t="s">
        <v>293</v>
      </c>
      <c r="H445" s="305">
        <v>44719.0</v>
      </c>
    </row>
    <row r="446" ht="15.75" customHeight="1">
      <c r="A446" s="303">
        <v>17.0</v>
      </c>
      <c r="B446" s="303" t="s">
        <v>2408</v>
      </c>
      <c r="C446" s="303"/>
      <c r="D446" s="304"/>
      <c r="E446" s="327"/>
      <c r="F446" s="303" t="s">
        <v>2415</v>
      </c>
      <c r="G446" s="303" t="s">
        <v>293</v>
      </c>
      <c r="H446" s="305">
        <v>44742.0</v>
      </c>
    </row>
    <row r="447" ht="15.75" customHeight="1">
      <c r="A447" s="303">
        <v>18.0</v>
      </c>
      <c r="B447" s="303" t="s">
        <v>2410</v>
      </c>
      <c r="C447" s="303"/>
      <c r="D447" s="304"/>
      <c r="E447" s="327"/>
      <c r="F447" s="303" t="s">
        <v>2416</v>
      </c>
      <c r="G447" s="303" t="s">
        <v>293</v>
      </c>
      <c r="H447" s="305">
        <v>44803.0</v>
      </c>
    </row>
    <row r="448" ht="15.75" customHeight="1">
      <c r="A448" s="303">
        <v>19.0</v>
      </c>
      <c r="B448" s="303" t="s">
        <v>2408</v>
      </c>
      <c r="C448" s="303"/>
      <c r="D448" s="304"/>
      <c r="E448" s="327"/>
      <c r="F448" s="303" t="s">
        <v>2417</v>
      </c>
      <c r="G448" s="303" t="s">
        <v>293</v>
      </c>
      <c r="H448" s="305">
        <v>44858.0</v>
      </c>
    </row>
    <row r="449" ht="15.75" customHeight="1">
      <c r="A449" s="303">
        <v>20.0</v>
      </c>
      <c r="B449" s="303" t="s">
        <v>1458</v>
      </c>
      <c r="C449" s="303"/>
      <c r="D449" s="304"/>
      <c r="E449" s="327"/>
      <c r="F449" s="303" t="s">
        <v>2418</v>
      </c>
      <c r="G449" s="303" t="s">
        <v>293</v>
      </c>
      <c r="H449" s="305">
        <v>44814.0</v>
      </c>
    </row>
    <row r="450" ht="15.75" customHeight="1">
      <c r="A450" s="303">
        <v>21.0</v>
      </c>
      <c r="B450" s="303" t="s">
        <v>2419</v>
      </c>
      <c r="C450" s="303"/>
      <c r="D450" s="304"/>
      <c r="E450" s="327"/>
      <c r="F450" s="303" t="s">
        <v>2420</v>
      </c>
      <c r="G450" s="303" t="s">
        <v>293</v>
      </c>
      <c r="H450" s="328">
        <v>44883.0</v>
      </c>
    </row>
    <row r="451" ht="15.75" customHeight="1">
      <c r="A451" s="303">
        <v>22.0</v>
      </c>
      <c r="B451" s="303" t="s">
        <v>2421</v>
      </c>
      <c r="C451" s="303"/>
      <c r="D451" s="304"/>
      <c r="E451" s="327"/>
      <c r="F451" s="303" t="s">
        <v>2422</v>
      </c>
      <c r="G451" s="303" t="s">
        <v>293</v>
      </c>
      <c r="H451" s="328">
        <v>44886.0</v>
      </c>
    </row>
    <row r="452" ht="15.75" customHeight="1">
      <c r="A452" s="303">
        <v>23.0</v>
      </c>
      <c r="B452" s="303" t="s">
        <v>2158</v>
      </c>
      <c r="C452" s="303"/>
      <c r="D452" s="304"/>
      <c r="E452" s="327"/>
      <c r="F452" s="303" t="s">
        <v>2423</v>
      </c>
      <c r="G452" s="303" t="s">
        <v>293</v>
      </c>
      <c r="H452" s="328">
        <v>44889.0</v>
      </c>
    </row>
    <row r="453" ht="15.75" customHeight="1">
      <c r="A453" s="303">
        <v>24.0</v>
      </c>
      <c r="B453" s="303" t="s">
        <v>2424</v>
      </c>
      <c r="C453" s="303"/>
      <c r="D453" s="304"/>
      <c r="E453" s="327"/>
      <c r="F453" s="303" t="s">
        <v>2425</v>
      </c>
      <c r="G453" s="303" t="s">
        <v>293</v>
      </c>
      <c r="H453" s="328">
        <v>44904.0</v>
      </c>
    </row>
    <row r="454" ht="15.75" customHeight="1">
      <c r="A454" s="303">
        <v>25.0</v>
      </c>
      <c r="B454" s="303" t="s">
        <v>2426</v>
      </c>
      <c r="C454" s="303"/>
      <c r="D454" s="304"/>
      <c r="E454" s="327"/>
      <c r="F454" s="303" t="s">
        <v>2427</v>
      </c>
      <c r="G454" s="303" t="s">
        <v>293</v>
      </c>
      <c r="H454" s="328">
        <v>44916.0</v>
      </c>
    </row>
    <row r="455">
      <c r="A455" s="299"/>
      <c r="B455" s="299"/>
      <c r="C455" s="299"/>
      <c r="D455" s="300"/>
      <c r="E455" s="331"/>
      <c r="F455" s="299"/>
      <c r="G455" s="301"/>
      <c r="H455" s="301"/>
    </row>
    <row r="456">
      <c r="A456" s="366" t="s">
        <v>1562</v>
      </c>
      <c r="B456" s="3"/>
      <c r="C456" s="299">
        <f t="shared" ref="C456:E456" si="9">sum(C430:C454)</f>
        <v>4</v>
      </c>
      <c r="D456" s="300">
        <f t="shared" si="9"/>
        <v>150.6</v>
      </c>
      <c r="E456" s="331">
        <f t="shared" si="9"/>
        <v>1</v>
      </c>
      <c r="F456" s="299"/>
      <c r="G456" s="301"/>
      <c r="H456" s="301"/>
    </row>
    <row r="457">
      <c r="A457" s="299"/>
      <c r="B457" s="299"/>
      <c r="C457" s="299"/>
      <c r="D457" s="300"/>
      <c r="E457" s="331"/>
      <c r="F457" s="299"/>
      <c r="G457" s="299"/>
      <c r="H457" s="301"/>
    </row>
    <row r="458">
      <c r="A458" s="299"/>
      <c r="B458" s="299"/>
      <c r="C458" s="299"/>
      <c r="D458" s="300"/>
      <c r="E458" s="331"/>
      <c r="F458" s="299"/>
      <c r="G458" s="299"/>
      <c r="H458" s="301"/>
    </row>
    <row r="459">
      <c r="A459" s="419" t="s">
        <v>2428</v>
      </c>
      <c r="B459" s="2"/>
      <c r="C459" s="2"/>
      <c r="D459" s="2"/>
      <c r="E459" s="2"/>
      <c r="F459" s="2"/>
      <c r="G459" s="2"/>
      <c r="H459" s="3"/>
    </row>
    <row r="460">
      <c r="A460" s="420" t="s">
        <v>1435</v>
      </c>
      <c r="B460" s="420" t="s">
        <v>1436</v>
      </c>
      <c r="C460" s="420" t="s">
        <v>1843</v>
      </c>
      <c r="D460" s="421" t="s">
        <v>1438</v>
      </c>
      <c r="E460" s="470" t="s">
        <v>1438</v>
      </c>
      <c r="F460" s="420" t="s">
        <v>1440</v>
      </c>
      <c r="G460" s="420" t="s">
        <v>1844</v>
      </c>
      <c r="H460" s="424" t="s">
        <v>1441</v>
      </c>
    </row>
    <row r="461">
      <c r="A461" s="425">
        <v>1.0</v>
      </c>
      <c r="B461" s="425" t="s">
        <v>1443</v>
      </c>
      <c r="C461" s="425">
        <v>1.0</v>
      </c>
      <c r="D461" s="427">
        <v>144.0</v>
      </c>
      <c r="E461" s="331"/>
      <c r="F461" s="425" t="s">
        <v>1518</v>
      </c>
      <c r="G461" s="425" t="s">
        <v>1446</v>
      </c>
      <c r="H461" s="428"/>
    </row>
    <row r="462">
      <c r="A462" s="425">
        <v>2.0</v>
      </c>
      <c r="B462" s="425" t="s">
        <v>1444</v>
      </c>
      <c r="C462" s="425">
        <v>2.0</v>
      </c>
      <c r="D462" s="427">
        <v>1.6</v>
      </c>
      <c r="E462" s="365"/>
      <c r="F462" s="425" t="s">
        <v>1518</v>
      </c>
      <c r="G462" s="425" t="s">
        <v>1446</v>
      </c>
      <c r="H462" s="428">
        <v>44574.0</v>
      </c>
    </row>
    <row r="463">
      <c r="A463" s="425">
        <v>3.0</v>
      </c>
      <c r="B463" s="425" t="s">
        <v>1853</v>
      </c>
      <c r="C463" s="425">
        <v>1.0</v>
      </c>
      <c r="D463" s="427">
        <v>5.0</v>
      </c>
      <c r="E463" s="365">
        <v>1.0</v>
      </c>
      <c r="F463" s="425" t="s">
        <v>1518</v>
      </c>
      <c r="G463" s="425" t="s">
        <v>1446</v>
      </c>
      <c r="H463" s="428">
        <v>44596.0</v>
      </c>
    </row>
    <row r="464">
      <c r="A464" s="471">
        <v>4.0</v>
      </c>
      <c r="B464" s="472" t="s">
        <v>2429</v>
      </c>
      <c r="C464" s="471">
        <v>1.0</v>
      </c>
      <c r="D464" s="473">
        <v>5.9</v>
      </c>
      <c r="E464" s="365">
        <v>1.0</v>
      </c>
      <c r="F464" s="425" t="s">
        <v>1518</v>
      </c>
      <c r="G464" s="425" t="s">
        <v>1446</v>
      </c>
      <c r="H464" s="474">
        <v>44987.0</v>
      </c>
    </row>
    <row r="465">
      <c r="A465" s="303">
        <v>5.0</v>
      </c>
      <c r="B465" s="323" t="s">
        <v>2337</v>
      </c>
      <c r="C465" s="429"/>
      <c r="D465" s="324"/>
      <c r="E465" s="327"/>
      <c r="F465" s="429" t="s">
        <v>1518</v>
      </c>
      <c r="G465" s="303" t="s">
        <v>2430</v>
      </c>
      <c r="H465" s="303" t="s">
        <v>2431</v>
      </c>
    </row>
    <row r="466">
      <c r="A466" s="299">
        <v>6.0</v>
      </c>
      <c r="B466" s="299" t="s">
        <v>2113</v>
      </c>
      <c r="C466" s="308">
        <v>1.0</v>
      </c>
      <c r="D466" s="300">
        <v>18.5</v>
      </c>
      <c r="E466" s="365">
        <v>1.0</v>
      </c>
      <c r="F466" s="308" t="s">
        <v>2432</v>
      </c>
      <c r="G466" s="425" t="s">
        <v>1446</v>
      </c>
      <c r="H466" s="475">
        <v>45155.0</v>
      </c>
    </row>
    <row r="467">
      <c r="A467" s="308">
        <v>7.0</v>
      </c>
      <c r="B467" s="299" t="s">
        <v>2113</v>
      </c>
      <c r="C467" s="308">
        <v>1.0</v>
      </c>
      <c r="D467" s="300">
        <v>18.5</v>
      </c>
      <c r="E467" s="365">
        <v>1.0</v>
      </c>
      <c r="F467" s="308" t="s">
        <v>2433</v>
      </c>
      <c r="G467" s="425" t="s">
        <v>1446</v>
      </c>
      <c r="H467" s="475">
        <v>45155.0</v>
      </c>
    </row>
    <row r="468">
      <c r="A468" s="299">
        <v>8.0</v>
      </c>
      <c r="B468" s="299" t="s">
        <v>2113</v>
      </c>
      <c r="C468" s="308">
        <v>1.0</v>
      </c>
      <c r="D468" s="300">
        <v>18.5</v>
      </c>
      <c r="E468" s="365">
        <v>1.0</v>
      </c>
      <c r="F468" s="308" t="s">
        <v>2434</v>
      </c>
      <c r="G468" s="425" t="s">
        <v>1446</v>
      </c>
      <c r="H468" s="475">
        <v>45155.0</v>
      </c>
    </row>
    <row r="469">
      <c r="A469" s="308">
        <v>9.0</v>
      </c>
      <c r="B469" s="299" t="s">
        <v>2435</v>
      </c>
      <c r="C469" s="308">
        <v>1.0</v>
      </c>
      <c r="D469" s="300">
        <v>9.1</v>
      </c>
      <c r="E469" s="331">
        <v>1.0</v>
      </c>
      <c r="F469" s="308" t="s">
        <v>2436</v>
      </c>
      <c r="G469" s="425" t="s">
        <v>1446</v>
      </c>
      <c r="H469" s="475">
        <v>45155.0</v>
      </c>
    </row>
    <row r="470">
      <c r="A470" s="303">
        <v>10.0</v>
      </c>
      <c r="B470" s="303" t="s">
        <v>2362</v>
      </c>
      <c r="C470" s="303"/>
      <c r="D470" s="304"/>
      <c r="E470" s="327"/>
      <c r="F470" s="303" t="s">
        <v>2363</v>
      </c>
      <c r="G470" s="429" t="s">
        <v>1446</v>
      </c>
      <c r="H470" s="303" t="s">
        <v>2437</v>
      </c>
    </row>
    <row r="471">
      <c r="A471" s="303">
        <v>11.0</v>
      </c>
      <c r="B471" s="303" t="s">
        <v>2362</v>
      </c>
      <c r="C471" s="303"/>
      <c r="D471" s="304"/>
      <c r="E471" s="327"/>
      <c r="F471" s="303" t="s">
        <v>2365</v>
      </c>
      <c r="G471" s="429" t="s">
        <v>1446</v>
      </c>
      <c r="H471" s="303" t="s">
        <v>2438</v>
      </c>
    </row>
    <row r="472">
      <c r="A472" s="303">
        <v>12.0</v>
      </c>
      <c r="B472" s="303" t="s">
        <v>2439</v>
      </c>
      <c r="C472" s="303"/>
      <c r="D472" s="304"/>
      <c r="E472" s="327"/>
      <c r="F472" s="303" t="s">
        <v>2440</v>
      </c>
      <c r="G472" s="303" t="s">
        <v>2441</v>
      </c>
      <c r="H472" s="305">
        <v>45454.0</v>
      </c>
    </row>
    <row r="473">
      <c r="A473" s="299">
        <v>13.0</v>
      </c>
      <c r="B473" s="299" t="s">
        <v>2442</v>
      </c>
      <c r="C473" s="299">
        <v>1.0</v>
      </c>
      <c r="D473" s="300">
        <v>2.5</v>
      </c>
      <c r="E473" s="331">
        <v>1.0</v>
      </c>
      <c r="F473" s="299" t="s">
        <v>2443</v>
      </c>
      <c r="G473" s="299" t="s">
        <v>2444</v>
      </c>
      <c r="H473" s="299" t="s">
        <v>215</v>
      </c>
    </row>
    <row r="474">
      <c r="A474" s="310">
        <v>22.0</v>
      </c>
      <c r="B474" s="309" t="s">
        <v>2340</v>
      </c>
      <c r="C474" s="309">
        <v>1.0</v>
      </c>
      <c r="D474" s="355">
        <v>18.6</v>
      </c>
      <c r="E474" s="356">
        <v>1.0</v>
      </c>
      <c r="F474" s="309" t="s">
        <v>2341</v>
      </c>
      <c r="G474" s="344" t="s">
        <v>2445</v>
      </c>
      <c r="H474" s="393">
        <v>46015.0</v>
      </c>
    </row>
    <row r="475">
      <c r="A475" s="310">
        <v>23.0</v>
      </c>
      <c r="B475" s="309" t="s">
        <v>2340</v>
      </c>
      <c r="C475" s="309">
        <v>1.0</v>
      </c>
      <c r="D475" s="355">
        <v>18.6</v>
      </c>
      <c r="E475" s="356">
        <v>1.0</v>
      </c>
      <c r="F475" s="309" t="s">
        <v>2343</v>
      </c>
      <c r="G475" s="344" t="s">
        <v>2445</v>
      </c>
      <c r="H475" s="393">
        <v>46015.0</v>
      </c>
    </row>
    <row r="476">
      <c r="A476" s="366" t="s">
        <v>1562</v>
      </c>
      <c r="B476" s="3"/>
      <c r="C476" s="299">
        <f t="shared" ref="C476:E476" si="10">sum(C461:C473)</f>
        <v>10</v>
      </c>
      <c r="D476" s="300">
        <f t="shared" si="10"/>
        <v>223.6</v>
      </c>
      <c r="E476" s="331">
        <f t="shared" si="10"/>
        <v>7</v>
      </c>
      <c r="F476" s="299"/>
      <c r="G476" s="301"/>
      <c r="H476" s="301"/>
    </row>
    <row r="477">
      <c r="A477" s="299"/>
      <c r="B477" s="299"/>
      <c r="C477" s="299"/>
      <c r="D477" s="300"/>
      <c r="E477" s="331"/>
      <c r="F477" s="299"/>
      <c r="G477" s="299"/>
      <c r="H477" s="301"/>
    </row>
    <row r="478">
      <c r="A478" s="299"/>
      <c r="B478" s="299"/>
      <c r="C478" s="299"/>
      <c r="D478" s="300"/>
      <c r="E478" s="331"/>
      <c r="F478" s="299"/>
      <c r="G478" s="299"/>
      <c r="H478" s="301"/>
    </row>
    <row r="479">
      <c r="A479" s="419" t="s">
        <v>2446</v>
      </c>
      <c r="B479" s="2"/>
      <c r="C479" s="2"/>
      <c r="D479" s="2"/>
      <c r="E479" s="2"/>
      <c r="F479" s="2"/>
      <c r="G479" s="2"/>
      <c r="H479" s="3"/>
    </row>
    <row r="480">
      <c r="A480" s="420" t="s">
        <v>1435</v>
      </c>
      <c r="B480" s="420" t="s">
        <v>1436</v>
      </c>
      <c r="C480" s="420" t="s">
        <v>1843</v>
      </c>
      <c r="D480" s="421" t="s">
        <v>1438</v>
      </c>
      <c r="E480" s="422" t="s">
        <v>1564</v>
      </c>
      <c r="F480" s="420" t="s">
        <v>1440</v>
      </c>
      <c r="G480" s="420" t="s">
        <v>1844</v>
      </c>
      <c r="H480" s="424" t="s">
        <v>1441</v>
      </c>
    </row>
    <row r="481">
      <c r="A481" s="425">
        <v>1.0</v>
      </c>
      <c r="B481" s="425" t="s">
        <v>1443</v>
      </c>
      <c r="C481" s="425">
        <v>1.0</v>
      </c>
      <c r="D481" s="427">
        <v>144.0</v>
      </c>
      <c r="E481" s="360"/>
      <c r="F481" s="425" t="s">
        <v>1518</v>
      </c>
      <c r="G481" s="425" t="s">
        <v>1446</v>
      </c>
      <c r="H481" s="428"/>
    </row>
    <row r="482">
      <c r="A482" s="425">
        <v>2.0</v>
      </c>
      <c r="B482" s="425" t="s">
        <v>1444</v>
      </c>
      <c r="C482" s="425">
        <v>2.0</v>
      </c>
      <c r="D482" s="427">
        <v>1.6</v>
      </c>
      <c r="E482" s="360"/>
      <c r="F482" s="425"/>
      <c r="G482" s="425" t="s">
        <v>1446</v>
      </c>
      <c r="H482" s="428">
        <v>44574.0</v>
      </c>
    </row>
    <row r="483">
      <c r="A483" s="425">
        <v>3.0</v>
      </c>
      <c r="B483" s="425" t="s">
        <v>1853</v>
      </c>
      <c r="C483" s="425">
        <v>1.0</v>
      </c>
      <c r="D483" s="427">
        <v>5.0</v>
      </c>
      <c r="E483" s="331">
        <v>1.0</v>
      </c>
      <c r="F483" s="425"/>
      <c r="G483" s="425" t="s">
        <v>1446</v>
      </c>
      <c r="H483" s="428">
        <v>44596.0</v>
      </c>
    </row>
    <row r="484">
      <c r="A484" s="471">
        <v>4.0</v>
      </c>
      <c r="B484" s="308" t="s">
        <v>2447</v>
      </c>
      <c r="C484" s="308">
        <v>1.0</v>
      </c>
      <c r="D484" s="314">
        <v>1.1</v>
      </c>
      <c r="E484" s="365">
        <v>1.0</v>
      </c>
      <c r="F484" s="308" t="s">
        <v>2448</v>
      </c>
      <c r="G484" s="299" t="s">
        <v>2449</v>
      </c>
      <c r="H484" s="315">
        <v>44650.0</v>
      </c>
    </row>
    <row r="485">
      <c r="A485" s="425">
        <v>5.0</v>
      </c>
      <c r="B485" s="308" t="s">
        <v>2450</v>
      </c>
      <c r="C485" s="308">
        <v>1.0</v>
      </c>
      <c r="D485" s="314">
        <v>1.0</v>
      </c>
      <c r="E485" s="365">
        <v>1.0</v>
      </c>
      <c r="F485" s="308" t="s">
        <v>2451</v>
      </c>
      <c r="G485" s="299" t="s">
        <v>2449</v>
      </c>
      <c r="H485" s="315">
        <v>44650.0</v>
      </c>
    </row>
    <row r="486">
      <c r="A486" s="425">
        <v>6.0</v>
      </c>
      <c r="B486" s="308" t="s">
        <v>2204</v>
      </c>
      <c r="C486" s="308">
        <v>1.0</v>
      </c>
      <c r="D486" s="314">
        <v>2.7</v>
      </c>
      <c r="E486" s="365">
        <v>1.0</v>
      </c>
      <c r="F486" s="308" t="s">
        <v>2452</v>
      </c>
      <c r="G486" s="299" t="s">
        <v>2449</v>
      </c>
      <c r="H486" s="315">
        <v>44650.0</v>
      </c>
    </row>
    <row r="487">
      <c r="A487" s="429">
        <v>7.0</v>
      </c>
      <c r="B487" s="303" t="s">
        <v>2453</v>
      </c>
      <c r="C487" s="303"/>
      <c r="D487" s="304"/>
      <c r="E487" s="327"/>
      <c r="F487" s="303" t="s">
        <v>2454</v>
      </c>
      <c r="G487" s="303" t="s">
        <v>2449</v>
      </c>
      <c r="H487" s="303" t="s">
        <v>2455</v>
      </c>
    </row>
    <row r="488">
      <c r="A488" s="429">
        <v>8.0</v>
      </c>
      <c r="B488" s="303" t="s">
        <v>2456</v>
      </c>
      <c r="C488" s="303"/>
      <c r="D488" s="304"/>
      <c r="E488" s="327"/>
      <c r="F488" s="303" t="s">
        <v>2457</v>
      </c>
      <c r="G488" s="303" t="s">
        <v>2458</v>
      </c>
      <c r="H488" s="305">
        <v>45184.0</v>
      </c>
    </row>
    <row r="489">
      <c r="A489" s="429">
        <v>9.0</v>
      </c>
      <c r="B489" s="303" t="s">
        <v>2091</v>
      </c>
      <c r="C489" s="303"/>
      <c r="D489" s="304"/>
      <c r="E489" s="327"/>
      <c r="F489" s="303">
        <v>2.05002150389E11</v>
      </c>
      <c r="G489" s="303" t="s">
        <v>2458</v>
      </c>
      <c r="H489" s="305">
        <v>45184.0</v>
      </c>
    </row>
    <row r="490">
      <c r="A490" s="429">
        <v>10.0</v>
      </c>
      <c r="B490" s="303" t="s">
        <v>2459</v>
      </c>
      <c r="C490" s="303">
        <v>1.0</v>
      </c>
      <c r="D490" s="304">
        <v>1.2</v>
      </c>
      <c r="E490" s="327">
        <v>1.0</v>
      </c>
      <c r="F490" s="303" t="s">
        <v>2460</v>
      </c>
      <c r="G490" s="303" t="s">
        <v>2461</v>
      </c>
      <c r="H490" s="305">
        <v>45184.0</v>
      </c>
    </row>
    <row r="491">
      <c r="A491" s="303">
        <v>11.0</v>
      </c>
      <c r="B491" s="303" t="s">
        <v>2462</v>
      </c>
      <c r="C491" s="303"/>
      <c r="D491" s="304"/>
      <c r="E491" s="327"/>
      <c r="F491" s="303" t="s">
        <v>2463</v>
      </c>
      <c r="G491" s="303" t="s">
        <v>2464</v>
      </c>
      <c r="H491" s="305">
        <v>45554.0</v>
      </c>
    </row>
    <row r="492">
      <c r="A492" s="303">
        <v>12.0</v>
      </c>
      <c r="B492" s="303" t="s">
        <v>2462</v>
      </c>
      <c r="C492" s="303"/>
      <c r="D492" s="304"/>
      <c r="E492" s="327"/>
      <c r="F492" s="303" t="s">
        <v>2465</v>
      </c>
      <c r="G492" s="303" t="s">
        <v>2466</v>
      </c>
      <c r="H492" s="305">
        <v>45554.0</v>
      </c>
    </row>
    <row r="493">
      <c r="A493" s="303">
        <v>13.0</v>
      </c>
      <c r="B493" s="303" t="s">
        <v>2467</v>
      </c>
      <c r="C493" s="303"/>
      <c r="D493" s="304"/>
      <c r="E493" s="327"/>
      <c r="F493" s="303" t="s">
        <v>2468</v>
      </c>
      <c r="G493" s="303" t="s">
        <v>2469</v>
      </c>
      <c r="H493" s="305">
        <v>45554.0</v>
      </c>
    </row>
    <row r="494">
      <c r="A494" s="303">
        <v>14.0</v>
      </c>
      <c r="B494" s="303" t="s">
        <v>2470</v>
      </c>
      <c r="C494" s="303">
        <v>1.0</v>
      </c>
      <c r="D494" s="304">
        <v>1.9</v>
      </c>
      <c r="E494" s="327">
        <v>1.0</v>
      </c>
      <c r="F494" s="303" t="s">
        <v>2471</v>
      </c>
      <c r="G494" s="303" t="s">
        <v>2472</v>
      </c>
      <c r="H494" s="305">
        <v>45757.0</v>
      </c>
    </row>
    <row r="495">
      <c r="A495" s="299">
        <v>15.0</v>
      </c>
      <c r="B495" s="299" t="s">
        <v>2473</v>
      </c>
      <c r="C495" s="299">
        <v>1.0</v>
      </c>
      <c r="D495" s="300">
        <v>1.6</v>
      </c>
      <c r="E495" s="331">
        <v>1.0</v>
      </c>
      <c r="F495" s="299" t="s">
        <v>2474</v>
      </c>
      <c r="G495" s="299" t="s">
        <v>1446</v>
      </c>
      <c r="H495" s="301">
        <v>45757.0</v>
      </c>
    </row>
    <row r="496">
      <c r="A496" s="299">
        <v>16.0</v>
      </c>
      <c r="B496" s="308" t="s">
        <v>2475</v>
      </c>
      <c r="C496" s="308">
        <v>1.0</v>
      </c>
      <c r="D496" s="300">
        <v>33.15</v>
      </c>
      <c r="E496" s="331">
        <v>2.0</v>
      </c>
      <c r="F496" s="308" t="s">
        <v>2476</v>
      </c>
      <c r="G496" s="299" t="s">
        <v>2477</v>
      </c>
      <c r="H496" s="301">
        <v>45833.0</v>
      </c>
    </row>
    <row r="497">
      <c r="A497" s="299"/>
      <c r="B497" s="308" t="s">
        <v>2478</v>
      </c>
      <c r="C497" s="308">
        <v>1.0</v>
      </c>
      <c r="D497" s="300">
        <v>21.0</v>
      </c>
      <c r="E497" s="331">
        <v>2.0</v>
      </c>
      <c r="F497" s="308" t="s">
        <v>2479</v>
      </c>
      <c r="G497" s="299" t="s">
        <v>2449</v>
      </c>
      <c r="H497" s="301">
        <v>45859.0</v>
      </c>
    </row>
    <row r="498">
      <c r="A498" s="366" t="s">
        <v>1562</v>
      </c>
      <c r="B498" s="3"/>
      <c r="C498" s="308">
        <f>SUM(C480:C497)</f>
        <v>12</v>
      </c>
      <c r="D498" s="300">
        <f t="shared" ref="D498:E498" si="11">sum(D481:D497)</f>
        <v>214.25</v>
      </c>
      <c r="E498" s="331">
        <f t="shared" si="11"/>
        <v>11</v>
      </c>
      <c r="F498" s="299"/>
      <c r="G498" s="301"/>
      <c r="H498" s="301"/>
    </row>
    <row r="499">
      <c r="A499" s="299"/>
      <c r="B499" s="299"/>
      <c r="C499" s="299"/>
      <c r="D499" s="300"/>
      <c r="E499" s="331"/>
      <c r="F499" s="299"/>
      <c r="G499" s="299"/>
      <c r="H499" s="301"/>
    </row>
    <row r="500">
      <c r="A500" s="299"/>
      <c r="B500" s="299"/>
      <c r="C500" s="299"/>
      <c r="D500" s="300"/>
      <c r="E500" s="331"/>
      <c r="F500" s="299"/>
      <c r="G500" s="299"/>
      <c r="H500" s="301"/>
    </row>
    <row r="501">
      <c r="A501" s="419" t="s">
        <v>2480</v>
      </c>
      <c r="B501" s="2"/>
      <c r="C501" s="2"/>
      <c r="D501" s="2"/>
      <c r="E501" s="2"/>
      <c r="F501" s="2"/>
      <c r="G501" s="2"/>
      <c r="H501" s="3"/>
    </row>
    <row r="502">
      <c r="A502" s="420" t="s">
        <v>1435</v>
      </c>
      <c r="B502" s="420" t="s">
        <v>1436</v>
      </c>
      <c r="C502" s="420" t="s">
        <v>1843</v>
      </c>
      <c r="D502" s="421" t="s">
        <v>1438</v>
      </c>
      <c r="E502" s="422" t="s">
        <v>1564</v>
      </c>
      <c r="F502" s="420" t="s">
        <v>1440</v>
      </c>
      <c r="G502" s="420" t="s">
        <v>1844</v>
      </c>
      <c r="H502" s="424" t="s">
        <v>1441</v>
      </c>
    </row>
    <row r="503">
      <c r="A503" s="425">
        <v>1.0</v>
      </c>
      <c r="B503" s="425" t="s">
        <v>1443</v>
      </c>
      <c r="C503" s="425">
        <v>1.0</v>
      </c>
      <c r="D503" s="427">
        <v>144.0</v>
      </c>
      <c r="E503" s="360"/>
      <c r="F503" s="425" t="s">
        <v>1518</v>
      </c>
      <c r="G503" s="425" t="s">
        <v>1446</v>
      </c>
      <c r="H503" s="428"/>
    </row>
    <row r="504">
      <c r="A504" s="425">
        <v>2.0</v>
      </c>
      <c r="B504" s="425" t="s">
        <v>1444</v>
      </c>
      <c r="C504" s="425">
        <v>2.0</v>
      </c>
      <c r="D504" s="427">
        <v>1.6</v>
      </c>
      <c r="E504" s="360"/>
      <c r="F504" s="425"/>
      <c r="G504" s="425" t="s">
        <v>1446</v>
      </c>
      <c r="H504" s="428">
        <v>44574.0</v>
      </c>
    </row>
    <row r="505">
      <c r="A505" s="425">
        <v>3.0</v>
      </c>
      <c r="B505" s="425" t="s">
        <v>1853</v>
      </c>
      <c r="C505" s="425">
        <v>1.0</v>
      </c>
      <c r="D505" s="427">
        <v>5.0</v>
      </c>
      <c r="E505" s="331">
        <v>1.0</v>
      </c>
      <c r="F505" s="425"/>
      <c r="G505" s="425" t="s">
        <v>1446</v>
      </c>
      <c r="H505" s="428">
        <v>44596.0</v>
      </c>
    </row>
    <row r="506">
      <c r="A506" s="471">
        <v>4.0</v>
      </c>
      <c r="B506" s="308" t="s">
        <v>2481</v>
      </c>
      <c r="C506" s="308">
        <v>1.0</v>
      </c>
      <c r="D506" s="314">
        <v>14.2</v>
      </c>
      <c r="E506" s="365">
        <v>1.0</v>
      </c>
      <c r="F506" s="308" t="s">
        <v>2482</v>
      </c>
      <c r="G506" s="308" t="s">
        <v>2483</v>
      </c>
      <c r="H506" s="315">
        <v>44644.0</v>
      </c>
    </row>
    <row r="507">
      <c r="A507" s="429">
        <v>5.0</v>
      </c>
      <c r="B507" s="303" t="s">
        <v>2484</v>
      </c>
      <c r="C507" s="303"/>
      <c r="D507" s="304"/>
      <c r="E507" s="327"/>
      <c r="F507" s="303" t="s">
        <v>2485</v>
      </c>
      <c r="G507" s="303" t="s">
        <v>293</v>
      </c>
      <c r="H507" s="431">
        <v>44670.0</v>
      </c>
    </row>
    <row r="508">
      <c r="A508" s="429">
        <v>6.0</v>
      </c>
      <c r="B508" s="303" t="s">
        <v>2486</v>
      </c>
      <c r="C508" s="303"/>
      <c r="D508" s="304"/>
      <c r="E508" s="327"/>
      <c r="F508" s="303" t="s">
        <v>2487</v>
      </c>
      <c r="G508" s="303" t="s">
        <v>2488</v>
      </c>
      <c r="H508" s="305">
        <v>44937.0</v>
      </c>
    </row>
    <row r="509">
      <c r="A509" s="471">
        <v>7.0</v>
      </c>
      <c r="B509" s="308" t="s">
        <v>2481</v>
      </c>
      <c r="C509" s="308">
        <v>1.0</v>
      </c>
      <c r="D509" s="314">
        <v>16.0</v>
      </c>
      <c r="E509" s="365">
        <v>1.0</v>
      </c>
      <c r="F509" s="308" t="s">
        <v>2489</v>
      </c>
      <c r="G509" s="299" t="s">
        <v>1446</v>
      </c>
      <c r="H509" s="315">
        <v>44972.0</v>
      </c>
    </row>
    <row r="510">
      <c r="A510" s="429">
        <v>8.0</v>
      </c>
      <c r="B510" s="303" t="s">
        <v>2484</v>
      </c>
      <c r="C510" s="303"/>
      <c r="D510" s="304"/>
      <c r="E510" s="327"/>
      <c r="F510" s="303" t="s">
        <v>2485</v>
      </c>
      <c r="G510" s="303" t="s">
        <v>293</v>
      </c>
      <c r="H510" s="303" t="s">
        <v>2490</v>
      </c>
    </row>
    <row r="511">
      <c r="A511" s="471">
        <v>9.0</v>
      </c>
      <c r="B511" s="308" t="s">
        <v>2491</v>
      </c>
      <c r="C511" s="308">
        <v>1.0</v>
      </c>
      <c r="D511" s="314">
        <v>18.5</v>
      </c>
      <c r="E511" s="365">
        <v>1.0</v>
      </c>
      <c r="F511" s="308" t="s">
        <v>2492</v>
      </c>
      <c r="G511" s="299" t="s">
        <v>1446</v>
      </c>
      <c r="H511" s="315">
        <v>45070.0</v>
      </c>
    </row>
    <row r="512">
      <c r="A512" s="425">
        <v>10.0</v>
      </c>
      <c r="B512" s="308" t="s">
        <v>1468</v>
      </c>
      <c r="C512" s="308">
        <v>1.0</v>
      </c>
      <c r="D512" s="314">
        <v>2.0</v>
      </c>
      <c r="E512" s="365">
        <v>1.0</v>
      </c>
      <c r="F512" s="308" t="s">
        <v>2493</v>
      </c>
      <c r="G512" s="299" t="s">
        <v>1446</v>
      </c>
      <c r="H512" s="315">
        <v>45070.0</v>
      </c>
    </row>
    <row r="513">
      <c r="A513" s="429">
        <v>11.0</v>
      </c>
      <c r="B513" s="303" t="s">
        <v>2494</v>
      </c>
      <c r="C513" s="303"/>
      <c r="D513" s="304"/>
      <c r="E513" s="327"/>
      <c r="F513" s="303" t="s">
        <v>2495</v>
      </c>
      <c r="G513" s="303" t="s">
        <v>2496</v>
      </c>
      <c r="H513" s="305">
        <v>45082.0</v>
      </c>
    </row>
    <row r="514">
      <c r="A514" s="429">
        <v>12.0</v>
      </c>
      <c r="B514" s="303" t="s">
        <v>2494</v>
      </c>
      <c r="C514" s="303"/>
      <c r="D514" s="304"/>
      <c r="E514" s="327"/>
      <c r="F514" s="303" t="s">
        <v>2497</v>
      </c>
      <c r="G514" s="303" t="s">
        <v>2498</v>
      </c>
      <c r="H514" s="305">
        <v>45082.0</v>
      </c>
    </row>
    <row r="515">
      <c r="A515" s="303">
        <v>13.0</v>
      </c>
      <c r="B515" s="303" t="s">
        <v>2499</v>
      </c>
      <c r="C515" s="303"/>
      <c r="D515" s="304"/>
      <c r="E515" s="327"/>
      <c r="F515" s="303" t="s">
        <v>2500</v>
      </c>
      <c r="G515" s="303" t="s">
        <v>2501</v>
      </c>
      <c r="H515" s="305">
        <v>45086.0</v>
      </c>
    </row>
    <row r="516">
      <c r="A516" s="299">
        <v>14.0</v>
      </c>
      <c r="B516" s="308" t="s">
        <v>2502</v>
      </c>
      <c r="C516" s="308">
        <v>1.0</v>
      </c>
      <c r="D516" s="314">
        <v>1.9</v>
      </c>
      <c r="E516" s="365">
        <v>1.0</v>
      </c>
      <c r="F516" s="308" t="s">
        <v>2503</v>
      </c>
      <c r="G516" s="299" t="s">
        <v>1554</v>
      </c>
      <c r="H516" s="315"/>
    </row>
    <row r="517">
      <c r="A517" s="299">
        <v>15.0</v>
      </c>
      <c r="B517" s="299" t="s">
        <v>2504</v>
      </c>
      <c r="C517" s="299">
        <v>1.0</v>
      </c>
      <c r="D517" s="300">
        <v>10.4</v>
      </c>
      <c r="E517" s="331">
        <v>1.0</v>
      </c>
      <c r="F517" s="299"/>
      <c r="G517" s="299" t="s">
        <v>1554</v>
      </c>
      <c r="H517" s="301">
        <v>45242.0</v>
      </c>
    </row>
    <row r="518">
      <c r="A518" s="299">
        <v>16.0</v>
      </c>
      <c r="B518" s="299" t="s">
        <v>2505</v>
      </c>
      <c r="C518" s="299">
        <v>1.0</v>
      </c>
      <c r="D518" s="300">
        <v>11.1</v>
      </c>
      <c r="E518" s="331">
        <v>1.0</v>
      </c>
      <c r="F518" s="299"/>
      <c r="G518" s="299" t="s">
        <v>1554</v>
      </c>
      <c r="H518" s="301">
        <v>45242.0</v>
      </c>
    </row>
    <row r="519">
      <c r="A519" s="299">
        <v>17.0</v>
      </c>
      <c r="B519" s="299" t="s">
        <v>2506</v>
      </c>
      <c r="C519" s="299">
        <v>1.0</v>
      </c>
      <c r="D519" s="300">
        <v>8.5</v>
      </c>
      <c r="E519" s="331">
        <v>1.0</v>
      </c>
      <c r="F519" s="299"/>
      <c r="G519" s="299" t="s">
        <v>1554</v>
      </c>
      <c r="H519" s="301">
        <v>45242.0</v>
      </c>
    </row>
    <row r="520">
      <c r="A520" s="299">
        <v>18.0</v>
      </c>
      <c r="B520" s="299" t="s">
        <v>2113</v>
      </c>
      <c r="C520" s="299">
        <v>1.0</v>
      </c>
      <c r="D520" s="300">
        <v>17.4</v>
      </c>
      <c r="E520" s="331" t="s">
        <v>2077</v>
      </c>
      <c r="F520" s="299" t="s">
        <v>2500</v>
      </c>
      <c r="G520" s="299" t="s">
        <v>1554</v>
      </c>
      <c r="H520" s="301"/>
    </row>
    <row r="521">
      <c r="A521" s="303">
        <v>19.0</v>
      </c>
      <c r="B521" s="303" t="s">
        <v>2507</v>
      </c>
      <c r="C521" s="303"/>
      <c r="D521" s="304"/>
      <c r="E521" s="327"/>
      <c r="F521" s="303" t="s">
        <v>2508</v>
      </c>
      <c r="G521" s="303" t="s">
        <v>1554</v>
      </c>
      <c r="H521" s="305">
        <v>45599.0</v>
      </c>
    </row>
    <row r="522">
      <c r="A522" s="299">
        <v>20.0</v>
      </c>
      <c r="B522" s="299" t="s">
        <v>1635</v>
      </c>
      <c r="C522" s="299">
        <v>1.0</v>
      </c>
      <c r="D522" s="300">
        <v>18.7</v>
      </c>
      <c r="E522" s="331">
        <v>1.0</v>
      </c>
      <c r="F522" s="299" t="s">
        <v>2509</v>
      </c>
      <c r="G522" s="299" t="s">
        <v>1554</v>
      </c>
      <c r="H522" s="301">
        <v>45616.0</v>
      </c>
    </row>
    <row r="523">
      <c r="A523" s="299">
        <v>21.0</v>
      </c>
      <c r="B523" s="299" t="s">
        <v>1853</v>
      </c>
      <c r="C523" s="299">
        <v>1.0</v>
      </c>
      <c r="D523" s="300">
        <v>5.0</v>
      </c>
      <c r="E523" s="331" t="s">
        <v>2077</v>
      </c>
      <c r="F523" s="299"/>
      <c r="G523" s="299" t="s">
        <v>1554</v>
      </c>
      <c r="H523" s="301">
        <v>45699.0</v>
      </c>
    </row>
    <row r="524">
      <c r="A524" s="299">
        <v>22.0</v>
      </c>
      <c r="B524" s="299" t="s">
        <v>2113</v>
      </c>
      <c r="C524" s="299">
        <v>1.0</v>
      </c>
      <c r="D524" s="300">
        <v>14.2</v>
      </c>
      <c r="E524" s="331">
        <v>1.0</v>
      </c>
      <c r="F524" s="299" t="s">
        <v>2510</v>
      </c>
      <c r="G524" s="299" t="s">
        <v>1554</v>
      </c>
      <c r="H524" s="301">
        <v>45764.0</v>
      </c>
    </row>
    <row r="525">
      <c r="A525" s="299">
        <v>23.0</v>
      </c>
      <c r="B525" s="299" t="s">
        <v>2113</v>
      </c>
      <c r="C525" s="299">
        <v>1.0</v>
      </c>
      <c r="D525" s="300">
        <v>14.2</v>
      </c>
      <c r="E525" s="331">
        <v>1.0</v>
      </c>
      <c r="F525" s="476" t="s">
        <v>2511</v>
      </c>
      <c r="G525" s="299" t="s">
        <v>1554</v>
      </c>
      <c r="H525" s="301">
        <v>45790.0</v>
      </c>
    </row>
    <row r="526">
      <c r="A526" s="299">
        <v>24.0</v>
      </c>
      <c r="B526" s="400" t="s">
        <v>2393</v>
      </c>
      <c r="C526" s="299">
        <v>1.0</v>
      </c>
      <c r="D526" s="300">
        <v>14.2</v>
      </c>
      <c r="E526" s="331">
        <v>1.0</v>
      </c>
      <c r="F526" s="400" t="s">
        <v>2512</v>
      </c>
      <c r="G526" s="299" t="s">
        <v>1554</v>
      </c>
      <c r="H526" s="301">
        <v>45817.0</v>
      </c>
    </row>
    <row r="527">
      <c r="A527" s="299">
        <v>25.0</v>
      </c>
      <c r="B527" s="477" t="s">
        <v>2513</v>
      </c>
      <c r="C527" s="477">
        <v>1.0</v>
      </c>
      <c r="D527" s="478">
        <v>15.3</v>
      </c>
      <c r="E527" s="479">
        <v>1.0</v>
      </c>
      <c r="F527" s="400" t="s">
        <v>2514</v>
      </c>
      <c r="G527" s="299" t="s">
        <v>1554</v>
      </c>
      <c r="H527" s="301">
        <v>45956.0</v>
      </c>
    </row>
    <row r="528">
      <c r="A528" s="299">
        <v>26.0</v>
      </c>
      <c r="B528" s="477" t="s">
        <v>2515</v>
      </c>
      <c r="C528" s="477">
        <v>1.0</v>
      </c>
      <c r="D528" s="478">
        <v>10.9</v>
      </c>
      <c r="E528" s="479">
        <v>1.0</v>
      </c>
      <c r="F528" s="400" t="s">
        <v>2516</v>
      </c>
      <c r="G528" s="299" t="s">
        <v>1554</v>
      </c>
      <c r="H528" s="301">
        <v>45956.0</v>
      </c>
    </row>
    <row r="529">
      <c r="A529" s="303">
        <v>27.0</v>
      </c>
      <c r="B529" s="303" t="s">
        <v>2517</v>
      </c>
      <c r="C529" s="303">
        <v>1.0</v>
      </c>
      <c r="D529" s="304"/>
      <c r="E529" s="327">
        <v>1.0</v>
      </c>
      <c r="F529" s="303" t="s">
        <v>2518</v>
      </c>
      <c r="G529" s="303" t="s">
        <v>425</v>
      </c>
      <c r="H529" s="305">
        <v>45958.0</v>
      </c>
    </row>
    <row r="530">
      <c r="A530" s="303">
        <v>28.0</v>
      </c>
      <c r="B530" s="303" t="s">
        <v>2519</v>
      </c>
      <c r="C530" s="303">
        <v>1.0</v>
      </c>
      <c r="D530" s="304"/>
      <c r="E530" s="327">
        <v>1.0</v>
      </c>
      <c r="F530" s="303" t="s">
        <v>2520</v>
      </c>
      <c r="G530" s="303" t="s">
        <v>425</v>
      </c>
      <c r="H530" s="480">
        <v>45958.0</v>
      </c>
    </row>
    <row r="531">
      <c r="A531" s="366" t="s">
        <v>1562</v>
      </c>
      <c r="B531" s="3"/>
      <c r="C531" s="299">
        <f>SUM(C503:C526)</f>
        <v>18</v>
      </c>
      <c r="D531" s="300">
        <f t="shared" ref="D531:E531" si="12">sum(D503:D526)</f>
        <v>316.9</v>
      </c>
      <c r="E531" s="331">
        <f t="shared" si="12"/>
        <v>13</v>
      </c>
      <c r="F531" s="299"/>
      <c r="G531" s="301"/>
      <c r="H531" s="301"/>
    </row>
    <row r="532">
      <c r="A532" s="299"/>
      <c r="B532" s="299"/>
      <c r="C532" s="299"/>
      <c r="D532" s="300"/>
      <c r="E532" s="331"/>
      <c r="F532" s="299"/>
      <c r="G532" s="299"/>
      <c r="H532" s="301"/>
    </row>
    <row r="533">
      <c r="A533" s="289" t="s">
        <v>2521</v>
      </c>
      <c r="B533" s="290"/>
      <c r="C533" s="290"/>
      <c r="D533" s="290"/>
      <c r="E533" s="290"/>
      <c r="F533" s="290"/>
      <c r="G533" s="290"/>
      <c r="H533" s="291"/>
    </row>
    <row r="534">
      <c r="A534" s="292"/>
      <c r="B534" s="293"/>
      <c r="C534" s="293"/>
      <c r="D534" s="293"/>
      <c r="E534" s="293"/>
      <c r="F534" s="293"/>
      <c r="G534" s="293"/>
      <c r="H534" s="294"/>
    </row>
    <row r="535">
      <c r="A535" s="295" t="s">
        <v>1435</v>
      </c>
      <c r="B535" s="296" t="s">
        <v>1436</v>
      </c>
      <c r="C535" s="295" t="s">
        <v>1843</v>
      </c>
      <c r="D535" s="297" t="s">
        <v>1438</v>
      </c>
      <c r="E535" s="359" t="s">
        <v>1564</v>
      </c>
      <c r="F535" s="295" t="s">
        <v>1440</v>
      </c>
      <c r="G535" s="295" t="s">
        <v>1844</v>
      </c>
      <c r="H535" s="298" t="s">
        <v>1441</v>
      </c>
    </row>
    <row r="536">
      <c r="A536" s="299">
        <v>1.0</v>
      </c>
      <c r="B536" s="299" t="s">
        <v>1443</v>
      </c>
      <c r="C536" s="299">
        <v>1.0</v>
      </c>
      <c r="D536" s="300">
        <v>144.0</v>
      </c>
      <c r="E536" s="331"/>
      <c r="F536" s="299" t="s">
        <v>1518</v>
      </c>
      <c r="G536" s="299" t="s">
        <v>1446</v>
      </c>
      <c r="H536" s="301"/>
    </row>
    <row r="537">
      <c r="A537" s="299">
        <v>2.0</v>
      </c>
      <c r="B537" s="299" t="s">
        <v>1444</v>
      </c>
      <c r="C537" s="299">
        <v>2.0</v>
      </c>
      <c r="D537" s="300">
        <v>1.6</v>
      </c>
      <c r="E537" s="360"/>
      <c r="F537" s="425"/>
      <c r="G537" s="299" t="s">
        <v>1446</v>
      </c>
      <c r="H537" s="301">
        <v>44574.0</v>
      </c>
    </row>
    <row r="538">
      <c r="A538" s="299">
        <v>3.0</v>
      </c>
      <c r="B538" s="299" t="s">
        <v>1853</v>
      </c>
      <c r="C538" s="299">
        <v>1.0</v>
      </c>
      <c r="D538" s="300">
        <v>5.0</v>
      </c>
      <c r="E538" s="331">
        <v>1.0</v>
      </c>
      <c r="F538" s="425"/>
      <c r="G538" s="299" t="s">
        <v>1446</v>
      </c>
      <c r="H538" s="301">
        <v>44596.0</v>
      </c>
    </row>
    <row r="539">
      <c r="A539" s="299">
        <v>4.0</v>
      </c>
      <c r="B539" s="379" t="s">
        <v>2522</v>
      </c>
      <c r="C539" s="306">
        <v>1.0</v>
      </c>
      <c r="D539" s="481">
        <v>8.8</v>
      </c>
      <c r="E539" s="453">
        <v>1.0</v>
      </c>
      <c r="F539" s="306" t="s">
        <v>2523</v>
      </c>
      <c r="G539" s="299" t="s">
        <v>1446</v>
      </c>
      <c r="H539" s="454">
        <v>45026.0</v>
      </c>
    </row>
    <row r="540">
      <c r="A540" s="299">
        <v>5.0</v>
      </c>
      <c r="B540" s="379" t="s">
        <v>2524</v>
      </c>
      <c r="C540" s="306">
        <v>1.0</v>
      </c>
      <c r="D540" s="481">
        <v>17.9</v>
      </c>
      <c r="E540" s="453">
        <v>2.0</v>
      </c>
      <c r="F540" s="306" t="s">
        <v>2525</v>
      </c>
      <c r="G540" s="299" t="s">
        <v>1446</v>
      </c>
      <c r="H540" s="454">
        <v>45026.0</v>
      </c>
    </row>
    <row r="541">
      <c r="A541" s="299">
        <v>6.0</v>
      </c>
      <c r="B541" s="379" t="s">
        <v>2526</v>
      </c>
      <c r="C541" s="306">
        <v>1.0</v>
      </c>
      <c r="D541" s="482">
        <v>0.5</v>
      </c>
      <c r="E541" s="453">
        <v>1.0</v>
      </c>
      <c r="F541" s="306" t="s">
        <v>2527</v>
      </c>
      <c r="G541" s="299" t="s">
        <v>1446</v>
      </c>
      <c r="H541" s="454">
        <v>45026.0</v>
      </c>
    </row>
    <row r="542">
      <c r="A542" s="299">
        <v>7.0</v>
      </c>
      <c r="B542" s="308" t="s">
        <v>2524</v>
      </c>
      <c r="C542" s="306">
        <v>1.0</v>
      </c>
      <c r="D542" s="483">
        <v>21.1</v>
      </c>
      <c r="E542" s="453">
        <v>2.0</v>
      </c>
      <c r="F542" s="308" t="s">
        <v>2528</v>
      </c>
      <c r="G542" s="299" t="s">
        <v>1446</v>
      </c>
      <c r="H542" s="454">
        <v>45037.0</v>
      </c>
    </row>
    <row r="543">
      <c r="A543" s="299">
        <v>8.0</v>
      </c>
      <c r="B543" s="308" t="s">
        <v>2524</v>
      </c>
      <c r="C543" s="306">
        <v>1.0</v>
      </c>
      <c r="D543" s="483">
        <v>18.2</v>
      </c>
      <c r="E543" s="453">
        <v>2.0</v>
      </c>
      <c r="F543" s="308" t="s">
        <v>2529</v>
      </c>
      <c r="G543" s="299" t="s">
        <v>1446</v>
      </c>
      <c r="H543" s="454">
        <v>45045.0</v>
      </c>
    </row>
    <row r="544">
      <c r="A544" s="299">
        <v>9.0</v>
      </c>
      <c r="B544" s="308" t="s">
        <v>2524</v>
      </c>
      <c r="C544" s="306">
        <v>1.0</v>
      </c>
      <c r="D544" s="483">
        <v>18.2</v>
      </c>
      <c r="E544" s="453">
        <v>2.0</v>
      </c>
      <c r="F544" s="308" t="s">
        <v>2530</v>
      </c>
      <c r="G544" s="299" t="s">
        <v>1446</v>
      </c>
      <c r="H544" s="454">
        <v>45045.0</v>
      </c>
    </row>
    <row r="545">
      <c r="A545" s="299">
        <v>10.0</v>
      </c>
      <c r="B545" s="308" t="s">
        <v>2524</v>
      </c>
      <c r="C545" s="306">
        <v>1.0</v>
      </c>
      <c r="D545" s="483">
        <v>18.2</v>
      </c>
      <c r="E545" s="453">
        <v>2.0</v>
      </c>
      <c r="F545" s="308" t="s">
        <v>2531</v>
      </c>
      <c r="G545" s="299" t="s">
        <v>1446</v>
      </c>
      <c r="H545" s="454">
        <v>45045.0</v>
      </c>
    </row>
    <row r="546">
      <c r="A546" s="299">
        <v>11.0</v>
      </c>
      <c r="B546" s="402" t="s">
        <v>2532</v>
      </c>
      <c r="C546" s="306">
        <v>1.0</v>
      </c>
      <c r="D546" s="483">
        <v>15.0</v>
      </c>
      <c r="E546" s="453">
        <v>1.0</v>
      </c>
      <c r="F546" s="308" t="s">
        <v>2533</v>
      </c>
      <c r="G546" s="299" t="s">
        <v>1446</v>
      </c>
      <c r="H546" s="454">
        <v>45045.0</v>
      </c>
    </row>
    <row r="547">
      <c r="A547" s="308">
        <v>12.0</v>
      </c>
      <c r="B547" s="308" t="s">
        <v>2534</v>
      </c>
      <c r="C547" s="308">
        <v>1.0</v>
      </c>
      <c r="D547" s="314">
        <v>12.2</v>
      </c>
      <c r="E547" s="365">
        <v>1.0</v>
      </c>
      <c r="F547" s="308" t="s">
        <v>2535</v>
      </c>
      <c r="G547" s="308" t="s">
        <v>1446</v>
      </c>
      <c r="H547" s="315">
        <v>45215.0</v>
      </c>
    </row>
    <row r="548">
      <c r="A548" s="303">
        <v>13.0</v>
      </c>
      <c r="B548" s="303" t="s">
        <v>2536</v>
      </c>
      <c r="C548" s="303"/>
      <c r="D548" s="304"/>
      <c r="E548" s="303"/>
      <c r="F548" s="303" t="s">
        <v>2537</v>
      </c>
      <c r="G548" s="303" t="s">
        <v>2538</v>
      </c>
      <c r="H548" s="431">
        <v>45372.0</v>
      </c>
    </row>
    <row r="549">
      <c r="A549" s="308">
        <v>14.0</v>
      </c>
      <c r="B549" s="308" t="s">
        <v>2536</v>
      </c>
      <c r="C549" s="471">
        <v>1.0</v>
      </c>
      <c r="D549" s="314">
        <v>12.4</v>
      </c>
      <c r="E549" s="365">
        <v>1.0</v>
      </c>
      <c r="F549" s="308" t="s">
        <v>2539</v>
      </c>
      <c r="G549" s="308" t="s">
        <v>1446</v>
      </c>
      <c r="H549" s="315">
        <v>45377.0</v>
      </c>
    </row>
    <row r="550">
      <c r="A550" s="299">
        <v>15.0</v>
      </c>
      <c r="B550" s="299" t="s">
        <v>2540</v>
      </c>
      <c r="C550" s="299">
        <v>1.0</v>
      </c>
      <c r="D550" s="300">
        <v>19.2</v>
      </c>
      <c r="E550" s="331">
        <v>1.0</v>
      </c>
      <c r="F550" s="299" t="s">
        <v>2541</v>
      </c>
      <c r="G550" s="299" t="s">
        <v>1446</v>
      </c>
      <c r="H550" s="301">
        <v>45589.0</v>
      </c>
    </row>
    <row r="551">
      <c r="A551" s="303">
        <v>16.0</v>
      </c>
      <c r="B551" s="303" t="s">
        <v>2534</v>
      </c>
      <c r="C551" s="303"/>
      <c r="D551" s="304"/>
      <c r="E551" s="327"/>
      <c r="F551" s="375">
        <v>3.705500927E10</v>
      </c>
      <c r="G551" s="303" t="s">
        <v>2542</v>
      </c>
      <c r="H551" s="303" t="s">
        <v>2543</v>
      </c>
    </row>
    <row r="552">
      <c r="A552" s="299">
        <v>17.0</v>
      </c>
      <c r="B552" s="302" t="s">
        <v>2115</v>
      </c>
      <c r="C552" s="299">
        <v>1.0</v>
      </c>
      <c r="D552" s="300">
        <v>3.0</v>
      </c>
      <c r="E552" s="331">
        <v>1.0</v>
      </c>
      <c r="F552" s="400"/>
      <c r="G552" s="299" t="s">
        <v>1446</v>
      </c>
      <c r="H552" s="301">
        <v>45680.0</v>
      </c>
    </row>
    <row r="553">
      <c r="A553" s="299">
        <v>18.0</v>
      </c>
      <c r="B553" s="302" t="s">
        <v>2534</v>
      </c>
      <c r="C553" s="299">
        <v>1.0</v>
      </c>
      <c r="D553" s="300">
        <v>19.2</v>
      </c>
      <c r="E553" s="331">
        <v>1.0</v>
      </c>
      <c r="F553" s="400">
        <v>3.494337293E10</v>
      </c>
      <c r="G553" s="299" t="s">
        <v>1446</v>
      </c>
      <c r="H553" s="301">
        <v>45807.0</v>
      </c>
    </row>
    <row r="554">
      <c r="A554" s="299">
        <v>19.0</v>
      </c>
      <c r="B554" s="299" t="s">
        <v>2534</v>
      </c>
      <c r="C554" s="299">
        <v>1.0</v>
      </c>
      <c r="D554" s="300">
        <v>19.2</v>
      </c>
      <c r="E554" s="331">
        <v>1.0</v>
      </c>
      <c r="F554" s="400" t="s">
        <v>2544</v>
      </c>
      <c r="G554" s="299" t="s">
        <v>1446</v>
      </c>
      <c r="H554" s="301">
        <v>45873.0</v>
      </c>
    </row>
    <row r="555">
      <c r="A555" s="366" t="s">
        <v>1562</v>
      </c>
      <c r="B555" s="3"/>
      <c r="C555" s="299">
        <f>SUM(C536:C554)</f>
        <v>18</v>
      </c>
      <c r="D555" s="300">
        <f>sum(D536:D554)</f>
        <v>353.7</v>
      </c>
      <c r="E555" s="331">
        <f>sum(E538:E554)</f>
        <v>20</v>
      </c>
      <c r="F555" s="299"/>
      <c r="G555" s="301"/>
      <c r="H555" s="301"/>
    </row>
    <row r="556">
      <c r="A556" s="299"/>
      <c r="B556" s="299"/>
      <c r="C556" s="299"/>
      <c r="D556" s="300"/>
      <c r="E556" s="331"/>
      <c r="F556" s="299"/>
      <c r="G556" s="299"/>
      <c r="H556" s="301"/>
    </row>
    <row r="557">
      <c r="A557" s="299"/>
      <c r="B557" s="299"/>
      <c r="C557" s="299"/>
      <c r="D557" s="300"/>
      <c r="E557" s="331"/>
      <c r="F557" s="299"/>
      <c r="G557" s="299"/>
      <c r="H557" s="301"/>
    </row>
    <row r="558">
      <c r="A558" s="484" t="s">
        <v>2545</v>
      </c>
      <c r="B558" s="290"/>
      <c r="C558" s="290"/>
      <c r="D558" s="290"/>
      <c r="E558" s="290"/>
      <c r="F558" s="290"/>
      <c r="G558" s="290"/>
      <c r="H558" s="291"/>
    </row>
    <row r="559">
      <c r="A559" s="292"/>
      <c r="B559" s="293"/>
      <c r="C559" s="293"/>
      <c r="D559" s="293"/>
      <c r="E559" s="293"/>
      <c r="F559" s="293"/>
      <c r="G559" s="293"/>
      <c r="H559" s="294"/>
    </row>
    <row r="560">
      <c r="A560" s="303" t="s">
        <v>1435</v>
      </c>
      <c r="B560" s="323" t="s">
        <v>1436</v>
      </c>
      <c r="C560" s="303" t="s">
        <v>1843</v>
      </c>
      <c r="D560" s="324" t="s">
        <v>1438</v>
      </c>
      <c r="E560" s="325" t="s">
        <v>1564</v>
      </c>
      <c r="F560" s="303" t="s">
        <v>1440</v>
      </c>
      <c r="G560" s="303" t="s">
        <v>1844</v>
      </c>
      <c r="H560" s="326" t="s">
        <v>1441</v>
      </c>
    </row>
    <row r="561">
      <c r="A561" s="303">
        <v>1.0</v>
      </c>
      <c r="B561" s="303" t="s">
        <v>1443</v>
      </c>
      <c r="C561" s="303"/>
      <c r="D561" s="304"/>
      <c r="E561" s="327"/>
      <c r="F561" s="303" t="s">
        <v>1518</v>
      </c>
      <c r="G561" s="303" t="s">
        <v>1446</v>
      </c>
      <c r="H561" s="305"/>
    </row>
    <row r="562">
      <c r="A562" s="303">
        <v>2.0</v>
      </c>
      <c r="B562" s="303" t="s">
        <v>1444</v>
      </c>
      <c r="C562" s="303"/>
      <c r="D562" s="304"/>
      <c r="E562" s="325"/>
      <c r="F562" s="429"/>
      <c r="G562" s="429"/>
      <c r="H562" s="305">
        <v>44574.0</v>
      </c>
    </row>
    <row r="563">
      <c r="A563" s="303">
        <v>3.0</v>
      </c>
      <c r="B563" s="303" t="s">
        <v>1853</v>
      </c>
      <c r="C563" s="303"/>
      <c r="D563" s="304"/>
      <c r="E563" s="327"/>
      <c r="F563" s="429"/>
      <c r="G563" s="429"/>
      <c r="H563" s="305">
        <v>44596.0</v>
      </c>
    </row>
    <row r="564">
      <c r="A564" s="303">
        <v>5.0</v>
      </c>
      <c r="B564" s="303" t="s">
        <v>2546</v>
      </c>
      <c r="C564" s="303"/>
      <c r="D564" s="304"/>
      <c r="E564" s="327"/>
      <c r="F564" s="303" t="s">
        <v>2547</v>
      </c>
      <c r="G564" s="303"/>
      <c r="H564" s="305">
        <v>44804.0</v>
      </c>
    </row>
    <row r="565">
      <c r="A565" s="303">
        <v>6.0</v>
      </c>
      <c r="B565" s="303" t="s">
        <v>2548</v>
      </c>
      <c r="C565" s="303"/>
      <c r="D565" s="304"/>
      <c r="E565" s="327"/>
      <c r="F565" s="303" t="s">
        <v>2549</v>
      </c>
      <c r="G565" s="303" t="s">
        <v>369</v>
      </c>
      <c r="H565" s="305">
        <v>44804.0</v>
      </c>
    </row>
    <row r="566" ht="16.5" customHeight="1">
      <c r="A566" s="303">
        <v>7.0</v>
      </c>
      <c r="B566" s="303" t="s">
        <v>2550</v>
      </c>
      <c r="C566" s="303"/>
      <c r="D566" s="304"/>
      <c r="E566" s="327"/>
      <c r="F566" s="303" t="s">
        <v>2551</v>
      </c>
      <c r="G566" s="303" t="s">
        <v>369</v>
      </c>
      <c r="H566" s="305">
        <v>44804.0</v>
      </c>
    </row>
    <row r="567" ht="17.25" customHeight="1">
      <c r="A567" s="303">
        <v>8.0</v>
      </c>
      <c r="B567" s="303" t="s">
        <v>2546</v>
      </c>
      <c r="C567" s="303"/>
      <c r="D567" s="304"/>
      <c r="E567" s="327"/>
      <c r="F567" s="303"/>
      <c r="G567" s="303" t="s">
        <v>1446</v>
      </c>
      <c r="H567" s="305">
        <v>44821.0</v>
      </c>
    </row>
    <row r="568" ht="17.25" customHeight="1">
      <c r="A568" s="303">
        <v>9.0</v>
      </c>
      <c r="B568" s="303" t="s">
        <v>2550</v>
      </c>
      <c r="C568" s="303"/>
      <c r="D568" s="304"/>
      <c r="E568" s="327"/>
      <c r="F568" s="303"/>
      <c r="G568" s="303"/>
      <c r="H568" s="305">
        <v>44856.0</v>
      </c>
    </row>
    <row r="569" ht="17.25" customHeight="1">
      <c r="A569" s="364"/>
      <c r="B569" s="364"/>
      <c r="C569" s="364"/>
      <c r="D569" s="364"/>
      <c r="E569" s="364"/>
      <c r="F569" s="364"/>
      <c r="G569" s="364"/>
      <c r="H569" s="364"/>
    </row>
    <row r="570" ht="17.25" customHeight="1">
      <c r="A570" s="364"/>
      <c r="B570" s="364"/>
      <c r="C570" s="364"/>
      <c r="D570" s="364"/>
      <c r="E570" s="364"/>
      <c r="F570" s="364"/>
      <c r="G570" s="364"/>
      <c r="H570" s="364"/>
    </row>
    <row r="571" ht="17.25" customHeight="1">
      <c r="A571" s="485" t="s">
        <v>2552</v>
      </c>
      <c r="B571" s="290"/>
      <c r="C571" s="290"/>
      <c r="D571" s="290"/>
      <c r="E571" s="290"/>
      <c r="F571" s="290"/>
      <c r="G571" s="290"/>
      <c r="H571" s="291"/>
    </row>
    <row r="572" ht="17.25" customHeight="1">
      <c r="A572" s="292"/>
      <c r="B572" s="293"/>
      <c r="C572" s="293"/>
      <c r="D572" s="293"/>
      <c r="E572" s="293"/>
      <c r="F572" s="293"/>
      <c r="G572" s="293"/>
      <c r="H572" s="294"/>
    </row>
    <row r="573" ht="17.25" customHeight="1">
      <c r="A573" s="295" t="s">
        <v>1435</v>
      </c>
      <c r="B573" s="296" t="s">
        <v>1436</v>
      </c>
      <c r="C573" s="295" t="s">
        <v>1843</v>
      </c>
      <c r="D573" s="297" t="s">
        <v>1438</v>
      </c>
      <c r="E573" s="359" t="s">
        <v>1564</v>
      </c>
      <c r="F573" s="295" t="s">
        <v>1440</v>
      </c>
      <c r="G573" s="295" t="s">
        <v>1844</v>
      </c>
      <c r="H573" s="298" t="s">
        <v>1441</v>
      </c>
    </row>
    <row r="574" ht="17.25" customHeight="1">
      <c r="A574" s="306">
        <v>1.0</v>
      </c>
      <c r="B574" s="486" t="s">
        <v>1443</v>
      </c>
      <c r="C574" s="486">
        <v>1.0</v>
      </c>
      <c r="D574" s="487">
        <v>144.0</v>
      </c>
      <c r="E574" s="488"/>
      <c r="F574" s="486" t="s">
        <v>1518</v>
      </c>
      <c r="G574" s="486" t="s">
        <v>1446</v>
      </c>
      <c r="H574" s="301"/>
    </row>
    <row r="575" ht="17.25" customHeight="1">
      <c r="A575" s="306">
        <v>2.0</v>
      </c>
      <c r="B575" s="486" t="s">
        <v>1444</v>
      </c>
      <c r="C575" s="486">
        <v>2.0</v>
      </c>
      <c r="D575" s="307">
        <f>C575*3.2</f>
        <v>6.4</v>
      </c>
      <c r="E575" s="488"/>
      <c r="F575" s="486"/>
      <c r="G575" s="486" t="s">
        <v>1446</v>
      </c>
      <c r="H575" s="301"/>
    </row>
    <row r="576" ht="17.25" customHeight="1">
      <c r="A576" s="306">
        <v>3.0</v>
      </c>
      <c r="B576" s="486" t="s">
        <v>1853</v>
      </c>
      <c r="C576" s="306">
        <v>2.0</v>
      </c>
      <c r="D576" s="487">
        <f>C576*5</f>
        <v>10</v>
      </c>
      <c r="E576" s="488">
        <v>1.0</v>
      </c>
      <c r="F576" s="486"/>
      <c r="G576" s="486" t="s">
        <v>1446</v>
      </c>
      <c r="H576" s="301"/>
    </row>
    <row r="577" ht="17.25" customHeight="1">
      <c r="A577" s="306">
        <v>4.0</v>
      </c>
      <c r="B577" s="306" t="s">
        <v>2553</v>
      </c>
      <c r="C577" s="306">
        <v>1.0</v>
      </c>
      <c r="D577" s="307">
        <v>2.0</v>
      </c>
      <c r="E577" s="365">
        <v>1.0</v>
      </c>
      <c r="F577" s="299" t="s">
        <v>2554</v>
      </c>
      <c r="G577" s="486" t="s">
        <v>1446</v>
      </c>
      <c r="H577" s="301">
        <v>44936.0</v>
      </c>
    </row>
    <row r="578" ht="17.25" customHeight="1">
      <c r="A578" s="306">
        <v>5.0</v>
      </c>
      <c r="B578" s="306" t="s">
        <v>2553</v>
      </c>
      <c r="C578" s="306">
        <v>1.0</v>
      </c>
      <c r="D578" s="307">
        <v>2.0</v>
      </c>
      <c r="E578" s="365">
        <v>1.0</v>
      </c>
      <c r="F578" s="299"/>
      <c r="G578" s="486" t="s">
        <v>1446</v>
      </c>
      <c r="H578" s="301">
        <v>44936.0</v>
      </c>
    </row>
    <row r="579" ht="17.25" customHeight="1">
      <c r="A579" s="306">
        <v>6.0</v>
      </c>
      <c r="B579" s="306" t="s">
        <v>2555</v>
      </c>
      <c r="C579" s="306">
        <v>1.0</v>
      </c>
      <c r="D579" s="307">
        <v>2.0</v>
      </c>
      <c r="E579" s="365">
        <v>1.0</v>
      </c>
      <c r="F579" s="299" t="s">
        <v>2556</v>
      </c>
      <c r="G579" s="486" t="s">
        <v>1446</v>
      </c>
      <c r="H579" s="301">
        <v>44936.0</v>
      </c>
    </row>
    <row r="580" ht="17.25" customHeight="1">
      <c r="A580" s="303">
        <v>7.0</v>
      </c>
      <c r="B580" s="303" t="s">
        <v>2557</v>
      </c>
      <c r="C580" s="303"/>
      <c r="D580" s="304"/>
      <c r="E580" s="327"/>
      <c r="F580" s="303" t="s">
        <v>2558</v>
      </c>
      <c r="G580" s="303" t="s">
        <v>1446</v>
      </c>
      <c r="H580" s="305">
        <v>44936.0</v>
      </c>
    </row>
    <row r="581" ht="17.25" customHeight="1">
      <c r="A581" s="303">
        <v>8.0</v>
      </c>
      <c r="B581" s="303" t="s">
        <v>2559</v>
      </c>
      <c r="C581" s="303"/>
      <c r="D581" s="304"/>
      <c r="E581" s="327"/>
      <c r="F581" s="303" t="s">
        <v>2560</v>
      </c>
      <c r="G581" s="303" t="s">
        <v>2561</v>
      </c>
      <c r="H581" s="305">
        <v>44936.0</v>
      </c>
    </row>
    <row r="582" ht="17.25" customHeight="1">
      <c r="A582" s="306">
        <v>9.0</v>
      </c>
      <c r="B582" s="306" t="s">
        <v>2562</v>
      </c>
      <c r="C582" s="306">
        <v>1.0</v>
      </c>
      <c r="D582" s="307"/>
      <c r="E582" s="365">
        <v>2.0</v>
      </c>
      <c r="F582" s="425"/>
      <c r="G582" s="299" t="s">
        <v>1446</v>
      </c>
      <c r="H582" s="301">
        <v>44936.0</v>
      </c>
    </row>
    <row r="583" ht="17.25" customHeight="1">
      <c r="A583" s="306">
        <v>10.0</v>
      </c>
      <c r="B583" s="306" t="s">
        <v>2563</v>
      </c>
      <c r="C583" s="306">
        <v>1.0</v>
      </c>
      <c r="D583" s="307">
        <v>19.0</v>
      </c>
      <c r="E583" s="365">
        <v>2.0</v>
      </c>
      <c r="F583" s="425" t="s">
        <v>2564</v>
      </c>
      <c r="G583" s="299" t="s">
        <v>1446</v>
      </c>
      <c r="H583" s="301">
        <v>44936.0</v>
      </c>
    </row>
    <row r="584" ht="17.25" customHeight="1">
      <c r="A584" s="303">
        <v>11.0</v>
      </c>
      <c r="B584" s="303" t="s">
        <v>2565</v>
      </c>
      <c r="C584" s="303"/>
      <c r="D584" s="304"/>
      <c r="E584" s="327"/>
      <c r="F584" s="429" t="s">
        <v>2566</v>
      </c>
      <c r="G584" s="303" t="s">
        <v>2561</v>
      </c>
      <c r="H584" s="305">
        <v>44936.0</v>
      </c>
    </row>
    <row r="585" ht="17.25" customHeight="1">
      <c r="A585" s="303">
        <v>12.0</v>
      </c>
      <c r="B585" s="303" t="s">
        <v>2565</v>
      </c>
      <c r="C585" s="303"/>
      <c r="D585" s="304"/>
      <c r="E585" s="327"/>
      <c r="F585" s="429" t="s">
        <v>2567</v>
      </c>
      <c r="G585" s="303" t="s">
        <v>2561</v>
      </c>
      <c r="H585" s="305">
        <v>44936.0</v>
      </c>
    </row>
    <row r="586" ht="17.25" customHeight="1">
      <c r="A586" s="306">
        <v>13.0</v>
      </c>
      <c r="B586" s="299" t="s">
        <v>2568</v>
      </c>
      <c r="C586" s="299">
        <v>1.0</v>
      </c>
      <c r="D586" s="300">
        <v>8.7</v>
      </c>
      <c r="E586" s="331">
        <v>1.0</v>
      </c>
      <c r="F586" s="299" t="s">
        <v>2569</v>
      </c>
      <c r="G586" s="299" t="s">
        <v>1446</v>
      </c>
      <c r="H586" s="301">
        <v>45407.0</v>
      </c>
    </row>
    <row r="587">
      <c r="A587" s="306">
        <v>14.0</v>
      </c>
      <c r="B587" s="299" t="s">
        <v>2570</v>
      </c>
      <c r="C587" s="299">
        <v>1.0</v>
      </c>
      <c r="D587" s="300">
        <v>8.7</v>
      </c>
      <c r="E587" s="331">
        <v>1.0</v>
      </c>
      <c r="F587" s="489"/>
      <c r="G587" s="299" t="s">
        <v>1446</v>
      </c>
      <c r="H587" s="301">
        <v>45407.0</v>
      </c>
    </row>
    <row r="588">
      <c r="A588" s="306">
        <v>15.0</v>
      </c>
      <c r="B588" s="299" t="s">
        <v>2571</v>
      </c>
      <c r="C588" s="299">
        <v>1.0</v>
      </c>
      <c r="D588" s="300">
        <v>12.6</v>
      </c>
      <c r="E588" s="331">
        <v>1.0</v>
      </c>
      <c r="F588" s="299" t="s">
        <v>2572</v>
      </c>
      <c r="G588" s="299" t="s">
        <v>1446</v>
      </c>
      <c r="H588" s="301">
        <v>45610.0</v>
      </c>
    </row>
    <row r="589">
      <c r="A589" s="306">
        <v>16.0</v>
      </c>
      <c r="B589" s="471" t="s">
        <v>2573</v>
      </c>
      <c r="C589" s="471">
        <v>1.0</v>
      </c>
      <c r="D589" s="473" t="s">
        <v>2574</v>
      </c>
      <c r="E589" s="464">
        <v>1.0</v>
      </c>
      <c r="F589" s="490"/>
      <c r="G589" s="299" t="s">
        <v>1446</v>
      </c>
      <c r="H589" s="491" t="s">
        <v>2575</v>
      </c>
    </row>
    <row r="590">
      <c r="A590" s="303">
        <v>17.0</v>
      </c>
      <c r="B590" s="303" t="s">
        <v>2576</v>
      </c>
      <c r="C590" s="303"/>
      <c r="D590" s="304"/>
      <c r="E590" s="327"/>
      <c r="F590" s="303" t="s">
        <v>2577</v>
      </c>
      <c r="G590" s="303" t="s">
        <v>2578</v>
      </c>
      <c r="H590" s="303" t="s">
        <v>2579</v>
      </c>
    </row>
    <row r="591" ht="15.0" customHeight="1">
      <c r="A591" s="306">
        <v>18.0</v>
      </c>
      <c r="B591" s="299" t="s">
        <v>2568</v>
      </c>
      <c r="C591" s="299">
        <v>1.0</v>
      </c>
      <c r="D591" s="300">
        <v>8.7</v>
      </c>
      <c r="E591" s="331">
        <v>1.0</v>
      </c>
      <c r="F591" s="299" t="s">
        <v>2569</v>
      </c>
      <c r="G591" s="299" t="s">
        <v>1446</v>
      </c>
      <c r="H591" s="301">
        <v>45407.0</v>
      </c>
    </row>
    <row r="592">
      <c r="A592" s="306">
        <v>19.0</v>
      </c>
      <c r="B592" s="308" t="s">
        <v>2016</v>
      </c>
      <c r="C592" s="308">
        <v>1.0</v>
      </c>
      <c r="D592" s="314">
        <v>19.2</v>
      </c>
      <c r="E592" s="365">
        <v>1.0</v>
      </c>
      <c r="F592" s="308" t="s">
        <v>2580</v>
      </c>
      <c r="G592" s="299" t="s">
        <v>1446</v>
      </c>
      <c r="H592" s="315">
        <v>45712.0</v>
      </c>
    </row>
    <row r="593">
      <c r="A593" s="306">
        <v>20.0</v>
      </c>
      <c r="B593" s="308" t="s">
        <v>2016</v>
      </c>
      <c r="C593" s="308">
        <v>1.0</v>
      </c>
      <c r="D593" s="314">
        <v>19.2</v>
      </c>
      <c r="E593" s="365">
        <v>1.0</v>
      </c>
      <c r="F593" s="308" t="s">
        <v>2580</v>
      </c>
      <c r="G593" s="299" t="s">
        <v>1446</v>
      </c>
      <c r="H593" s="315">
        <v>45712.0</v>
      </c>
    </row>
    <row r="594">
      <c r="A594" s="306">
        <v>21.0</v>
      </c>
      <c r="B594" s="308" t="s">
        <v>2016</v>
      </c>
      <c r="C594" s="299">
        <v>1.0</v>
      </c>
      <c r="D594" s="300">
        <v>17.4</v>
      </c>
      <c r="E594" s="331">
        <v>1.0</v>
      </c>
      <c r="F594" s="299"/>
      <c r="G594" s="299" t="s">
        <v>1446</v>
      </c>
      <c r="H594" s="301">
        <v>45456.0</v>
      </c>
    </row>
    <row r="595">
      <c r="A595" s="306">
        <v>22.0</v>
      </c>
      <c r="B595" s="299" t="s">
        <v>2192</v>
      </c>
      <c r="C595" s="299">
        <v>1.0</v>
      </c>
      <c r="D595" s="300">
        <v>21.9</v>
      </c>
      <c r="E595" s="331">
        <v>1.0</v>
      </c>
      <c r="F595" s="299" t="s">
        <v>2581</v>
      </c>
      <c r="G595" s="299" t="s">
        <v>1446</v>
      </c>
      <c r="H595" s="301">
        <v>45764.0</v>
      </c>
    </row>
    <row r="596">
      <c r="A596" s="306">
        <v>23.0</v>
      </c>
      <c r="B596" s="299" t="s">
        <v>2192</v>
      </c>
      <c r="C596" s="299">
        <v>1.0</v>
      </c>
      <c r="D596" s="300">
        <v>21.9</v>
      </c>
      <c r="E596" s="331">
        <v>1.0</v>
      </c>
      <c r="F596" s="299" t="s">
        <v>2581</v>
      </c>
      <c r="G596" s="299" t="s">
        <v>1446</v>
      </c>
      <c r="H596" s="301">
        <v>45816.0</v>
      </c>
    </row>
    <row r="597">
      <c r="A597" s="306">
        <v>24.0</v>
      </c>
      <c r="B597" s="299" t="s">
        <v>2192</v>
      </c>
      <c r="C597" s="299">
        <v>1.0</v>
      </c>
      <c r="D597" s="300">
        <v>17.5</v>
      </c>
      <c r="E597" s="331" t="s">
        <v>2077</v>
      </c>
      <c r="F597" s="299" t="s">
        <v>2582</v>
      </c>
      <c r="G597" s="299" t="s">
        <v>1446</v>
      </c>
      <c r="H597" s="301">
        <v>46032.0</v>
      </c>
    </row>
    <row r="598">
      <c r="A598" s="366" t="s">
        <v>1562</v>
      </c>
      <c r="B598" s="3"/>
      <c r="C598" s="299">
        <f t="shared" ref="C598:E598" si="13">sum(C574:C597)</f>
        <v>21</v>
      </c>
      <c r="D598" s="300">
        <f t="shared" si="13"/>
        <v>341.2</v>
      </c>
      <c r="E598" s="331">
        <f t="shared" si="13"/>
        <v>18</v>
      </c>
      <c r="F598" s="299"/>
      <c r="G598" s="301"/>
      <c r="H598" s="301"/>
    </row>
    <row r="599">
      <c r="A599" s="492"/>
      <c r="B599" s="492"/>
      <c r="C599" s="492"/>
      <c r="D599" s="493"/>
      <c r="E599" s="494"/>
      <c r="F599" s="492"/>
      <c r="G599" s="492"/>
      <c r="H599" s="495"/>
    </row>
    <row r="600">
      <c r="A600" s="492"/>
      <c r="B600" s="492"/>
      <c r="C600" s="492"/>
      <c r="D600" s="493"/>
      <c r="E600" s="494"/>
      <c r="F600" s="492"/>
      <c r="G600" s="492"/>
      <c r="H600" s="495"/>
    </row>
    <row r="601">
      <c r="A601" s="289" t="s">
        <v>1842</v>
      </c>
      <c r="B601" s="290"/>
      <c r="C601" s="290"/>
      <c r="D601" s="290"/>
      <c r="E601" s="290"/>
      <c r="F601" s="290"/>
      <c r="G601" s="290"/>
      <c r="H601" s="291"/>
    </row>
    <row r="602">
      <c r="A602" s="292"/>
      <c r="B602" s="293"/>
      <c r="C602" s="293"/>
      <c r="D602" s="293"/>
      <c r="E602" s="293"/>
      <c r="F602" s="293"/>
      <c r="G602" s="293"/>
      <c r="H602" s="294"/>
    </row>
    <row r="603">
      <c r="A603" s="295" t="s">
        <v>1435</v>
      </c>
      <c r="B603" s="296" t="s">
        <v>1436</v>
      </c>
      <c r="C603" s="295" t="s">
        <v>1843</v>
      </c>
      <c r="D603" s="297" t="s">
        <v>1438</v>
      </c>
      <c r="E603" s="359" t="s">
        <v>1564</v>
      </c>
      <c r="F603" s="295" t="s">
        <v>1440</v>
      </c>
      <c r="G603" s="295" t="s">
        <v>1844</v>
      </c>
      <c r="H603" s="298" t="s">
        <v>1441</v>
      </c>
    </row>
    <row r="604">
      <c r="A604" s="299">
        <v>1.0</v>
      </c>
      <c r="B604" s="299" t="s">
        <v>1443</v>
      </c>
      <c r="C604" s="299">
        <v>1.0</v>
      </c>
      <c r="D604" s="300">
        <v>144.0</v>
      </c>
      <c r="E604" s="331"/>
      <c r="F604" s="299" t="s">
        <v>1518</v>
      </c>
      <c r="G604" s="299" t="s">
        <v>1446</v>
      </c>
      <c r="H604" s="301"/>
    </row>
    <row r="605">
      <c r="A605" s="299">
        <v>2.0</v>
      </c>
      <c r="B605" s="299" t="s">
        <v>1444</v>
      </c>
      <c r="C605" s="299">
        <v>2.0</v>
      </c>
      <c r="D605" s="300">
        <v>3.2</v>
      </c>
      <c r="E605" s="360"/>
      <c r="F605" s="425"/>
      <c r="G605" s="302" t="s">
        <v>1554</v>
      </c>
      <c r="H605" s="301">
        <v>44574.0</v>
      </c>
    </row>
    <row r="606">
      <c r="A606" s="299">
        <v>3.0</v>
      </c>
      <c r="B606" s="299" t="s">
        <v>1845</v>
      </c>
      <c r="C606" s="299">
        <v>1.0</v>
      </c>
      <c r="D606" s="300">
        <v>5.5</v>
      </c>
      <c r="E606" s="331">
        <v>1.0</v>
      </c>
      <c r="F606" s="299" t="s">
        <v>1518</v>
      </c>
      <c r="G606" s="299" t="s">
        <v>1446</v>
      </c>
      <c r="H606" s="301"/>
    </row>
    <row r="607">
      <c r="A607" s="299">
        <v>4.0</v>
      </c>
      <c r="B607" s="299" t="s">
        <v>1846</v>
      </c>
      <c r="C607" s="299">
        <v>1.0</v>
      </c>
      <c r="D607" s="300">
        <v>2.7</v>
      </c>
      <c r="E607" s="331">
        <v>1.0</v>
      </c>
      <c r="F607" s="299" t="s">
        <v>2583</v>
      </c>
      <c r="G607" s="299" t="s">
        <v>1446</v>
      </c>
      <c r="H607" s="301">
        <v>44628.0</v>
      </c>
    </row>
    <row r="608">
      <c r="A608" s="303">
        <v>5.0</v>
      </c>
      <c r="B608" s="303" t="s">
        <v>1847</v>
      </c>
      <c r="C608" s="303"/>
      <c r="D608" s="304"/>
      <c r="E608" s="327"/>
      <c r="F608" s="303">
        <v>8.14020210119009E14</v>
      </c>
      <c r="G608" s="303" t="s">
        <v>155</v>
      </c>
      <c r="H608" s="305">
        <v>44712.0</v>
      </c>
    </row>
    <row r="609">
      <c r="A609" s="299">
        <v>6.0</v>
      </c>
      <c r="B609" s="306" t="s">
        <v>1472</v>
      </c>
      <c r="C609" s="299">
        <v>1.0</v>
      </c>
      <c r="D609" s="307">
        <v>2.5</v>
      </c>
      <c r="E609" s="331">
        <v>1.0</v>
      </c>
      <c r="F609" s="299"/>
      <c r="G609" s="299" t="s">
        <v>1446</v>
      </c>
      <c r="H609" s="301"/>
    </row>
    <row r="610">
      <c r="A610" s="299">
        <v>7.0</v>
      </c>
      <c r="B610" s="299" t="s">
        <v>1696</v>
      </c>
      <c r="C610" s="306">
        <v>1.0</v>
      </c>
      <c r="D610" s="300">
        <v>9.8</v>
      </c>
      <c r="E610" s="331">
        <v>1.0</v>
      </c>
      <c r="F610" s="299"/>
      <c r="G610" s="299" t="s">
        <v>1446</v>
      </c>
      <c r="H610" s="301">
        <v>45343.0</v>
      </c>
    </row>
    <row r="611">
      <c r="A611" s="299">
        <v>8.0</v>
      </c>
      <c r="B611" s="299" t="s">
        <v>1849</v>
      </c>
      <c r="C611" s="299">
        <v>1.0</v>
      </c>
      <c r="D611" s="300">
        <v>14.5</v>
      </c>
      <c r="E611" s="331">
        <v>1.0</v>
      </c>
      <c r="F611" s="299" t="s">
        <v>2584</v>
      </c>
      <c r="G611" s="299" t="s">
        <v>1554</v>
      </c>
      <c r="H611" s="301">
        <v>45365.0</v>
      </c>
    </row>
    <row r="612">
      <c r="A612" s="299">
        <v>9.0</v>
      </c>
      <c r="B612" s="364"/>
      <c r="C612" s="364"/>
      <c r="D612" s="364"/>
      <c r="E612" s="364"/>
      <c r="F612" s="364"/>
      <c r="G612" s="364"/>
      <c r="H612" s="364"/>
    </row>
    <row r="613">
      <c r="A613" s="299"/>
      <c r="B613" s="306"/>
      <c r="C613" s="300">
        <f t="shared" ref="C613:E613" si="14">SUM(C604:C612)-C608</f>
        <v>8</v>
      </c>
      <c r="D613" s="300">
        <f t="shared" si="14"/>
        <v>182.2</v>
      </c>
      <c r="E613" s="331">
        <f t="shared" si="14"/>
        <v>5</v>
      </c>
      <c r="F613" s="299"/>
      <c r="G613" s="299"/>
      <c r="H613" s="301"/>
    </row>
    <row r="614">
      <c r="A614" s="484" t="s">
        <v>2585</v>
      </c>
      <c r="B614" s="290"/>
      <c r="C614" s="290"/>
      <c r="D614" s="290"/>
      <c r="E614" s="290"/>
      <c r="F614" s="290"/>
      <c r="G614" s="290"/>
      <c r="H614" s="291"/>
    </row>
    <row r="615">
      <c r="A615" s="292"/>
      <c r="B615" s="293"/>
      <c r="C615" s="293"/>
      <c r="D615" s="293"/>
      <c r="E615" s="293"/>
      <c r="F615" s="293"/>
      <c r="G615" s="293"/>
      <c r="H615" s="294"/>
    </row>
    <row r="616">
      <c r="A616" s="303" t="s">
        <v>1435</v>
      </c>
      <c r="B616" s="323" t="s">
        <v>1436</v>
      </c>
      <c r="C616" s="303" t="s">
        <v>1843</v>
      </c>
      <c r="D616" s="324" t="s">
        <v>1438</v>
      </c>
      <c r="E616" s="325" t="s">
        <v>1564</v>
      </c>
      <c r="F616" s="303" t="s">
        <v>1440</v>
      </c>
      <c r="G616" s="303" t="s">
        <v>1844</v>
      </c>
      <c r="H616" s="326" t="s">
        <v>1441</v>
      </c>
    </row>
    <row r="617">
      <c r="A617" s="303">
        <v>1.0</v>
      </c>
      <c r="B617" s="303" t="s">
        <v>2586</v>
      </c>
      <c r="C617" s="303">
        <v>1.0</v>
      </c>
      <c r="D617" s="304">
        <v>13.2</v>
      </c>
      <c r="E617" s="327">
        <v>1.0</v>
      </c>
      <c r="F617" s="303" t="s">
        <v>2587</v>
      </c>
      <c r="G617" s="303" t="s">
        <v>1446</v>
      </c>
      <c r="H617" s="305">
        <v>44740.0</v>
      </c>
    </row>
    <row r="618">
      <c r="A618" s="303">
        <v>2.0</v>
      </c>
      <c r="B618" s="303" t="s">
        <v>2586</v>
      </c>
      <c r="C618" s="303">
        <v>1.0</v>
      </c>
      <c r="D618" s="304">
        <v>13.2</v>
      </c>
      <c r="E618" s="327">
        <v>1.0</v>
      </c>
      <c r="F618" s="303" t="s">
        <v>2588</v>
      </c>
      <c r="G618" s="303" t="s">
        <v>1446</v>
      </c>
      <c r="H618" s="305">
        <v>44740.0</v>
      </c>
    </row>
    <row r="619">
      <c r="A619" s="303">
        <v>3.0</v>
      </c>
      <c r="B619" s="303" t="s">
        <v>2589</v>
      </c>
      <c r="C619" s="303">
        <v>1.0</v>
      </c>
      <c r="D619" s="304">
        <v>1.9</v>
      </c>
      <c r="E619" s="327">
        <v>1.0</v>
      </c>
      <c r="F619" s="303" t="s">
        <v>2590</v>
      </c>
      <c r="G619" s="303" t="s">
        <v>1446</v>
      </c>
      <c r="H619" s="305">
        <v>44740.0</v>
      </c>
    </row>
    <row r="620">
      <c r="A620" s="303">
        <v>4.0</v>
      </c>
      <c r="B620" s="303" t="s">
        <v>2591</v>
      </c>
      <c r="C620" s="303">
        <v>1.0</v>
      </c>
      <c r="D620" s="304">
        <v>4.4</v>
      </c>
      <c r="E620" s="327">
        <v>1.0</v>
      </c>
      <c r="F620" s="303" t="s">
        <v>2592</v>
      </c>
      <c r="G620" s="303" t="s">
        <v>1446</v>
      </c>
      <c r="H620" s="305">
        <v>44740.0</v>
      </c>
    </row>
    <row r="621">
      <c r="A621" s="303">
        <v>5.0</v>
      </c>
      <c r="B621" s="303" t="s">
        <v>2591</v>
      </c>
      <c r="C621" s="303">
        <v>1.0</v>
      </c>
      <c r="D621" s="304">
        <v>4.4</v>
      </c>
      <c r="E621" s="327">
        <v>1.0</v>
      </c>
      <c r="F621" s="303" t="s">
        <v>2593</v>
      </c>
      <c r="G621" s="303" t="s">
        <v>1446</v>
      </c>
      <c r="H621" s="305">
        <v>44740.0</v>
      </c>
    </row>
    <row r="622">
      <c r="A622" s="303">
        <v>6.0</v>
      </c>
      <c r="B622" s="303" t="s">
        <v>2594</v>
      </c>
      <c r="C622" s="303">
        <v>1.0</v>
      </c>
      <c r="D622" s="304">
        <v>10.0</v>
      </c>
      <c r="E622" s="327">
        <v>1.0</v>
      </c>
      <c r="F622" s="303" t="s">
        <v>2595</v>
      </c>
      <c r="G622" s="303" t="s">
        <v>2596</v>
      </c>
      <c r="H622" s="303" t="s">
        <v>2597</v>
      </c>
    </row>
    <row r="623">
      <c r="A623" s="322" t="s">
        <v>1562</v>
      </c>
      <c r="B623" s="3"/>
      <c r="C623" s="303">
        <f t="shared" ref="C623:E623" si="15">SUM(C616:C622)</f>
        <v>6</v>
      </c>
      <c r="D623" s="304">
        <f t="shared" si="15"/>
        <v>47.1</v>
      </c>
      <c r="E623" s="327">
        <f t="shared" si="15"/>
        <v>6</v>
      </c>
      <c r="F623" s="303"/>
      <c r="G623" s="305"/>
      <c r="H623" s="303" t="s">
        <v>2598</v>
      </c>
    </row>
    <row r="624">
      <c r="A624" s="299"/>
      <c r="B624" s="299"/>
      <c r="C624" s="299"/>
      <c r="D624" s="300"/>
      <c r="E624" s="331"/>
      <c r="F624" s="299"/>
      <c r="G624" s="301"/>
      <c r="H624" s="299"/>
    </row>
    <row r="625">
      <c r="A625" s="299"/>
      <c r="B625" s="299"/>
      <c r="C625" s="299"/>
      <c r="D625" s="300"/>
      <c r="E625" s="331"/>
      <c r="F625" s="299"/>
      <c r="G625" s="301"/>
      <c r="H625" s="299"/>
    </row>
    <row r="626">
      <c r="A626" s="289" t="s">
        <v>1850</v>
      </c>
      <c r="B626" s="290"/>
      <c r="C626" s="290"/>
      <c r="D626" s="290"/>
      <c r="E626" s="290"/>
      <c r="F626" s="290"/>
      <c r="G626" s="290"/>
      <c r="H626" s="291"/>
    </row>
    <row r="627">
      <c r="A627" s="292"/>
      <c r="B627" s="293"/>
      <c r="C627" s="293"/>
      <c r="D627" s="293"/>
      <c r="E627" s="293"/>
      <c r="F627" s="293"/>
      <c r="G627" s="293"/>
      <c r="H627" s="294"/>
    </row>
    <row r="628">
      <c r="A628" s="295" t="s">
        <v>1435</v>
      </c>
      <c r="B628" s="296" t="s">
        <v>1436</v>
      </c>
      <c r="C628" s="295" t="s">
        <v>1843</v>
      </c>
      <c r="D628" s="297" t="s">
        <v>1438</v>
      </c>
      <c r="E628" s="359" t="s">
        <v>1564</v>
      </c>
      <c r="F628" s="295" t="s">
        <v>1440</v>
      </c>
      <c r="G628" s="295" t="s">
        <v>1844</v>
      </c>
      <c r="H628" s="298" t="s">
        <v>1441</v>
      </c>
    </row>
    <row r="629">
      <c r="A629" s="308">
        <v>1.0</v>
      </c>
      <c r="B629" s="309" t="s">
        <v>1646</v>
      </c>
      <c r="C629" s="310">
        <v>1.0</v>
      </c>
      <c r="D629" s="311">
        <v>2.0</v>
      </c>
      <c r="E629" s="377">
        <v>1.0</v>
      </c>
      <c r="F629" s="309" t="s">
        <v>1647</v>
      </c>
      <c r="G629" s="312" t="s">
        <v>2599</v>
      </c>
      <c r="H629" s="313">
        <v>45965.0</v>
      </c>
    </row>
    <row r="630">
      <c r="A630" s="308">
        <v>2.0</v>
      </c>
      <c r="B630" s="310" t="s">
        <v>1649</v>
      </c>
      <c r="C630" s="310">
        <v>1.0</v>
      </c>
      <c r="D630" s="311">
        <v>8.0</v>
      </c>
      <c r="E630" s="377">
        <v>1.0</v>
      </c>
      <c r="F630" s="310" t="s">
        <v>1650</v>
      </c>
      <c r="G630" s="312" t="s">
        <v>2599</v>
      </c>
      <c r="H630" s="313">
        <v>45965.0</v>
      </c>
    </row>
    <row r="631">
      <c r="A631" s="308">
        <v>3.0</v>
      </c>
      <c r="B631" s="308" t="s">
        <v>1851</v>
      </c>
      <c r="C631" s="308">
        <v>1.0</v>
      </c>
      <c r="D631" s="314"/>
      <c r="E631" s="365">
        <v>2.0</v>
      </c>
      <c r="F631" s="308" t="s">
        <v>2600</v>
      </c>
      <c r="G631" s="308" t="s">
        <v>1554</v>
      </c>
      <c r="H631" s="315">
        <v>46091.0</v>
      </c>
    </row>
    <row r="632">
      <c r="A632" s="308"/>
      <c r="B632" s="308"/>
      <c r="C632" s="308"/>
      <c r="D632" s="314"/>
      <c r="E632" s="365"/>
      <c r="F632" s="308"/>
      <c r="G632" s="308"/>
      <c r="H632" s="315"/>
    </row>
    <row r="633">
      <c r="A633" s="308"/>
      <c r="B633" s="308"/>
      <c r="C633" s="308"/>
      <c r="D633" s="314"/>
      <c r="E633" s="365"/>
      <c r="F633" s="308"/>
      <c r="G633" s="308"/>
      <c r="H633" s="315"/>
    </row>
    <row r="634">
      <c r="A634" s="308"/>
      <c r="B634" s="308"/>
      <c r="C634" s="308"/>
      <c r="D634" s="314"/>
      <c r="E634" s="365"/>
      <c r="F634" s="308"/>
      <c r="G634" s="308"/>
      <c r="H634" s="308"/>
    </row>
    <row r="635">
      <c r="A635" s="496"/>
      <c r="B635" s="3"/>
      <c r="C635" s="308"/>
      <c r="D635" s="314"/>
      <c r="E635" s="365"/>
      <c r="F635" s="308"/>
      <c r="G635" s="315"/>
      <c r="H635" s="308"/>
    </row>
    <row r="636">
      <c r="A636" s="299"/>
      <c r="B636" s="299"/>
      <c r="C636" s="299"/>
      <c r="D636" s="300"/>
      <c r="E636" s="331"/>
      <c r="F636" s="299"/>
      <c r="G636" s="301"/>
      <c r="H636" s="299"/>
    </row>
    <row r="637">
      <c r="A637" s="366"/>
      <c r="B637" s="3"/>
      <c r="C637" s="299"/>
      <c r="D637" s="300"/>
      <c r="E637" s="331"/>
      <c r="F637" s="299"/>
      <c r="G637" s="301"/>
      <c r="H637" s="299"/>
    </row>
    <row r="638" ht="33.0" customHeight="1">
      <c r="A638" s="299"/>
      <c r="B638" s="299"/>
      <c r="C638" s="299"/>
      <c r="D638" s="300"/>
      <c r="E638" s="331"/>
      <c r="F638" s="299"/>
      <c r="G638" s="299"/>
      <c r="H638" s="301"/>
    </row>
    <row r="639" ht="33.0" customHeight="1">
      <c r="A639" s="485" t="s">
        <v>2601</v>
      </c>
      <c r="B639" s="290"/>
      <c r="C639" s="290"/>
      <c r="D639" s="290"/>
      <c r="E639" s="290"/>
      <c r="F639" s="290"/>
      <c r="G639" s="290"/>
      <c r="H639" s="291"/>
    </row>
    <row r="640">
      <c r="A640" s="497"/>
      <c r="B640" s="498"/>
      <c r="C640" s="498"/>
      <c r="D640" s="498"/>
      <c r="E640" s="498"/>
      <c r="F640" s="498"/>
      <c r="G640" s="498"/>
      <c r="H640" s="499"/>
    </row>
    <row r="641" ht="18.0" customHeight="1">
      <c r="A641" s="364">
        <v>1.0</v>
      </c>
      <c r="B641" s="364" t="s">
        <v>1443</v>
      </c>
      <c r="C641" s="364">
        <v>1.0</v>
      </c>
      <c r="D641" s="300">
        <v>144.0</v>
      </c>
      <c r="E641" s="360"/>
      <c r="F641" s="299"/>
      <c r="G641" s="364" t="s">
        <v>1446</v>
      </c>
      <c r="H641" s="428"/>
    </row>
    <row r="642">
      <c r="A642" s="364">
        <v>2.0</v>
      </c>
      <c r="B642" s="364" t="s">
        <v>1444</v>
      </c>
      <c r="C642" s="364">
        <v>2.0</v>
      </c>
      <c r="D642" s="427">
        <v>1.6</v>
      </c>
      <c r="E642" s="360"/>
      <c r="F642" s="364" t="s">
        <v>1518</v>
      </c>
      <c r="G642" s="364" t="s">
        <v>1446</v>
      </c>
      <c r="H642" s="428">
        <v>44574.0</v>
      </c>
    </row>
    <row r="643">
      <c r="A643" s="364">
        <v>3.0</v>
      </c>
      <c r="B643" s="364" t="s">
        <v>1853</v>
      </c>
      <c r="C643" s="364">
        <v>1.0</v>
      </c>
      <c r="D643" s="427">
        <v>5.0</v>
      </c>
      <c r="E643" s="360">
        <v>1.0</v>
      </c>
      <c r="F643" s="364" t="s">
        <v>1518</v>
      </c>
      <c r="G643" s="364" t="s">
        <v>1446</v>
      </c>
      <c r="H643" s="428">
        <v>44596.0</v>
      </c>
    </row>
    <row r="644">
      <c r="A644" s="364">
        <v>4.0</v>
      </c>
      <c r="B644" s="306" t="s">
        <v>1472</v>
      </c>
      <c r="C644" s="299">
        <v>1.0</v>
      </c>
      <c r="D644" s="307">
        <v>2.5</v>
      </c>
      <c r="E644" s="331">
        <v>1.0</v>
      </c>
      <c r="F644" s="308" t="s">
        <v>2602</v>
      </c>
      <c r="G644" s="299" t="s">
        <v>1446</v>
      </c>
      <c r="H644" s="301">
        <v>44741.0</v>
      </c>
    </row>
    <row r="645">
      <c r="A645" s="463">
        <v>5.0</v>
      </c>
      <c r="B645" s="308" t="s">
        <v>2603</v>
      </c>
      <c r="C645" s="308">
        <v>1.0</v>
      </c>
      <c r="D645" s="314">
        <v>15.9</v>
      </c>
      <c r="E645" s="365">
        <v>2.0</v>
      </c>
      <c r="F645" s="308" t="s">
        <v>2604</v>
      </c>
      <c r="G645" s="308" t="s">
        <v>1446</v>
      </c>
      <c r="H645" s="315">
        <v>44745.0</v>
      </c>
    </row>
    <row r="646">
      <c r="A646" s="364">
        <v>6.0</v>
      </c>
      <c r="B646" s="299" t="s">
        <v>2605</v>
      </c>
      <c r="C646" s="299">
        <v>1.0</v>
      </c>
      <c r="D646" s="300">
        <v>15.9</v>
      </c>
      <c r="E646" s="331">
        <v>2.0</v>
      </c>
      <c r="F646" s="299" t="s">
        <v>2606</v>
      </c>
      <c r="G646" s="299" t="s">
        <v>1446</v>
      </c>
      <c r="H646" s="301">
        <v>44745.0</v>
      </c>
    </row>
    <row r="647">
      <c r="A647" s="364">
        <v>7.0</v>
      </c>
      <c r="B647" s="299" t="s">
        <v>2555</v>
      </c>
      <c r="C647" s="299">
        <v>1.0</v>
      </c>
      <c r="D647" s="300">
        <v>2.0</v>
      </c>
      <c r="E647" s="331">
        <v>1.0</v>
      </c>
      <c r="F647" s="299" t="s">
        <v>2607</v>
      </c>
      <c r="G647" s="299" t="s">
        <v>1446</v>
      </c>
      <c r="H647" s="301">
        <v>44745.0</v>
      </c>
    </row>
    <row r="648">
      <c r="A648" s="299">
        <v>8.0</v>
      </c>
      <c r="B648" s="299" t="s">
        <v>2608</v>
      </c>
      <c r="C648" s="299">
        <v>1.0</v>
      </c>
      <c r="D648" s="300">
        <v>2.5</v>
      </c>
      <c r="E648" s="331">
        <v>1.0</v>
      </c>
      <c r="F648" s="299" t="s">
        <v>215</v>
      </c>
      <c r="G648" s="299" t="s">
        <v>1446</v>
      </c>
      <c r="H648" s="301">
        <v>44745.0</v>
      </c>
    </row>
    <row r="649">
      <c r="A649" s="303">
        <v>9.0</v>
      </c>
      <c r="B649" s="303" t="s">
        <v>2609</v>
      </c>
      <c r="C649" s="303"/>
      <c r="D649" s="304"/>
      <c r="E649" s="327"/>
      <c r="F649" s="303" t="s">
        <v>2610</v>
      </c>
      <c r="G649" s="303" t="s">
        <v>2611</v>
      </c>
      <c r="H649" s="305">
        <v>44810.0</v>
      </c>
    </row>
    <row r="650">
      <c r="A650" s="299">
        <v>10.0</v>
      </c>
      <c r="B650" s="306" t="s">
        <v>2612</v>
      </c>
      <c r="C650" s="299">
        <v>1.0</v>
      </c>
      <c r="D650" s="300">
        <v>2.0</v>
      </c>
      <c r="E650" s="331">
        <v>1.0</v>
      </c>
      <c r="F650" s="299" t="s">
        <v>2613</v>
      </c>
      <c r="G650" s="299" t="s">
        <v>1446</v>
      </c>
      <c r="H650" s="301">
        <v>44810.0</v>
      </c>
    </row>
    <row r="651">
      <c r="A651" s="303">
        <v>11.0</v>
      </c>
      <c r="B651" s="303" t="s">
        <v>2550</v>
      </c>
      <c r="C651" s="303"/>
      <c r="D651" s="304"/>
      <c r="E651" s="327"/>
      <c r="F651" s="303" t="s">
        <v>2610</v>
      </c>
      <c r="G651" s="303" t="s">
        <v>1446</v>
      </c>
      <c r="H651" s="303" t="s">
        <v>2614</v>
      </c>
    </row>
    <row r="652">
      <c r="A652" s="299">
        <v>12.0</v>
      </c>
      <c r="B652" s="306" t="s">
        <v>2608</v>
      </c>
      <c r="C652" s="299">
        <v>1.0</v>
      </c>
      <c r="D652" s="300">
        <v>2.2</v>
      </c>
      <c r="E652" s="331">
        <v>1.0</v>
      </c>
      <c r="F652" s="306" t="s">
        <v>2615</v>
      </c>
      <c r="G652" s="299" t="s">
        <v>1446</v>
      </c>
      <c r="H652" s="301">
        <v>44875.0</v>
      </c>
    </row>
    <row r="653">
      <c r="A653" s="299">
        <v>13.0</v>
      </c>
      <c r="B653" s="299" t="s">
        <v>1579</v>
      </c>
      <c r="C653" s="299">
        <v>1.0</v>
      </c>
      <c r="D653" s="300">
        <v>1.5</v>
      </c>
      <c r="E653" s="331">
        <v>1.0</v>
      </c>
      <c r="F653" s="299" t="s">
        <v>2616</v>
      </c>
      <c r="G653" s="299" t="s">
        <v>1446</v>
      </c>
      <c r="H653" s="301">
        <v>45005.0</v>
      </c>
    </row>
    <row r="654">
      <c r="A654" s="303">
        <v>14.0</v>
      </c>
      <c r="B654" s="303" t="s">
        <v>1635</v>
      </c>
      <c r="C654" s="303"/>
      <c r="D654" s="304"/>
      <c r="E654" s="327"/>
      <c r="F654" s="303" t="s">
        <v>2617</v>
      </c>
      <c r="G654" s="303" t="s">
        <v>300</v>
      </c>
      <c r="H654" s="303" t="s">
        <v>2618</v>
      </c>
    </row>
    <row r="655">
      <c r="A655" s="303">
        <v>15.0</v>
      </c>
      <c r="B655" s="303" t="s">
        <v>1983</v>
      </c>
      <c r="C655" s="303"/>
      <c r="D655" s="304"/>
      <c r="E655" s="327"/>
      <c r="F655" s="303" t="s">
        <v>2619</v>
      </c>
      <c r="G655" s="303" t="s">
        <v>1446</v>
      </c>
      <c r="H655" s="303" t="s">
        <v>2620</v>
      </c>
    </row>
    <row r="656">
      <c r="A656" s="308">
        <v>16.0</v>
      </c>
      <c r="B656" s="308" t="s">
        <v>2621</v>
      </c>
      <c r="C656" s="308">
        <v>1.0</v>
      </c>
      <c r="D656" s="314">
        <v>15.9</v>
      </c>
      <c r="E656" s="365">
        <v>2.0</v>
      </c>
      <c r="F656" s="308"/>
      <c r="G656" s="308" t="s">
        <v>1446</v>
      </c>
      <c r="H656" s="315">
        <v>45240.0</v>
      </c>
    </row>
    <row r="657">
      <c r="A657" s="308">
        <v>17.0</v>
      </c>
      <c r="B657" s="308" t="s">
        <v>2622</v>
      </c>
      <c r="C657" s="308">
        <v>1.0</v>
      </c>
      <c r="D657" s="314">
        <v>12.6</v>
      </c>
      <c r="E657" s="365">
        <v>1.0</v>
      </c>
      <c r="F657" s="308" t="s">
        <v>2623</v>
      </c>
      <c r="G657" s="308" t="s">
        <v>1446</v>
      </c>
      <c r="H657" s="315">
        <v>45240.0</v>
      </c>
    </row>
    <row r="658">
      <c r="A658" s="303">
        <v>17.0</v>
      </c>
      <c r="B658" s="303" t="s">
        <v>2624</v>
      </c>
      <c r="C658" s="303"/>
      <c r="D658" s="304"/>
      <c r="E658" s="327"/>
      <c r="F658" s="303" t="s">
        <v>2625</v>
      </c>
      <c r="G658" s="303" t="s">
        <v>1446</v>
      </c>
      <c r="H658" s="305">
        <v>45251.0</v>
      </c>
    </row>
    <row r="659">
      <c r="A659" s="299">
        <v>19.0</v>
      </c>
      <c r="B659" s="299" t="s">
        <v>2626</v>
      </c>
      <c r="C659" s="299">
        <v>1.0</v>
      </c>
      <c r="D659" s="300">
        <v>8.0</v>
      </c>
      <c r="E659" s="331">
        <v>1.0</v>
      </c>
      <c r="F659" s="299"/>
      <c r="G659" s="299" t="s">
        <v>1446</v>
      </c>
      <c r="H659" s="433">
        <v>45455.0</v>
      </c>
    </row>
    <row r="660">
      <c r="A660" s="303">
        <v>20.0</v>
      </c>
      <c r="B660" s="303" t="s">
        <v>2627</v>
      </c>
      <c r="C660" s="303"/>
      <c r="D660" s="304"/>
      <c r="E660" s="327"/>
      <c r="F660" s="303" t="s">
        <v>2628</v>
      </c>
      <c r="G660" s="303" t="s">
        <v>1446</v>
      </c>
      <c r="H660" s="303" t="s">
        <v>2629</v>
      </c>
    </row>
    <row r="661">
      <c r="A661" s="299">
        <v>21.0</v>
      </c>
      <c r="B661" s="500" t="s">
        <v>2630</v>
      </c>
      <c r="C661" s="500">
        <v>1.0</v>
      </c>
      <c r="D661" s="501">
        <v>10.6</v>
      </c>
      <c r="E661" s="502">
        <v>1.0</v>
      </c>
      <c r="F661" s="500" t="s">
        <v>2631</v>
      </c>
      <c r="G661" s="500" t="s">
        <v>1446</v>
      </c>
      <c r="H661" s="503">
        <v>45498.0</v>
      </c>
    </row>
    <row r="662">
      <c r="A662" s="303">
        <v>22.0</v>
      </c>
      <c r="B662" s="303" t="s">
        <v>2632</v>
      </c>
      <c r="C662" s="303">
        <v>1.0</v>
      </c>
      <c r="D662" s="304">
        <v>2.0</v>
      </c>
      <c r="E662" s="327">
        <v>1.0</v>
      </c>
      <c r="F662" s="384" t="s">
        <v>2633</v>
      </c>
      <c r="G662" s="303" t="s">
        <v>1446</v>
      </c>
      <c r="H662" s="303" t="s">
        <v>2634</v>
      </c>
    </row>
    <row r="663">
      <c r="A663" s="299">
        <v>23.0</v>
      </c>
      <c r="B663" s="500" t="s">
        <v>2635</v>
      </c>
      <c r="C663" s="500">
        <v>1.0</v>
      </c>
      <c r="D663" s="300">
        <v>17.4</v>
      </c>
      <c r="E663" s="502">
        <v>1.0</v>
      </c>
      <c r="F663" s="500" t="s">
        <v>2636</v>
      </c>
      <c r="G663" s="500" t="s">
        <v>1446</v>
      </c>
      <c r="H663" s="504">
        <v>45630.0</v>
      </c>
    </row>
    <row r="664">
      <c r="A664" s="299">
        <v>24.0</v>
      </c>
      <c r="B664" s="299" t="s">
        <v>2632</v>
      </c>
      <c r="C664" s="299">
        <v>1.0</v>
      </c>
      <c r="D664" s="300">
        <v>2.0</v>
      </c>
      <c r="E664" s="331">
        <v>1.0</v>
      </c>
      <c r="F664" s="299" t="s">
        <v>2637</v>
      </c>
      <c r="G664" s="500" t="s">
        <v>1446</v>
      </c>
      <c r="H664" s="504">
        <v>45643.0</v>
      </c>
    </row>
    <row r="665">
      <c r="A665" s="308">
        <v>25.0</v>
      </c>
      <c r="B665" s="308" t="s">
        <v>2638</v>
      </c>
      <c r="C665" s="308">
        <v>1.0</v>
      </c>
      <c r="D665" s="314">
        <v>15.31</v>
      </c>
      <c r="E665" s="365">
        <v>1.0</v>
      </c>
      <c r="F665" s="308" t="s">
        <v>2639</v>
      </c>
      <c r="G665" s="308" t="s">
        <v>1446</v>
      </c>
      <c r="H665" s="315">
        <v>45649.0</v>
      </c>
    </row>
    <row r="666">
      <c r="A666" s="299">
        <v>26.0</v>
      </c>
      <c r="B666" s="299" t="s">
        <v>1652</v>
      </c>
      <c r="C666" s="299">
        <v>1.0</v>
      </c>
      <c r="D666" s="300">
        <v>3.0</v>
      </c>
      <c r="E666" s="331">
        <v>1.0</v>
      </c>
      <c r="F666" s="299" t="s">
        <v>2640</v>
      </c>
      <c r="G666" s="299" t="s">
        <v>1446</v>
      </c>
      <c r="H666" s="301">
        <v>45678.0</v>
      </c>
    </row>
    <row r="667">
      <c r="A667" s="299">
        <v>27.0</v>
      </c>
      <c r="B667" s="299" t="s">
        <v>2641</v>
      </c>
      <c r="C667" s="299">
        <v>1.0</v>
      </c>
      <c r="D667" s="300">
        <v>28.6</v>
      </c>
      <c r="E667" s="331">
        <v>2.0</v>
      </c>
      <c r="F667" s="299" t="s">
        <v>2642</v>
      </c>
      <c r="G667" s="299" t="s">
        <v>1446</v>
      </c>
      <c r="H667" s="301">
        <v>45809.0</v>
      </c>
    </row>
    <row r="668">
      <c r="A668" s="308">
        <v>28.0</v>
      </c>
      <c r="B668" s="308" t="s">
        <v>2016</v>
      </c>
      <c r="C668" s="308">
        <v>1.0</v>
      </c>
      <c r="D668" s="314">
        <v>17.4</v>
      </c>
      <c r="E668" s="365">
        <v>1.0</v>
      </c>
      <c r="F668" s="308" t="s">
        <v>2643</v>
      </c>
      <c r="G668" s="299" t="s">
        <v>1446</v>
      </c>
      <c r="H668" s="315">
        <v>45964.0</v>
      </c>
    </row>
    <row r="669">
      <c r="A669" s="308">
        <v>29.0</v>
      </c>
      <c r="B669" s="308" t="s">
        <v>2644</v>
      </c>
      <c r="C669" s="308">
        <v>1.0</v>
      </c>
      <c r="D669" s="314">
        <v>5.2</v>
      </c>
      <c r="E669" s="365">
        <v>1.0</v>
      </c>
      <c r="F669" s="308" t="s">
        <v>2645</v>
      </c>
      <c r="G669" s="299" t="s">
        <v>1446</v>
      </c>
      <c r="H669" s="315">
        <v>45978.0</v>
      </c>
    </row>
    <row r="670">
      <c r="A670" s="308">
        <v>30.0</v>
      </c>
      <c r="B670" s="308" t="s">
        <v>1853</v>
      </c>
      <c r="C670" s="308">
        <v>2.0</v>
      </c>
      <c r="D670" s="314">
        <v>5.0</v>
      </c>
      <c r="E670" s="365">
        <v>1.0</v>
      </c>
      <c r="F670" s="308" t="s">
        <v>1518</v>
      </c>
      <c r="G670" s="299" t="s">
        <v>1446</v>
      </c>
      <c r="H670" s="315">
        <v>46045.0</v>
      </c>
    </row>
    <row r="671">
      <c r="A671" s="308">
        <v>31.0</v>
      </c>
      <c r="B671" s="308" t="s">
        <v>2635</v>
      </c>
      <c r="C671" s="308">
        <v>1.0</v>
      </c>
      <c r="D671" s="314">
        <v>14.9</v>
      </c>
      <c r="E671" s="365" t="s">
        <v>2111</v>
      </c>
      <c r="F671" s="308" t="s">
        <v>2646</v>
      </c>
      <c r="G671" s="308" t="s">
        <v>1446</v>
      </c>
      <c r="H671" s="315">
        <v>46046.0</v>
      </c>
    </row>
    <row r="672">
      <c r="A672" s="308">
        <v>32.0</v>
      </c>
      <c r="B672" s="308" t="s">
        <v>2647</v>
      </c>
      <c r="C672" s="308">
        <v>1.0</v>
      </c>
      <c r="D672" s="314"/>
      <c r="E672" s="365">
        <v>1.0</v>
      </c>
      <c r="F672" s="308" t="s">
        <v>2648</v>
      </c>
      <c r="G672" s="308" t="s">
        <v>1875</v>
      </c>
      <c r="H672" s="308" t="s">
        <v>1875</v>
      </c>
    </row>
    <row r="673">
      <c r="A673" s="505" t="s">
        <v>1562</v>
      </c>
      <c r="B673" s="3"/>
      <c r="C673" s="364">
        <f>sum(C641:C672)</f>
        <v>28</v>
      </c>
      <c r="D673" s="427">
        <f>sum(D641:D671)</f>
        <v>353.01</v>
      </c>
      <c r="E673" s="360">
        <f>sum(E643:E672)</f>
        <v>27</v>
      </c>
      <c r="F673" s="364"/>
      <c r="G673" s="428"/>
      <c r="H673" s="428"/>
    </row>
    <row r="674">
      <c r="A674" s="306"/>
      <c r="B674" s="306"/>
      <c r="C674" s="306"/>
      <c r="D674" s="306"/>
      <c r="E674" s="306"/>
      <c r="F674" s="306"/>
      <c r="G674" s="306"/>
      <c r="H674" s="306"/>
    </row>
    <row r="675">
      <c r="A675" s="308"/>
      <c r="B675" s="308"/>
      <c r="C675" s="308"/>
      <c r="D675" s="308"/>
      <c r="E675" s="308"/>
      <c r="F675" s="506"/>
      <c r="G675" s="308"/>
      <c r="H675" s="308"/>
    </row>
    <row r="676">
      <c r="A676" s="484" t="s">
        <v>2649</v>
      </c>
      <c r="B676" s="290"/>
      <c r="C676" s="290"/>
      <c r="D676" s="290"/>
      <c r="E676" s="290"/>
      <c r="F676" s="290"/>
      <c r="G676" s="290"/>
      <c r="H676" s="291"/>
    </row>
    <row r="677">
      <c r="A677" s="292"/>
      <c r="B677" s="293"/>
      <c r="C677" s="293"/>
      <c r="D677" s="293"/>
      <c r="E677" s="293"/>
      <c r="F677" s="293"/>
      <c r="G677" s="293"/>
      <c r="H677" s="294"/>
    </row>
    <row r="678">
      <c r="A678" s="329" t="s">
        <v>1435</v>
      </c>
      <c r="B678" s="329" t="s">
        <v>1436</v>
      </c>
      <c r="C678" s="329" t="s">
        <v>1843</v>
      </c>
      <c r="D678" s="324" t="s">
        <v>1438</v>
      </c>
      <c r="E678" s="325" t="s">
        <v>1564</v>
      </c>
      <c r="F678" s="329" t="s">
        <v>1440</v>
      </c>
      <c r="G678" s="329" t="s">
        <v>1844</v>
      </c>
      <c r="H678" s="326" t="s">
        <v>1441</v>
      </c>
    </row>
    <row r="679">
      <c r="A679" s="329">
        <v>1.0</v>
      </c>
      <c r="B679" s="329" t="s">
        <v>1443</v>
      </c>
      <c r="C679" s="329"/>
      <c r="D679" s="304"/>
      <c r="E679" s="325"/>
      <c r="F679" s="329" t="s">
        <v>1518</v>
      </c>
      <c r="G679" s="329" t="s">
        <v>1446</v>
      </c>
      <c r="H679" s="326"/>
    </row>
    <row r="680">
      <c r="A680" s="329">
        <v>2.0</v>
      </c>
      <c r="B680" s="329" t="s">
        <v>1444</v>
      </c>
      <c r="C680" s="329"/>
      <c r="D680" s="304"/>
      <c r="E680" s="325"/>
      <c r="F680" s="329" t="s">
        <v>1518</v>
      </c>
      <c r="G680" s="329" t="s">
        <v>1446</v>
      </c>
      <c r="H680" s="326">
        <v>44574.0</v>
      </c>
    </row>
    <row r="681">
      <c r="A681" s="329">
        <v>3.0</v>
      </c>
      <c r="B681" s="329" t="s">
        <v>1853</v>
      </c>
      <c r="C681" s="329"/>
      <c r="D681" s="324"/>
      <c r="E681" s="325"/>
      <c r="F681" s="329" t="s">
        <v>1518</v>
      </c>
      <c r="G681" s="329" t="s">
        <v>1446</v>
      </c>
      <c r="H681" s="326">
        <v>44596.0</v>
      </c>
    </row>
    <row r="682">
      <c r="A682" s="329">
        <v>4.0</v>
      </c>
      <c r="B682" s="429" t="s">
        <v>1499</v>
      </c>
      <c r="C682" s="429"/>
      <c r="D682" s="324"/>
      <c r="E682" s="325"/>
      <c r="F682" s="303" t="s">
        <v>2650</v>
      </c>
      <c r="G682" s="329" t="s">
        <v>1446</v>
      </c>
      <c r="H682" s="326">
        <v>44851.0</v>
      </c>
    </row>
    <row r="683">
      <c r="A683" s="308"/>
      <c r="B683" s="308"/>
      <c r="C683" s="308"/>
      <c r="D683" s="308"/>
      <c r="E683" s="308"/>
      <c r="F683" s="308"/>
      <c r="G683" s="308"/>
      <c r="H683" s="308"/>
    </row>
    <row r="684">
      <c r="A684" s="308"/>
      <c r="B684" s="308"/>
      <c r="C684" s="308"/>
      <c r="D684" s="308"/>
      <c r="E684" s="308"/>
      <c r="F684" s="308"/>
      <c r="G684" s="308"/>
      <c r="H684" s="308"/>
    </row>
    <row r="685">
      <c r="A685" s="419" t="s">
        <v>2651</v>
      </c>
      <c r="B685" s="2"/>
      <c r="C685" s="2"/>
      <c r="D685" s="2"/>
      <c r="E685" s="2"/>
      <c r="F685" s="2"/>
      <c r="G685" s="2"/>
      <c r="H685" s="3"/>
    </row>
    <row r="686">
      <c r="A686" s="299">
        <v>1.0</v>
      </c>
      <c r="B686" s="299" t="s">
        <v>2652</v>
      </c>
      <c r="C686" s="299">
        <v>1.0</v>
      </c>
      <c r="D686" s="300">
        <v>2.0</v>
      </c>
      <c r="E686" s="331">
        <v>1.0</v>
      </c>
      <c r="F686" s="299" t="s">
        <v>2653</v>
      </c>
      <c r="G686" s="299" t="s">
        <v>1446</v>
      </c>
      <c r="H686" s="301">
        <v>44988.0</v>
      </c>
    </row>
    <row r="687">
      <c r="A687" s="299">
        <v>2.0</v>
      </c>
      <c r="B687" s="299" t="s">
        <v>2654</v>
      </c>
      <c r="C687" s="299">
        <v>1.0</v>
      </c>
      <c r="D687" s="300">
        <v>1.7</v>
      </c>
      <c r="E687" s="331">
        <v>1.0</v>
      </c>
      <c r="F687" s="299" t="s">
        <v>2655</v>
      </c>
      <c r="G687" s="299" t="s">
        <v>1446</v>
      </c>
      <c r="H687" s="301">
        <v>44988.0</v>
      </c>
    </row>
    <row r="688">
      <c r="A688" s="299">
        <v>3.0</v>
      </c>
      <c r="B688" s="299" t="s">
        <v>2654</v>
      </c>
      <c r="C688" s="299">
        <v>1.0</v>
      </c>
      <c r="D688" s="300">
        <v>1.7</v>
      </c>
      <c r="E688" s="331">
        <v>1.0</v>
      </c>
      <c r="F688" s="299" t="s">
        <v>2656</v>
      </c>
      <c r="G688" s="299" t="s">
        <v>1446</v>
      </c>
      <c r="H688" s="301">
        <v>44988.0</v>
      </c>
    </row>
    <row r="689">
      <c r="A689" s="299">
        <v>4.0</v>
      </c>
      <c r="B689" s="299" t="s">
        <v>2657</v>
      </c>
      <c r="C689" s="299">
        <v>1.0</v>
      </c>
      <c r="D689" s="300">
        <v>1.7</v>
      </c>
      <c r="E689" s="331">
        <v>1.0</v>
      </c>
      <c r="F689" s="299" t="s">
        <v>2658</v>
      </c>
      <c r="G689" s="299" t="s">
        <v>1446</v>
      </c>
      <c r="H689" s="301">
        <v>44988.0</v>
      </c>
    </row>
    <row r="690">
      <c r="A690" s="299">
        <v>5.0</v>
      </c>
      <c r="B690" s="299" t="s">
        <v>2659</v>
      </c>
      <c r="C690" s="299">
        <v>1.0</v>
      </c>
      <c r="D690" s="300">
        <v>15.3</v>
      </c>
      <c r="E690" s="331">
        <v>1.0</v>
      </c>
      <c r="F690" s="299" t="s">
        <v>2660</v>
      </c>
      <c r="G690" s="299" t="s">
        <v>1446</v>
      </c>
      <c r="H690" s="301">
        <v>44988.0</v>
      </c>
    </row>
    <row r="691">
      <c r="A691" s="303">
        <v>6.0</v>
      </c>
      <c r="B691" s="303" t="s">
        <v>2659</v>
      </c>
      <c r="C691" s="303"/>
      <c r="D691" s="304"/>
      <c r="E691" s="327"/>
      <c r="F691" s="303" t="s">
        <v>2661</v>
      </c>
      <c r="G691" s="303" t="s">
        <v>585</v>
      </c>
      <c r="H691" s="305">
        <v>44988.0</v>
      </c>
    </row>
    <row r="692">
      <c r="A692" s="299">
        <v>7.0</v>
      </c>
      <c r="B692" s="299" t="s">
        <v>2659</v>
      </c>
      <c r="C692" s="299">
        <v>1.0</v>
      </c>
      <c r="D692" s="300">
        <v>15.3</v>
      </c>
      <c r="E692" s="331">
        <v>1.0</v>
      </c>
      <c r="F692" s="299" t="s">
        <v>2662</v>
      </c>
      <c r="G692" s="299" t="s">
        <v>1446</v>
      </c>
      <c r="H692" s="301">
        <v>44988.0</v>
      </c>
    </row>
    <row r="693">
      <c r="A693" s="299">
        <v>8.0</v>
      </c>
      <c r="B693" s="299" t="s">
        <v>2659</v>
      </c>
      <c r="C693" s="299">
        <v>1.0</v>
      </c>
      <c r="D693" s="300">
        <v>15.3</v>
      </c>
      <c r="E693" s="331">
        <v>1.0</v>
      </c>
      <c r="F693" s="507" t="s">
        <v>2663</v>
      </c>
      <c r="G693" s="299" t="s">
        <v>1446</v>
      </c>
      <c r="H693" s="301">
        <v>44992.0</v>
      </c>
    </row>
    <row r="694">
      <c r="A694" s="299">
        <v>9.0</v>
      </c>
      <c r="B694" s="299" t="s">
        <v>2659</v>
      </c>
      <c r="C694" s="299">
        <v>1.0</v>
      </c>
      <c r="D694" s="300">
        <v>15.3</v>
      </c>
      <c r="E694" s="331">
        <v>1.0</v>
      </c>
      <c r="F694" s="308" t="s">
        <v>2661</v>
      </c>
      <c r="G694" s="299" t="s">
        <v>1446</v>
      </c>
      <c r="H694" s="301">
        <v>45001.0</v>
      </c>
    </row>
    <row r="695">
      <c r="A695" s="299">
        <v>10.0</v>
      </c>
      <c r="B695" s="508" t="s">
        <v>2664</v>
      </c>
      <c r="C695" s="299">
        <v>1.0</v>
      </c>
      <c r="D695" s="300">
        <v>21.9</v>
      </c>
      <c r="E695" s="331">
        <v>1.0</v>
      </c>
      <c r="F695" s="508" t="s">
        <v>2665</v>
      </c>
      <c r="G695" s="299" t="s">
        <v>1446</v>
      </c>
      <c r="H695" s="301">
        <v>45346.0</v>
      </c>
    </row>
    <row r="696">
      <c r="A696" s="299">
        <v>11.0</v>
      </c>
      <c r="B696" s="508" t="s">
        <v>2664</v>
      </c>
      <c r="C696" s="299">
        <v>1.0</v>
      </c>
      <c r="D696" s="300">
        <v>21.9</v>
      </c>
      <c r="E696" s="331">
        <v>1.0</v>
      </c>
      <c r="F696" s="508" t="s">
        <v>2666</v>
      </c>
      <c r="G696" s="299" t="s">
        <v>1446</v>
      </c>
      <c r="H696" s="301">
        <v>45346.0</v>
      </c>
    </row>
    <row r="697">
      <c r="A697" s="299">
        <v>12.0</v>
      </c>
      <c r="B697" s="508" t="s">
        <v>2664</v>
      </c>
      <c r="C697" s="299">
        <v>1.0</v>
      </c>
      <c r="D697" s="300">
        <v>21.9</v>
      </c>
      <c r="E697" s="331">
        <v>1.0</v>
      </c>
      <c r="F697" s="508" t="s">
        <v>2667</v>
      </c>
      <c r="G697" s="299" t="s">
        <v>1446</v>
      </c>
      <c r="H697" s="301">
        <v>45346.0</v>
      </c>
    </row>
    <row r="698">
      <c r="A698" s="299">
        <v>13.0</v>
      </c>
      <c r="B698" s="508" t="s">
        <v>2668</v>
      </c>
      <c r="C698" s="299">
        <v>1.0</v>
      </c>
      <c r="D698" s="300">
        <v>2.0</v>
      </c>
      <c r="E698" s="331">
        <v>1.0</v>
      </c>
      <c r="F698" s="508" t="s">
        <v>2669</v>
      </c>
      <c r="G698" s="299" t="s">
        <v>1446</v>
      </c>
      <c r="H698" s="301">
        <v>45346.0</v>
      </c>
    </row>
    <row r="699">
      <c r="A699" s="308">
        <v>14.0</v>
      </c>
      <c r="B699" s="308" t="s">
        <v>2670</v>
      </c>
      <c r="C699" s="308">
        <v>1.0</v>
      </c>
      <c r="D699" s="314">
        <v>6.8</v>
      </c>
      <c r="E699" s="365">
        <v>1.0</v>
      </c>
      <c r="F699" s="308" t="s">
        <v>2671</v>
      </c>
      <c r="G699" s="308" t="s">
        <v>1554</v>
      </c>
      <c r="H699" s="315">
        <v>45711.0</v>
      </c>
    </row>
    <row r="700">
      <c r="A700" s="308">
        <v>15.0</v>
      </c>
      <c r="B700" s="308" t="s">
        <v>2672</v>
      </c>
      <c r="C700" s="308">
        <v>1.0</v>
      </c>
      <c r="D700" s="314">
        <v>8.6</v>
      </c>
      <c r="E700" s="365">
        <v>1.0</v>
      </c>
      <c r="F700" s="308" t="s">
        <v>2673</v>
      </c>
      <c r="G700" s="308" t="s">
        <v>1554</v>
      </c>
      <c r="H700" s="315">
        <v>45711.0</v>
      </c>
    </row>
    <row r="701">
      <c r="A701" s="303">
        <v>16.0</v>
      </c>
      <c r="B701" s="303" t="s">
        <v>2513</v>
      </c>
      <c r="C701" s="303">
        <v>1.0</v>
      </c>
      <c r="D701" s="304">
        <v>21.9</v>
      </c>
      <c r="E701" s="327">
        <v>1.0</v>
      </c>
      <c r="F701" s="303" t="s">
        <v>2674</v>
      </c>
      <c r="G701" s="303" t="s">
        <v>2675</v>
      </c>
      <c r="H701" s="305">
        <v>46069.0</v>
      </c>
    </row>
    <row r="702">
      <c r="A702" s="299">
        <v>16.0</v>
      </c>
      <c r="B702" s="299" t="s">
        <v>2513</v>
      </c>
      <c r="C702" s="299">
        <v>1.0</v>
      </c>
      <c r="D702" s="300">
        <v>21.9</v>
      </c>
      <c r="E702" s="331">
        <v>1.0</v>
      </c>
      <c r="F702" s="299" t="s">
        <v>2674</v>
      </c>
      <c r="G702" s="299" t="s">
        <v>1446</v>
      </c>
      <c r="H702" s="301">
        <v>46072.0</v>
      </c>
    </row>
    <row r="703">
      <c r="A703" s="505" t="s">
        <v>1562</v>
      </c>
      <c r="B703" s="3"/>
      <c r="C703" s="364">
        <f t="shared" ref="C703:D703" si="16">sum(C679:C698)</f>
        <v>12</v>
      </c>
      <c r="D703" s="427">
        <f t="shared" si="16"/>
        <v>136</v>
      </c>
      <c r="E703" s="360">
        <f>SUM(E679:E698)</f>
        <v>12</v>
      </c>
      <c r="F703" s="364"/>
      <c r="G703" s="428"/>
      <c r="H703" s="428"/>
    </row>
    <row r="704">
      <c r="A704" s="306"/>
      <c r="B704" s="306"/>
      <c r="C704" s="306"/>
      <c r="D704" s="306"/>
      <c r="E704" s="306"/>
      <c r="F704" s="306"/>
      <c r="G704" s="306"/>
      <c r="H704" s="306"/>
    </row>
    <row r="705">
      <c r="A705" s="306"/>
      <c r="B705" s="306"/>
      <c r="C705" s="306"/>
      <c r="D705" s="306"/>
      <c r="E705" s="306"/>
      <c r="F705" s="306"/>
      <c r="G705" s="306"/>
      <c r="H705" s="306"/>
    </row>
    <row r="706">
      <c r="A706" s="509" t="s">
        <v>2676</v>
      </c>
      <c r="B706" s="290"/>
      <c r="C706" s="290"/>
      <c r="D706" s="290"/>
      <c r="E706" s="290"/>
      <c r="F706" s="290"/>
      <c r="G706" s="290"/>
      <c r="H706" s="291"/>
    </row>
    <row r="707">
      <c r="A707" s="292"/>
      <c r="B707" s="293"/>
      <c r="C707" s="293"/>
      <c r="D707" s="293"/>
      <c r="E707" s="293"/>
      <c r="F707" s="293"/>
      <c r="G707" s="293"/>
      <c r="H707" s="294"/>
    </row>
    <row r="708">
      <c r="A708" s="510"/>
      <c r="B708" s="511" t="s">
        <v>1436</v>
      </c>
      <c r="C708" s="510" t="s">
        <v>1437</v>
      </c>
      <c r="D708" s="512" t="s">
        <v>1438</v>
      </c>
      <c r="E708" s="513" t="s">
        <v>1564</v>
      </c>
      <c r="F708" s="510" t="s">
        <v>1440</v>
      </c>
      <c r="G708" s="510" t="s">
        <v>1565</v>
      </c>
      <c r="H708" s="510" t="s">
        <v>2677</v>
      </c>
    </row>
    <row r="709">
      <c r="A709" s="308">
        <v>1.0</v>
      </c>
      <c r="B709" s="308" t="s">
        <v>1444</v>
      </c>
      <c r="C709" s="308">
        <v>2.0</v>
      </c>
      <c r="D709" s="314">
        <f>2.6*C709</f>
        <v>5.2</v>
      </c>
      <c r="E709" s="464"/>
      <c r="F709" s="472"/>
      <c r="G709" s="308" t="s">
        <v>1446</v>
      </c>
      <c r="H709" s="315">
        <v>44574.0</v>
      </c>
    </row>
    <row r="710">
      <c r="A710" s="308">
        <v>2.0</v>
      </c>
      <c r="B710" s="308" t="s">
        <v>1445</v>
      </c>
      <c r="C710" s="308">
        <v>1.0</v>
      </c>
      <c r="D710" s="314">
        <v>5.0</v>
      </c>
      <c r="E710" s="365">
        <v>1.0</v>
      </c>
      <c r="F710" s="472"/>
      <c r="G710" s="344" t="s">
        <v>1446</v>
      </c>
      <c r="H710" s="315">
        <v>44596.0</v>
      </c>
    </row>
    <row r="711">
      <c r="A711" s="308">
        <v>3.0</v>
      </c>
      <c r="B711" s="308" t="s">
        <v>2678</v>
      </c>
      <c r="C711" s="308">
        <v>1.0</v>
      </c>
      <c r="D711" s="314">
        <v>8.62</v>
      </c>
      <c r="E711" s="365">
        <v>1.0</v>
      </c>
      <c r="F711" s="308" t="s">
        <v>2679</v>
      </c>
      <c r="G711" s="514" t="s">
        <v>1446</v>
      </c>
      <c r="H711" s="315">
        <v>45603.0</v>
      </c>
    </row>
    <row r="712">
      <c r="A712" s="308">
        <v>4.0</v>
      </c>
      <c r="B712" s="308" t="s">
        <v>2678</v>
      </c>
      <c r="C712" s="308">
        <v>1.0</v>
      </c>
      <c r="D712" s="314">
        <v>8.62</v>
      </c>
      <c r="E712" s="365">
        <v>1.0</v>
      </c>
      <c r="F712" s="308" t="s">
        <v>2680</v>
      </c>
      <c r="G712" s="514" t="s">
        <v>1446</v>
      </c>
      <c r="H712" s="315">
        <v>45603.0</v>
      </c>
    </row>
    <row r="713">
      <c r="A713" s="308">
        <v>5.0</v>
      </c>
      <c r="B713" s="308" t="s">
        <v>2681</v>
      </c>
      <c r="C713" s="308">
        <v>1.0</v>
      </c>
      <c r="D713" s="314">
        <v>18.0</v>
      </c>
      <c r="E713" s="365">
        <v>1.0</v>
      </c>
      <c r="F713" s="308" t="s">
        <v>2682</v>
      </c>
      <c r="G713" s="514" t="s">
        <v>1446</v>
      </c>
      <c r="H713" s="315">
        <v>45603.0</v>
      </c>
    </row>
    <row r="714">
      <c r="A714" s="308">
        <v>6.0</v>
      </c>
      <c r="B714" s="308" t="s">
        <v>2683</v>
      </c>
      <c r="C714" s="308">
        <v>1.0</v>
      </c>
      <c r="D714" s="314">
        <v>4.2</v>
      </c>
      <c r="E714" s="365">
        <v>1.0</v>
      </c>
      <c r="F714" s="308" t="s">
        <v>2684</v>
      </c>
      <c r="G714" s="514" t="s">
        <v>1446</v>
      </c>
      <c r="H714" s="315">
        <v>45603.0</v>
      </c>
    </row>
    <row r="715">
      <c r="A715" s="303">
        <v>7.0</v>
      </c>
      <c r="B715" s="515" t="s">
        <v>2685</v>
      </c>
      <c r="C715" s="303"/>
      <c r="D715" s="304"/>
      <c r="E715" s="327"/>
      <c r="F715" s="515" t="s">
        <v>2686</v>
      </c>
      <c r="G715" s="240" t="s">
        <v>2687</v>
      </c>
      <c r="H715" s="305">
        <v>45611.0</v>
      </c>
    </row>
    <row r="716">
      <c r="A716" s="308">
        <v>8.0</v>
      </c>
      <c r="B716" s="516" t="s">
        <v>1652</v>
      </c>
      <c r="C716" s="308">
        <v>1.0</v>
      </c>
      <c r="D716" s="300">
        <v>2.0</v>
      </c>
      <c r="E716" s="331">
        <v>1.0</v>
      </c>
      <c r="F716" s="516" t="s">
        <v>2688</v>
      </c>
      <c r="G716" s="514" t="s">
        <v>1446</v>
      </c>
      <c r="H716" s="315">
        <v>45611.0</v>
      </c>
    </row>
    <row r="717">
      <c r="A717" s="308">
        <v>9.0</v>
      </c>
      <c r="B717" s="516" t="s">
        <v>1652</v>
      </c>
      <c r="C717" s="308">
        <v>1.0</v>
      </c>
      <c r="D717" s="300">
        <v>2.0</v>
      </c>
      <c r="E717" s="331">
        <v>1.0</v>
      </c>
      <c r="F717" s="516" t="s">
        <v>2689</v>
      </c>
      <c r="G717" s="514" t="s">
        <v>1446</v>
      </c>
      <c r="H717" s="315">
        <v>45611.0</v>
      </c>
    </row>
    <row r="718">
      <c r="A718" s="308">
        <v>10.0</v>
      </c>
      <c r="B718" s="516" t="s">
        <v>1652</v>
      </c>
      <c r="C718" s="308">
        <v>1.0</v>
      </c>
      <c r="D718" s="300">
        <v>2.0</v>
      </c>
      <c r="E718" s="331">
        <v>1.0</v>
      </c>
      <c r="F718" s="516" t="s">
        <v>2690</v>
      </c>
      <c r="G718" s="514" t="s">
        <v>1446</v>
      </c>
      <c r="H718" s="315">
        <v>45611.0</v>
      </c>
    </row>
    <row r="719">
      <c r="A719" s="308"/>
      <c r="B719" s="516" t="s">
        <v>2691</v>
      </c>
      <c r="C719" s="308">
        <v>1.0</v>
      </c>
      <c r="D719" s="314">
        <v>8.62</v>
      </c>
      <c r="E719" s="331">
        <v>1.0</v>
      </c>
      <c r="F719" s="516" t="s">
        <v>2692</v>
      </c>
      <c r="G719" s="514" t="s">
        <v>1446</v>
      </c>
      <c r="H719" s="315">
        <v>45719.0</v>
      </c>
    </row>
    <row r="720">
      <c r="A720" s="366" t="s">
        <v>1562</v>
      </c>
      <c r="B720" s="3"/>
      <c r="C720" s="299">
        <f>SUM(C709:C718)</f>
        <v>10</v>
      </c>
      <c r="D720" s="427">
        <f>sum(D709:D718)</f>
        <v>55.64</v>
      </c>
      <c r="E720" s="360">
        <f>SUM(E709:E718)</f>
        <v>8</v>
      </c>
      <c r="F720" s="299"/>
      <c r="G720" s="301"/>
      <c r="H720" s="299"/>
    </row>
    <row r="721">
      <c r="A721" s="306"/>
      <c r="B721" s="306"/>
      <c r="C721" s="306"/>
      <c r="D721" s="306"/>
      <c r="E721" s="306"/>
      <c r="F721" s="306"/>
      <c r="G721" s="306"/>
      <c r="H721" s="306"/>
    </row>
    <row r="722">
      <c r="A722" s="306"/>
      <c r="B722" s="306"/>
      <c r="C722" s="306"/>
      <c r="D722" s="306"/>
      <c r="E722" s="306"/>
      <c r="F722" s="306"/>
      <c r="G722" s="306"/>
      <c r="H722" s="306"/>
    </row>
    <row r="723">
      <c r="A723" s="485" t="s">
        <v>2693</v>
      </c>
      <c r="B723" s="290"/>
      <c r="C723" s="290"/>
      <c r="D723" s="290"/>
      <c r="E723" s="290"/>
      <c r="F723" s="290"/>
      <c r="G723" s="290"/>
      <c r="H723" s="291"/>
    </row>
    <row r="724">
      <c r="A724" s="292"/>
      <c r="B724" s="293"/>
      <c r="C724" s="293"/>
      <c r="D724" s="293"/>
      <c r="E724" s="293"/>
      <c r="F724" s="293"/>
      <c r="G724" s="293"/>
      <c r="H724" s="294"/>
    </row>
    <row r="725">
      <c r="A725" s="517" t="s">
        <v>1435</v>
      </c>
      <c r="B725" s="517" t="s">
        <v>1436</v>
      </c>
      <c r="C725" s="517" t="s">
        <v>1843</v>
      </c>
      <c r="D725" s="421" t="s">
        <v>1438</v>
      </c>
      <c r="E725" s="422" t="s">
        <v>1564</v>
      </c>
      <c r="F725" s="517" t="s">
        <v>1440</v>
      </c>
      <c r="G725" s="517" t="s">
        <v>1844</v>
      </c>
      <c r="H725" s="424" t="s">
        <v>1441</v>
      </c>
    </row>
    <row r="726">
      <c r="A726" s="364">
        <v>1.0</v>
      </c>
      <c r="B726" s="364" t="s">
        <v>1443</v>
      </c>
      <c r="C726" s="364">
        <v>1.0</v>
      </c>
      <c r="D726" s="300">
        <v>144.0</v>
      </c>
      <c r="E726" s="360"/>
      <c r="F726" s="364" t="s">
        <v>1518</v>
      </c>
      <c r="G726" s="364" t="s">
        <v>1446</v>
      </c>
      <c r="H726" s="428"/>
    </row>
    <row r="727">
      <c r="A727" s="364">
        <v>2.0</v>
      </c>
      <c r="B727" s="364" t="s">
        <v>1444</v>
      </c>
      <c r="C727" s="364">
        <v>2.0</v>
      </c>
      <c r="D727" s="300">
        <v>3.2</v>
      </c>
      <c r="E727" s="360"/>
      <c r="F727" s="364" t="s">
        <v>1518</v>
      </c>
      <c r="G727" s="364" t="s">
        <v>1446</v>
      </c>
      <c r="H727" s="428">
        <v>44574.0</v>
      </c>
    </row>
    <row r="728">
      <c r="A728" s="364">
        <v>3.0</v>
      </c>
      <c r="B728" s="364" t="s">
        <v>1853</v>
      </c>
      <c r="C728" s="463">
        <v>1.0</v>
      </c>
      <c r="D728" s="473">
        <v>5.0</v>
      </c>
      <c r="E728" s="464">
        <v>1.0</v>
      </c>
      <c r="F728" s="364" t="s">
        <v>1518</v>
      </c>
      <c r="G728" s="364" t="s">
        <v>1446</v>
      </c>
      <c r="H728" s="428">
        <v>44596.0</v>
      </c>
    </row>
    <row r="729">
      <c r="A729" s="329">
        <v>4.0</v>
      </c>
      <c r="B729" s="303" t="s">
        <v>2694</v>
      </c>
      <c r="C729" s="329"/>
      <c r="D729" s="304"/>
      <c r="E729" s="325"/>
      <c r="F729" s="303" t="s">
        <v>2695</v>
      </c>
      <c r="G729" s="329" t="s">
        <v>1446</v>
      </c>
      <c r="H729" s="305">
        <v>44863.0</v>
      </c>
    </row>
    <row r="730">
      <c r="A730" s="329">
        <v>5.0</v>
      </c>
      <c r="B730" s="303" t="s">
        <v>2696</v>
      </c>
      <c r="C730" s="329"/>
      <c r="D730" s="304"/>
      <c r="E730" s="325"/>
      <c r="F730" s="303" t="s">
        <v>2697</v>
      </c>
      <c r="G730" s="329" t="s">
        <v>1446</v>
      </c>
      <c r="H730" s="305">
        <v>44863.0</v>
      </c>
    </row>
    <row r="731">
      <c r="A731" s="329">
        <v>6.0</v>
      </c>
      <c r="B731" s="303" t="s">
        <v>2369</v>
      </c>
      <c r="C731" s="329"/>
      <c r="D731" s="304"/>
      <c r="E731" s="325"/>
      <c r="F731" s="303" t="s">
        <v>2698</v>
      </c>
      <c r="G731" s="329" t="s">
        <v>1446</v>
      </c>
      <c r="H731" s="305">
        <v>44863.0</v>
      </c>
    </row>
    <row r="732">
      <c r="A732" s="329">
        <v>7.0</v>
      </c>
      <c r="B732" s="303" t="s">
        <v>2699</v>
      </c>
      <c r="C732" s="329"/>
      <c r="D732" s="304"/>
      <c r="E732" s="325"/>
      <c r="F732" s="303" t="s">
        <v>2700</v>
      </c>
      <c r="G732" s="329" t="s">
        <v>1446</v>
      </c>
      <c r="H732" s="305">
        <v>44863.0</v>
      </c>
    </row>
    <row r="733">
      <c r="A733" s="303">
        <v>8.0</v>
      </c>
      <c r="B733" s="303" t="s">
        <v>2701</v>
      </c>
      <c r="C733" s="329"/>
      <c r="D733" s="304"/>
      <c r="E733" s="325"/>
      <c r="F733" s="303" t="s">
        <v>2702</v>
      </c>
      <c r="G733" s="329" t="s">
        <v>1446</v>
      </c>
      <c r="H733" s="305">
        <v>44863.0</v>
      </c>
    </row>
    <row r="734">
      <c r="A734" s="303">
        <v>9.0</v>
      </c>
      <c r="B734" s="303" t="s">
        <v>2701</v>
      </c>
      <c r="C734" s="329"/>
      <c r="D734" s="304"/>
      <c r="E734" s="325"/>
      <c r="F734" s="303" t="s">
        <v>2703</v>
      </c>
      <c r="G734" s="329" t="s">
        <v>1446</v>
      </c>
      <c r="H734" s="305">
        <v>44863.0</v>
      </c>
    </row>
    <row r="735">
      <c r="A735" s="303">
        <v>10.0</v>
      </c>
      <c r="B735" s="303" t="s">
        <v>2704</v>
      </c>
      <c r="C735" s="329"/>
      <c r="D735" s="304"/>
      <c r="E735" s="325"/>
      <c r="F735" s="303" t="s">
        <v>2705</v>
      </c>
      <c r="G735" s="329" t="s">
        <v>1446</v>
      </c>
      <c r="H735" s="305">
        <v>44863.0</v>
      </c>
    </row>
    <row r="736">
      <c r="A736" s="303">
        <v>11.0</v>
      </c>
      <c r="B736" s="303" t="s">
        <v>2706</v>
      </c>
      <c r="C736" s="329"/>
      <c r="D736" s="304"/>
      <c r="E736" s="325"/>
      <c r="F736" s="303" t="s">
        <v>2707</v>
      </c>
      <c r="G736" s="303" t="s">
        <v>293</v>
      </c>
      <c r="H736" s="305">
        <v>44863.0</v>
      </c>
    </row>
    <row r="737">
      <c r="A737" s="303">
        <v>12.0</v>
      </c>
      <c r="B737" s="303" t="s">
        <v>2708</v>
      </c>
      <c r="C737" s="329"/>
      <c r="D737" s="304"/>
      <c r="E737" s="325"/>
      <c r="F737" s="303" t="s">
        <v>2709</v>
      </c>
      <c r="G737" s="329" t="s">
        <v>1446</v>
      </c>
      <c r="H737" s="305">
        <v>44863.0</v>
      </c>
    </row>
    <row r="738">
      <c r="A738" s="303">
        <v>13.0</v>
      </c>
      <c r="B738" s="303" t="s">
        <v>2710</v>
      </c>
      <c r="C738" s="329"/>
      <c r="D738" s="304"/>
      <c r="E738" s="325"/>
      <c r="F738" s="303" t="s">
        <v>2711</v>
      </c>
      <c r="G738" s="329" t="s">
        <v>1446</v>
      </c>
      <c r="H738" s="305">
        <v>44863.0</v>
      </c>
    </row>
    <row r="739">
      <c r="A739" s="303">
        <v>14.0</v>
      </c>
      <c r="B739" s="303" t="s">
        <v>2712</v>
      </c>
      <c r="C739" s="303"/>
      <c r="D739" s="304"/>
      <c r="E739" s="327"/>
      <c r="F739" s="303" t="s">
        <v>2707</v>
      </c>
      <c r="G739" s="303" t="s">
        <v>1446</v>
      </c>
      <c r="H739" s="305">
        <v>45335.0</v>
      </c>
    </row>
    <row r="740">
      <c r="A740" s="505" t="s">
        <v>1562</v>
      </c>
      <c r="B740" s="3"/>
      <c r="C740" s="364">
        <f t="shared" ref="C740:D740" si="17">sum(C726:C739)</f>
        <v>4</v>
      </c>
      <c r="D740" s="427">
        <f t="shared" si="17"/>
        <v>152.2</v>
      </c>
      <c r="E740" s="360">
        <f>SUM(E726:E739)</f>
        <v>1</v>
      </c>
      <c r="F740" s="364"/>
      <c r="G740" s="428"/>
      <c r="H740" s="428"/>
    </row>
    <row r="741">
      <c r="A741" s="306"/>
      <c r="B741" s="306"/>
      <c r="C741" s="306"/>
      <c r="D741" s="306"/>
      <c r="E741" s="306"/>
      <c r="F741" s="306"/>
      <c r="G741" s="306"/>
      <c r="H741" s="306"/>
    </row>
    <row r="742">
      <c r="A742" s="485" t="s">
        <v>2713</v>
      </c>
      <c r="B742" s="290"/>
      <c r="C742" s="290"/>
      <c r="D742" s="290"/>
      <c r="E742" s="290"/>
      <c r="F742" s="290"/>
      <c r="G742" s="290"/>
      <c r="H742" s="291"/>
    </row>
    <row r="743">
      <c r="A743" s="292"/>
      <c r="B743" s="293"/>
      <c r="C743" s="293"/>
      <c r="D743" s="293"/>
      <c r="E743" s="293"/>
      <c r="F743" s="293"/>
      <c r="G743" s="293"/>
      <c r="H743" s="294"/>
    </row>
    <row r="744">
      <c r="A744" s="517" t="s">
        <v>1435</v>
      </c>
      <c r="B744" s="517" t="s">
        <v>1436</v>
      </c>
      <c r="C744" s="517" t="s">
        <v>1843</v>
      </c>
      <c r="D744" s="421" t="s">
        <v>1438</v>
      </c>
      <c r="E744" s="422" t="s">
        <v>1564</v>
      </c>
      <c r="F744" s="517" t="s">
        <v>1440</v>
      </c>
      <c r="G744" s="517" t="s">
        <v>1844</v>
      </c>
      <c r="H744" s="424" t="s">
        <v>1441</v>
      </c>
    </row>
    <row r="745">
      <c r="A745" s="364">
        <v>1.0</v>
      </c>
      <c r="B745" s="364" t="s">
        <v>1443</v>
      </c>
      <c r="C745" s="364">
        <v>1.0</v>
      </c>
      <c r="D745" s="300">
        <v>144.0</v>
      </c>
      <c r="E745" s="360"/>
      <c r="F745" s="364" t="s">
        <v>1518</v>
      </c>
      <c r="G745" s="364" t="s">
        <v>1446</v>
      </c>
      <c r="H745" s="428"/>
    </row>
    <row r="746">
      <c r="A746" s="364">
        <v>2.0</v>
      </c>
      <c r="B746" s="364" t="s">
        <v>1444</v>
      </c>
      <c r="C746" s="364">
        <v>2.0</v>
      </c>
      <c r="D746" s="300">
        <v>3.2</v>
      </c>
      <c r="E746" s="360"/>
      <c r="F746" s="364" t="s">
        <v>1518</v>
      </c>
      <c r="G746" s="364" t="s">
        <v>1446</v>
      </c>
      <c r="H746" s="428">
        <v>44574.0</v>
      </c>
    </row>
    <row r="747">
      <c r="A747" s="364">
        <v>3.0</v>
      </c>
      <c r="B747" s="364" t="s">
        <v>1853</v>
      </c>
      <c r="C747" s="463">
        <v>1.0</v>
      </c>
      <c r="D747" s="473">
        <v>5.0</v>
      </c>
      <c r="E747" s="464">
        <v>1.0</v>
      </c>
      <c r="F747" s="364" t="s">
        <v>1518</v>
      </c>
      <c r="G747" s="364" t="s">
        <v>1446</v>
      </c>
      <c r="H747" s="428">
        <v>44596.0</v>
      </c>
    </row>
    <row r="748">
      <c r="A748" s="500">
        <v>4.0</v>
      </c>
      <c r="B748" s="500" t="s">
        <v>2393</v>
      </c>
      <c r="C748" s="500">
        <v>1.0</v>
      </c>
      <c r="D748" s="501">
        <v>14.0</v>
      </c>
      <c r="E748" s="502">
        <v>1.0</v>
      </c>
      <c r="F748" s="500">
        <v>6.132641374E9</v>
      </c>
      <c r="G748" s="500" t="s">
        <v>2714</v>
      </c>
      <c r="H748" s="504">
        <v>45997.0</v>
      </c>
    </row>
    <row r="749">
      <c r="A749" s="518"/>
      <c r="B749" s="500"/>
      <c r="C749" s="518"/>
      <c r="D749" s="501"/>
      <c r="E749" s="519"/>
      <c r="F749" s="500"/>
      <c r="G749" s="518"/>
      <c r="H749" s="504"/>
    </row>
    <row r="750">
      <c r="A750" s="518"/>
      <c r="B750" s="500"/>
      <c r="C750" s="518"/>
      <c r="D750" s="501"/>
      <c r="E750" s="519"/>
      <c r="F750" s="500"/>
      <c r="G750" s="518"/>
      <c r="H750" s="504"/>
    </row>
    <row r="751">
      <c r="A751" s="518"/>
      <c r="B751" s="500"/>
      <c r="C751" s="518"/>
      <c r="D751" s="501"/>
      <c r="E751" s="519"/>
      <c r="F751" s="500"/>
      <c r="G751" s="518"/>
      <c r="H751" s="504"/>
    </row>
    <row r="752">
      <c r="A752" s="500"/>
      <c r="B752" s="500"/>
      <c r="C752" s="518"/>
      <c r="D752" s="501"/>
      <c r="E752" s="519"/>
      <c r="F752" s="500"/>
      <c r="G752" s="518"/>
      <c r="H752" s="504"/>
    </row>
    <row r="753">
      <c r="A753" s="500"/>
      <c r="B753" s="500"/>
      <c r="C753" s="518"/>
      <c r="D753" s="501"/>
      <c r="E753" s="519"/>
      <c r="F753" s="500"/>
      <c r="G753" s="518"/>
      <c r="H753" s="504"/>
    </row>
    <row r="754">
      <c r="A754" s="500"/>
      <c r="B754" s="500"/>
      <c r="C754" s="518"/>
      <c r="D754" s="501"/>
      <c r="E754" s="519"/>
      <c r="F754" s="500"/>
      <c r="G754" s="518"/>
      <c r="H754" s="504"/>
    </row>
    <row r="755">
      <c r="A755" s="500"/>
      <c r="B755" s="500"/>
      <c r="C755" s="518"/>
      <c r="D755" s="501"/>
      <c r="E755" s="519"/>
      <c r="F755" s="500"/>
      <c r="G755" s="500"/>
      <c r="H755" s="504"/>
    </row>
    <row r="756">
      <c r="A756" s="500"/>
      <c r="B756" s="500"/>
      <c r="C756" s="518"/>
      <c r="D756" s="501"/>
      <c r="E756" s="519"/>
      <c r="F756" s="500"/>
      <c r="G756" s="518"/>
      <c r="H756" s="504"/>
    </row>
    <row r="757">
      <c r="A757" s="500"/>
      <c r="B757" s="500"/>
      <c r="C757" s="518"/>
      <c r="D757" s="501"/>
      <c r="E757" s="519"/>
      <c r="F757" s="500"/>
      <c r="G757" s="518"/>
      <c r="H757" s="504"/>
    </row>
    <row r="758">
      <c r="A758" s="500"/>
      <c r="B758" s="500"/>
      <c r="C758" s="500"/>
      <c r="D758" s="501"/>
      <c r="E758" s="502"/>
      <c r="F758" s="500"/>
      <c r="G758" s="500"/>
      <c r="H758" s="504"/>
    </row>
    <row r="759">
      <c r="A759" s="505" t="s">
        <v>1562</v>
      </c>
      <c r="B759" s="3"/>
      <c r="C759" s="364">
        <f t="shared" ref="C759:D759" si="18">sum(C745:C758)</f>
        <v>5</v>
      </c>
      <c r="D759" s="427">
        <f t="shared" si="18"/>
        <v>166.2</v>
      </c>
      <c r="E759" s="360">
        <f>SUM(E745:E758)</f>
        <v>2</v>
      </c>
      <c r="F759" s="364"/>
      <c r="G759" s="428"/>
      <c r="H759" s="428"/>
    </row>
    <row r="760">
      <c r="A760" s="289" t="s">
        <v>2715</v>
      </c>
      <c r="B760" s="290"/>
      <c r="C760" s="290"/>
      <c r="D760" s="290"/>
      <c r="E760" s="290"/>
      <c r="F760" s="290"/>
      <c r="G760" s="290"/>
      <c r="H760" s="291"/>
    </row>
    <row r="761">
      <c r="A761" s="292"/>
      <c r="B761" s="293"/>
      <c r="C761" s="293"/>
      <c r="D761" s="293"/>
      <c r="E761" s="293"/>
      <c r="F761" s="293"/>
      <c r="G761" s="293"/>
      <c r="H761" s="294"/>
    </row>
    <row r="762">
      <c r="A762" s="295" t="s">
        <v>1435</v>
      </c>
      <c r="B762" s="296" t="s">
        <v>1436</v>
      </c>
      <c r="C762" s="295" t="s">
        <v>1437</v>
      </c>
      <c r="D762" s="297" t="s">
        <v>1438</v>
      </c>
      <c r="E762" s="359" t="s">
        <v>1564</v>
      </c>
      <c r="F762" s="295" t="s">
        <v>1440</v>
      </c>
      <c r="G762" s="298" t="s">
        <v>1441</v>
      </c>
      <c r="H762" s="295" t="s">
        <v>1565</v>
      </c>
    </row>
    <row r="763">
      <c r="A763" s="299">
        <v>1.0</v>
      </c>
      <c r="B763" s="299" t="s">
        <v>1443</v>
      </c>
      <c r="C763" s="299">
        <v>1.0</v>
      </c>
      <c r="D763" s="300">
        <v>144.0</v>
      </c>
      <c r="E763" s="360"/>
      <c r="F763" s="520"/>
      <c r="G763" s="301"/>
      <c r="H763" s="521"/>
    </row>
    <row r="764">
      <c r="A764" s="299">
        <v>2.0</v>
      </c>
      <c r="B764" s="299" t="s">
        <v>1444</v>
      </c>
      <c r="C764" s="299">
        <v>2.0</v>
      </c>
      <c r="D764" s="300">
        <v>2.6</v>
      </c>
      <c r="E764" s="360"/>
      <c r="F764" s="520"/>
      <c r="G764" s="301">
        <v>44574.0</v>
      </c>
      <c r="H764" s="521"/>
    </row>
    <row r="765">
      <c r="A765" s="299">
        <v>3.0</v>
      </c>
      <c r="B765" s="299" t="s">
        <v>1445</v>
      </c>
      <c r="C765" s="299">
        <v>1.0</v>
      </c>
      <c r="D765" s="300">
        <v>5.0</v>
      </c>
      <c r="E765" s="331">
        <v>1.0</v>
      </c>
      <c r="F765" s="520"/>
      <c r="G765" s="301">
        <v>44574.0</v>
      </c>
      <c r="H765" s="521"/>
    </row>
    <row r="766">
      <c r="A766" s="303">
        <v>4.0</v>
      </c>
      <c r="B766" s="303" t="s">
        <v>2716</v>
      </c>
      <c r="C766" s="303"/>
      <c r="D766" s="304"/>
      <c r="E766" s="327"/>
      <c r="F766" s="303" t="s">
        <v>2717</v>
      </c>
      <c r="G766" s="305">
        <v>44885.0</v>
      </c>
      <c r="H766" s="303" t="s">
        <v>2718</v>
      </c>
    </row>
    <row r="767">
      <c r="A767" s="299">
        <v>5.0</v>
      </c>
      <c r="B767" s="522" t="s">
        <v>2719</v>
      </c>
      <c r="C767" s="299">
        <v>1.0</v>
      </c>
      <c r="D767" s="300">
        <v>4.0</v>
      </c>
      <c r="E767" s="331">
        <v>1.0</v>
      </c>
      <c r="F767" s="522" t="s">
        <v>2720</v>
      </c>
      <c r="G767" s="301">
        <v>44886.0</v>
      </c>
      <c r="H767" s="299" t="s">
        <v>2721</v>
      </c>
    </row>
    <row r="768">
      <c r="A768" s="299">
        <v>6.0</v>
      </c>
      <c r="B768" s="299" t="s">
        <v>2722</v>
      </c>
      <c r="C768" s="299">
        <v>1.0</v>
      </c>
      <c r="D768" s="300">
        <v>4.0</v>
      </c>
      <c r="E768" s="331">
        <v>1.0</v>
      </c>
      <c r="F768" s="308" t="s">
        <v>2723</v>
      </c>
      <c r="G768" s="299" t="s">
        <v>2724</v>
      </c>
      <c r="H768" s="299" t="s">
        <v>2725</v>
      </c>
    </row>
    <row r="769">
      <c r="A769" s="303">
        <v>7.0</v>
      </c>
      <c r="B769" s="303" t="s">
        <v>2726</v>
      </c>
      <c r="C769" s="303"/>
      <c r="D769" s="304"/>
      <c r="E769" s="327"/>
      <c r="F769" s="303" t="s">
        <v>2727</v>
      </c>
      <c r="G769" s="303" t="s">
        <v>2728</v>
      </c>
      <c r="H769" s="303" t="s">
        <v>2729</v>
      </c>
    </row>
    <row r="770">
      <c r="A770" s="303">
        <v>8.0</v>
      </c>
      <c r="B770" s="303" t="s">
        <v>2722</v>
      </c>
      <c r="C770" s="303"/>
      <c r="D770" s="304"/>
      <c r="E770" s="327"/>
      <c r="F770" s="303" t="s">
        <v>2730</v>
      </c>
      <c r="G770" s="303" t="s">
        <v>2728</v>
      </c>
      <c r="H770" s="303" t="s">
        <v>2729</v>
      </c>
    </row>
    <row r="771">
      <c r="A771" s="303">
        <v>9.0</v>
      </c>
      <c r="B771" s="303" t="s">
        <v>2726</v>
      </c>
      <c r="C771" s="303"/>
      <c r="D771" s="304"/>
      <c r="E771" s="327"/>
      <c r="F771" s="303" t="s">
        <v>2731</v>
      </c>
      <c r="G771" s="303" t="s">
        <v>2728</v>
      </c>
      <c r="H771" s="303" t="s">
        <v>2729</v>
      </c>
    </row>
    <row r="772">
      <c r="A772" s="303">
        <v>10.0</v>
      </c>
      <c r="B772" s="303" t="s">
        <v>2726</v>
      </c>
      <c r="C772" s="303"/>
      <c r="D772" s="304"/>
      <c r="E772" s="327"/>
      <c r="F772" s="303" t="s">
        <v>2732</v>
      </c>
      <c r="G772" s="303" t="s">
        <v>2733</v>
      </c>
      <c r="H772" s="303" t="s">
        <v>2729</v>
      </c>
    </row>
    <row r="773">
      <c r="A773" s="303">
        <v>11.0</v>
      </c>
      <c r="B773" s="303" t="s">
        <v>2734</v>
      </c>
      <c r="C773" s="303"/>
      <c r="D773" s="304"/>
      <c r="E773" s="327"/>
      <c r="F773" s="303" t="s">
        <v>2735</v>
      </c>
      <c r="G773" s="303" t="s">
        <v>2728</v>
      </c>
      <c r="H773" s="303" t="s">
        <v>2729</v>
      </c>
    </row>
    <row r="774">
      <c r="A774" s="303">
        <v>12.0</v>
      </c>
      <c r="B774" s="303" t="s">
        <v>2736</v>
      </c>
      <c r="C774" s="303"/>
      <c r="D774" s="304"/>
      <c r="E774" s="327"/>
      <c r="F774" s="303" t="s">
        <v>2737</v>
      </c>
      <c r="G774" s="303" t="s">
        <v>2733</v>
      </c>
      <c r="H774" s="303" t="s">
        <v>2738</v>
      </c>
    </row>
    <row r="775">
      <c r="A775" s="303">
        <v>13.0</v>
      </c>
      <c r="B775" s="303" t="s">
        <v>2739</v>
      </c>
      <c r="C775" s="303"/>
      <c r="D775" s="304"/>
      <c r="E775" s="327"/>
      <c r="F775" s="303" t="s">
        <v>2740</v>
      </c>
      <c r="G775" s="303" t="s">
        <v>2724</v>
      </c>
      <c r="H775" s="303" t="s">
        <v>2725</v>
      </c>
    </row>
    <row r="776">
      <c r="A776" s="303">
        <v>14.0</v>
      </c>
      <c r="B776" s="303" t="s">
        <v>2741</v>
      </c>
      <c r="C776" s="303"/>
      <c r="D776" s="304"/>
      <c r="E776" s="327"/>
      <c r="F776" s="303" t="s">
        <v>2742</v>
      </c>
      <c r="G776" s="303" t="s">
        <v>2728</v>
      </c>
      <c r="H776" s="303" t="s">
        <v>2738</v>
      </c>
    </row>
    <row r="777">
      <c r="A777" s="308">
        <v>15.0</v>
      </c>
      <c r="B777" s="308" t="s">
        <v>2743</v>
      </c>
      <c r="C777" s="299">
        <v>1.0</v>
      </c>
      <c r="D777" s="300">
        <v>20.0</v>
      </c>
      <c r="E777" s="331">
        <v>2.0</v>
      </c>
      <c r="F777" s="520"/>
      <c r="G777" s="301">
        <v>44946.0</v>
      </c>
      <c r="H777" s="299" t="s">
        <v>1446</v>
      </c>
    </row>
    <row r="778">
      <c r="A778" s="303">
        <v>16.0</v>
      </c>
      <c r="B778" s="303" t="s">
        <v>2744</v>
      </c>
      <c r="C778" s="303"/>
      <c r="D778" s="304"/>
      <c r="E778" s="327"/>
      <c r="F778" s="323"/>
      <c r="G778" s="305">
        <v>44946.0</v>
      </c>
      <c r="H778" s="303" t="s">
        <v>2745</v>
      </c>
    </row>
    <row r="779">
      <c r="A779" s="303">
        <v>17.0</v>
      </c>
      <c r="B779" s="303" t="s">
        <v>2746</v>
      </c>
      <c r="C779" s="303"/>
      <c r="D779" s="304"/>
      <c r="E779" s="327"/>
      <c r="F779" s="303" t="s">
        <v>2747</v>
      </c>
      <c r="G779" s="305">
        <v>44946.0</v>
      </c>
      <c r="H779" s="303" t="s">
        <v>2748</v>
      </c>
    </row>
    <row r="780">
      <c r="A780" s="308">
        <v>18.0</v>
      </c>
      <c r="B780" s="299" t="s">
        <v>1862</v>
      </c>
      <c r="C780" s="299">
        <v>1.0</v>
      </c>
      <c r="D780" s="300">
        <v>17.4</v>
      </c>
      <c r="E780" s="331">
        <v>1.0</v>
      </c>
      <c r="F780" s="299" t="s">
        <v>2749</v>
      </c>
      <c r="G780" s="301">
        <v>45088.0</v>
      </c>
      <c r="H780" s="299" t="s">
        <v>2750</v>
      </c>
    </row>
    <row r="781">
      <c r="A781" s="308">
        <v>19.0</v>
      </c>
      <c r="B781" s="306" t="s">
        <v>2751</v>
      </c>
      <c r="C781" s="299">
        <v>1.0</v>
      </c>
      <c r="D781" s="300">
        <v>1.0</v>
      </c>
      <c r="E781" s="331">
        <v>1.0</v>
      </c>
      <c r="F781" s="299" t="s">
        <v>2752</v>
      </c>
      <c r="G781" s="301">
        <v>45088.0</v>
      </c>
      <c r="H781" s="299" t="s">
        <v>1446</v>
      </c>
    </row>
    <row r="782">
      <c r="A782" s="308">
        <v>20.0</v>
      </c>
      <c r="B782" s="306" t="s">
        <v>2753</v>
      </c>
      <c r="C782" s="299">
        <v>1.0</v>
      </c>
      <c r="D782" s="300">
        <v>21.4</v>
      </c>
      <c r="E782" s="331">
        <v>2.0</v>
      </c>
      <c r="F782" s="308" t="s">
        <v>2754</v>
      </c>
      <c r="G782" s="301">
        <v>45110.0</v>
      </c>
      <c r="H782" s="299" t="s">
        <v>1554</v>
      </c>
    </row>
    <row r="783">
      <c r="A783" s="308">
        <v>21.0</v>
      </c>
      <c r="B783" s="471" t="s">
        <v>2753</v>
      </c>
      <c r="C783" s="425">
        <v>1.0</v>
      </c>
      <c r="D783" s="427">
        <v>21.4</v>
      </c>
      <c r="E783" s="360">
        <v>2.0</v>
      </c>
      <c r="F783" s="308" t="s">
        <v>2755</v>
      </c>
      <c r="G783" s="301">
        <v>45147.0</v>
      </c>
      <c r="H783" s="425" t="s">
        <v>1554</v>
      </c>
    </row>
    <row r="784">
      <c r="A784" s="308">
        <v>22.0</v>
      </c>
      <c r="B784" s="308" t="s">
        <v>2756</v>
      </c>
      <c r="C784" s="299">
        <v>1.0</v>
      </c>
      <c r="D784" s="300">
        <v>10.5</v>
      </c>
      <c r="E784" s="331">
        <v>1.0</v>
      </c>
      <c r="F784" s="308" t="s">
        <v>2757</v>
      </c>
      <c r="G784" s="301">
        <v>45339.0</v>
      </c>
      <c r="H784" s="299" t="s">
        <v>2750</v>
      </c>
    </row>
    <row r="785">
      <c r="A785" s="308">
        <v>23.0</v>
      </c>
      <c r="B785" s="308" t="s">
        <v>2758</v>
      </c>
      <c r="C785" s="299">
        <v>1.0</v>
      </c>
      <c r="D785" s="300" t="s">
        <v>2759</v>
      </c>
      <c r="E785" s="331">
        <v>1.0</v>
      </c>
      <c r="F785" s="308" t="s">
        <v>2760</v>
      </c>
      <c r="G785" s="301">
        <v>45324.0</v>
      </c>
      <c r="H785" s="299" t="s">
        <v>2750</v>
      </c>
    </row>
    <row r="786">
      <c r="A786" s="303">
        <v>24.0</v>
      </c>
      <c r="B786" s="206" t="s">
        <v>2761</v>
      </c>
      <c r="C786" s="303"/>
      <c r="D786" s="304"/>
      <c r="E786" s="523"/>
      <c r="F786" s="524" t="s">
        <v>2762</v>
      </c>
      <c r="G786" s="305">
        <v>45621.0</v>
      </c>
      <c r="H786" s="303" t="s">
        <v>2763</v>
      </c>
    </row>
    <row r="787">
      <c r="A787" s="308">
        <v>25.0</v>
      </c>
      <c r="B787" s="525" t="s">
        <v>1696</v>
      </c>
      <c r="C787" s="525">
        <v>1.0</v>
      </c>
      <c r="D787" s="526">
        <v>14.5</v>
      </c>
      <c r="E787" s="527">
        <v>1.0</v>
      </c>
      <c r="F787" s="525" t="s">
        <v>1740</v>
      </c>
      <c r="G787" s="528">
        <v>45681.0</v>
      </c>
      <c r="H787" s="525" t="s">
        <v>2764</v>
      </c>
    </row>
    <row r="788">
      <c r="A788" s="303">
        <v>26.0</v>
      </c>
      <c r="B788" s="529" t="s">
        <v>2765</v>
      </c>
      <c r="C788" s="259"/>
      <c r="D788" s="530"/>
      <c r="E788" s="531"/>
      <c r="F788" s="529" t="s">
        <v>2766</v>
      </c>
      <c r="G788" s="532">
        <v>45689.0</v>
      </c>
      <c r="H788" s="259" t="s">
        <v>1446</v>
      </c>
    </row>
    <row r="789">
      <c r="A789" s="308">
        <v>27.0</v>
      </c>
      <c r="B789" s="533" t="s">
        <v>2767</v>
      </c>
      <c r="C789" s="299">
        <v>1.0</v>
      </c>
      <c r="D789" s="300">
        <v>2.4</v>
      </c>
      <c r="E789" s="331">
        <v>1.0</v>
      </c>
      <c r="F789" s="533" t="s">
        <v>2768</v>
      </c>
      <c r="G789" s="301">
        <v>45705.0</v>
      </c>
      <c r="H789" s="299" t="s">
        <v>1446</v>
      </c>
    </row>
    <row r="790">
      <c r="A790" s="308">
        <v>28.0</v>
      </c>
      <c r="B790" s="299" t="s">
        <v>2513</v>
      </c>
      <c r="C790" s="299">
        <v>1.0</v>
      </c>
      <c r="D790" s="300">
        <v>21.9</v>
      </c>
      <c r="E790" s="331">
        <v>1.0</v>
      </c>
      <c r="F790" s="533">
        <v>2.1310322403E10</v>
      </c>
      <c r="G790" s="301">
        <v>45705.0</v>
      </c>
      <c r="H790" s="299" t="s">
        <v>1446</v>
      </c>
    </row>
    <row r="791">
      <c r="A791" s="366" t="s">
        <v>1562</v>
      </c>
      <c r="B791" s="3"/>
      <c r="C791" s="364">
        <f t="shared" ref="C791:D791" si="19">sum(C763:C790)</f>
        <v>16</v>
      </c>
      <c r="D791" s="427">
        <f t="shared" si="19"/>
        <v>290.1</v>
      </c>
      <c r="E791" s="360">
        <f>SUM(E765:E790)</f>
        <v>16</v>
      </c>
      <c r="F791" s="299"/>
      <c r="G791" s="301"/>
      <c r="H791" s="299"/>
    </row>
    <row r="792">
      <c r="A792" s="306"/>
      <c r="B792" s="306"/>
      <c r="C792" s="306"/>
      <c r="D792" s="306"/>
      <c r="E792" s="306"/>
      <c r="F792" s="306"/>
      <c r="G792" s="306"/>
      <c r="H792" s="306"/>
    </row>
    <row r="793">
      <c r="A793" s="306"/>
      <c r="B793" s="306"/>
      <c r="C793" s="306"/>
      <c r="D793" s="306"/>
      <c r="E793" s="306"/>
      <c r="F793" s="306"/>
      <c r="G793" s="306"/>
      <c r="H793" s="306"/>
    </row>
    <row r="794">
      <c r="A794" s="485" t="s">
        <v>2769</v>
      </c>
      <c r="B794" s="290"/>
      <c r="C794" s="290"/>
      <c r="D794" s="290"/>
      <c r="E794" s="290"/>
      <c r="F794" s="290"/>
      <c r="G794" s="290"/>
      <c r="H794" s="291"/>
    </row>
    <row r="795">
      <c r="A795" s="292"/>
      <c r="B795" s="293"/>
      <c r="C795" s="293"/>
      <c r="D795" s="293"/>
      <c r="E795" s="293"/>
      <c r="F795" s="293"/>
      <c r="G795" s="293"/>
      <c r="H795" s="294"/>
    </row>
    <row r="796">
      <c r="A796" s="517" t="s">
        <v>1435</v>
      </c>
      <c r="B796" s="517" t="s">
        <v>1436</v>
      </c>
      <c r="C796" s="517" t="s">
        <v>1843</v>
      </c>
      <c r="D796" s="421" t="s">
        <v>1438</v>
      </c>
      <c r="E796" s="422" t="s">
        <v>1564</v>
      </c>
      <c r="F796" s="517" t="s">
        <v>1440</v>
      </c>
      <c r="G796" s="423" t="s">
        <v>2770</v>
      </c>
      <c r="H796" s="424" t="s">
        <v>1441</v>
      </c>
    </row>
    <row r="797">
      <c r="A797" s="364">
        <v>1.0</v>
      </c>
      <c r="B797" s="364" t="s">
        <v>1443</v>
      </c>
      <c r="C797" s="364">
        <v>1.0</v>
      </c>
      <c r="D797" s="427">
        <v>144.0</v>
      </c>
      <c r="E797" s="360"/>
      <c r="F797" s="364" t="s">
        <v>1518</v>
      </c>
      <c r="G797" s="364" t="s">
        <v>1446</v>
      </c>
      <c r="H797" s="428"/>
    </row>
    <row r="798">
      <c r="A798" s="364">
        <v>2.0</v>
      </c>
      <c r="B798" s="364" t="s">
        <v>1444</v>
      </c>
      <c r="C798" s="364">
        <v>2.0</v>
      </c>
      <c r="D798" s="427">
        <v>1.6</v>
      </c>
      <c r="E798" s="360"/>
      <c r="F798" s="364"/>
      <c r="G798" s="302" t="s">
        <v>1554</v>
      </c>
      <c r="H798" s="428">
        <v>44574.0</v>
      </c>
    </row>
    <row r="799">
      <c r="A799" s="364">
        <v>3.0</v>
      </c>
      <c r="B799" s="364" t="s">
        <v>1853</v>
      </c>
      <c r="C799" s="364">
        <v>1.0</v>
      </c>
      <c r="D799" s="427">
        <v>5.0</v>
      </c>
      <c r="E799" s="360">
        <v>1.0</v>
      </c>
      <c r="F799" s="364"/>
      <c r="G799" s="302" t="s">
        <v>1554</v>
      </c>
      <c r="H799" s="428">
        <v>44596.0</v>
      </c>
    </row>
    <row r="800">
      <c r="A800" s="364">
        <v>4.0</v>
      </c>
      <c r="B800" s="299" t="s">
        <v>2771</v>
      </c>
      <c r="C800" s="299">
        <v>1.0</v>
      </c>
      <c r="D800" s="300">
        <v>26.4</v>
      </c>
      <c r="E800" s="331">
        <v>2.0</v>
      </c>
      <c r="F800" s="364"/>
      <c r="G800" s="364"/>
      <c r="H800" s="301">
        <v>44841.0</v>
      </c>
    </row>
    <row r="801">
      <c r="A801" s="364">
        <v>5.0</v>
      </c>
      <c r="B801" s="299" t="s">
        <v>2771</v>
      </c>
      <c r="C801" s="299">
        <v>1.0</v>
      </c>
      <c r="D801" s="300">
        <v>26.4</v>
      </c>
      <c r="E801" s="331">
        <v>2.0</v>
      </c>
      <c r="F801" s="364"/>
      <c r="G801" s="364"/>
      <c r="H801" s="301">
        <v>44841.0</v>
      </c>
    </row>
    <row r="802">
      <c r="A802" s="329">
        <v>6.0</v>
      </c>
      <c r="B802" s="303" t="s">
        <v>2772</v>
      </c>
      <c r="C802" s="303"/>
      <c r="D802" s="304"/>
      <c r="E802" s="327"/>
      <c r="F802" s="329"/>
      <c r="G802" s="303" t="s">
        <v>1848</v>
      </c>
      <c r="H802" s="305">
        <v>44841.0</v>
      </c>
    </row>
    <row r="803">
      <c r="A803" s="299">
        <v>7.0</v>
      </c>
      <c r="B803" s="308" t="s">
        <v>2773</v>
      </c>
      <c r="C803" s="299">
        <v>1.0</v>
      </c>
      <c r="D803" s="300">
        <v>9.2</v>
      </c>
      <c r="E803" s="331">
        <v>1.0</v>
      </c>
      <c r="F803" s="364"/>
      <c r="G803" s="364"/>
      <c r="H803" s="301">
        <v>44847.0</v>
      </c>
    </row>
    <row r="804">
      <c r="A804" s="299">
        <v>8.0</v>
      </c>
      <c r="B804" s="308" t="s">
        <v>2774</v>
      </c>
      <c r="C804" s="299">
        <v>1.0</v>
      </c>
      <c r="D804" s="300">
        <v>10.0</v>
      </c>
      <c r="E804" s="331">
        <v>1.0</v>
      </c>
      <c r="F804" s="299" t="s">
        <v>2775</v>
      </c>
      <c r="G804" s="299" t="s">
        <v>2108</v>
      </c>
      <c r="H804" s="301">
        <v>44888.0</v>
      </c>
    </row>
    <row r="805">
      <c r="A805" s="299">
        <v>9.0</v>
      </c>
      <c r="B805" s="308" t="s">
        <v>2776</v>
      </c>
      <c r="C805" s="299">
        <v>1.0</v>
      </c>
      <c r="D805" s="300">
        <v>15.0</v>
      </c>
      <c r="E805" s="331">
        <v>1.0</v>
      </c>
      <c r="F805" s="299" t="s">
        <v>2777</v>
      </c>
      <c r="G805" s="299" t="s">
        <v>2108</v>
      </c>
      <c r="H805" s="301">
        <v>44919.0</v>
      </c>
    </row>
    <row r="806">
      <c r="A806" s="303">
        <v>10.0</v>
      </c>
      <c r="B806" s="303" t="s">
        <v>2778</v>
      </c>
      <c r="C806" s="303"/>
      <c r="D806" s="304"/>
      <c r="E806" s="327"/>
      <c r="F806" s="303" t="s">
        <v>2779</v>
      </c>
      <c r="G806" s="303" t="s">
        <v>1848</v>
      </c>
      <c r="H806" s="305">
        <v>44924.0</v>
      </c>
    </row>
    <row r="807">
      <c r="A807" s="303">
        <v>11.0</v>
      </c>
      <c r="B807" s="303" t="s">
        <v>2780</v>
      </c>
      <c r="C807" s="303"/>
      <c r="D807" s="304"/>
      <c r="E807" s="327"/>
      <c r="F807" s="303" t="s">
        <v>2781</v>
      </c>
      <c r="G807" s="303" t="s">
        <v>1848</v>
      </c>
      <c r="H807" s="305">
        <v>45097.0</v>
      </c>
    </row>
    <row r="808">
      <c r="A808" s="303">
        <v>12.0</v>
      </c>
      <c r="B808" s="303" t="s">
        <v>2782</v>
      </c>
      <c r="C808" s="303"/>
      <c r="D808" s="304"/>
      <c r="E808" s="327"/>
      <c r="F808" s="303" t="s">
        <v>2783</v>
      </c>
      <c r="G808" s="303" t="s">
        <v>2784</v>
      </c>
      <c r="H808" s="305">
        <v>45064.0</v>
      </c>
    </row>
    <row r="809">
      <c r="A809" s="299">
        <v>13.0</v>
      </c>
      <c r="B809" s="299" t="s">
        <v>2785</v>
      </c>
      <c r="C809" s="299">
        <v>1.0</v>
      </c>
      <c r="D809" s="300">
        <v>14.9</v>
      </c>
      <c r="E809" s="331">
        <v>1.0</v>
      </c>
      <c r="F809" s="299" t="s">
        <v>2786</v>
      </c>
      <c r="G809" s="299" t="s">
        <v>2787</v>
      </c>
      <c r="H809" s="301">
        <v>45501.0</v>
      </c>
    </row>
    <row r="810">
      <c r="A810" s="299">
        <v>14.0</v>
      </c>
      <c r="B810" s="299" t="s">
        <v>2788</v>
      </c>
      <c r="C810" s="299">
        <v>1.0</v>
      </c>
      <c r="D810" s="300">
        <v>25.6</v>
      </c>
      <c r="E810" s="331">
        <v>2.0</v>
      </c>
      <c r="F810" s="299" t="s">
        <v>2789</v>
      </c>
      <c r="G810" s="299" t="s">
        <v>2787</v>
      </c>
      <c r="H810" s="301">
        <v>45501.0</v>
      </c>
    </row>
    <row r="811">
      <c r="A811" s="299">
        <v>15.0</v>
      </c>
      <c r="B811" s="299" t="s">
        <v>2788</v>
      </c>
      <c r="C811" s="299">
        <v>1.0</v>
      </c>
      <c r="D811" s="300">
        <v>25.6</v>
      </c>
      <c r="E811" s="331">
        <v>2.0</v>
      </c>
      <c r="F811" s="299" t="s">
        <v>2790</v>
      </c>
      <c r="G811" s="299" t="s">
        <v>2787</v>
      </c>
      <c r="H811" s="301">
        <v>45501.0</v>
      </c>
    </row>
    <row r="812">
      <c r="A812" s="299">
        <v>16.0</v>
      </c>
      <c r="B812" s="299" t="s">
        <v>2788</v>
      </c>
      <c r="C812" s="299">
        <v>1.0</v>
      </c>
      <c r="D812" s="300">
        <v>25.6</v>
      </c>
      <c r="E812" s="331">
        <v>2.0</v>
      </c>
      <c r="F812" s="299" t="s">
        <v>2791</v>
      </c>
      <c r="G812" s="299" t="s">
        <v>2787</v>
      </c>
      <c r="H812" s="301">
        <v>45501.0</v>
      </c>
    </row>
    <row r="813">
      <c r="A813" s="299">
        <v>17.0</v>
      </c>
      <c r="B813" s="299" t="s">
        <v>2756</v>
      </c>
      <c r="C813" s="299">
        <v>1.0</v>
      </c>
      <c r="D813" s="300">
        <v>10.0</v>
      </c>
      <c r="E813" s="331">
        <v>1.0</v>
      </c>
      <c r="F813" s="299" t="s">
        <v>2792</v>
      </c>
      <c r="G813" s="299" t="s">
        <v>2787</v>
      </c>
      <c r="H813" s="301">
        <v>45573.0</v>
      </c>
    </row>
    <row r="814">
      <c r="A814" s="299">
        <v>18.0</v>
      </c>
      <c r="B814" s="299" t="s">
        <v>2793</v>
      </c>
      <c r="C814" s="299">
        <v>1.0</v>
      </c>
      <c r="D814" s="300">
        <v>15.2</v>
      </c>
      <c r="E814" s="331">
        <v>1.0</v>
      </c>
      <c r="F814" s="299" t="s">
        <v>2794</v>
      </c>
      <c r="G814" s="299" t="s">
        <v>2787</v>
      </c>
      <c r="H814" s="301">
        <v>45809.0</v>
      </c>
    </row>
    <row r="815">
      <c r="A815" s="299">
        <v>19.0</v>
      </c>
      <c r="B815" s="299" t="s">
        <v>2795</v>
      </c>
      <c r="C815" s="299">
        <v>1.0</v>
      </c>
      <c r="D815" s="300">
        <v>39.1</v>
      </c>
      <c r="E815" s="331">
        <v>2.0</v>
      </c>
      <c r="F815" s="299" t="s">
        <v>2796</v>
      </c>
      <c r="G815" s="299" t="s">
        <v>2787</v>
      </c>
      <c r="H815" s="301">
        <v>45809.0</v>
      </c>
    </row>
    <row r="816">
      <c r="A816" s="299">
        <v>20.0</v>
      </c>
      <c r="B816" s="299" t="s">
        <v>2795</v>
      </c>
      <c r="C816" s="299">
        <v>1.0</v>
      </c>
      <c r="D816" s="300">
        <v>39.1</v>
      </c>
      <c r="E816" s="331">
        <v>2.0</v>
      </c>
      <c r="F816" s="299" t="s">
        <v>2797</v>
      </c>
      <c r="G816" s="299" t="s">
        <v>2787</v>
      </c>
      <c r="H816" s="301">
        <v>45809.0</v>
      </c>
    </row>
    <row r="817">
      <c r="A817" s="299">
        <v>21.0</v>
      </c>
      <c r="B817" s="299" t="s">
        <v>2798</v>
      </c>
      <c r="C817" s="299">
        <v>1.0</v>
      </c>
      <c r="D817" s="300">
        <v>10.6</v>
      </c>
      <c r="E817" s="331">
        <v>1.0</v>
      </c>
      <c r="F817" s="299">
        <v>1.02267129802E11</v>
      </c>
      <c r="G817" s="299" t="s">
        <v>2108</v>
      </c>
      <c r="H817" s="301">
        <v>45878.0</v>
      </c>
    </row>
    <row r="818">
      <c r="A818" s="299">
        <v>22.0</v>
      </c>
      <c r="B818" s="299" t="s">
        <v>1853</v>
      </c>
      <c r="C818" s="299">
        <v>1.0</v>
      </c>
      <c r="D818" s="300">
        <v>5.0</v>
      </c>
      <c r="E818" s="331">
        <v>1.0</v>
      </c>
      <c r="F818" s="299" t="s">
        <v>1518</v>
      </c>
      <c r="G818" s="299" t="s">
        <v>2108</v>
      </c>
      <c r="H818" s="301">
        <v>45710.0</v>
      </c>
    </row>
    <row r="819">
      <c r="A819" s="505" t="s">
        <v>1562</v>
      </c>
      <c r="B819" s="3"/>
      <c r="C819" s="364">
        <f>sum(C797:C813)</f>
        <v>14</v>
      </c>
      <c r="D819" s="427">
        <f t="shared" ref="D819:E819" si="20">sum(D797:D818)</f>
        <v>448.3</v>
      </c>
      <c r="E819" s="360">
        <f t="shared" si="20"/>
        <v>23</v>
      </c>
      <c r="F819" s="364"/>
      <c r="G819" s="428"/>
      <c r="H819" s="428"/>
    </row>
    <row r="820">
      <c r="A820" s="306"/>
      <c r="B820" s="306"/>
      <c r="C820" s="306"/>
      <c r="D820" s="306"/>
      <c r="E820" s="306"/>
      <c r="F820" s="306"/>
      <c r="G820" s="306"/>
      <c r="H820" s="306"/>
    </row>
    <row r="821">
      <c r="A821" s="306"/>
      <c r="B821" s="306"/>
      <c r="C821" s="306"/>
      <c r="D821" s="306"/>
      <c r="E821" s="306"/>
      <c r="F821" s="306"/>
      <c r="G821" s="306"/>
      <c r="H821" s="306"/>
    </row>
    <row r="822">
      <c r="A822" s="534" t="s">
        <v>2799</v>
      </c>
      <c r="B822" s="290"/>
      <c r="C822" s="290"/>
      <c r="D822" s="290"/>
      <c r="E822" s="290"/>
      <c r="F822" s="290"/>
      <c r="G822" s="290"/>
      <c r="H822" s="291"/>
    </row>
    <row r="823">
      <c r="A823" s="292"/>
      <c r="B823" s="293"/>
      <c r="C823" s="293"/>
      <c r="D823" s="293"/>
      <c r="E823" s="293"/>
      <c r="F823" s="293"/>
      <c r="G823" s="293"/>
      <c r="H823" s="294"/>
    </row>
    <row r="824">
      <c r="A824" s="420" t="s">
        <v>1435</v>
      </c>
      <c r="B824" s="420" t="s">
        <v>1436</v>
      </c>
      <c r="C824" s="420" t="s">
        <v>1843</v>
      </c>
      <c r="D824" s="421" t="s">
        <v>1438</v>
      </c>
      <c r="E824" s="422" t="s">
        <v>1564</v>
      </c>
      <c r="F824" s="420" t="s">
        <v>1440</v>
      </c>
      <c r="G824" s="420" t="s">
        <v>1844</v>
      </c>
      <c r="H824" s="424" t="s">
        <v>1441</v>
      </c>
    </row>
    <row r="825">
      <c r="A825" s="425">
        <v>1.0</v>
      </c>
      <c r="B825" s="425" t="s">
        <v>1443</v>
      </c>
      <c r="C825" s="425">
        <v>1.0</v>
      </c>
      <c r="D825" s="427">
        <v>144.0</v>
      </c>
      <c r="E825" s="360"/>
      <c r="F825" s="425" t="s">
        <v>1518</v>
      </c>
      <c r="G825" s="425" t="s">
        <v>1446</v>
      </c>
      <c r="H825" s="428"/>
    </row>
    <row r="826">
      <c r="A826" s="425">
        <v>2.0</v>
      </c>
      <c r="B826" s="425" t="s">
        <v>1444</v>
      </c>
      <c r="C826" s="425">
        <v>2.0</v>
      </c>
      <c r="D826" s="427">
        <v>3.2</v>
      </c>
      <c r="E826" s="360"/>
      <c r="F826" s="425" t="s">
        <v>1518</v>
      </c>
      <c r="G826" s="425" t="s">
        <v>1446</v>
      </c>
      <c r="H826" s="428">
        <v>44574.0</v>
      </c>
    </row>
    <row r="827">
      <c r="A827" s="425">
        <v>3.0</v>
      </c>
      <c r="B827" s="425" t="s">
        <v>1853</v>
      </c>
      <c r="C827" s="425">
        <v>1.0</v>
      </c>
      <c r="D827" s="427">
        <v>5.0</v>
      </c>
      <c r="E827" s="360">
        <v>1.0</v>
      </c>
      <c r="F827" s="425" t="s">
        <v>1518</v>
      </c>
      <c r="G827" s="425" t="s">
        <v>1446</v>
      </c>
      <c r="H827" s="428">
        <v>44596.0</v>
      </c>
    </row>
    <row r="828">
      <c r="A828" s="425">
        <v>4.0</v>
      </c>
      <c r="B828" s="471" t="s">
        <v>2800</v>
      </c>
      <c r="C828" s="471">
        <v>1.0</v>
      </c>
      <c r="D828" s="473">
        <v>10.4</v>
      </c>
      <c r="E828" s="360">
        <v>1.0</v>
      </c>
      <c r="F828" s="471" t="s">
        <v>2801</v>
      </c>
      <c r="G828" s="425" t="s">
        <v>1446</v>
      </c>
      <c r="H828" s="491">
        <v>44840.0</v>
      </c>
    </row>
    <row r="829">
      <c r="A829" s="425">
        <v>5.0</v>
      </c>
      <c r="B829" s="471" t="s">
        <v>2802</v>
      </c>
      <c r="C829" s="425">
        <v>1.0</v>
      </c>
      <c r="D829" s="427">
        <v>10.6</v>
      </c>
      <c r="E829" s="360">
        <v>1.0</v>
      </c>
      <c r="F829" s="425" t="s">
        <v>2803</v>
      </c>
      <c r="G829" s="425" t="s">
        <v>1446</v>
      </c>
      <c r="H829" s="428">
        <v>44859.0</v>
      </c>
    </row>
    <row r="830">
      <c r="A830" s="429">
        <v>6.0</v>
      </c>
      <c r="B830" s="429" t="s">
        <v>2802</v>
      </c>
      <c r="C830" s="429"/>
      <c r="D830" s="324"/>
      <c r="E830" s="325"/>
      <c r="F830" s="429"/>
      <c r="G830" s="303" t="s">
        <v>239</v>
      </c>
      <c r="H830" s="303" t="s">
        <v>2804</v>
      </c>
    </row>
    <row r="831">
      <c r="A831" s="425">
        <v>7.0</v>
      </c>
      <c r="B831" s="425" t="s">
        <v>2805</v>
      </c>
      <c r="C831" s="425">
        <v>1.0</v>
      </c>
      <c r="D831" s="473">
        <v>10.5</v>
      </c>
      <c r="E831" s="360">
        <v>1.0</v>
      </c>
      <c r="F831" s="425"/>
      <c r="G831" s="425" t="s">
        <v>1446</v>
      </c>
      <c r="H831" s="301">
        <v>45692.0</v>
      </c>
    </row>
    <row r="832">
      <c r="A832" s="429">
        <v>8.0</v>
      </c>
      <c r="B832" s="303" t="s">
        <v>2806</v>
      </c>
      <c r="C832" s="303"/>
      <c r="D832" s="304"/>
      <c r="E832" s="327"/>
      <c r="F832" s="303" t="s">
        <v>2807</v>
      </c>
      <c r="G832" s="303" t="s">
        <v>2808</v>
      </c>
      <c r="H832" s="305">
        <v>44879.0</v>
      </c>
    </row>
    <row r="833">
      <c r="A833" s="425">
        <v>9.0</v>
      </c>
      <c r="B833" s="308" t="s">
        <v>2806</v>
      </c>
      <c r="C833" s="299">
        <v>1.0</v>
      </c>
      <c r="D833" s="300" t="s">
        <v>2809</v>
      </c>
      <c r="E833" s="331">
        <v>1.0</v>
      </c>
      <c r="F833" s="299" t="s">
        <v>2810</v>
      </c>
      <c r="G833" s="299" t="s">
        <v>1446</v>
      </c>
      <c r="H833" s="301">
        <v>44879.0</v>
      </c>
    </row>
    <row r="834">
      <c r="A834" s="425">
        <v>10.0</v>
      </c>
      <c r="B834" s="308" t="s">
        <v>2811</v>
      </c>
      <c r="C834" s="299">
        <v>1.0</v>
      </c>
      <c r="D834" s="300">
        <v>15.9</v>
      </c>
      <c r="E834" s="331">
        <v>1.0</v>
      </c>
      <c r="F834" s="299" t="s">
        <v>2812</v>
      </c>
      <c r="G834" s="299" t="s">
        <v>1446</v>
      </c>
      <c r="H834" s="301">
        <v>44886.0</v>
      </c>
    </row>
    <row r="835">
      <c r="A835" s="303">
        <v>11.0</v>
      </c>
      <c r="B835" s="303" t="s">
        <v>2811</v>
      </c>
      <c r="C835" s="303"/>
      <c r="D835" s="304"/>
      <c r="E835" s="327"/>
      <c r="F835" s="303" t="s">
        <v>2813</v>
      </c>
      <c r="G835" s="303" t="s">
        <v>1848</v>
      </c>
      <c r="H835" s="303" t="s">
        <v>2814</v>
      </c>
    </row>
    <row r="836">
      <c r="A836" s="299">
        <v>12.0</v>
      </c>
      <c r="B836" s="308" t="s">
        <v>2811</v>
      </c>
      <c r="C836" s="299">
        <v>1.0</v>
      </c>
      <c r="D836" s="300">
        <v>15.9</v>
      </c>
      <c r="E836" s="331">
        <v>1.0</v>
      </c>
      <c r="F836" s="299" t="s">
        <v>2815</v>
      </c>
      <c r="G836" s="299" t="s">
        <v>1446</v>
      </c>
      <c r="H836" s="301">
        <v>44886.0</v>
      </c>
    </row>
    <row r="837">
      <c r="A837" s="299">
        <v>13.0</v>
      </c>
      <c r="B837" s="308" t="s">
        <v>2811</v>
      </c>
      <c r="C837" s="299">
        <v>1.0</v>
      </c>
      <c r="D837" s="300">
        <v>15.9</v>
      </c>
      <c r="E837" s="331">
        <v>1.0</v>
      </c>
      <c r="F837" s="299" t="s">
        <v>2816</v>
      </c>
      <c r="G837" s="299" t="s">
        <v>1446</v>
      </c>
      <c r="H837" s="301">
        <v>44886.0</v>
      </c>
    </row>
    <row r="838">
      <c r="A838" s="299">
        <v>14.0</v>
      </c>
      <c r="B838" s="308" t="s">
        <v>2811</v>
      </c>
      <c r="C838" s="299">
        <v>1.0</v>
      </c>
      <c r="D838" s="300">
        <v>15.9</v>
      </c>
      <c r="E838" s="331">
        <v>1.0</v>
      </c>
      <c r="F838" s="299" t="s">
        <v>2817</v>
      </c>
      <c r="G838" s="299" t="s">
        <v>1446</v>
      </c>
      <c r="H838" s="301">
        <v>44886.0</v>
      </c>
    </row>
    <row r="839">
      <c r="A839" s="299">
        <v>15.0</v>
      </c>
      <c r="B839" s="471" t="s">
        <v>2802</v>
      </c>
      <c r="C839" s="299">
        <v>1.0</v>
      </c>
      <c r="D839" s="300">
        <v>20.6</v>
      </c>
      <c r="E839" s="331">
        <v>2.0</v>
      </c>
      <c r="F839" s="299" t="s">
        <v>2818</v>
      </c>
      <c r="G839" s="299" t="s">
        <v>1446</v>
      </c>
      <c r="H839" s="301">
        <v>44908.0</v>
      </c>
    </row>
    <row r="840">
      <c r="A840" s="299">
        <v>16.0</v>
      </c>
      <c r="B840" s="308" t="s">
        <v>2819</v>
      </c>
      <c r="C840" s="299">
        <v>1.0</v>
      </c>
      <c r="D840" s="300">
        <v>10.3</v>
      </c>
      <c r="E840" s="331">
        <v>1.0</v>
      </c>
      <c r="F840" s="308" t="s">
        <v>2820</v>
      </c>
      <c r="G840" s="299" t="s">
        <v>1446</v>
      </c>
      <c r="H840" s="301">
        <v>44910.0</v>
      </c>
    </row>
    <row r="841">
      <c r="A841" s="303">
        <v>17.0</v>
      </c>
      <c r="B841" s="303" t="s">
        <v>2821</v>
      </c>
      <c r="C841" s="303"/>
      <c r="D841" s="304"/>
      <c r="E841" s="327"/>
      <c r="F841" s="303" t="s">
        <v>2822</v>
      </c>
      <c r="G841" s="303" t="s">
        <v>1554</v>
      </c>
      <c r="H841" s="303" t="s">
        <v>2823</v>
      </c>
    </row>
    <row r="842">
      <c r="A842" s="303">
        <v>18.0</v>
      </c>
      <c r="B842" s="303" t="s">
        <v>2824</v>
      </c>
      <c r="C842" s="303"/>
      <c r="D842" s="304"/>
      <c r="E842" s="327"/>
      <c r="F842" s="303" t="s">
        <v>2825</v>
      </c>
      <c r="G842" s="303" t="s">
        <v>1554</v>
      </c>
      <c r="H842" s="303" t="s">
        <v>2826</v>
      </c>
    </row>
    <row r="843">
      <c r="A843" s="303">
        <v>19.0</v>
      </c>
      <c r="B843" s="303" t="s">
        <v>2824</v>
      </c>
      <c r="C843" s="303"/>
      <c r="D843" s="304"/>
      <c r="E843" s="327"/>
      <c r="F843" s="303" t="s">
        <v>2827</v>
      </c>
      <c r="G843" s="303" t="s">
        <v>1554</v>
      </c>
      <c r="H843" s="305">
        <v>45356.0</v>
      </c>
    </row>
    <row r="844">
      <c r="A844" s="429">
        <v>20.0</v>
      </c>
      <c r="B844" s="303" t="s">
        <v>2824</v>
      </c>
      <c r="C844" s="303"/>
      <c r="D844" s="304"/>
      <c r="E844" s="327"/>
      <c r="F844" s="303" t="s">
        <v>2828</v>
      </c>
      <c r="G844" s="303" t="s">
        <v>1554</v>
      </c>
      <c r="H844" s="303" t="s">
        <v>2829</v>
      </c>
    </row>
    <row r="845">
      <c r="A845" s="429">
        <v>21.0</v>
      </c>
      <c r="B845" s="303" t="s">
        <v>2824</v>
      </c>
      <c r="C845" s="303"/>
      <c r="D845" s="304"/>
      <c r="E845" s="327"/>
      <c r="F845" s="303" t="s">
        <v>2830</v>
      </c>
      <c r="G845" s="303" t="s">
        <v>1554</v>
      </c>
      <c r="H845" s="303" t="s">
        <v>2829</v>
      </c>
    </row>
    <row r="846">
      <c r="A846" s="429">
        <v>22.0</v>
      </c>
      <c r="B846" s="303" t="s">
        <v>2831</v>
      </c>
      <c r="C846" s="303"/>
      <c r="D846" s="304"/>
      <c r="E846" s="327"/>
      <c r="F846" s="303" t="s">
        <v>2832</v>
      </c>
      <c r="G846" s="303" t="s">
        <v>1554</v>
      </c>
      <c r="H846" s="305">
        <v>45374.0</v>
      </c>
    </row>
    <row r="847">
      <c r="A847" s="429">
        <v>23.0</v>
      </c>
      <c r="B847" s="303" t="s">
        <v>2833</v>
      </c>
      <c r="C847" s="303"/>
      <c r="D847" s="304"/>
      <c r="E847" s="327"/>
      <c r="F847" s="535" t="s">
        <v>2834</v>
      </c>
      <c r="G847" s="303" t="s">
        <v>1554</v>
      </c>
      <c r="H847" s="305">
        <v>45374.0</v>
      </c>
    </row>
    <row r="848">
      <c r="A848" s="429">
        <v>24.0</v>
      </c>
      <c r="B848" s="303" t="s">
        <v>2835</v>
      </c>
      <c r="C848" s="303"/>
      <c r="D848" s="304"/>
      <c r="E848" s="327"/>
      <c r="F848" s="303" t="s">
        <v>2836</v>
      </c>
      <c r="G848" s="303" t="s">
        <v>1554</v>
      </c>
      <c r="H848" s="303" t="s">
        <v>2837</v>
      </c>
    </row>
    <row r="849">
      <c r="A849" s="429">
        <v>25.0</v>
      </c>
      <c r="B849" s="303" t="s">
        <v>2838</v>
      </c>
      <c r="C849" s="303"/>
      <c r="D849" s="399"/>
      <c r="E849" s="327"/>
      <c r="F849" s="536" t="s">
        <v>2839</v>
      </c>
      <c r="G849" s="303" t="s">
        <v>1554</v>
      </c>
      <c r="H849" s="303" t="s">
        <v>2840</v>
      </c>
    </row>
    <row r="850">
      <c r="A850" s="425">
        <v>26.0</v>
      </c>
      <c r="B850" s="299" t="s">
        <v>2841</v>
      </c>
      <c r="C850" s="299">
        <v>1.0</v>
      </c>
      <c r="D850" s="397">
        <v>3.9</v>
      </c>
      <c r="E850" s="331">
        <v>1.0</v>
      </c>
      <c r="F850" s="537">
        <v>4.0000575010024E13</v>
      </c>
      <c r="G850" s="308" t="s">
        <v>1554</v>
      </c>
      <c r="H850" s="301">
        <v>45429.0</v>
      </c>
    </row>
    <row r="851">
      <c r="A851" s="299">
        <v>27.0</v>
      </c>
      <c r="B851" s="299" t="s">
        <v>2842</v>
      </c>
      <c r="C851" s="299">
        <v>1.0</v>
      </c>
      <c r="D851" s="300">
        <v>8.8</v>
      </c>
      <c r="E851" s="331">
        <v>1.0</v>
      </c>
      <c r="F851" s="299" t="s">
        <v>2843</v>
      </c>
      <c r="G851" s="299" t="s">
        <v>1554</v>
      </c>
      <c r="H851" s="301">
        <v>45456.0</v>
      </c>
    </row>
    <row r="852">
      <c r="A852" s="299">
        <v>28.0</v>
      </c>
      <c r="B852" s="525" t="s">
        <v>2844</v>
      </c>
      <c r="C852" s="525">
        <v>1.0</v>
      </c>
      <c r="D852" s="526">
        <v>15.9</v>
      </c>
      <c r="E852" s="331">
        <v>1.0</v>
      </c>
      <c r="F852" s="299" t="s">
        <v>2845</v>
      </c>
      <c r="G852" s="299" t="s">
        <v>1554</v>
      </c>
      <c r="H852" s="301">
        <v>45687.0</v>
      </c>
    </row>
    <row r="853">
      <c r="A853" s="299">
        <v>29.0</v>
      </c>
      <c r="B853" s="299" t="s">
        <v>2846</v>
      </c>
      <c r="C853" s="525">
        <v>1.0</v>
      </c>
      <c r="D853" s="526">
        <v>10.8</v>
      </c>
      <c r="E853" s="331">
        <v>2.0</v>
      </c>
      <c r="F853" s="299"/>
      <c r="G853" s="299" t="s">
        <v>1554</v>
      </c>
      <c r="H853" s="301">
        <v>45687.0</v>
      </c>
    </row>
    <row r="854">
      <c r="A854" s="303">
        <v>30.0</v>
      </c>
      <c r="B854" s="538" t="s">
        <v>2847</v>
      </c>
      <c r="C854" s="303"/>
      <c r="D854" s="304"/>
      <c r="E854" s="327"/>
      <c r="F854" s="538" t="s">
        <v>2848</v>
      </c>
      <c r="G854" s="303" t="s">
        <v>425</v>
      </c>
      <c r="H854" s="305">
        <v>45819.0</v>
      </c>
    </row>
    <row r="855">
      <c r="A855" s="308">
        <v>31.0</v>
      </c>
      <c r="B855" s="539" t="s">
        <v>2849</v>
      </c>
      <c r="C855" s="308">
        <v>1.0</v>
      </c>
      <c r="D855" s="314">
        <v>15.0</v>
      </c>
      <c r="E855" s="365">
        <v>2.0</v>
      </c>
      <c r="F855" s="539">
        <v>1.0238559417E11</v>
      </c>
      <c r="G855" s="308" t="s">
        <v>1554</v>
      </c>
      <c r="H855" s="315">
        <v>45890.0</v>
      </c>
    </row>
    <row r="856">
      <c r="A856" s="308">
        <v>32.0</v>
      </c>
      <c r="B856" s="539" t="s">
        <v>2850</v>
      </c>
      <c r="C856" s="308">
        <v>1.0</v>
      </c>
      <c r="D856" s="314">
        <v>11.1</v>
      </c>
      <c r="E856" s="365">
        <v>1.0</v>
      </c>
      <c r="F856" s="539" t="s">
        <v>2851</v>
      </c>
      <c r="G856" s="308" t="s">
        <v>1554</v>
      </c>
      <c r="H856" s="315">
        <v>45890.0</v>
      </c>
    </row>
    <row r="857">
      <c r="A857" s="308"/>
      <c r="B857" s="539" t="s">
        <v>2852</v>
      </c>
      <c r="C857" s="308">
        <v>1.0</v>
      </c>
      <c r="D857" s="314">
        <v>34.5</v>
      </c>
      <c r="E857" s="365">
        <v>1.0</v>
      </c>
      <c r="F857" s="539" t="s">
        <v>2853</v>
      </c>
      <c r="G857" s="308" t="s">
        <v>158</v>
      </c>
      <c r="H857" s="315">
        <v>46085.0</v>
      </c>
    </row>
    <row r="858">
      <c r="A858" s="308"/>
      <c r="B858" s="539" t="s">
        <v>2852</v>
      </c>
      <c r="C858" s="308">
        <v>1.0</v>
      </c>
      <c r="D858" s="314">
        <v>34.5</v>
      </c>
      <c r="E858" s="365">
        <v>1.0</v>
      </c>
      <c r="F858" s="539" t="s">
        <v>2854</v>
      </c>
      <c r="G858" s="308" t="s">
        <v>158</v>
      </c>
      <c r="H858" s="315">
        <v>46085.0</v>
      </c>
    </row>
    <row r="859">
      <c r="A859" s="308"/>
      <c r="B859" s="539" t="s">
        <v>2855</v>
      </c>
      <c r="C859" s="308">
        <v>1.0</v>
      </c>
      <c r="D859" s="314">
        <v>11.5</v>
      </c>
      <c r="E859" s="365">
        <v>1.0</v>
      </c>
      <c r="F859" s="539" t="s">
        <v>2856</v>
      </c>
      <c r="G859" s="308" t="s">
        <v>158</v>
      </c>
      <c r="H859" s="315">
        <v>46085.0</v>
      </c>
    </row>
    <row r="860">
      <c r="A860" s="440" t="s">
        <v>1562</v>
      </c>
      <c r="B860" s="3"/>
      <c r="C860" s="425">
        <f t="shared" ref="C860:E860" si="21">sum(C825:C859)</f>
        <v>23</v>
      </c>
      <c r="D860" s="427">
        <f t="shared" si="21"/>
        <v>424.2</v>
      </c>
      <c r="E860" s="360">
        <f t="shared" si="21"/>
        <v>23</v>
      </c>
      <c r="F860" s="425"/>
      <c r="G860" s="428"/>
      <c r="H860" s="428"/>
    </row>
    <row r="861">
      <c r="A861" s="306"/>
      <c r="B861" s="306"/>
      <c r="C861" s="306"/>
      <c r="D861" s="306"/>
      <c r="E861" s="306"/>
      <c r="F861" s="306"/>
      <c r="G861" s="306"/>
      <c r="H861" s="306"/>
    </row>
    <row r="862">
      <c r="A862" s="306"/>
      <c r="B862" s="306"/>
      <c r="C862" s="306"/>
      <c r="D862" s="306"/>
      <c r="E862" s="306"/>
      <c r="F862" s="306"/>
      <c r="G862" s="306"/>
      <c r="H862" s="306"/>
    </row>
    <row r="863">
      <c r="A863" s="485" t="s">
        <v>2857</v>
      </c>
      <c r="B863" s="290"/>
      <c r="C863" s="290"/>
      <c r="D863" s="290"/>
      <c r="E863" s="290"/>
      <c r="F863" s="290"/>
      <c r="G863" s="290"/>
      <c r="H863" s="291"/>
    </row>
    <row r="864">
      <c r="A864" s="292"/>
      <c r="B864" s="293"/>
      <c r="C864" s="293"/>
      <c r="D864" s="293"/>
      <c r="E864" s="293"/>
      <c r="F864" s="293"/>
      <c r="G864" s="293"/>
      <c r="H864" s="294"/>
    </row>
    <row r="865">
      <c r="A865" s="420" t="s">
        <v>1435</v>
      </c>
      <c r="B865" s="420" t="s">
        <v>1436</v>
      </c>
      <c r="C865" s="420" t="s">
        <v>1843</v>
      </c>
      <c r="D865" s="421" t="s">
        <v>1438</v>
      </c>
      <c r="E865" s="422" t="s">
        <v>1564</v>
      </c>
      <c r="F865" s="420" t="s">
        <v>1440</v>
      </c>
      <c r="G865" s="420" t="s">
        <v>1844</v>
      </c>
      <c r="H865" s="424" t="s">
        <v>1441</v>
      </c>
    </row>
    <row r="866">
      <c r="A866" s="425">
        <v>1.0</v>
      </c>
      <c r="B866" s="425" t="s">
        <v>1443</v>
      </c>
      <c r="C866" s="425">
        <v>1.0</v>
      </c>
      <c r="D866" s="427">
        <v>144.0</v>
      </c>
      <c r="E866" s="360"/>
      <c r="F866" s="425" t="s">
        <v>1518</v>
      </c>
      <c r="G866" s="425" t="s">
        <v>1446</v>
      </c>
      <c r="H866" s="428"/>
    </row>
    <row r="867">
      <c r="A867" s="425">
        <v>2.0</v>
      </c>
      <c r="B867" s="425" t="s">
        <v>1444</v>
      </c>
      <c r="C867" s="425">
        <v>2.0</v>
      </c>
      <c r="D867" s="427">
        <v>3.2</v>
      </c>
      <c r="E867" s="360"/>
      <c r="F867" s="425" t="s">
        <v>1518</v>
      </c>
      <c r="G867" s="425" t="s">
        <v>1446</v>
      </c>
      <c r="H867" s="428">
        <v>44574.0</v>
      </c>
    </row>
    <row r="868">
      <c r="A868" s="425">
        <v>3.0</v>
      </c>
      <c r="B868" s="425" t="s">
        <v>1853</v>
      </c>
      <c r="C868" s="425">
        <v>1.0</v>
      </c>
      <c r="D868" s="427">
        <v>5.0</v>
      </c>
      <c r="E868" s="360">
        <v>1.0</v>
      </c>
      <c r="F868" s="425" t="s">
        <v>1518</v>
      </c>
      <c r="G868" s="425" t="s">
        <v>1446</v>
      </c>
      <c r="H868" s="428">
        <v>44596.0</v>
      </c>
    </row>
    <row r="869">
      <c r="A869" s="429">
        <v>4.0</v>
      </c>
      <c r="B869" s="429" t="s">
        <v>2557</v>
      </c>
      <c r="C869" s="429"/>
      <c r="D869" s="324"/>
      <c r="E869" s="325"/>
      <c r="F869" s="429" t="s">
        <v>2858</v>
      </c>
      <c r="G869" s="429" t="s">
        <v>1446</v>
      </c>
      <c r="H869" s="303" t="s">
        <v>2859</v>
      </c>
    </row>
    <row r="870">
      <c r="A870" s="425">
        <v>5.0</v>
      </c>
      <c r="B870" s="425" t="s">
        <v>2555</v>
      </c>
      <c r="C870" s="425">
        <v>1.0</v>
      </c>
      <c r="D870" s="427">
        <v>2.0</v>
      </c>
      <c r="E870" s="360">
        <v>1.0</v>
      </c>
      <c r="F870" s="425" t="s">
        <v>2860</v>
      </c>
      <c r="G870" s="299" t="s">
        <v>1446</v>
      </c>
      <c r="H870" s="428">
        <v>44629.0</v>
      </c>
    </row>
    <row r="871">
      <c r="A871" s="425">
        <v>6.0</v>
      </c>
      <c r="B871" s="540" t="s">
        <v>2555</v>
      </c>
      <c r="C871" s="425">
        <v>1.0</v>
      </c>
      <c r="D871" s="427">
        <v>2.0</v>
      </c>
      <c r="E871" s="360">
        <v>1.0</v>
      </c>
      <c r="F871" s="425" t="s">
        <v>2861</v>
      </c>
      <c r="G871" s="299" t="s">
        <v>1446</v>
      </c>
      <c r="H871" s="428">
        <v>44629.0</v>
      </c>
    </row>
    <row r="872">
      <c r="A872" s="425">
        <v>7.0</v>
      </c>
      <c r="B872" s="425" t="s">
        <v>2862</v>
      </c>
      <c r="C872" s="425">
        <v>1.0</v>
      </c>
      <c r="D872" s="427">
        <v>4.6</v>
      </c>
      <c r="E872" s="360">
        <v>1.0</v>
      </c>
      <c r="F872" s="425"/>
      <c r="G872" s="425" t="s">
        <v>1446</v>
      </c>
      <c r="H872" s="428">
        <v>44629.0</v>
      </c>
    </row>
    <row r="873">
      <c r="A873" s="425">
        <v>8.0</v>
      </c>
      <c r="B873" s="425" t="s">
        <v>2863</v>
      </c>
      <c r="C873" s="425">
        <v>1.0</v>
      </c>
      <c r="D873" s="427">
        <v>1.5</v>
      </c>
      <c r="E873" s="360">
        <v>1.0</v>
      </c>
      <c r="F873" s="425" t="s">
        <v>2864</v>
      </c>
      <c r="G873" s="425" t="s">
        <v>1446</v>
      </c>
      <c r="H873" s="425" t="s">
        <v>2555</v>
      </c>
    </row>
    <row r="874">
      <c r="A874" s="425">
        <v>9.0</v>
      </c>
      <c r="B874" s="425" t="s">
        <v>2865</v>
      </c>
      <c r="C874" s="425">
        <v>1.0</v>
      </c>
      <c r="D874" s="427">
        <v>19.1</v>
      </c>
      <c r="E874" s="360">
        <v>1.0</v>
      </c>
      <c r="F874" s="425" t="s">
        <v>2866</v>
      </c>
      <c r="G874" s="425" t="s">
        <v>1446</v>
      </c>
      <c r="H874" s="428">
        <v>44831.0</v>
      </c>
    </row>
    <row r="875">
      <c r="A875" s="425">
        <v>10.0</v>
      </c>
      <c r="B875" s="425" t="s">
        <v>2867</v>
      </c>
      <c r="C875" s="425">
        <v>1.0</v>
      </c>
      <c r="D875" s="427">
        <v>19.1</v>
      </c>
      <c r="E875" s="360">
        <v>1.0</v>
      </c>
      <c r="F875" s="425"/>
      <c r="G875" s="425" t="s">
        <v>1446</v>
      </c>
      <c r="H875" s="428">
        <v>44823.0</v>
      </c>
    </row>
    <row r="876">
      <c r="A876" s="299">
        <v>11.0</v>
      </c>
      <c r="B876" s="299" t="s">
        <v>2868</v>
      </c>
      <c r="C876" s="299">
        <v>1.0</v>
      </c>
      <c r="D876" s="300">
        <v>1.6</v>
      </c>
      <c r="E876" s="360">
        <v>1.0</v>
      </c>
      <c r="F876" s="299" t="s">
        <v>2869</v>
      </c>
      <c r="G876" s="299" t="s">
        <v>2870</v>
      </c>
      <c r="H876" s="301">
        <v>44935.0</v>
      </c>
    </row>
    <row r="877">
      <c r="A877" s="299">
        <v>12.0</v>
      </c>
      <c r="B877" s="299" t="s">
        <v>1620</v>
      </c>
      <c r="C877" s="299">
        <v>1.0</v>
      </c>
      <c r="D877" s="300">
        <v>2.6</v>
      </c>
      <c r="E877" s="360">
        <v>1.0</v>
      </c>
      <c r="F877" s="299" t="s">
        <v>2871</v>
      </c>
      <c r="G877" s="299" t="s">
        <v>1446</v>
      </c>
      <c r="H877" s="301">
        <v>45119.0</v>
      </c>
    </row>
    <row r="878">
      <c r="A878" s="303">
        <v>13.0</v>
      </c>
      <c r="B878" s="303" t="s">
        <v>1523</v>
      </c>
      <c r="C878" s="303"/>
      <c r="D878" s="303"/>
      <c r="E878" s="325"/>
      <c r="F878" s="303" t="s">
        <v>2872</v>
      </c>
      <c r="G878" s="303" t="s">
        <v>2873</v>
      </c>
      <c r="H878" s="305">
        <v>45119.0</v>
      </c>
    </row>
    <row r="879">
      <c r="A879" s="299">
        <v>14.0</v>
      </c>
      <c r="B879" s="299" t="s">
        <v>2874</v>
      </c>
      <c r="C879" s="299">
        <v>1.0</v>
      </c>
      <c r="D879" s="299">
        <v>7.8</v>
      </c>
      <c r="E879" s="360">
        <v>1.0</v>
      </c>
      <c r="F879" s="299" t="s">
        <v>2875</v>
      </c>
      <c r="G879" s="299" t="s">
        <v>1518</v>
      </c>
      <c r="H879" s="301">
        <v>45125.0</v>
      </c>
    </row>
    <row r="880">
      <c r="A880" s="299">
        <v>15.0</v>
      </c>
      <c r="B880" s="299" t="s">
        <v>2874</v>
      </c>
      <c r="C880" s="299">
        <v>1.0</v>
      </c>
      <c r="D880" s="299">
        <v>7.8</v>
      </c>
      <c r="E880" s="360">
        <v>1.0</v>
      </c>
      <c r="F880" s="299" t="s">
        <v>2876</v>
      </c>
      <c r="G880" s="299" t="s">
        <v>1554</v>
      </c>
      <c r="H880" s="301">
        <v>45133.0</v>
      </c>
    </row>
    <row r="881">
      <c r="A881" s="303">
        <v>16.0</v>
      </c>
      <c r="B881" s="303" t="s">
        <v>2504</v>
      </c>
      <c r="C881" s="303"/>
      <c r="D881" s="303"/>
      <c r="E881" s="327"/>
      <c r="F881" s="303" t="s">
        <v>2877</v>
      </c>
      <c r="G881" s="303" t="s">
        <v>1446</v>
      </c>
      <c r="H881" s="303" t="s">
        <v>2878</v>
      </c>
    </row>
    <row r="882">
      <c r="A882" s="303">
        <v>17.0</v>
      </c>
      <c r="B882" s="303" t="s">
        <v>2879</v>
      </c>
      <c r="C882" s="303">
        <v>1.0</v>
      </c>
      <c r="D882" s="303">
        <v>8.4</v>
      </c>
      <c r="E882" s="327">
        <v>1.0</v>
      </c>
      <c r="F882" s="303" t="s">
        <v>215</v>
      </c>
      <c r="G882" s="303" t="s">
        <v>1446</v>
      </c>
      <c r="H882" s="305">
        <v>45271.0</v>
      </c>
    </row>
    <row r="883">
      <c r="A883" s="306">
        <v>18.0</v>
      </c>
      <c r="B883" s="306" t="s">
        <v>1635</v>
      </c>
      <c r="C883" s="306">
        <v>1.0</v>
      </c>
      <c r="D883" s="307">
        <v>17.4</v>
      </c>
      <c r="E883" s="453">
        <v>1.0</v>
      </c>
      <c r="F883" s="306" t="s">
        <v>2880</v>
      </c>
      <c r="G883" s="306" t="s">
        <v>2881</v>
      </c>
      <c r="H883" s="454">
        <v>45446.0</v>
      </c>
    </row>
    <row r="884">
      <c r="A884" s="299">
        <v>19.0</v>
      </c>
      <c r="B884" s="299" t="s">
        <v>2882</v>
      </c>
      <c r="C884" s="299">
        <v>1.0</v>
      </c>
      <c r="D884" s="300">
        <v>8.8</v>
      </c>
      <c r="E884" s="331">
        <v>1.0</v>
      </c>
      <c r="F884" s="425"/>
      <c r="G884" s="299" t="s">
        <v>1446</v>
      </c>
      <c r="H884" s="301">
        <v>45706.0</v>
      </c>
    </row>
    <row r="885">
      <c r="A885" s="299">
        <v>20.0</v>
      </c>
      <c r="B885" s="299" t="s">
        <v>1696</v>
      </c>
      <c r="C885" s="299">
        <v>1.0</v>
      </c>
      <c r="D885" s="300">
        <v>10.0</v>
      </c>
      <c r="E885" s="331">
        <v>1.0</v>
      </c>
      <c r="F885" s="299" t="s">
        <v>2883</v>
      </c>
      <c r="G885" s="299" t="s">
        <v>1446</v>
      </c>
      <c r="H885" s="301">
        <v>45750.0</v>
      </c>
    </row>
    <row r="886">
      <c r="A886" s="303">
        <v>21.0</v>
      </c>
      <c r="B886" s="303" t="s">
        <v>2884</v>
      </c>
      <c r="C886" s="303"/>
      <c r="D886" s="304"/>
      <c r="E886" s="327"/>
      <c r="F886" s="303" t="s">
        <v>2885</v>
      </c>
      <c r="G886" s="303" t="s">
        <v>1554</v>
      </c>
      <c r="H886" s="303" t="s">
        <v>2886</v>
      </c>
    </row>
    <row r="887">
      <c r="A887" s="425"/>
      <c r="B887" s="299" t="s">
        <v>1696</v>
      </c>
      <c r="C887" s="299">
        <v>1.0</v>
      </c>
      <c r="D887" s="300">
        <v>10.0</v>
      </c>
      <c r="E887" s="331">
        <v>1.0</v>
      </c>
      <c r="F887" s="299" t="s">
        <v>2887</v>
      </c>
      <c r="G887" s="299" t="s">
        <v>1446</v>
      </c>
      <c r="H887" s="301">
        <v>46011.0</v>
      </c>
    </row>
    <row r="888">
      <c r="A888" s="440" t="s">
        <v>1562</v>
      </c>
      <c r="B888" s="3"/>
      <c r="C888" s="425">
        <f>sum(C866:C886)</f>
        <v>18</v>
      </c>
      <c r="D888" s="427">
        <f>sum(D866:D887)</f>
        <v>274.9</v>
      </c>
      <c r="E888" s="360">
        <f>sum(E868:E887)</f>
        <v>16</v>
      </c>
      <c r="F888" s="425"/>
      <c r="G888" s="299"/>
      <c r="H888" s="301"/>
    </row>
    <row r="889">
      <c r="A889" s="306"/>
      <c r="B889" s="306"/>
      <c r="C889" s="306"/>
      <c r="D889" s="306"/>
      <c r="E889" s="306"/>
      <c r="F889" s="306"/>
      <c r="G889" s="306" t="s">
        <v>2888</v>
      </c>
      <c r="H889" s="306"/>
    </row>
    <row r="890">
      <c r="A890" s="306"/>
      <c r="B890" s="306"/>
      <c r="C890" s="306"/>
      <c r="D890" s="306"/>
      <c r="E890" s="306"/>
      <c r="F890" s="306"/>
      <c r="G890" s="306"/>
      <c r="H890" s="306"/>
    </row>
    <row r="891">
      <c r="A891" s="485" t="s">
        <v>2889</v>
      </c>
      <c r="B891" s="290"/>
      <c r="C891" s="290"/>
      <c r="D891" s="290"/>
      <c r="E891" s="290"/>
      <c r="F891" s="290"/>
      <c r="G891" s="290"/>
      <c r="H891" s="291"/>
    </row>
    <row r="892">
      <c r="A892" s="292"/>
      <c r="B892" s="293"/>
      <c r="C892" s="293"/>
      <c r="D892" s="293"/>
      <c r="E892" s="293"/>
      <c r="F892" s="293"/>
      <c r="G892" s="293"/>
      <c r="H892" s="294"/>
    </row>
    <row r="893">
      <c r="A893" s="420" t="s">
        <v>1435</v>
      </c>
      <c r="B893" s="420" t="s">
        <v>1436</v>
      </c>
      <c r="C893" s="420" t="s">
        <v>1843</v>
      </c>
      <c r="D893" s="421" t="s">
        <v>1438</v>
      </c>
      <c r="E893" s="422" t="s">
        <v>1564</v>
      </c>
      <c r="F893" s="420" t="s">
        <v>1440</v>
      </c>
      <c r="G893" s="420" t="s">
        <v>1844</v>
      </c>
      <c r="H893" s="424" t="s">
        <v>1441</v>
      </c>
    </row>
    <row r="894">
      <c r="A894" s="425">
        <v>1.0</v>
      </c>
      <c r="B894" s="425" t="s">
        <v>1443</v>
      </c>
      <c r="C894" s="425">
        <v>1.0</v>
      </c>
      <c r="D894" s="427">
        <v>144.0</v>
      </c>
      <c r="E894" s="360"/>
      <c r="F894" s="425" t="s">
        <v>1518</v>
      </c>
      <c r="G894" s="425" t="s">
        <v>1446</v>
      </c>
      <c r="H894" s="428"/>
    </row>
    <row r="895">
      <c r="A895" s="425">
        <v>2.0</v>
      </c>
      <c r="B895" s="425" t="s">
        <v>1444</v>
      </c>
      <c r="C895" s="425">
        <v>2.0</v>
      </c>
      <c r="D895" s="427">
        <v>3.2</v>
      </c>
      <c r="E895" s="360"/>
      <c r="F895" s="425" t="s">
        <v>1518</v>
      </c>
      <c r="G895" s="425" t="s">
        <v>1446</v>
      </c>
      <c r="H895" s="428">
        <v>44574.0</v>
      </c>
    </row>
    <row r="896">
      <c r="A896" s="425">
        <v>3.0</v>
      </c>
      <c r="B896" s="425" t="s">
        <v>1853</v>
      </c>
      <c r="C896" s="425">
        <v>1.0</v>
      </c>
      <c r="D896" s="427">
        <v>5.0</v>
      </c>
      <c r="E896" s="360">
        <v>1.0</v>
      </c>
      <c r="F896" s="425" t="s">
        <v>1518</v>
      </c>
      <c r="G896" s="425" t="s">
        <v>1446</v>
      </c>
      <c r="H896" s="428">
        <v>44596.0</v>
      </c>
    </row>
    <row r="897">
      <c r="A897" s="429">
        <v>4.0</v>
      </c>
      <c r="B897" s="429" t="s">
        <v>1573</v>
      </c>
      <c r="C897" s="429"/>
      <c r="D897" s="324"/>
      <c r="E897" s="325"/>
      <c r="F897" s="429"/>
      <c r="G897" s="303" t="s">
        <v>2890</v>
      </c>
      <c r="H897" s="326">
        <v>44795.0</v>
      </c>
    </row>
    <row r="898">
      <c r="A898" s="425">
        <v>5.0</v>
      </c>
      <c r="B898" s="471" t="s">
        <v>1573</v>
      </c>
      <c r="C898" s="425">
        <v>1.0</v>
      </c>
      <c r="D898" s="427">
        <v>17.2</v>
      </c>
      <c r="E898" s="360">
        <v>1.0</v>
      </c>
      <c r="F898" s="425" t="s">
        <v>2891</v>
      </c>
      <c r="G898" s="425" t="s">
        <v>1446</v>
      </c>
      <c r="H898" s="428">
        <v>44795.0</v>
      </c>
    </row>
    <row r="899">
      <c r="A899" s="425">
        <v>6.0</v>
      </c>
      <c r="B899" s="471" t="s">
        <v>1573</v>
      </c>
      <c r="C899" s="425">
        <v>1.0</v>
      </c>
      <c r="D899" s="427">
        <v>17.2</v>
      </c>
      <c r="E899" s="360">
        <v>1.0</v>
      </c>
      <c r="F899" s="425" t="s">
        <v>2892</v>
      </c>
      <c r="G899" s="425" t="s">
        <v>1446</v>
      </c>
      <c r="H899" s="428">
        <v>44795.0</v>
      </c>
    </row>
    <row r="900">
      <c r="A900" s="429">
        <v>7.0</v>
      </c>
      <c r="B900" s="429" t="s">
        <v>1846</v>
      </c>
      <c r="C900" s="429"/>
      <c r="D900" s="324"/>
      <c r="E900" s="325"/>
      <c r="F900" s="429" t="s">
        <v>2893</v>
      </c>
      <c r="G900" s="303" t="s">
        <v>2894</v>
      </c>
      <c r="H900" s="326">
        <v>44795.0</v>
      </c>
    </row>
    <row r="901">
      <c r="A901" s="429">
        <v>8.0</v>
      </c>
      <c r="B901" s="303" t="s">
        <v>2895</v>
      </c>
      <c r="C901" s="303"/>
      <c r="D901" s="324"/>
      <c r="E901" s="325"/>
      <c r="F901" s="429" t="s">
        <v>2896</v>
      </c>
      <c r="G901" s="303" t="s">
        <v>2897</v>
      </c>
      <c r="H901" s="326">
        <v>44813.0</v>
      </c>
    </row>
    <row r="902">
      <c r="A902" s="303">
        <v>9.0</v>
      </c>
      <c r="B902" s="303" t="s">
        <v>2874</v>
      </c>
      <c r="C902" s="303"/>
      <c r="D902" s="304"/>
      <c r="E902" s="327"/>
      <c r="F902" s="303" t="s">
        <v>2898</v>
      </c>
      <c r="G902" s="303" t="s">
        <v>2894</v>
      </c>
      <c r="H902" s="305">
        <v>45083.0</v>
      </c>
    </row>
    <row r="903">
      <c r="A903" s="299">
        <v>10.0</v>
      </c>
      <c r="B903" s="308" t="s">
        <v>2874</v>
      </c>
      <c r="C903" s="299">
        <v>1.0</v>
      </c>
      <c r="D903" s="300">
        <v>7.8</v>
      </c>
      <c r="E903" s="331">
        <v>1.0</v>
      </c>
      <c r="F903" s="299" t="s">
        <v>2899</v>
      </c>
      <c r="G903" s="299" t="s">
        <v>1554</v>
      </c>
      <c r="H903" s="301">
        <v>45083.0</v>
      </c>
    </row>
    <row r="904">
      <c r="A904" s="299">
        <v>11.0</v>
      </c>
      <c r="B904" s="471" t="s">
        <v>1573</v>
      </c>
      <c r="C904" s="425">
        <v>1.0</v>
      </c>
      <c r="D904" s="427">
        <v>17.2</v>
      </c>
      <c r="E904" s="360">
        <v>1.0</v>
      </c>
      <c r="F904" s="299" t="s">
        <v>2900</v>
      </c>
      <c r="G904" s="425" t="s">
        <v>1446</v>
      </c>
      <c r="H904" s="301">
        <v>45145.0</v>
      </c>
    </row>
    <row r="905">
      <c r="A905" s="303">
        <v>12.0</v>
      </c>
      <c r="B905" s="429" t="s">
        <v>1573</v>
      </c>
      <c r="C905" s="303"/>
      <c r="D905" s="304"/>
      <c r="E905" s="327"/>
      <c r="F905" s="303" t="s">
        <v>2901</v>
      </c>
      <c r="G905" s="303" t="s">
        <v>2902</v>
      </c>
      <c r="H905" s="305">
        <v>45176.0</v>
      </c>
    </row>
    <row r="906">
      <c r="A906" s="306">
        <v>13.0</v>
      </c>
      <c r="B906" s="306" t="s">
        <v>1573</v>
      </c>
      <c r="C906" s="306">
        <v>1.0</v>
      </c>
      <c r="D906" s="307">
        <v>18.3</v>
      </c>
      <c r="E906" s="453">
        <v>1.0</v>
      </c>
      <c r="F906" s="306" t="s">
        <v>2903</v>
      </c>
      <c r="G906" s="306" t="s">
        <v>2904</v>
      </c>
      <c r="H906" s="454">
        <v>45196.0</v>
      </c>
    </row>
    <row r="907">
      <c r="A907" s="303">
        <v>14.0</v>
      </c>
      <c r="B907" s="303" t="s">
        <v>1573</v>
      </c>
      <c r="C907" s="303"/>
      <c r="D907" s="304"/>
      <c r="E907" s="304"/>
      <c r="F907" s="303" t="s">
        <v>2905</v>
      </c>
      <c r="G907" s="303" t="s">
        <v>2906</v>
      </c>
      <c r="H907" s="305">
        <v>45202.0</v>
      </c>
    </row>
    <row r="908">
      <c r="A908" s="308">
        <v>15.0</v>
      </c>
      <c r="B908" s="306" t="s">
        <v>1573</v>
      </c>
      <c r="C908" s="308">
        <v>1.0</v>
      </c>
      <c r="D908" s="314">
        <v>17.5</v>
      </c>
      <c r="E908" s="453">
        <v>1.0</v>
      </c>
      <c r="F908" s="308" t="s">
        <v>2907</v>
      </c>
      <c r="G908" s="308" t="s">
        <v>1446</v>
      </c>
      <c r="H908" s="315">
        <v>45234.0</v>
      </c>
    </row>
    <row r="909">
      <c r="A909" s="308">
        <v>16.0</v>
      </c>
      <c r="B909" s="306" t="s">
        <v>1573</v>
      </c>
      <c r="C909" s="308">
        <v>1.0</v>
      </c>
      <c r="D909" s="314">
        <v>17.5</v>
      </c>
      <c r="E909" s="453">
        <v>1.0</v>
      </c>
      <c r="F909" s="308" t="s">
        <v>2908</v>
      </c>
      <c r="G909" s="308" t="s">
        <v>1446</v>
      </c>
      <c r="H909" s="315">
        <v>45234.0</v>
      </c>
    </row>
    <row r="910">
      <c r="A910" s="308">
        <v>17.0</v>
      </c>
      <c r="B910" s="308" t="s">
        <v>1573</v>
      </c>
      <c r="C910" s="308">
        <v>1.0</v>
      </c>
      <c r="D910" s="314">
        <v>17.5</v>
      </c>
      <c r="E910" s="365">
        <v>1.0</v>
      </c>
      <c r="F910" s="308" t="s">
        <v>2909</v>
      </c>
      <c r="G910" s="308" t="s">
        <v>1446</v>
      </c>
      <c r="H910" s="315">
        <v>45246.0</v>
      </c>
    </row>
    <row r="911">
      <c r="A911" s="303">
        <v>18.0</v>
      </c>
      <c r="B911" s="303" t="s">
        <v>2910</v>
      </c>
      <c r="C911" s="303"/>
      <c r="D911" s="304"/>
      <c r="E911" s="327"/>
      <c r="F911" s="303" t="s">
        <v>2911</v>
      </c>
      <c r="G911" s="303" t="s">
        <v>2912</v>
      </c>
      <c r="H911" s="305">
        <v>45468.0</v>
      </c>
    </row>
    <row r="912">
      <c r="A912" s="308">
        <v>19.0</v>
      </c>
      <c r="B912" s="308" t="s">
        <v>2913</v>
      </c>
      <c r="C912" s="308">
        <v>1.0</v>
      </c>
      <c r="D912" s="314">
        <v>9.8</v>
      </c>
      <c r="E912" s="365">
        <v>1.0</v>
      </c>
      <c r="F912" s="308" t="s">
        <v>2914</v>
      </c>
      <c r="G912" s="308" t="s">
        <v>1554</v>
      </c>
      <c r="H912" s="315">
        <v>45714.0</v>
      </c>
    </row>
    <row r="913">
      <c r="A913" s="299">
        <v>20.0</v>
      </c>
      <c r="B913" s="299" t="s">
        <v>2915</v>
      </c>
      <c r="C913" s="299">
        <v>1.0</v>
      </c>
      <c r="D913" s="427"/>
      <c r="E913" s="331">
        <v>1.0</v>
      </c>
      <c r="F913" s="299" t="s">
        <v>2916</v>
      </c>
      <c r="G913" s="299" t="s">
        <v>1554</v>
      </c>
      <c r="H913" s="301">
        <v>45665.0</v>
      </c>
    </row>
    <row r="914">
      <c r="A914" s="299">
        <v>21.0</v>
      </c>
      <c r="B914" s="299" t="s">
        <v>2917</v>
      </c>
      <c r="C914" s="299">
        <v>1.0</v>
      </c>
      <c r="D914" s="300">
        <v>2.7</v>
      </c>
      <c r="E914" s="331">
        <v>1.0</v>
      </c>
      <c r="F914" s="299" t="s">
        <v>2918</v>
      </c>
      <c r="G914" s="299" t="s">
        <v>1554</v>
      </c>
      <c r="H914" s="301">
        <v>46051.0</v>
      </c>
    </row>
    <row r="915">
      <c r="A915" s="299">
        <v>22.0</v>
      </c>
      <c r="B915" s="299" t="s">
        <v>2919</v>
      </c>
      <c r="C915" s="299">
        <v>1.0</v>
      </c>
      <c r="D915" s="300">
        <v>3.4</v>
      </c>
      <c r="E915" s="331"/>
      <c r="F915" s="299" t="s">
        <v>2920</v>
      </c>
      <c r="G915" s="299" t="s">
        <v>1554</v>
      </c>
      <c r="H915" s="301">
        <v>46051.0</v>
      </c>
    </row>
    <row r="916">
      <c r="A916" s="366" t="s">
        <v>1562</v>
      </c>
      <c r="B916" s="3"/>
      <c r="C916" s="425">
        <f t="shared" ref="C916:D916" si="22">sum(C894:C911)</f>
        <v>12</v>
      </c>
      <c r="D916" s="427">
        <f t="shared" si="22"/>
        <v>282.4</v>
      </c>
      <c r="E916" s="360">
        <f>sum(E896:E911)</f>
        <v>9</v>
      </c>
      <c r="F916" s="425"/>
      <c r="G916" s="428"/>
      <c r="H916" s="428"/>
    </row>
    <row r="917">
      <c r="A917" s="306"/>
      <c r="B917" s="306"/>
      <c r="C917" s="306"/>
      <c r="D917" s="306"/>
      <c r="E917" s="306"/>
      <c r="F917" s="306"/>
      <c r="G917" s="306"/>
      <c r="H917" s="306"/>
    </row>
    <row r="918">
      <c r="A918" s="306"/>
      <c r="B918" s="306"/>
      <c r="C918" s="306"/>
      <c r="D918" s="306"/>
      <c r="E918" s="306"/>
      <c r="F918" s="306"/>
      <c r="G918" s="306"/>
      <c r="H918" s="306"/>
    </row>
    <row r="919">
      <c r="A919" s="485" t="s">
        <v>2921</v>
      </c>
      <c r="B919" s="290"/>
      <c r="C919" s="290"/>
      <c r="D919" s="290"/>
      <c r="E919" s="290"/>
      <c r="F919" s="290"/>
      <c r="G919" s="290"/>
      <c r="H919" s="291"/>
    </row>
    <row r="920">
      <c r="A920" s="292"/>
      <c r="B920" s="293"/>
      <c r="C920" s="293"/>
      <c r="D920" s="293"/>
      <c r="E920" s="293"/>
      <c r="F920" s="293"/>
      <c r="G920" s="293"/>
      <c r="H920" s="294"/>
    </row>
    <row r="921">
      <c r="A921" s="517" t="s">
        <v>1435</v>
      </c>
      <c r="B921" s="517" t="s">
        <v>1436</v>
      </c>
      <c r="C921" s="517" t="s">
        <v>1843</v>
      </c>
      <c r="D921" s="421" t="s">
        <v>1438</v>
      </c>
      <c r="E921" s="422" t="s">
        <v>1564</v>
      </c>
      <c r="F921" s="517" t="s">
        <v>1440</v>
      </c>
      <c r="G921" s="517" t="s">
        <v>1844</v>
      </c>
      <c r="H921" s="424" t="s">
        <v>1441</v>
      </c>
    </row>
    <row r="922">
      <c r="A922" s="364">
        <v>1.0</v>
      </c>
      <c r="B922" s="364" t="s">
        <v>1443</v>
      </c>
      <c r="C922" s="364">
        <v>1.0</v>
      </c>
      <c r="D922" s="300">
        <v>144.0</v>
      </c>
      <c r="E922" s="360"/>
      <c r="F922" s="364" t="s">
        <v>1518</v>
      </c>
      <c r="G922" s="364" t="s">
        <v>1446</v>
      </c>
      <c r="H922" s="428"/>
    </row>
    <row r="923">
      <c r="A923" s="364">
        <v>2.0</v>
      </c>
      <c r="B923" s="364" t="s">
        <v>1444</v>
      </c>
      <c r="C923" s="364">
        <v>2.0</v>
      </c>
      <c r="D923" s="300">
        <v>3.2</v>
      </c>
      <c r="E923" s="360"/>
      <c r="F923" s="364" t="s">
        <v>1518</v>
      </c>
      <c r="G923" s="364" t="s">
        <v>1446</v>
      </c>
      <c r="H923" s="428">
        <v>44574.0</v>
      </c>
    </row>
    <row r="924">
      <c r="A924" s="364">
        <v>3.0</v>
      </c>
      <c r="B924" s="364" t="s">
        <v>1853</v>
      </c>
      <c r="C924" s="364">
        <v>1.0</v>
      </c>
      <c r="D924" s="427">
        <v>5.0</v>
      </c>
      <c r="E924" s="360">
        <v>1.0</v>
      </c>
      <c r="F924" s="364" t="s">
        <v>1518</v>
      </c>
      <c r="G924" s="364" t="s">
        <v>1446</v>
      </c>
      <c r="H924" s="428">
        <v>44596.0</v>
      </c>
    </row>
    <row r="925">
      <c r="A925" s="364">
        <v>4.0</v>
      </c>
      <c r="B925" s="306" t="s">
        <v>2922</v>
      </c>
      <c r="C925" s="299">
        <v>1.0</v>
      </c>
      <c r="D925" s="307">
        <v>12.2</v>
      </c>
      <c r="E925" s="360">
        <v>1.0</v>
      </c>
      <c r="F925" s="299" t="s">
        <v>2923</v>
      </c>
      <c r="G925" s="364" t="s">
        <v>1446</v>
      </c>
      <c r="H925" s="301">
        <v>44755.0</v>
      </c>
    </row>
    <row r="926">
      <c r="A926" s="364">
        <v>5.0</v>
      </c>
      <c r="B926" s="306" t="s">
        <v>2922</v>
      </c>
      <c r="C926" s="299">
        <v>1.0</v>
      </c>
      <c r="D926" s="307">
        <v>12.2</v>
      </c>
      <c r="E926" s="360">
        <v>1.0</v>
      </c>
      <c r="F926" s="299" t="s">
        <v>2924</v>
      </c>
      <c r="G926" s="364" t="s">
        <v>1446</v>
      </c>
      <c r="H926" s="301">
        <v>44755.0</v>
      </c>
    </row>
    <row r="927">
      <c r="A927" s="364">
        <v>6.0</v>
      </c>
      <c r="B927" s="306" t="s">
        <v>2922</v>
      </c>
      <c r="C927" s="299">
        <v>1.0</v>
      </c>
      <c r="D927" s="307">
        <v>12.2</v>
      </c>
      <c r="E927" s="360">
        <v>1.0</v>
      </c>
      <c r="F927" s="299" t="s">
        <v>2925</v>
      </c>
      <c r="G927" s="364" t="s">
        <v>1446</v>
      </c>
      <c r="H927" s="301">
        <v>44755.0</v>
      </c>
    </row>
    <row r="928">
      <c r="A928" s="364">
        <v>7.0</v>
      </c>
      <c r="B928" s="306" t="s">
        <v>2922</v>
      </c>
      <c r="C928" s="299">
        <v>1.0</v>
      </c>
      <c r="D928" s="307">
        <v>12.2</v>
      </c>
      <c r="E928" s="360">
        <v>1.0</v>
      </c>
      <c r="F928" s="299" t="s">
        <v>2926</v>
      </c>
      <c r="G928" s="364" t="s">
        <v>1446</v>
      </c>
      <c r="H928" s="301">
        <v>44755.0</v>
      </c>
    </row>
    <row r="929">
      <c r="A929" s="299">
        <v>8.0</v>
      </c>
      <c r="B929" s="306" t="s">
        <v>2927</v>
      </c>
      <c r="C929" s="299">
        <v>1.0</v>
      </c>
      <c r="D929" s="300">
        <v>9.2</v>
      </c>
      <c r="E929" s="331">
        <v>1.0</v>
      </c>
      <c r="F929" s="299" t="s">
        <v>2928</v>
      </c>
      <c r="G929" s="364" t="s">
        <v>1446</v>
      </c>
      <c r="H929" s="301">
        <v>44755.0</v>
      </c>
    </row>
    <row r="930">
      <c r="A930" s="299">
        <v>9.0</v>
      </c>
      <c r="B930" s="299" t="s">
        <v>2929</v>
      </c>
      <c r="C930" s="299">
        <v>1.0</v>
      </c>
      <c r="D930" s="300">
        <v>15.3</v>
      </c>
      <c r="E930" s="331">
        <v>1.0</v>
      </c>
      <c r="F930" s="299" t="s">
        <v>2930</v>
      </c>
      <c r="G930" s="364" t="s">
        <v>1446</v>
      </c>
      <c r="H930" s="301">
        <v>44769.0</v>
      </c>
    </row>
    <row r="931">
      <c r="A931" s="299">
        <v>10.0</v>
      </c>
      <c r="B931" s="299" t="s">
        <v>2929</v>
      </c>
      <c r="C931" s="299">
        <v>1.0</v>
      </c>
      <c r="D931" s="300">
        <v>15.3</v>
      </c>
      <c r="E931" s="331">
        <v>1.0</v>
      </c>
      <c r="F931" s="299" t="s">
        <v>2931</v>
      </c>
      <c r="G931" s="364" t="s">
        <v>1446</v>
      </c>
      <c r="H931" s="301">
        <v>44769.0</v>
      </c>
    </row>
    <row r="932">
      <c r="A932" s="299">
        <v>11.0</v>
      </c>
      <c r="B932" s="299" t="s">
        <v>2929</v>
      </c>
      <c r="C932" s="299">
        <v>1.0</v>
      </c>
      <c r="D932" s="300">
        <v>15.3</v>
      </c>
      <c r="E932" s="331">
        <v>1.0</v>
      </c>
      <c r="F932" s="299" t="s">
        <v>2932</v>
      </c>
      <c r="G932" s="364" t="s">
        <v>1446</v>
      </c>
      <c r="H932" s="301">
        <v>44769.0</v>
      </c>
    </row>
    <row r="933">
      <c r="A933" s="303">
        <v>12.0</v>
      </c>
      <c r="B933" s="303" t="s">
        <v>2933</v>
      </c>
      <c r="C933" s="303"/>
      <c r="D933" s="304"/>
      <c r="E933" s="327"/>
      <c r="F933" s="303" t="s">
        <v>2934</v>
      </c>
      <c r="G933" s="303" t="s">
        <v>1848</v>
      </c>
      <c r="H933" s="305">
        <v>44769.0</v>
      </c>
    </row>
    <row r="934">
      <c r="A934" s="306">
        <v>13.0</v>
      </c>
      <c r="B934" s="306" t="s">
        <v>2935</v>
      </c>
      <c r="C934" s="306">
        <v>1.0</v>
      </c>
      <c r="D934" s="307">
        <v>25.0</v>
      </c>
      <c r="E934" s="453">
        <v>2.0</v>
      </c>
      <c r="F934" s="306" t="s">
        <v>2936</v>
      </c>
      <c r="G934" s="306" t="s">
        <v>2937</v>
      </c>
      <c r="H934" s="454">
        <v>44779.0</v>
      </c>
    </row>
    <row r="935">
      <c r="A935" s="306">
        <v>14.0</v>
      </c>
      <c r="B935" s="299" t="s">
        <v>2938</v>
      </c>
      <c r="C935" s="306">
        <v>1.0</v>
      </c>
      <c r="D935" s="307">
        <v>2.0</v>
      </c>
      <c r="E935" s="453">
        <v>1.0</v>
      </c>
      <c r="F935" s="306" t="s">
        <v>2939</v>
      </c>
      <c r="G935" s="306" t="s">
        <v>2937</v>
      </c>
      <c r="H935" s="454">
        <v>44798.0</v>
      </c>
    </row>
    <row r="936">
      <c r="A936" s="306">
        <v>15.0</v>
      </c>
      <c r="B936" s="299" t="s">
        <v>2935</v>
      </c>
      <c r="C936" s="306">
        <v>1.0</v>
      </c>
      <c r="D936" s="307">
        <v>22.9</v>
      </c>
      <c r="E936" s="453">
        <v>2.0</v>
      </c>
      <c r="F936" s="308" t="s">
        <v>2940</v>
      </c>
      <c r="G936" s="306" t="s">
        <v>1554</v>
      </c>
      <c r="H936" s="454">
        <v>45072.0</v>
      </c>
    </row>
    <row r="937">
      <c r="A937" s="299">
        <v>17.0</v>
      </c>
      <c r="B937" s="299" t="s">
        <v>2941</v>
      </c>
      <c r="C937" s="299">
        <v>1.0</v>
      </c>
      <c r="D937" s="300">
        <v>30.0</v>
      </c>
      <c r="E937" s="331">
        <v>1.0</v>
      </c>
      <c r="F937" s="364"/>
      <c r="G937" s="306" t="s">
        <v>1554</v>
      </c>
      <c r="H937" s="301">
        <v>45428.0</v>
      </c>
    </row>
    <row r="938">
      <c r="A938" s="299">
        <v>18.0</v>
      </c>
      <c r="B938" s="24" t="s">
        <v>2942</v>
      </c>
      <c r="C938" s="299">
        <v>1.0</v>
      </c>
      <c r="D938" s="541">
        <v>22.0</v>
      </c>
      <c r="E938" s="453">
        <v>2.0</v>
      </c>
      <c r="F938" s="299" t="s">
        <v>2943</v>
      </c>
      <c r="G938" s="306" t="s">
        <v>2904</v>
      </c>
      <c r="H938" s="301">
        <v>45624.0</v>
      </c>
    </row>
    <row r="939">
      <c r="A939" s="299">
        <v>19.0</v>
      </c>
      <c r="B939" s="24" t="s">
        <v>2944</v>
      </c>
      <c r="C939" s="299">
        <v>1.0</v>
      </c>
      <c r="D939" s="541">
        <v>20.9</v>
      </c>
      <c r="E939" s="453">
        <v>2.0</v>
      </c>
      <c r="F939" s="299" t="s">
        <v>2945</v>
      </c>
      <c r="G939" s="306" t="s">
        <v>2904</v>
      </c>
      <c r="H939" s="301">
        <v>45624.0</v>
      </c>
    </row>
    <row r="940">
      <c r="A940" s="299">
        <v>20.0</v>
      </c>
      <c r="B940" s="24" t="s">
        <v>2946</v>
      </c>
      <c r="C940" s="299">
        <v>1.0</v>
      </c>
      <c r="D940" s="541">
        <v>9.1</v>
      </c>
      <c r="E940" s="453">
        <v>2.0</v>
      </c>
      <c r="F940" s="299" t="s">
        <v>2947</v>
      </c>
      <c r="G940" s="306" t="s">
        <v>2904</v>
      </c>
      <c r="H940" s="301">
        <v>45624.0</v>
      </c>
    </row>
    <row r="941">
      <c r="A941" s="299">
        <v>21.0</v>
      </c>
      <c r="B941" s="24" t="s">
        <v>2948</v>
      </c>
      <c r="C941" s="299">
        <v>1.0</v>
      </c>
      <c r="D941" s="541">
        <v>8.8</v>
      </c>
      <c r="E941" s="453">
        <v>2.0</v>
      </c>
      <c r="F941" s="299" t="s">
        <v>2949</v>
      </c>
      <c r="G941" s="306" t="s">
        <v>2904</v>
      </c>
      <c r="H941" s="301">
        <v>45624.0</v>
      </c>
    </row>
    <row r="942">
      <c r="A942" s="542">
        <v>25.0</v>
      </c>
      <c r="B942" s="542" t="s">
        <v>2950</v>
      </c>
      <c r="C942" s="542">
        <v>1.0</v>
      </c>
      <c r="D942" s="543">
        <v>9.2</v>
      </c>
      <c r="E942" s="544">
        <v>1.0</v>
      </c>
      <c r="F942" s="545">
        <v>1.02525357026E11</v>
      </c>
      <c r="G942" s="542" t="s">
        <v>2951</v>
      </c>
      <c r="H942" s="546">
        <v>46022.0</v>
      </c>
    </row>
    <row r="943">
      <c r="A943" s="505" t="s">
        <v>1562</v>
      </c>
      <c r="B943" s="3"/>
      <c r="C943" s="364">
        <f t="shared" ref="C943:D943" si="23">sum(C922:C937)</f>
        <v>16</v>
      </c>
      <c r="D943" s="427">
        <f t="shared" si="23"/>
        <v>336</v>
      </c>
      <c r="E943" s="360">
        <f>sum(E924:E937)</f>
        <v>15</v>
      </c>
      <c r="F943" s="364"/>
      <c r="G943" s="428"/>
      <c r="H943" s="428"/>
    </row>
    <row r="944">
      <c r="A944" s="306"/>
      <c r="B944" s="306"/>
      <c r="C944" s="306"/>
      <c r="D944" s="306"/>
      <c r="E944" s="306"/>
      <c r="F944" s="306"/>
      <c r="G944" s="306"/>
      <c r="H944" s="306"/>
    </row>
    <row r="945">
      <c r="A945" s="306"/>
      <c r="B945" s="306"/>
      <c r="C945" s="306"/>
      <c r="D945" s="306"/>
      <c r="E945" s="306"/>
      <c r="F945" s="306"/>
      <c r="G945" s="306"/>
      <c r="H945" s="306"/>
    </row>
    <row r="946">
      <c r="A946" s="534" t="s">
        <v>2952</v>
      </c>
      <c r="B946" s="290"/>
      <c r="C946" s="290"/>
      <c r="D946" s="290"/>
      <c r="E946" s="290"/>
      <c r="F946" s="290"/>
      <c r="G946" s="290"/>
      <c r="H946" s="291"/>
    </row>
    <row r="947">
      <c r="A947" s="292"/>
      <c r="B947" s="293"/>
      <c r="C947" s="293"/>
      <c r="D947" s="293"/>
      <c r="E947" s="293"/>
      <c r="F947" s="293"/>
      <c r="G947" s="293"/>
      <c r="H947" s="294"/>
    </row>
    <row r="948">
      <c r="A948" s="420" t="s">
        <v>1435</v>
      </c>
      <c r="B948" s="420" t="s">
        <v>1436</v>
      </c>
      <c r="C948" s="420" t="s">
        <v>1843</v>
      </c>
      <c r="D948" s="421" t="s">
        <v>1438</v>
      </c>
      <c r="E948" s="422" t="s">
        <v>1564</v>
      </c>
      <c r="F948" s="420" t="s">
        <v>1440</v>
      </c>
      <c r="G948" s="420" t="s">
        <v>1844</v>
      </c>
      <c r="H948" s="424" t="s">
        <v>1441</v>
      </c>
    </row>
    <row r="949">
      <c r="A949" s="425">
        <v>1.0</v>
      </c>
      <c r="B949" s="425" t="s">
        <v>1443</v>
      </c>
      <c r="C949" s="425">
        <v>1.0</v>
      </c>
      <c r="D949" s="427">
        <v>144.0</v>
      </c>
      <c r="E949" s="360"/>
      <c r="F949" s="425" t="s">
        <v>1518</v>
      </c>
      <c r="G949" s="425" t="s">
        <v>1446</v>
      </c>
      <c r="H949" s="428"/>
    </row>
    <row r="950">
      <c r="A950" s="425">
        <v>2.0</v>
      </c>
      <c r="B950" s="425" t="s">
        <v>1444</v>
      </c>
      <c r="C950" s="425">
        <v>2.0</v>
      </c>
      <c r="D950" s="427">
        <v>1.6</v>
      </c>
      <c r="E950" s="360"/>
      <c r="F950" s="425" t="s">
        <v>1518</v>
      </c>
      <c r="G950" s="425" t="s">
        <v>1446</v>
      </c>
      <c r="H950" s="428">
        <v>44574.0</v>
      </c>
    </row>
    <row r="951">
      <c r="A951" s="425">
        <v>3.0</v>
      </c>
      <c r="B951" s="425" t="s">
        <v>1853</v>
      </c>
      <c r="C951" s="425">
        <v>1.0</v>
      </c>
      <c r="D951" s="427">
        <v>5.0</v>
      </c>
      <c r="E951" s="360">
        <v>1.0</v>
      </c>
      <c r="F951" s="425" t="s">
        <v>1518</v>
      </c>
      <c r="G951" s="425" t="s">
        <v>1446</v>
      </c>
      <c r="H951" s="428">
        <v>44596.0</v>
      </c>
    </row>
    <row r="952">
      <c r="A952" s="425">
        <v>4.0</v>
      </c>
      <c r="B952" s="425" t="s">
        <v>1579</v>
      </c>
      <c r="C952" s="425">
        <v>1.0</v>
      </c>
      <c r="D952" s="427">
        <v>1.5</v>
      </c>
      <c r="E952" s="360">
        <v>1.0</v>
      </c>
      <c r="F952" s="425"/>
      <c r="G952" s="299" t="s">
        <v>2953</v>
      </c>
      <c r="H952" s="428">
        <v>44790.0</v>
      </c>
    </row>
    <row r="953">
      <c r="A953" s="425">
        <v>5.0</v>
      </c>
      <c r="B953" s="425" t="s">
        <v>2954</v>
      </c>
      <c r="C953" s="425">
        <v>1.0</v>
      </c>
      <c r="D953" s="427">
        <v>2.1</v>
      </c>
      <c r="E953" s="360">
        <v>1.0</v>
      </c>
      <c r="F953" s="425"/>
      <c r="G953" s="299" t="s">
        <v>2953</v>
      </c>
      <c r="H953" s="428">
        <v>44790.0</v>
      </c>
    </row>
    <row r="954">
      <c r="A954" s="425">
        <v>6.0</v>
      </c>
      <c r="B954" s="425" t="s">
        <v>1652</v>
      </c>
      <c r="C954" s="425">
        <v>1.0</v>
      </c>
      <c r="D954" s="427">
        <v>2.0</v>
      </c>
      <c r="E954" s="360">
        <v>1.0</v>
      </c>
      <c r="F954" s="425"/>
      <c r="G954" s="299" t="s">
        <v>2953</v>
      </c>
      <c r="H954" s="428">
        <v>44790.0</v>
      </c>
    </row>
    <row r="955">
      <c r="A955" s="429">
        <v>7.0</v>
      </c>
      <c r="B955" s="429" t="s">
        <v>2955</v>
      </c>
      <c r="C955" s="429"/>
      <c r="D955" s="324"/>
      <c r="E955" s="325"/>
      <c r="F955" s="429"/>
      <c r="G955" s="303" t="s">
        <v>2953</v>
      </c>
      <c r="H955" s="303" t="s">
        <v>2956</v>
      </c>
    </row>
    <row r="956">
      <c r="A956" s="425">
        <v>8.0</v>
      </c>
      <c r="B956" s="425" t="s">
        <v>2016</v>
      </c>
      <c r="C956" s="425">
        <v>1.0</v>
      </c>
      <c r="D956" s="427">
        <v>14.9</v>
      </c>
      <c r="E956" s="360">
        <v>1.0</v>
      </c>
      <c r="F956" s="425"/>
      <c r="G956" s="299" t="s">
        <v>2953</v>
      </c>
      <c r="H956" s="428">
        <v>44790.0</v>
      </c>
    </row>
    <row r="957">
      <c r="A957" s="425">
        <v>9.0</v>
      </c>
      <c r="B957" s="425" t="s">
        <v>2957</v>
      </c>
      <c r="C957" s="425">
        <v>1.0</v>
      </c>
      <c r="D957" s="427">
        <v>16.0</v>
      </c>
      <c r="E957" s="360">
        <v>1.0</v>
      </c>
      <c r="F957" s="425"/>
      <c r="G957" s="299" t="s">
        <v>2953</v>
      </c>
      <c r="H957" s="428">
        <v>44790.0</v>
      </c>
    </row>
    <row r="958">
      <c r="A958" s="429">
        <v>10.0</v>
      </c>
      <c r="B958" s="429" t="s">
        <v>1526</v>
      </c>
      <c r="C958" s="429"/>
      <c r="D958" s="324"/>
      <c r="E958" s="325"/>
      <c r="F958" s="303" t="s">
        <v>2958</v>
      </c>
      <c r="G958" s="303" t="s">
        <v>2953</v>
      </c>
      <c r="H958" s="303" t="s">
        <v>2959</v>
      </c>
    </row>
    <row r="959">
      <c r="A959" s="425">
        <v>11.0</v>
      </c>
      <c r="B959" s="471" t="s">
        <v>2960</v>
      </c>
      <c r="C959" s="425">
        <v>1.0</v>
      </c>
      <c r="D959" s="427">
        <v>14.6</v>
      </c>
      <c r="E959" s="360">
        <v>1.0</v>
      </c>
      <c r="F959" s="425" t="s">
        <v>2961</v>
      </c>
      <c r="G959" s="425" t="s">
        <v>1446</v>
      </c>
      <c r="H959" s="428">
        <v>44813.0</v>
      </c>
    </row>
    <row r="960">
      <c r="A960" s="429">
        <v>12.0</v>
      </c>
      <c r="B960" s="547" t="s">
        <v>2962</v>
      </c>
      <c r="C960" s="429"/>
      <c r="D960" s="324"/>
      <c r="E960" s="325"/>
      <c r="F960" s="429" t="s">
        <v>2963</v>
      </c>
      <c r="G960" s="303" t="s">
        <v>2964</v>
      </c>
      <c r="H960" s="548">
        <v>44852.0</v>
      </c>
    </row>
    <row r="961">
      <c r="A961" s="429">
        <v>13.0</v>
      </c>
      <c r="B961" s="186"/>
      <c r="C961" s="429"/>
      <c r="D961" s="324"/>
      <c r="E961" s="325"/>
      <c r="F961" s="429" t="s">
        <v>2965</v>
      </c>
      <c r="G961" s="303" t="s">
        <v>2964</v>
      </c>
      <c r="H961" s="548">
        <v>44852.0</v>
      </c>
    </row>
    <row r="962">
      <c r="A962" s="429">
        <v>14.0</v>
      </c>
      <c r="B962" s="186"/>
      <c r="C962" s="429"/>
      <c r="D962" s="324"/>
      <c r="E962" s="325"/>
      <c r="F962" s="429" t="s">
        <v>2966</v>
      </c>
      <c r="G962" s="303" t="s">
        <v>2964</v>
      </c>
      <c r="H962" s="548">
        <v>44852.0</v>
      </c>
    </row>
    <row r="963">
      <c r="A963" s="429">
        <v>15.0</v>
      </c>
      <c r="B963" s="186"/>
      <c r="C963" s="429"/>
      <c r="D963" s="324"/>
      <c r="E963" s="325"/>
      <c r="F963" s="429" t="s">
        <v>2967</v>
      </c>
      <c r="G963" s="303" t="s">
        <v>2964</v>
      </c>
      <c r="H963" s="548">
        <v>44852.0</v>
      </c>
    </row>
    <row r="964">
      <c r="A964" s="429">
        <v>16.0</v>
      </c>
      <c r="B964" s="186"/>
      <c r="C964" s="429"/>
      <c r="D964" s="324"/>
      <c r="E964" s="325"/>
      <c r="F964" s="429" t="s">
        <v>2968</v>
      </c>
      <c r="G964" s="303" t="s">
        <v>2964</v>
      </c>
      <c r="H964" s="548">
        <v>44852.0</v>
      </c>
    </row>
    <row r="965">
      <c r="A965" s="429">
        <v>17.0</v>
      </c>
      <c r="B965" s="185"/>
      <c r="C965" s="429"/>
      <c r="D965" s="324"/>
      <c r="E965" s="325"/>
      <c r="F965" s="429" t="s">
        <v>2969</v>
      </c>
      <c r="G965" s="303" t="s">
        <v>2964</v>
      </c>
      <c r="H965" s="548">
        <v>44852.0</v>
      </c>
    </row>
    <row r="966">
      <c r="A966" s="425">
        <v>18.0</v>
      </c>
      <c r="B966" s="308" t="s">
        <v>2970</v>
      </c>
      <c r="C966" s="425">
        <v>1.0</v>
      </c>
      <c r="D966" s="300" t="s">
        <v>2971</v>
      </c>
      <c r="E966" s="360">
        <v>1.0</v>
      </c>
      <c r="F966" s="299" t="s">
        <v>2972</v>
      </c>
      <c r="G966" s="299" t="s">
        <v>1446</v>
      </c>
      <c r="H966" s="301">
        <v>44879.0</v>
      </c>
    </row>
    <row r="967">
      <c r="A967" s="471">
        <v>19.0</v>
      </c>
      <c r="B967" s="308" t="s">
        <v>2973</v>
      </c>
      <c r="C967" s="308">
        <v>1.0</v>
      </c>
      <c r="D967" s="314">
        <v>1.4</v>
      </c>
      <c r="E967" s="365">
        <v>1.0</v>
      </c>
      <c r="F967" s="308" t="s">
        <v>2974</v>
      </c>
      <c r="G967" s="308" t="s">
        <v>2975</v>
      </c>
      <c r="H967" s="361">
        <v>44921.0</v>
      </c>
    </row>
    <row r="968">
      <c r="A968" s="308">
        <v>20.0</v>
      </c>
      <c r="B968" s="308" t="s">
        <v>2973</v>
      </c>
      <c r="C968" s="308">
        <v>1.0</v>
      </c>
      <c r="D968" s="314">
        <v>1.4</v>
      </c>
      <c r="E968" s="365">
        <v>1.0</v>
      </c>
      <c r="F968" s="308" t="s">
        <v>2976</v>
      </c>
      <c r="G968" s="308" t="s">
        <v>2975</v>
      </c>
      <c r="H968" s="361">
        <v>44921.0</v>
      </c>
    </row>
    <row r="969">
      <c r="A969" s="299">
        <v>21.0</v>
      </c>
      <c r="B969" s="306" t="s">
        <v>2565</v>
      </c>
      <c r="C969" s="306">
        <v>1.0</v>
      </c>
      <c r="D969" s="307">
        <v>1.48</v>
      </c>
      <c r="E969" s="365">
        <v>1.0</v>
      </c>
      <c r="F969" s="425" t="s">
        <v>2566</v>
      </c>
      <c r="G969" s="299" t="s">
        <v>2977</v>
      </c>
      <c r="H969" s="301">
        <v>44936.0</v>
      </c>
    </row>
    <row r="970">
      <c r="A970" s="299">
        <v>22.0</v>
      </c>
      <c r="B970" s="306" t="s">
        <v>2565</v>
      </c>
      <c r="C970" s="306">
        <v>1.0</v>
      </c>
      <c r="D970" s="307">
        <v>1.48</v>
      </c>
      <c r="E970" s="365">
        <v>1.0</v>
      </c>
      <c r="F970" s="425" t="s">
        <v>2567</v>
      </c>
      <c r="G970" s="299" t="s">
        <v>2977</v>
      </c>
      <c r="H970" s="301">
        <v>44936.0</v>
      </c>
    </row>
    <row r="971">
      <c r="A971" s="299">
        <v>23.0</v>
      </c>
      <c r="B971" s="306" t="s">
        <v>2559</v>
      </c>
      <c r="C971" s="306">
        <v>1.0</v>
      </c>
      <c r="D971" s="307">
        <v>2.8</v>
      </c>
      <c r="E971" s="365">
        <v>1.0</v>
      </c>
      <c r="F971" s="299" t="s">
        <v>2560</v>
      </c>
      <c r="G971" s="299" t="s">
        <v>2977</v>
      </c>
      <c r="H971" s="301">
        <v>44936.0</v>
      </c>
    </row>
    <row r="972" ht="16.5" customHeight="1">
      <c r="A972" s="299">
        <v>24.0</v>
      </c>
      <c r="B972" s="306" t="s">
        <v>2874</v>
      </c>
      <c r="C972" s="306">
        <v>1.0</v>
      </c>
      <c r="D972" s="307">
        <v>7.8</v>
      </c>
      <c r="E972" s="365">
        <v>1.0</v>
      </c>
      <c r="F972" s="299" t="s">
        <v>2978</v>
      </c>
      <c r="G972" s="299" t="s">
        <v>1554</v>
      </c>
      <c r="H972" s="301">
        <v>45083.0</v>
      </c>
    </row>
    <row r="973" ht="16.5" customHeight="1">
      <c r="A973" s="299">
        <v>25.0</v>
      </c>
      <c r="B973" s="306" t="s">
        <v>2979</v>
      </c>
      <c r="C973" s="306">
        <v>1.0</v>
      </c>
      <c r="D973" s="307">
        <v>13.3</v>
      </c>
      <c r="E973" s="365">
        <v>1.0</v>
      </c>
      <c r="F973" s="299" t="s">
        <v>2980</v>
      </c>
      <c r="G973" s="299" t="s">
        <v>1554</v>
      </c>
      <c r="H973" s="301">
        <v>45083.0</v>
      </c>
    </row>
    <row r="974" ht="16.5" customHeight="1">
      <c r="A974" s="303">
        <v>26.0</v>
      </c>
      <c r="B974" s="303" t="s">
        <v>2981</v>
      </c>
      <c r="C974" s="303"/>
      <c r="D974" s="304"/>
      <c r="E974" s="327"/>
      <c r="F974" s="303">
        <v>1.0233674847E11</v>
      </c>
      <c r="G974" s="303" t="s">
        <v>2982</v>
      </c>
      <c r="H974" s="305">
        <v>45097.0</v>
      </c>
    </row>
    <row r="975" ht="16.5" customHeight="1">
      <c r="A975" s="299">
        <v>27.0</v>
      </c>
      <c r="B975" s="306" t="s">
        <v>1526</v>
      </c>
      <c r="C975" s="306">
        <v>1.0</v>
      </c>
      <c r="D975" s="307">
        <v>10.1</v>
      </c>
      <c r="E975" s="365">
        <v>1.0</v>
      </c>
      <c r="F975" s="299" t="s">
        <v>2983</v>
      </c>
      <c r="G975" s="299" t="s">
        <v>1554</v>
      </c>
      <c r="H975" s="301">
        <v>45097.0</v>
      </c>
    </row>
    <row r="976" ht="16.5" customHeight="1">
      <c r="A976" s="299">
        <v>28.0</v>
      </c>
      <c r="B976" s="308" t="s">
        <v>2984</v>
      </c>
      <c r="C976" s="308">
        <v>1.0</v>
      </c>
      <c r="D976" s="314">
        <v>13.1</v>
      </c>
      <c r="E976" s="331">
        <v>1.0</v>
      </c>
      <c r="F976" s="299" t="s">
        <v>2985</v>
      </c>
      <c r="G976" s="299" t="s">
        <v>1554</v>
      </c>
      <c r="H976" s="301">
        <v>45105.0</v>
      </c>
    </row>
    <row r="977" ht="16.5" customHeight="1">
      <c r="A977" s="299">
        <v>29.0</v>
      </c>
      <c r="B977" s="308" t="s">
        <v>2984</v>
      </c>
      <c r="C977" s="308">
        <v>1.0</v>
      </c>
      <c r="D977" s="314">
        <v>13.1</v>
      </c>
      <c r="E977" s="331">
        <v>1.0</v>
      </c>
      <c r="F977" s="299" t="s">
        <v>2986</v>
      </c>
      <c r="G977" s="299" t="s">
        <v>1554</v>
      </c>
      <c r="H977" s="301">
        <v>45105.0</v>
      </c>
    </row>
    <row r="978" ht="16.5" customHeight="1">
      <c r="A978" s="303">
        <v>30.0</v>
      </c>
      <c r="B978" s="303" t="s">
        <v>2987</v>
      </c>
      <c r="C978" s="303"/>
      <c r="D978" s="304"/>
      <c r="E978" s="327"/>
      <c r="F978" s="303" t="s">
        <v>2988</v>
      </c>
      <c r="G978" s="303" t="s">
        <v>2989</v>
      </c>
      <c r="H978" s="305">
        <v>45132.0</v>
      </c>
    </row>
    <row r="979" ht="16.5" customHeight="1">
      <c r="A979" s="303">
        <v>31.0</v>
      </c>
      <c r="B979" s="303" t="s">
        <v>2987</v>
      </c>
      <c r="C979" s="303"/>
      <c r="D979" s="304"/>
      <c r="E979" s="327"/>
      <c r="F979" s="303" t="s">
        <v>2990</v>
      </c>
      <c r="G979" s="303" t="s">
        <v>1554</v>
      </c>
      <c r="H979" s="303" t="s">
        <v>2991</v>
      </c>
    </row>
    <row r="980" ht="16.5" customHeight="1">
      <c r="A980" s="299">
        <v>32.0</v>
      </c>
      <c r="B980" s="308" t="s">
        <v>2016</v>
      </c>
      <c r="C980" s="308">
        <v>1.0</v>
      </c>
      <c r="D980" s="314">
        <v>14.9</v>
      </c>
      <c r="E980" s="331">
        <v>1.0</v>
      </c>
      <c r="F980" s="299" t="s">
        <v>2992</v>
      </c>
      <c r="G980" s="299" t="s">
        <v>1554</v>
      </c>
      <c r="H980" s="301">
        <v>45213.0</v>
      </c>
    </row>
    <row r="981" ht="16.5" customHeight="1">
      <c r="A981" s="303">
        <v>33.0</v>
      </c>
      <c r="B981" s="303" t="s">
        <v>1526</v>
      </c>
      <c r="C981" s="303"/>
      <c r="D981" s="304"/>
      <c r="E981" s="327"/>
      <c r="F981" s="303" t="s">
        <v>2993</v>
      </c>
      <c r="G981" s="303" t="s">
        <v>2994</v>
      </c>
      <c r="H981" s="305">
        <v>45230.0</v>
      </c>
    </row>
    <row r="982" ht="16.5" customHeight="1">
      <c r="A982" s="308">
        <v>34.0</v>
      </c>
      <c r="B982" s="308" t="s">
        <v>2995</v>
      </c>
      <c r="C982" s="308">
        <v>1.0</v>
      </c>
      <c r="D982" s="314">
        <v>8.4</v>
      </c>
      <c r="E982" s="365">
        <v>1.0</v>
      </c>
      <c r="F982" s="471"/>
      <c r="G982" s="308" t="s">
        <v>1554</v>
      </c>
      <c r="H982" s="315">
        <v>45230.0</v>
      </c>
    </row>
    <row r="983" ht="16.5" customHeight="1">
      <c r="A983" s="308">
        <v>35.0</v>
      </c>
      <c r="B983" s="308" t="s">
        <v>2996</v>
      </c>
      <c r="C983" s="308">
        <v>1.0</v>
      </c>
      <c r="D983" s="314">
        <v>10.9</v>
      </c>
      <c r="E983" s="365">
        <v>1.0</v>
      </c>
      <c r="F983" s="308">
        <v>1.02375426012E11</v>
      </c>
      <c r="G983" s="308" t="s">
        <v>1554</v>
      </c>
      <c r="H983" s="315">
        <v>45230.0</v>
      </c>
    </row>
    <row r="984" ht="16.5" customHeight="1">
      <c r="A984" s="303">
        <v>36.0</v>
      </c>
      <c r="B984" s="303" t="s">
        <v>2997</v>
      </c>
      <c r="C984" s="303"/>
      <c r="D984" s="304"/>
      <c r="E984" s="327"/>
      <c r="F984" s="303" t="s">
        <v>2998</v>
      </c>
      <c r="G984" s="303" t="s">
        <v>1554</v>
      </c>
      <c r="H984" s="305">
        <v>45339.0</v>
      </c>
    </row>
    <row r="985" ht="16.5" customHeight="1">
      <c r="A985" s="299">
        <v>37.0</v>
      </c>
      <c r="B985" s="299" t="s">
        <v>2999</v>
      </c>
      <c r="C985" s="299">
        <v>1.0</v>
      </c>
      <c r="D985" s="300">
        <v>20.0</v>
      </c>
      <c r="E985" s="331">
        <v>2.0</v>
      </c>
      <c r="F985" s="476">
        <v>1.0246803492E11</v>
      </c>
      <c r="G985" s="299" t="s">
        <v>1554</v>
      </c>
      <c r="H985" s="301">
        <v>45663.0</v>
      </c>
    </row>
    <row r="986">
      <c r="A986" s="303">
        <v>38.0</v>
      </c>
      <c r="B986" s="303" t="s">
        <v>3000</v>
      </c>
      <c r="C986" s="303"/>
      <c r="D986" s="304"/>
      <c r="E986" s="327"/>
      <c r="F986" s="206">
        <v>3.361096334E9</v>
      </c>
      <c r="G986" s="303" t="s">
        <v>3001</v>
      </c>
      <c r="H986" s="305">
        <v>45765.0</v>
      </c>
    </row>
    <row r="987" ht="13.5" customHeight="1">
      <c r="A987" s="299">
        <v>39.0</v>
      </c>
      <c r="B987" s="299" t="s">
        <v>3002</v>
      </c>
      <c r="C987" s="299">
        <v>1.0</v>
      </c>
      <c r="D987" s="300"/>
      <c r="E987" s="331"/>
      <c r="F987" s="302" t="s">
        <v>3003</v>
      </c>
      <c r="G987" s="299" t="s">
        <v>1447</v>
      </c>
      <c r="H987" s="301">
        <v>45769.0</v>
      </c>
    </row>
    <row r="988" ht="13.5" customHeight="1">
      <c r="A988" s="308">
        <v>40.0</v>
      </c>
      <c r="B988" s="308" t="s">
        <v>2194</v>
      </c>
      <c r="C988" s="308">
        <v>1.0</v>
      </c>
      <c r="D988" s="314">
        <v>30.0</v>
      </c>
      <c r="E988" s="365">
        <v>2.0</v>
      </c>
      <c r="F988" s="24" t="s">
        <v>3004</v>
      </c>
      <c r="G988" s="308" t="s">
        <v>1554</v>
      </c>
      <c r="H988" s="315">
        <v>45840.0</v>
      </c>
    </row>
    <row r="989" ht="16.5" customHeight="1">
      <c r="A989" s="187">
        <v>13.0</v>
      </c>
      <c r="B989" s="549" t="s">
        <v>2194</v>
      </c>
      <c r="C989" s="549">
        <v>1.0</v>
      </c>
      <c r="D989" s="550">
        <v>41.4</v>
      </c>
      <c r="E989" s="350">
        <v>2.0</v>
      </c>
      <c r="F989" s="349" t="s">
        <v>3005</v>
      </c>
      <c r="G989" s="349" t="s">
        <v>2904</v>
      </c>
      <c r="H989" s="551">
        <v>46069.0</v>
      </c>
    </row>
    <row r="990" ht="16.5" customHeight="1">
      <c r="A990" s="440" t="s">
        <v>1562</v>
      </c>
      <c r="B990" s="3"/>
      <c r="C990" s="299">
        <f>SUM(C947:C985)</f>
        <v>25</v>
      </c>
      <c r="D990" s="427">
        <f>sum(D949:D985)</f>
        <v>321.86</v>
      </c>
      <c r="E990" s="360">
        <f>sum(E947:E985)</f>
        <v>23</v>
      </c>
      <c r="F990" s="425"/>
      <c r="G990" s="428"/>
      <c r="H990" s="428"/>
    </row>
    <row r="991" ht="16.5" customHeight="1">
      <c r="A991" s="306"/>
      <c r="B991" s="306"/>
      <c r="C991" s="306"/>
      <c r="D991" s="306"/>
      <c r="E991" s="306"/>
      <c r="F991" s="306"/>
      <c r="G991" s="306"/>
      <c r="H991" s="306"/>
    </row>
    <row r="992" ht="16.5" customHeight="1">
      <c r="A992" s="306"/>
      <c r="B992" s="306"/>
      <c r="C992" s="306"/>
      <c r="D992" s="306"/>
      <c r="E992" s="306"/>
      <c r="F992" s="306"/>
      <c r="G992" s="306"/>
      <c r="H992" s="306"/>
    </row>
    <row r="993">
      <c r="A993" s="485" t="s">
        <v>3006</v>
      </c>
      <c r="B993" s="290"/>
      <c r="C993" s="290"/>
      <c r="D993" s="290"/>
      <c r="E993" s="290"/>
      <c r="F993" s="290"/>
      <c r="G993" s="290"/>
      <c r="H993" s="291"/>
    </row>
    <row r="994">
      <c r="A994" s="292"/>
      <c r="B994" s="293"/>
      <c r="C994" s="293"/>
      <c r="D994" s="293"/>
      <c r="E994" s="293"/>
      <c r="F994" s="293"/>
      <c r="G994" s="293"/>
      <c r="H994" s="294"/>
    </row>
    <row r="995">
      <c r="A995" s="517" t="s">
        <v>1435</v>
      </c>
      <c r="B995" s="517" t="s">
        <v>1436</v>
      </c>
      <c r="C995" s="517" t="s">
        <v>1843</v>
      </c>
      <c r="D995" s="421" t="s">
        <v>1438</v>
      </c>
      <c r="E995" s="422" t="s">
        <v>1564</v>
      </c>
      <c r="F995" s="517" t="s">
        <v>1440</v>
      </c>
      <c r="G995" s="517" t="s">
        <v>1844</v>
      </c>
      <c r="H995" s="424" t="s">
        <v>1441</v>
      </c>
    </row>
    <row r="996">
      <c r="A996" s="552">
        <v>1.0</v>
      </c>
      <c r="B996" s="306" t="s">
        <v>1443</v>
      </c>
      <c r="C996" s="306">
        <v>1.0</v>
      </c>
      <c r="D996" s="307">
        <v>144.0</v>
      </c>
      <c r="E996" s="488"/>
      <c r="F996" s="552"/>
      <c r="G996" s="364" t="s">
        <v>1446</v>
      </c>
      <c r="H996" s="454"/>
    </row>
    <row r="997">
      <c r="A997" s="552">
        <v>2.0</v>
      </c>
      <c r="B997" s="306" t="s">
        <v>1444</v>
      </c>
      <c r="C997" s="306">
        <v>2.0</v>
      </c>
      <c r="D997" s="307">
        <v>1.6</v>
      </c>
      <c r="E997" s="488"/>
      <c r="F997" s="552"/>
      <c r="G997" s="364" t="s">
        <v>1446</v>
      </c>
      <c r="H997" s="454">
        <v>44574.0</v>
      </c>
    </row>
    <row r="998">
      <c r="A998" s="552">
        <v>3.0</v>
      </c>
      <c r="B998" s="306" t="s">
        <v>1853</v>
      </c>
      <c r="C998" s="306">
        <v>2.0</v>
      </c>
      <c r="D998" s="307">
        <v>10.0</v>
      </c>
      <c r="E998" s="488"/>
      <c r="F998" s="552"/>
      <c r="G998" s="364" t="s">
        <v>1446</v>
      </c>
      <c r="H998" s="454">
        <v>44596.0</v>
      </c>
    </row>
    <row r="999">
      <c r="A999" s="329">
        <v>4.0</v>
      </c>
      <c r="B999" s="303" t="s">
        <v>3007</v>
      </c>
      <c r="C999" s="303"/>
      <c r="D999" s="304"/>
      <c r="E999" s="327"/>
      <c r="F999" s="303" t="s">
        <v>3008</v>
      </c>
      <c r="G999" s="303" t="s">
        <v>3009</v>
      </c>
      <c r="H999" s="305">
        <v>44738.0</v>
      </c>
    </row>
    <row r="1000">
      <c r="A1000" s="552">
        <v>5.0</v>
      </c>
      <c r="B1000" s="306" t="s">
        <v>3007</v>
      </c>
      <c r="C1000" s="306">
        <v>1.0</v>
      </c>
      <c r="D1000" s="307">
        <v>2.0</v>
      </c>
      <c r="E1000" s="453">
        <v>1.0</v>
      </c>
      <c r="F1000" s="308" t="s">
        <v>3010</v>
      </c>
      <c r="G1000" s="306" t="s">
        <v>3011</v>
      </c>
      <c r="H1000" s="454">
        <v>44738.0</v>
      </c>
    </row>
    <row r="1001">
      <c r="A1001" s="552">
        <v>6.0</v>
      </c>
      <c r="B1001" s="306" t="s">
        <v>3012</v>
      </c>
      <c r="C1001" s="306">
        <v>1.0</v>
      </c>
      <c r="D1001" s="307">
        <v>4.6</v>
      </c>
      <c r="E1001" s="453">
        <v>1.0</v>
      </c>
      <c r="F1001" s="308" t="s">
        <v>3013</v>
      </c>
      <c r="G1001" s="306" t="s">
        <v>3011</v>
      </c>
      <c r="H1001" s="454">
        <v>44738.0</v>
      </c>
    </row>
    <row r="1002">
      <c r="A1002" s="329">
        <v>7.0</v>
      </c>
      <c r="B1002" s="303" t="s">
        <v>3014</v>
      </c>
      <c r="C1002" s="303"/>
      <c r="D1002" s="304"/>
      <c r="E1002" s="327"/>
      <c r="F1002" s="303" t="s">
        <v>2332</v>
      </c>
      <c r="G1002" s="303" t="s">
        <v>3015</v>
      </c>
      <c r="H1002" s="305">
        <v>44738.0</v>
      </c>
    </row>
    <row r="1003">
      <c r="A1003" s="329">
        <v>8.0</v>
      </c>
      <c r="B1003" s="303" t="s">
        <v>3016</v>
      </c>
      <c r="C1003" s="303"/>
      <c r="D1003" s="304"/>
      <c r="E1003" s="327"/>
      <c r="F1003" s="303" t="s">
        <v>3017</v>
      </c>
      <c r="G1003" s="303" t="s">
        <v>3018</v>
      </c>
      <c r="H1003" s="305">
        <v>44738.0</v>
      </c>
    </row>
    <row r="1004">
      <c r="A1004" s="552">
        <v>9.0</v>
      </c>
      <c r="B1004" s="306" t="s">
        <v>3019</v>
      </c>
      <c r="C1004" s="306">
        <v>1.0</v>
      </c>
      <c r="D1004" s="307">
        <v>17.5</v>
      </c>
      <c r="E1004" s="453">
        <v>1.0</v>
      </c>
      <c r="F1004" s="308" t="s">
        <v>3020</v>
      </c>
      <c r="G1004" s="306" t="s">
        <v>3011</v>
      </c>
      <c r="H1004" s="454">
        <v>44738.0</v>
      </c>
    </row>
    <row r="1005">
      <c r="A1005" s="329">
        <v>10.0</v>
      </c>
      <c r="B1005" s="303" t="s">
        <v>3007</v>
      </c>
      <c r="C1005" s="303"/>
      <c r="D1005" s="304"/>
      <c r="E1005" s="327"/>
      <c r="F1005" s="303" t="s">
        <v>3021</v>
      </c>
      <c r="G1005" s="303" t="s">
        <v>3022</v>
      </c>
      <c r="H1005" s="303" t="s">
        <v>3023</v>
      </c>
    </row>
    <row r="1006">
      <c r="A1006" s="552">
        <v>11.0</v>
      </c>
      <c r="B1006" s="306" t="s">
        <v>3024</v>
      </c>
      <c r="C1006" s="306">
        <v>1.0</v>
      </c>
      <c r="D1006" s="307">
        <v>1.5</v>
      </c>
      <c r="E1006" s="453">
        <v>1.0</v>
      </c>
      <c r="F1006" s="308" t="s">
        <v>3025</v>
      </c>
      <c r="G1006" s="306" t="s">
        <v>3011</v>
      </c>
      <c r="H1006" s="454">
        <v>44738.0</v>
      </c>
    </row>
    <row r="1007" ht="14.25" customHeight="1">
      <c r="A1007" s="552">
        <v>12.0</v>
      </c>
      <c r="B1007" s="306" t="s">
        <v>3026</v>
      </c>
      <c r="C1007" s="306">
        <v>1.0</v>
      </c>
      <c r="D1007" s="307">
        <v>26.4</v>
      </c>
      <c r="E1007" s="453">
        <v>2.0</v>
      </c>
      <c r="F1007" s="308" t="s">
        <v>3027</v>
      </c>
      <c r="G1007" s="306" t="s">
        <v>3011</v>
      </c>
      <c r="H1007" s="454">
        <v>44738.0</v>
      </c>
    </row>
    <row r="1008">
      <c r="A1008" s="552">
        <v>13.0</v>
      </c>
      <c r="B1008" s="306" t="s">
        <v>3026</v>
      </c>
      <c r="C1008" s="306">
        <v>1.0</v>
      </c>
      <c r="D1008" s="307">
        <v>26.4</v>
      </c>
      <c r="E1008" s="453">
        <v>2.0</v>
      </c>
      <c r="F1008" s="306" t="s">
        <v>3028</v>
      </c>
      <c r="G1008" s="306" t="s">
        <v>3011</v>
      </c>
      <c r="H1008" s="454">
        <v>44738.0</v>
      </c>
    </row>
    <row r="1009">
      <c r="A1009" s="303">
        <v>14.0</v>
      </c>
      <c r="B1009" s="303" t="s">
        <v>2007</v>
      </c>
      <c r="C1009" s="303"/>
      <c r="D1009" s="304"/>
      <c r="E1009" s="327"/>
      <c r="F1009" s="303" t="s">
        <v>3029</v>
      </c>
      <c r="G1009" s="303" t="s">
        <v>3030</v>
      </c>
      <c r="H1009" s="305">
        <v>44743.0</v>
      </c>
    </row>
    <row r="1010">
      <c r="A1010" s="306">
        <v>15.0</v>
      </c>
      <c r="B1010" s="306" t="s">
        <v>3031</v>
      </c>
      <c r="C1010" s="306">
        <v>1.0</v>
      </c>
      <c r="D1010" s="307">
        <v>1.9</v>
      </c>
      <c r="E1010" s="453">
        <v>1.0</v>
      </c>
      <c r="F1010" s="306" t="s">
        <v>3032</v>
      </c>
      <c r="G1010" s="364" t="s">
        <v>1446</v>
      </c>
      <c r="H1010" s="454">
        <v>44743.0</v>
      </c>
    </row>
    <row r="1011">
      <c r="A1011" s="306">
        <v>16.0</v>
      </c>
      <c r="B1011" s="306" t="s">
        <v>3007</v>
      </c>
      <c r="C1011" s="306">
        <v>1.0</v>
      </c>
      <c r="D1011" s="307">
        <v>1.9</v>
      </c>
      <c r="E1011" s="453">
        <v>1.0</v>
      </c>
      <c r="F1011" s="306" t="s">
        <v>3033</v>
      </c>
      <c r="G1011" s="364" t="s">
        <v>1446</v>
      </c>
      <c r="H1011" s="454">
        <v>44783.0</v>
      </c>
    </row>
    <row r="1012">
      <c r="A1012" s="306">
        <v>17.0</v>
      </c>
      <c r="B1012" s="306" t="s">
        <v>2007</v>
      </c>
      <c r="C1012" s="306">
        <v>1.0</v>
      </c>
      <c r="D1012" s="307">
        <v>2.8</v>
      </c>
      <c r="E1012" s="453">
        <v>1.0</v>
      </c>
      <c r="F1012" s="306" t="s">
        <v>3034</v>
      </c>
      <c r="G1012" s="306" t="s">
        <v>121</v>
      </c>
      <c r="H1012" s="454">
        <v>44783.0</v>
      </c>
    </row>
    <row r="1013">
      <c r="A1013" s="306">
        <v>18.0</v>
      </c>
      <c r="B1013" s="306" t="s">
        <v>2007</v>
      </c>
      <c r="C1013" s="306">
        <v>1.0</v>
      </c>
      <c r="D1013" s="307">
        <v>2.8</v>
      </c>
      <c r="E1013" s="453">
        <v>1.0</v>
      </c>
      <c r="F1013" s="306" t="s">
        <v>3035</v>
      </c>
      <c r="G1013" s="306" t="s">
        <v>121</v>
      </c>
      <c r="H1013" s="454">
        <v>44783.0</v>
      </c>
    </row>
    <row r="1014">
      <c r="A1014" s="306">
        <v>19.0</v>
      </c>
      <c r="B1014" s="306" t="s">
        <v>2113</v>
      </c>
      <c r="C1014" s="306">
        <v>1.0</v>
      </c>
      <c r="D1014" s="307">
        <v>17.5</v>
      </c>
      <c r="E1014" s="453">
        <v>1.0</v>
      </c>
      <c r="F1014" s="306" t="s">
        <v>3036</v>
      </c>
      <c r="G1014" s="364" t="s">
        <v>1446</v>
      </c>
      <c r="H1014" s="454">
        <v>44809.0</v>
      </c>
    </row>
    <row r="1015">
      <c r="A1015" s="303">
        <v>20.0</v>
      </c>
      <c r="B1015" s="303" t="s">
        <v>2113</v>
      </c>
      <c r="C1015" s="303"/>
      <c r="D1015" s="304"/>
      <c r="E1015" s="327"/>
      <c r="F1015" s="303" t="s">
        <v>3037</v>
      </c>
      <c r="G1015" s="303" t="s">
        <v>3018</v>
      </c>
      <c r="H1015" s="305">
        <v>44822.0</v>
      </c>
    </row>
    <row r="1016">
      <c r="A1016" s="303">
        <v>21.0</v>
      </c>
      <c r="B1016" s="303" t="s">
        <v>3038</v>
      </c>
      <c r="C1016" s="303"/>
      <c r="D1016" s="304"/>
      <c r="E1016" s="327"/>
      <c r="F1016" s="303" t="s">
        <v>3039</v>
      </c>
      <c r="G1016" s="303" t="s">
        <v>425</v>
      </c>
      <c r="H1016" s="303" t="s">
        <v>3040</v>
      </c>
    </row>
    <row r="1017">
      <c r="A1017" s="308">
        <v>22.0</v>
      </c>
      <c r="B1017" s="308" t="s">
        <v>3038</v>
      </c>
      <c r="C1017" s="308">
        <v>1.0</v>
      </c>
      <c r="D1017" s="314">
        <v>9.6</v>
      </c>
      <c r="E1017" s="365">
        <v>1.0</v>
      </c>
      <c r="F1017" s="308" t="s">
        <v>3041</v>
      </c>
      <c r="G1017" s="308"/>
      <c r="H1017" s="315">
        <v>44873.0</v>
      </c>
    </row>
    <row r="1018">
      <c r="A1018" s="303">
        <v>23.0</v>
      </c>
      <c r="B1018" s="303" t="s">
        <v>1589</v>
      </c>
      <c r="C1018" s="303"/>
      <c r="D1018" s="304"/>
      <c r="E1018" s="327"/>
      <c r="F1018" s="303" t="s">
        <v>1590</v>
      </c>
      <c r="G1018" s="303" t="s">
        <v>3042</v>
      </c>
      <c r="H1018" s="305">
        <v>44873.0</v>
      </c>
    </row>
    <row r="1019">
      <c r="A1019" s="303">
        <v>24.0</v>
      </c>
      <c r="B1019" s="303" t="s">
        <v>1589</v>
      </c>
      <c r="C1019" s="303"/>
      <c r="D1019" s="303"/>
      <c r="E1019" s="327"/>
      <c r="F1019" s="303" t="s">
        <v>1592</v>
      </c>
      <c r="G1019" s="303" t="s">
        <v>3042</v>
      </c>
      <c r="H1019" s="305">
        <v>44873.0</v>
      </c>
    </row>
    <row r="1020">
      <c r="A1020" s="303">
        <v>25.0</v>
      </c>
      <c r="B1020" s="303" t="s">
        <v>1589</v>
      </c>
      <c r="C1020" s="303"/>
      <c r="D1020" s="303"/>
      <c r="E1020" s="327"/>
      <c r="F1020" s="303" t="s">
        <v>1593</v>
      </c>
      <c r="G1020" s="303" t="s">
        <v>3042</v>
      </c>
      <c r="H1020" s="305">
        <v>44873.0</v>
      </c>
    </row>
    <row r="1021">
      <c r="A1021" s="306">
        <v>26.0</v>
      </c>
      <c r="B1021" s="306" t="s">
        <v>1526</v>
      </c>
      <c r="C1021" s="306">
        <v>1.0</v>
      </c>
      <c r="D1021" s="307">
        <v>13.8</v>
      </c>
      <c r="E1021" s="453">
        <v>1.0</v>
      </c>
      <c r="F1021" s="306" t="s">
        <v>3043</v>
      </c>
      <c r="G1021" s="306"/>
      <c r="H1021" s="454">
        <v>44942.0</v>
      </c>
    </row>
    <row r="1022">
      <c r="A1022" s="306">
        <v>27.0</v>
      </c>
      <c r="B1022" s="306" t="s">
        <v>3044</v>
      </c>
      <c r="C1022" s="306">
        <v>1.0</v>
      </c>
      <c r="D1022" s="307">
        <v>1.0</v>
      </c>
      <c r="E1022" s="453">
        <v>1.0</v>
      </c>
      <c r="F1022" s="306" t="s">
        <v>3045</v>
      </c>
      <c r="G1022" s="306"/>
      <c r="H1022" s="454">
        <v>44942.0</v>
      </c>
    </row>
    <row r="1023">
      <c r="A1023" s="303">
        <v>28.0</v>
      </c>
      <c r="B1023" s="303" t="s">
        <v>2481</v>
      </c>
      <c r="C1023" s="303"/>
      <c r="D1023" s="304"/>
      <c r="E1023" s="327"/>
      <c r="F1023" s="303" t="s">
        <v>3046</v>
      </c>
      <c r="G1023" s="303" t="s">
        <v>3047</v>
      </c>
      <c r="H1023" s="303" t="s">
        <v>3048</v>
      </c>
    </row>
    <row r="1024">
      <c r="A1024" s="303">
        <v>29.0</v>
      </c>
      <c r="B1024" s="303" t="s">
        <v>1523</v>
      </c>
      <c r="C1024" s="303">
        <v>1.0</v>
      </c>
      <c r="D1024" s="304">
        <v>2.0</v>
      </c>
      <c r="E1024" s="327">
        <v>1.0</v>
      </c>
      <c r="F1024" s="303" t="s">
        <v>3049</v>
      </c>
      <c r="G1024" s="303" t="s">
        <v>3050</v>
      </c>
      <c r="H1024" s="431">
        <v>45097.0</v>
      </c>
    </row>
    <row r="1025">
      <c r="A1025" s="306">
        <v>30.0</v>
      </c>
      <c r="B1025" s="308" t="s">
        <v>2987</v>
      </c>
      <c r="C1025" s="308">
        <v>1.0</v>
      </c>
      <c r="D1025" s="314">
        <v>20.0</v>
      </c>
      <c r="E1025" s="331">
        <v>1.0</v>
      </c>
      <c r="F1025" s="299" t="s">
        <v>2988</v>
      </c>
      <c r="G1025" s="306" t="s">
        <v>3051</v>
      </c>
      <c r="H1025" s="553">
        <v>45133.0</v>
      </c>
    </row>
    <row r="1026">
      <c r="A1026" s="308">
        <v>31.0</v>
      </c>
      <c r="B1026" s="308" t="s">
        <v>2113</v>
      </c>
      <c r="C1026" s="308">
        <v>1.0</v>
      </c>
      <c r="D1026" s="314">
        <v>17.5</v>
      </c>
      <c r="E1026" s="331">
        <v>1.0</v>
      </c>
      <c r="F1026" s="308" t="s">
        <v>3052</v>
      </c>
      <c r="G1026" s="315"/>
      <c r="H1026" s="315">
        <v>45288.0</v>
      </c>
    </row>
    <row r="1027">
      <c r="A1027" s="308">
        <v>32.0</v>
      </c>
      <c r="B1027" s="308" t="s">
        <v>3053</v>
      </c>
      <c r="C1027" s="308">
        <v>1.0</v>
      </c>
      <c r="D1027" s="314">
        <v>37.0</v>
      </c>
      <c r="E1027" s="331">
        <v>2.0</v>
      </c>
      <c r="F1027" s="308"/>
      <c r="G1027" s="308" t="s">
        <v>1554</v>
      </c>
      <c r="H1027" s="315">
        <v>45373.0</v>
      </c>
    </row>
    <row r="1028">
      <c r="A1028" s="308">
        <v>33.0</v>
      </c>
      <c r="B1028" s="308" t="s">
        <v>1635</v>
      </c>
      <c r="C1028" s="308">
        <v>1.0</v>
      </c>
      <c r="D1028" s="314">
        <v>17.4</v>
      </c>
      <c r="E1028" s="331">
        <v>1.0</v>
      </c>
      <c r="F1028" s="308" t="s">
        <v>3054</v>
      </c>
      <c r="G1028" s="308" t="s">
        <v>1554</v>
      </c>
      <c r="H1028" s="315">
        <v>45446.0</v>
      </c>
    </row>
    <row r="1029">
      <c r="A1029" s="308">
        <v>34.0</v>
      </c>
      <c r="B1029" s="303" t="s">
        <v>1635</v>
      </c>
      <c r="C1029" s="303"/>
      <c r="D1029" s="304"/>
      <c r="E1029" s="327"/>
      <c r="F1029" s="303" t="s">
        <v>2880</v>
      </c>
      <c r="G1029" s="303" t="s">
        <v>3055</v>
      </c>
      <c r="H1029" s="305">
        <v>45446.0</v>
      </c>
    </row>
    <row r="1030">
      <c r="A1030" s="306">
        <v>35.0</v>
      </c>
      <c r="B1030" s="306" t="s">
        <v>3038</v>
      </c>
      <c r="C1030" s="306">
        <v>1.0</v>
      </c>
      <c r="D1030" s="307">
        <v>10.0</v>
      </c>
      <c r="E1030" s="453">
        <v>1.0</v>
      </c>
      <c r="F1030" s="306" t="s">
        <v>3056</v>
      </c>
      <c r="G1030" s="306" t="s">
        <v>1554</v>
      </c>
      <c r="H1030" s="454">
        <v>45468.0</v>
      </c>
    </row>
    <row r="1031">
      <c r="A1031" s="306">
        <v>36.0</v>
      </c>
      <c r="B1031" s="306" t="s">
        <v>1526</v>
      </c>
      <c r="C1031" s="306">
        <v>1.0</v>
      </c>
      <c r="D1031" s="307">
        <v>10.0</v>
      </c>
      <c r="E1031" s="453">
        <v>1.0</v>
      </c>
      <c r="F1031" s="306" t="s">
        <v>3057</v>
      </c>
      <c r="G1031" s="306" t="s">
        <v>1554</v>
      </c>
      <c r="H1031" s="306" t="s">
        <v>215</v>
      </c>
    </row>
    <row r="1032">
      <c r="A1032" s="299">
        <v>37.0</v>
      </c>
      <c r="B1032" s="299" t="s">
        <v>3058</v>
      </c>
      <c r="C1032" s="299">
        <v>1.0</v>
      </c>
      <c r="D1032" s="300">
        <v>8.8</v>
      </c>
      <c r="E1032" s="331">
        <v>1.0</v>
      </c>
      <c r="F1032" s="299" t="s">
        <v>3059</v>
      </c>
      <c r="G1032" s="306" t="s">
        <v>1554</v>
      </c>
      <c r="H1032" s="301">
        <v>45681.0</v>
      </c>
    </row>
    <row r="1033">
      <c r="A1033" s="303">
        <v>38.0</v>
      </c>
      <c r="B1033" s="303" t="s">
        <v>3060</v>
      </c>
      <c r="C1033" s="329"/>
      <c r="D1033" s="324"/>
      <c r="E1033" s="325"/>
      <c r="F1033" s="303">
        <v>1.02245055392E11</v>
      </c>
      <c r="G1033" s="303" t="s">
        <v>425</v>
      </c>
      <c r="H1033" s="303" t="s">
        <v>3061</v>
      </c>
    </row>
    <row r="1034">
      <c r="A1034" s="308">
        <v>39.0</v>
      </c>
      <c r="B1034" s="308" t="s">
        <v>1468</v>
      </c>
      <c r="C1034" s="308">
        <v>1.0</v>
      </c>
      <c r="D1034" s="314">
        <v>2.0</v>
      </c>
      <c r="E1034" s="365">
        <v>1.0</v>
      </c>
      <c r="F1034" s="308" t="s">
        <v>3062</v>
      </c>
      <c r="G1034" s="308" t="s">
        <v>1554</v>
      </c>
      <c r="H1034" s="436">
        <v>45966.0</v>
      </c>
    </row>
    <row r="1035">
      <c r="A1035" s="554" t="s">
        <v>1562</v>
      </c>
      <c r="B1035" s="3"/>
      <c r="C1035" s="552">
        <f>sum(C996:C1031)</f>
        <v>26</v>
      </c>
      <c r="D1035" s="487">
        <f>sum(D996:D1032)</f>
        <v>408</v>
      </c>
      <c r="E1035" s="488">
        <f>sum(E996:E1031)</f>
        <v>24</v>
      </c>
      <c r="F1035" s="552"/>
      <c r="G1035" s="555"/>
      <c r="H1035" s="555"/>
    </row>
    <row r="1036">
      <c r="A1036" s="306"/>
      <c r="B1036" s="306"/>
      <c r="C1036" s="306"/>
      <c r="D1036" s="306"/>
      <c r="E1036" s="306"/>
      <c r="F1036" s="306"/>
      <c r="G1036" s="306"/>
      <c r="H1036" s="306"/>
    </row>
    <row r="1037">
      <c r="A1037" s="306"/>
      <c r="B1037" s="306"/>
      <c r="C1037" s="306"/>
      <c r="D1037" s="306"/>
      <c r="E1037" s="306"/>
      <c r="F1037" s="306"/>
      <c r="G1037" s="306"/>
      <c r="H1037" s="306"/>
    </row>
    <row r="1038">
      <c r="A1038" s="485" t="s">
        <v>3063</v>
      </c>
      <c r="B1038" s="290"/>
      <c r="C1038" s="290"/>
      <c r="D1038" s="290"/>
      <c r="E1038" s="290"/>
      <c r="F1038" s="290"/>
      <c r="G1038" s="290"/>
      <c r="H1038" s="291"/>
    </row>
    <row r="1039">
      <c r="A1039" s="292"/>
      <c r="B1039" s="293"/>
      <c r="C1039" s="293"/>
      <c r="D1039" s="293"/>
      <c r="E1039" s="293"/>
      <c r="F1039" s="293"/>
      <c r="G1039" s="293"/>
      <c r="H1039" s="294"/>
    </row>
    <row r="1040">
      <c r="A1040" s="517" t="s">
        <v>1435</v>
      </c>
      <c r="B1040" s="517" t="s">
        <v>1436</v>
      </c>
      <c r="C1040" s="517" t="s">
        <v>1843</v>
      </c>
      <c r="D1040" s="421" t="s">
        <v>1438</v>
      </c>
      <c r="E1040" s="422" t="s">
        <v>1564</v>
      </c>
      <c r="F1040" s="517" t="s">
        <v>1440</v>
      </c>
      <c r="G1040" s="517" t="s">
        <v>1844</v>
      </c>
      <c r="H1040" s="424" t="s">
        <v>1441</v>
      </c>
    </row>
    <row r="1041">
      <c r="A1041" s="552">
        <v>1.0</v>
      </c>
      <c r="B1041" s="306" t="s">
        <v>1443</v>
      </c>
      <c r="C1041" s="306">
        <v>1.0</v>
      </c>
      <c r="D1041" s="307">
        <v>144.0</v>
      </c>
      <c r="E1041" s="488"/>
      <c r="F1041" s="552"/>
      <c r="G1041" s="306" t="s">
        <v>1446</v>
      </c>
      <c r="H1041" s="454"/>
    </row>
    <row r="1042">
      <c r="A1042" s="552">
        <v>2.0</v>
      </c>
      <c r="B1042" s="306" t="s">
        <v>1444</v>
      </c>
      <c r="C1042" s="306">
        <v>2.0</v>
      </c>
      <c r="D1042" s="307">
        <f>C1042*3.2</f>
        <v>6.4</v>
      </c>
      <c r="E1042" s="488"/>
      <c r="F1042" s="306" t="s">
        <v>1518</v>
      </c>
      <c r="G1042" s="306" t="s">
        <v>1446</v>
      </c>
      <c r="H1042" s="454">
        <v>44574.0</v>
      </c>
    </row>
    <row r="1043">
      <c r="A1043" s="552">
        <v>3.0</v>
      </c>
      <c r="B1043" s="306" t="s">
        <v>1853</v>
      </c>
      <c r="C1043" s="306">
        <v>1.0</v>
      </c>
      <c r="D1043" s="307">
        <v>5.0</v>
      </c>
      <c r="E1043" s="488"/>
      <c r="F1043" s="306" t="s">
        <v>1518</v>
      </c>
      <c r="G1043" s="306" t="s">
        <v>1446</v>
      </c>
      <c r="H1043" s="454">
        <v>44596.0</v>
      </c>
    </row>
    <row r="1044">
      <c r="A1044" s="303">
        <v>4.0</v>
      </c>
      <c r="B1044" s="303" t="s">
        <v>1510</v>
      </c>
      <c r="C1044" s="303">
        <v>1.0</v>
      </c>
      <c r="D1044" s="304">
        <v>10.0</v>
      </c>
      <c r="E1044" s="327">
        <v>1.0</v>
      </c>
      <c r="F1044" s="303" t="s">
        <v>1511</v>
      </c>
      <c r="G1044" s="303" t="s">
        <v>300</v>
      </c>
      <c r="H1044" s="303" t="s">
        <v>3064</v>
      </c>
    </row>
    <row r="1045">
      <c r="A1045" s="306">
        <v>5.0</v>
      </c>
      <c r="B1045" s="306" t="s">
        <v>2016</v>
      </c>
      <c r="C1045" s="306">
        <v>1.0</v>
      </c>
      <c r="D1045" s="307">
        <v>17.0</v>
      </c>
      <c r="E1045" s="453">
        <v>1.0</v>
      </c>
      <c r="F1045" s="306" t="s">
        <v>3065</v>
      </c>
      <c r="G1045" s="306" t="s">
        <v>1446</v>
      </c>
      <c r="H1045" s="306" t="s">
        <v>3066</v>
      </c>
    </row>
    <row r="1046">
      <c r="A1046" s="303">
        <v>6.0</v>
      </c>
      <c r="B1046" s="398" t="s">
        <v>3067</v>
      </c>
      <c r="C1046" s="303"/>
      <c r="D1046" s="556"/>
      <c r="E1046" s="327"/>
      <c r="F1046" s="303" t="s">
        <v>3068</v>
      </c>
      <c r="G1046" s="303" t="s">
        <v>1848</v>
      </c>
      <c r="H1046" s="303" t="s">
        <v>3066</v>
      </c>
    </row>
    <row r="1047">
      <c r="A1047" s="303">
        <v>7.0</v>
      </c>
      <c r="B1047" s="398" t="s">
        <v>3067</v>
      </c>
      <c r="C1047" s="303"/>
      <c r="D1047" s="556"/>
      <c r="E1047" s="327"/>
      <c r="F1047" s="303" t="s">
        <v>3069</v>
      </c>
      <c r="G1047" s="303" t="s">
        <v>1848</v>
      </c>
      <c r="H1047" s="303" t="s">
        <v>3066</v>
      </c>
    </row>
    <row r="1048">
      <c r="A1048" s="303">
        <v>8.0</v>
      </c>
      <c r="B1048" s="398" t="s">
        <v>3067</v>
      </c>
      <c r="C1048" s="303"/>
      <c r="D1048" s="556"/>
      <c r="E1048" s="327"/>
      <c r="F1048" s="303" t="s">
        <v>3070</v>
      </c>
      <c r="G1048" s="303" t="s">
        <v>1848</v>
      </c>
      <c r="H1048" s="303" t="s">
        <v>3066</v>
      </c>
    </row>
    <row r="1049">
      <c r="A1049" s="303">
        <v>9.0</v>
      </c>
      <c r="B1049" s="398" t="s">
        <v>3067</v>
      </c>
      <c r="C1049" s="303"/>
      <c r="D1049" s="556"/>
      <c r="E1049" s="327"/>
      <c r="F1049" s="303" t="s">
        <v>3071</v>
      </c>
      <c r="G1049" s="303" t="s">
        <v>1848</v>
      </c>
      <c r="H1049" s="303" t="s">
        <v>3066</v>
      </c>
    </row>
    <row r="1050">
      <c r="A1050" s="303">
        <v>10.0</v>
      </c>
      <c r="B1050" s="398" t="s">
        <v>3067</v>
      </c>
      <c r="C1050" s="303"/>
      <c r="D1050" s="556"/>
      <c r="E1050" s="327"/>
      <c r="F1050" s="303" t="s">
        <v>3072</v>
      </c>
      <c r="G1050" s="303" t="s">
        <v>1848</v>
      </c>
      <c r="H1050" s="303" t="s">
        <v>3066</v>
      </c>
    </row>
    <row r="1051">
      <c r="A1051" s="303">
        <v>11.0</v>
      </c>
      <c r="B1051" s="398" t="s">
        <v>3067</v>
      </c>
      <c r="C1051" s="303"/>
      <c r="D1051" s="556"/>
      <c r="E1051" s="327"/>
      <c r="F1051" s="303" t="s">
        <v>3073</v>
      </c>
      <c r="G1051" s="303" t="s">
        <v>1848</v>
      </c>
      <c r="H1051" s="303" t="s">
        <v>3066</v>
      </c>
    </row>
    <row r="1052">
      <c r="A1052" s="303">
        <v>12.0</v>
      </c>
      <c r="B1052" s="303" t="s">
        <v>3074</v>
      </c>
      <c r="C1052" s="303"/>
      <c r="D1052" s="304"/>
      <c r="E1052" s="327"/>
      <c r="F1052" s="303"/>
      <c r="G1052" s="303" t="s">
        <v>1848</v>
      </c>
      <c r="H1052" s="303" t="s">
        <v>3075</v>
      </c>
    </row>
    <row r="1053">
      <c r="A1053" s="303">
        <v>13.0</v>
      </c>
      <c r="B1053" s="303" t="s">
        <v>3074</v>
      </c>
      <c r="C1053" s="303"/>
      <c r="D1053" s="304"/>
      <c r="E1053" s="327"/>
      <c r="F1053" s="303" t="s">
        <v>3076</v>
      </c>
      <c r="G1053" s="303" t="s">
        <v>1848</v>
      </c>
      <c r="H1053" s="303" t="s">
        <v>3066</v>
      </c>
    </row>
    <row r="1054">
      <c r="A1054" s="303">
        <v>14.0</v>
      </c>
      <c r="B1054" s="303" t="s">
        <v>1635</v>
      </c>
      <c r="C1054" s="303"/>
      <c r="D1054" s="304"/>
      <c r="E1054" s="327"/>
      <c r="F1054" s="398" t="s">
        <v>3077</v>
      </c>
      <c r="G1054" s="303" t="s">
        <v>3078</v>
      </c>
      <c r="H1054" s="303" t="s">
        <v>3079</v>
      </c>
    </row>
    <row r="1055">
      <c r="A1055" s="303">
        <v>15.0</v>
      </c>
      <c r="B1055" s="398" t="s">
        <v>3080</v>
      </c>
      <c r="C1055" s="303"/>
      <c r="D1055" s="304"/>
      <c r="E1055" s="304"/>
      <c r="F1055" s="303"/>
      <c r="G1055" s="303" t="s">
        <v>3078</v>
      </c>
      <c r="H1055" s="303" t="s">
        <v>3081</v>
      </c>
    </row>
    <row r="1056">
      <c r="A1056" s="303">
        <v>16.0</v>
      </c>
      <c r="B1056" s="303" t="s">
        <v>1635</v>
      </c>
      <c r="C1056" s="303"/>
      <c r="D1056" s="304"/>
      <c r="E1056" s="327"/>
      <c r="F1056" s="303" t="s">
        <v>3082</v>
      </c>
      <c r="G1056" s="303" t="s">
        <v>1848</v>
      </c>
      <c r="H1056" s="303" t="s">
        <v>3083</v>
      </c>
    </row>
    <row r="1057">
      <c r="A1057" s="303">
        <v>17.0</v>
      </c>
      <c r="B1057" s="303" t="s">
        <v>3084</v>
      </c>
      <c r="C1057" s="303">
        <v>1.0</v>
      </c>
      <c r="D1057" s="304"/>
      <c r="E1057" s="327">
        <v>1.0</v>
      </c>
      <c r="F1057" s="303"/>
      <c r="G1057" s="303" t="s">
        <v>1848</v>
      </c>
      <c r="H1057" s="303" t="s">
        <v>3085</v>
      </c>
    </row>
    <row r="1058">
      <c r="A1058" s="306">
        <v>17.0</v>
      </c>
      <c r="B1058" s="306" t="s">
        <v>3086</v>
      </c>
      <c r="C1058" s="306">
        <v>1.0</v>
      </c>
      <c r="D1058" s="307">
        <v>1.0</v>
      </c>
      <c r="E1058" s="453">
        <v>1.0</v>
      </c>
      <c r="F1058" s="299" t="s">
        <v>1737</v>
      </c>
      <c r="G1058" s="306" t="s">
        <v>3087</v>
      </c>
      <c r="H1058" s="306" t="s">
        <v>3088</v>
      </c>
    </row>
    <row r="1059">
      <c r="A1059" s="303">
        <v>18.0</v>
      </c>
      <c r="B1059" s="303" t="s">
        <v>3089</v>
      </c>
      <c r="C1059" s="303"/>
      <c r="D1059" s="304"/>
      <c r="E1059" s="327"/>
      <c r="F1059" s="303" t="s">
        <v>3090</v>
      </c>
      <c r="G1059" s="303" t="s">
        <v>3078</v>
      </c>
      <c r="H1059" s="303" t="s">
        <v>3091</v>
      </c>
    </row>
    <row r="1060">
      <c r="A1060" s="303">
        <v>19.0</v>
      </c>
      <c r="B1060" s="303" t="s">
        <v>3092</v>
      </c>
      <c r="C1060" s="303"/>
      <c r="D1060" s="304"/>
      <c r="E1060" s="327"/>
      <c r="F1060" s="303" t="s">
        <v>3093</v>
      </c>
      <c r="G1060" s="303" t="s">
        <v>155</v>
      </c>
      <c r="H1060" s="303" t="s">
        <v>3094</v>
      </c>
    </row>
    <row r="1061">
      <c r="A1061" s="306">
        <v>20.0</v>
      </c>
      <c r="B1061" s="306" t="s">
        <v>3095</v>
      </c>
      <c r="C1061" s="306">
        <v>1.0</v>
      </c>
      <c r="D1061" s="307">
        <v>14.5</v>
      </c>
      <c r="E1061" s="453">
        <v>1.0</v>
      </c>
      <c r="F1061" s="299" t="s">
        <v>3096</v>
      </c>
      <c r="G1061" s="306" t="s">
        <v>1446</v>
      </c>
      <c r="H1061" s="306" t="s">
        <v>3094</v>
      </c>
    </row>
    <row r="1062">
      <c r="A1062" s="306">
        <v>21.0</v>
      </c>
      <c r="B1062" s="306" t="s">
        <v>2484</v>
      </c>
      <c r="C1062" s="306">
        <v>1.0</v>
      </c>
      <c r="D1062" s="307">
        <v>1.9</v>
      </c>
      <c r="E1062" s="453">
        <v>1.0</v>
      </c>
      <c r="F1062" s="299" t="s">
        <v>3097</v>
      </c>
      <c r="G1062" s="306" t="s">
        <v>1446</v>
      </c>
      <c r="H1062" s="306" t="s">
        <v>3094</v>
      </c>
    </row>
    <row r="1063">
      <c r="A1063" s="306">
        <v>22.0</v>
      </c>
      <c r="B1063" s="402" t="s">
        <v>3098</v>
      </c>
      <c r="C1063" s="306">
        <v>1.0</v>
      </c>
      <c r="D1063" s="307">
        <v>15.7</v>
      </c>
      <c r="E1063" s="453">
        <v>1.0</v>
      </c>
      <c r="F1063" s="402" t="s">
        <v>3099</v>
      </c>
      <c r="G1063" s="306" t="s">
        <v>1446</v>
      </c>
      <c r="H1063" s="306" t="s">
        <v>3100</v>
      </c>
    </row>
    <row r="1064">
      <c r="A1064" s="303">
        <v>23.0</v>
      </c>
      <c r="B1064" s="303" t="s">
        <v>1635</v>
      </c>
      <c r="C1064" s="303"/>
      <c r="D1064" s="304"/>
      <c r="E1064" s="327"/>
      <c r="F1064" s="303" t="s">
        <v>3101</v>
      </c>
      <c r="G1064" s="303" t="s">
        <v>155</v>
      </c>
      <c r="H1064" s="303" t="s">
        <v>3102</v>
      </c>
    </row>
    <row r="1065">
      <c r="A1065" s="306">
        <v>24.0</v>
      </c>
      <c r="B1065" s="306" t="s">
        <v>1635</v>
      </c>
      <c r="C1065" s="306">
        <v>1.0</v>
      </c>
      <c r="D1065" s="307">
        <v>17.4</v>
      </c>
      <c r="E1065" s="453">
        <v>1.0</v>
      </c>
      <c r="F1065" s="306" t="s">
        <v>3103</v>
      </c>
      <c r="G1065" s="306" t="s">
        <v>1554</v>
      </c>
      <c r="H1065" s="308" t="s">
        <v>3104</v>
      </c>
    </row>
    <row r="1066">
      <c r="A1066" s="306">
        <v>25.0</v>
      </c>
      <c r="B1066" s="299" t="s">
        <v>3105</v>
      </c>
      <c r="C1066" s="299">
        <v>1.0</v>
      </c>
      <c r="D1066" s="300">
        <v>2.0</v>
      </c>
      <c r="E1066" s="331">
        <v>1.0</v>
      </c>
      <c r="F1066" s="308" t="s">
        <v>3106</v>
      </c>
      <c r="G1066" s="306" t="s">
        <v>1554</v>
      </c>
      <c r="H1066" s="299" t="s">
        <v>3107</v>
      </c>
    </row>
    <row r="1067">
      <c r="A1067" s="303">
        <v>26.0</v>
      </c>
      <c r="B1067" s="303" t="s">
        <v>1620</v>
      </c>
      <c r="C1067" s="303"/>
      <c r="D1067" s="304"/>
      <c r="E1067" s="327"/>
      <c r="F1067" s="303" t="s">
        <v>3108</v>
      </c>
      <c r="G1067" s="303" t="s">
        <v>3109</v>
      </c>
      <c r="H1067" s="303" t="s">
        <v>3107</v>
      </c>
    </row>
    <row r="1068">
      <c r="A1068" s="303">
        <v>27.0</v>
      </c>
      <c r="B1068" s="303" t="s">
        <v>3110</v>
      </c>
      <c r="C1068" s="303"/>
      <c r="D1068" s="304"/>
      <c r="E1068" s="327"/>
      <c r="F1068" s="303" t="s">
        <v>3111</v>
      </c>
      <c r="G1068" s="303" t="s">
        <v>1599</v>
      </c>
      <c r="H1068" s="303" t="s">
        <v>3112</v>
      </c>
    </row>
    <row r="1069">
      <c r="A1069" s="303">
        <v>28.0</v>
      </c>
      <c r="B1069" s="303" t="s">
        <v>3113</v>
      </c>
      <c r="C1069" s="303"/>
      <c r="D1069" s="304"/>
      <c r="E1069" s="327"/>
      <c r="F1069" s="303" t="s">
        <v>3114</v>
      </c>
      <c r="G1069" s="303" t="s">
        <v>3078</v>
      </c>
      <c r="H1069" s="303" t="s">
        <v>3115</v>
      </c>
    </row>
    <row r="1070">
      <c r="A1070" s="303">
        <v>29.0</v>
      </c>
      <c r="B1070" s="303" t="s">
        <v>3116</v>
      </c>
      <c r="C1070" s="303"/>
      <c r="D1070" s="304"/>
      <c r="E1070" s="327"/>
      <c r="F1070" s="303" t="s">
        <v>3117</v>
      </c>
      <c r="G1070" s="303" t="s">
        <v>3118</v>
      </c>
      <c r="H1070" s="303" t="s">
        <v>3119</v>
      </c>
    </row>
    <row r="1071">
      <c r="A1071" s="303">
        <v>30.0</v>
      </c>
      <c r="B1071" s="303" t="s">
        <v>1635</v>
      </c>
      <c r="C1071" s="303"/>
      <c r="D1071" s="304"/>
      <c r="E1071" s="327"/>
      <c r="F1071" s="303" t="s">
        <v>3120</v>
      </c>
      <c r="G1071" s="303" t="s">
        <v>3121</v>
      </c>
      <c r="H1071" s="303" t="s">
        <v>3122</v>
      </c>
    </row>
    <row r="1072">
      <c r="A1072" s="303">
        <v>31.0</v>
      </c>
      <c r="B1072" s="303" t="s">
        <v>1635</v>
      </c>
      <c r="C1072" s="303"/>
      <c r="D1072" s="304"/>
      <c r="E1072" s="327"/>
      <c r="F1072" s="303" t="s">
        <v>3123</v>
      </c>
      <c r="G1072" s="303" t="s">
        <v>1554</v>
      </c>
      <c r="H1072" s="303" t="s">
        <v>3124</v>
      </c>
    </row>
    <row r="1073">
      <c r="A1073" s="306">
        <v>32.0</v>
      </c>
      <c r="B1073" s="308" t="s">
        <v>1853</v>
      </c>
      <c r="C1073" s="306">
        <v>1.0</v>
      </c>
      <c r="D1073" s="307">
        <v>5.0</v>
      </c>
      <c r="E1073" s="453">
        <v>2.0</v>
      </c>
      <c r="F1073" s="557"/>
      <c r="G1073" s="306" t="s">
        <v>1554</v>
      </c>
      <c r="H1073" s="558">
        <v>45113.0</v>
      </c>
    </row>
    <row r="1074">
      <c r="A1074" s="303">
        <v>33.0</v>
      </c>
      <c r="B1074" s="303" t="s">
        <v>3125</v>
      </c>
      <c r="C1074" s="303"/>
      <c r="D1074" s="304"/>
      <c r="E1074" s="327"/>
      <c r="F1074" s="303" t="s">
        <v>3126</v>
      </c>
      <c r="G1074" s="303" t="s">
        <v>3078</v>
      </c>
      <c r="H1074" s="303" t="s">
        <v>3127</v>
      </c>
    </row>
    <row r="1075">
      <c r="A1075" s="303">
        <v>34.0</v>
      </c>
      <c r="B1075" s="303" t="s">
        <v>2632</v>
      </c>
      <c r="C1075" s="303"/>
      <c r="D1075" s="304"/>
      <c r="E1075" s="327"/>
      <c r="F1075" s="303" t="s">
        <v>3128</v>
      </c>
      <c r="G1075" s="303" t="s">
        <v>3121</v>
      </c>
      <c r="H1075" s="303" t="s">
        <v>3129</v>
      </c>
    </row>
    <row r="1076">
      <c r="A1076" s="303">
        <v>35.0</v>
      </c>
      <c r="B1076" s="303" t="s">
        <v>3113</v>
      </c>
      <c r="C1076" s="303"/>
      <c r="D1076" s="304"/>
      <c r="E1076" s="327"/>
      <c r="F1076" s="303" t="s">
        <v>3130</v>
      </c>
      <c r="G1076" s="303" t="s">
        <v>3121</v>
      </c>
      <c r="H1076" s="303" t="s">
        <v>3129</v>
      </c>
    </row>
    <row r="1077">
      <c r="A1077" s="303">
        <v>36.0</v>
      </c>
      <c r="B1077" s="303" t="s">
        <v>2573</v>
      </c>
      <c r="C1077" s="303"/>
      <c r="D1077" s="304"/>
      <c r="E1077" s="327"/>
      <c r="F1077" s="303"/>
      <c r="G1077" s="303" t="s">
        <v>3131</v>
      </c>
      <c r="H1077" s="303" t="s">
        <v>2575</v>
      </c>
    </row>
    <row r="1078">
      <c r="A1078" s="303">
        <v>37.0</v>
      </c>
      <c r="B1078" s="303" t="s">
        <v>3132</v>
      </c>
      <c r="C1078" s="303"/>
      <c r="D1078" s="304"/>
      <c r="E1078" s="304"/>
      <c r="F1078" s="303" t="s">
        <v>3133</v>
      </c>
      <c r="G1078" s="303" t="s">
        <v>1848</v>
      </c>
      <c r="H1078" s="559" t="s">
        <v>3134</v>
      </c>
    </row>
    <row r="1079">
      <c r="A1079" s="306">
        <v>38.0</v>
      </c>
      <c r="B1079" s="299" t="s">
        <v>3135</v>
      </c>
      <c r="C1079" s="299">
        <v>1.0</v>
      </c>
      <c r="D1079" s="300">
        <v>4.75</v>
      </c>
      <c r="E1079" s="300" t="s">
        <v>2077</v>
      </c>
      <c r="F1079" s="557" t="s">
        <v>3136</v>
      </c>
      <c r="G1079" s="306" t="s">
        <v>1554</v>
      </c>
      <c r="H1079" s="560" t="s">
        <v>3134</v>
      </c>
    </row>
    <row r="1080">
      <c r="A1080" s="308">
        <v>48.0</v>
      </c>
      <c r="B1080" s="308" t="s">
        <v>3137</v>
      </c>
      <c r="C1080" s="308">
        <v>1.0</v>
      </c>
      <c r="D1080" s="314">
        <v>12.0</v>
      </c>
      <c r="E1080" s="365">
        <v>1.0</v>
      </c>
      <c r="F1080" s="308" t="s">
        <v>3138</v>
      </c>
      <c r="G1080" s="306" t="s">
        <v>1446</v>
      </c>
      <c r="H1080" s="308" t="s">
        <v>3139</v>
      </c>
    </row>
    <row r="1081">
      <c r="A1081" s="306">
        <v>39.0</v>
      </c>
      <c r="B1081" s="308" t="s">
        <v>3140</v>
      </c>
      <c r="C1081" s="299">
        <v>1.0</v>
      </c>
      <c r="D1081" s="300">
        <v>2.0</v>
      </c>
      <c r="E1081" s="331">
        <v>1.0</v>
      </c>
      <c r="F1081" s="308" t="s">
        <v>3141</v>
      </c>
      <c r="G1081" s="306" t="s">
        <v>3142</v>
      </c>
      <c r="H1081" s="299" t="s">
        <v>3143</v>
      </c>
    </row>
    <row r="1082">
      <c r="A1082" s="306">
        <v>40.0</v>
      </c>
      <c r="B1082" s="308" t="s">
        <v>3144</v>
      </c>
      <c r="C1082" s="299">
        <v>1.0</v>
      </c>
      <c r="D1082" s="300">
        <v>21.0</v>
      </c>
      <c r="E1082" s="331">
        <v>1.0</v>
      </c>
      <c r="F1082" s="308" t="s">
        <v>3145</v>
      </c>
      <c r="G1082" s="306" t="s">
        <v>1554</v>
      </c>
      <c r="H1082" s="299" t="s">
        <v>3146</v>
      </c>
    </row>
    <row r="1083">
      <c r="A1083" s="306">
        <v>41.0</v>
      </c>
      <c r="B1083" s="308" t="s">
        <v>3147</v>
      </c>
      <c r="C1083" s="299">
        <v>1.0</v>
      </c>
      <c r="D1083" s="300">
        <v>23.9</v>
      </c>
      <c r="E1083" s="331">
        <v>2.0</v>
      </c>
      <c r="F1083" s="308" t="s">
        <v>3148</v>
      </c>
      <c r="G1083" s="306"/>
      <c r="H1083" s="299" t="s">
        <v>3149</v>
      </c>
    </row>
    <row r="1084">
      <c r="A1084" s="303">
        <v>42.0</v>
      </c>
      <c r="B1084" s="303" t="s">
        <v>1635</v>
      </c>
      <c r="C1084" s="303"/>
      <c r="D1084" s="304"/>
      <c r="E1084" s="327"/>
      <c r="F1084" s="303" t="s">
        <v>3150</v>
      </c>
      <c r="G1084" s="303" t="s">
        <v>3151</v>
      </c>
      <c r="H1084" s="303" t="s">
        <v>3152</v>
      </c>
    </row>
    <row r="1085">
      <c r="A1085" s="308">
        <v>43.0</v>
      </c>
      <c r="B1085" s="308" t="s">
        <v>3153</v>
      </c>
      <c r="C1085" s="306">
        <v>1.0</v>
      </c>
      <c r="D1085" s="307">
        <v>4.3</v>
      </c>
      <c r="E1085" s="453">
        <v>1.0</v>
      </c>
      <c r="F1085" s="306"/>
      <c r="G1085" s="306" t="s">
        <v>1446</v>
      </c>
      <c r="H1085" s="306" t="s">
        <v>3154</v>
      </c>
    </row>
    <row r="1086">
      <c r="A1086" s="303">
        <v>44.0</v>
      </c>
      <c r="B1086" s="429" t="s">
        <v>1526</v>
      </c>
      <c r="C1086" s="429">
        <v>1.0</v>
      </c>
      <c r="D1086" s="324">
        <v>14.0</v>
      </c>
      <c r="E1086" s="325">
        <v>1.0</v>
      </c>
      <c r="F1086" s="429" t="s">
        <v>1628</v>
      </c>
      <c r="G1086" s="303" t="s">
        <v>3155</v>
      </c>
      <c r="H1086" s="303" t="s">
        <v>3156</v>
      </c>
    </row>
    <row r="1087">
      <c r="A1087" s="303">
        <v>45.0</v>
      </c>
      <c r="B1087" s="303" t="s">
        <v>3157</v>
      </c>
      <c r="C1087" s="303">
        <v>1.0</v>
      </c>
      <c r="D1087" s="304">
        <v>6.8</v>
      </c>
      <c r="E1087" s="327">
        <v>1.0</v>
      </c>
      <c r="F1087" s="303" t="s">
        <v>3158</v>
      </c>
      <c r="G1087" s="303" t="s">
        <v>300</v>
      </c>
      <c r="H1087" s="303" t="s">
        <v>3159</v>
      </c>
    </row>
    <row r="1088">
      <c r="A1088" s="308">
        <v>46.0</v>
      </c>
      <c r="B1088" s="425" t="s">
        <v>2910</v>
      </c>
      <c r="C1088" s="425">
        <v>1.0</v>
      </c>
      <c r="D1088" s="427">
        <v>18.8</v>
      </c>
      <c r="E1088" s="360">
        <v>1.0</v>
      </c>
      <c r="F1088" s="425" t="s">
        <v>2911</v>
      </c>
      <c r="G1088" s="491" t="s">
        <v>1446</v>
      </c>
      <c r="H1088" s="299" t="s">
        <v>3160</v>
      </c>
    </row>
    <row r="1089">
      <c r="A1089" s="303">
        <v>47.0</v>
      </c>
      <c r="B1089" s="303" t="s">
        <v>2576</v>
      </c>
      <c r="C1089" s="303"/>
      <c r="D1089" s="304"/>
      <c r="E1089" s="327"/>
      <c r="F1089" s="303" t="s">
        <v>2577</v>
      </c>
      <c r="G1089" s="303" t="s">
        <v>3161</v>
      </c>
      <c r="H1089" s="303" t="s">
        <v>2579</v>
      </c>
    </row>
    <row r="1090">
      <c r="A1090" s="303">
        <v>49.0</v>
      </c>
      <c r="B1090" s="303" t="s">
        <v>3162</v>
      </c>
      <c r="C1090" s="303"/>
      <c r="D1090" s="324"/>
      <c r="E1090" s="325"/>
      <c r="F1090" s="303" t="s">
        <v>3163</v>
      </c>
      <c r="G1090" s="303" t="s">
        <v>3164</v>
      </c>
      <c r="H1090" s="303" t="s">
        <v>671</v>
      </c>
    </row>
    <row r="1091">
      <c r="A1091" s="308">
        <v>50.0</v>
      </c>
      <c r="B1091" s="308" t="s">
        <v>2192</v>
      </c>
      <c r="C1091" s="306">
        <v>1.0</v>
      </c>
      <c r="D1091" s="307">
        <v>21.9</v>
      </c>
      <c r="E1091" s="453">
        <v>1.0</v>
      </c>
      <c r="F1091" s="306" t="s">
        <v>3165</v>
      </c>
      <c r="G1091" s="299" t="s">
        <v>1446</v>
      </c>
      <c r="H1091" s="306" t="s">
        <v>3166</v>
      </c>
    </row>
    <row r="1092">
      <c r="A1092" s="561" t="s">
        <v>1562</v>
      </c>
      <c r="B1092" s="3"/>
      <c r="C1092" s="306">
        <f>SUM(C1041:C1091)</f>
        <v>24</v>
      </c>
      <c r="D1092" s="487">
        <f t="shared" ref="D1092:E1092" si="24">sum(D1041:D1091)</f>
        <v>369.35</v>
      </c>
      <c r="E1092" s="488">
        <f t="shared" si="24"/>
        <v>21</v>
      </c>
      <c r="F1092" s="552"/>
      <c r="G1092" s="306"/>
      <c r="H1092" s="555"/>
    </row>
    <row r="1093">
      <c r="A1093" s="552"/>
      <c r="B1093" s="552"/>
      <c r="C1093" s="552"/>
      <c r="D1093" s="487"/>
      <c r="E1093" s="488"/>
      <c r="F1093" s="552"/>
      <c r="G1093" s="552"/>
      <c r="H1093" s="555"/>
    </row>
    <row r="1094">
      <c r="A1094" s="552"/>
      <c r="B1094" s="552"/>
      <c r="C1094" s="552"/>
      <c r="D1094" s="487"/>
      <c r="E1094" s="488"/>
      <c r="F1094" s="552"/>
      <c r="G1094" s="552"/>
      <c r="H1094" s="555"/>
    </row>
    <row r="1095">
      <c r="A1095" s="485" t="s">
        <v>3167</v>
      </c>
      <c r="B1095" s="290"/>
      <c r="C1095" s="290"/>
      <c r="D1095" s="290"/>
      <c r="E1095" s="290"/>
      <c r="F1095" s="290"/>
      <c r="G1095" s="290"/>
      <c r="H1095" s="291"/>
    </row>
    <row r="1096">
      <c r="A1096" s="292"/>
      <c r="B1096" s="293"/>
      <c r="C1096" s="293"/>
      <c r="D1096" s="293"/>
      <c r="E1096" s="293"/>
      <c r="F1096" s="293"/>
      <c r="G1096" s="293"/>
      <c r="H1096" s="294"/>
    </row>
    <row r="1097">
      <c r="A1097" s="420" t="s">
        <v>1435</v>
      </c>
      <c r="B1097" s="420" t="s">
        <v>1436</v>
      </c>
      <c r="C1097" s="420" t="s">
        <v>1843</v>
      </c>
      <c r="D1097" s="421" t="s">
        <v>1438</v>
      </c>
      <c r="E1097" s="422" t="s">
        <v>1564</v>
      </c>
      <c r="F1097" s="420" t="s">
        <v>1440</v>
      </c>
      <c r="G1097" s="420" t="s">
        <v>1844</v>
      </c>
      <c r="H1097" s="424" t="s">
        <v>1441</v>
      </c>
    </row>
    <row r="1098">
      <c r="A1098" s="429">
        <v>1.0</v>
      </c>
      <c r="B1098" s="429" t="s">
        <v>1443</v>
      </c>
      <c r="C1098" s="429"/>
      <c r="D1098" s="324"/>
      <c r="E1098" s="325"/>
      <c r="F1098" s="429" t="s">
        <v>1518</v>
      </c>
      <c r="G1098" s="429" t="s">
        <v>1446</v>
      </c>
      <c r="H1098" s="326"/>
    </row>
    <row r="1099">
      <c r="A1099" s="429">
        <v>2.0</v>
      </c>
      <c r="B1099" s="429" t="s">
        <v>1444</v>
      </c>
      <c r="C1099" s="429"/>
      <c r="D1099" s="324"/>
      <c r="E1099" s="325"/>
      <c r="F1099" s="429" t="s">
        <v>1518</v>
      </c>
      <c r="G1099" s="429" t="s">
        <v>1446</v>
      </c>
      <c r="H1099" s="326">
        <v>44574.0</v>
      </c>
    </row>
    <row r="1100">
      <c r="A1100" s="429">
        <v>3.0</v>
      </c>
      <c r="B1100" s="429" t="s">
        <v>1853</v>
      </c>
      <c r="C1100" s="429"/>
      <c r="D1100" s="324"/>
      <c r="E1100" s="325"/>
      <c r="F1100" s="429" t="s">
        <v>1518</v>
      </c>
      <c r="G1100" s="429" t="s">
        <v>1446</v>
      </c>
      <c r="H1100" s="326">
        <v>44596.0</v>
      </c>
    </row>
    <row r="1101">
      <c r="A1101" s="429">
        <v>4.0</v>
      </c>
      <c r="B1101" s="429" t="s">
        <v>1499</v>
      </c>
      <c r="C1101" s="429"/>
      <c r="D1101" s="324"/>
      <c r="E1101" s="325"/>
      <c r="F1101" s="326" t="s">
        <v>3168</v>
      </c>
      <c r="G1101" s="429" t="s">
        <v>1446</v>
      </c>
      <c r="H1101" s="326">
        <v>44851.0</v>
      </c>
    </row>
    <row r="1102">
      <c r="A1102" s="429">
        <v>5.0</v>
      </c>
      <c r="B1102" s="429" t="s">
        <v>2685</v>
      </c>
      <c r="C1102" s="429"/>
      <c r="D1102" s="324"/>
      <c r="E1102" s="325"/>
      <c r="F1102" s="429" t="s">
        <v>3169</v>
      </c>
      <c r="G1102" s="429" t="s">
        <v>1446</v>
      </c>
      <c r="H1102" s="326">
        <v>44854.0</v>
      </c>
    </row>
    <row r="1103">
      <c r="A1103" s="562" t="s">
        <v>1562</v>
      </c>
      <c r="B1103" s="3"/>
      <c r="C1103" s="429">
        <f t="shared" ref="C1103:D1103" si="25">sum(C1098:C1102)</f>
        <v>0</v>
      </c>
      <c r="D1103" s="324">
        <f t="shared" si="25"/>
        <v>0</v>
      </c>
      <c r="E1103" s="325">
        <f>SUM(E1098:E1102)</f>
        <v>0</v>
      </c>
      <c r="F1103" s="323"/>
      <c r="G1103" s="326"/>
      <c r="H1103" s="326"/>
    </row>
    <row r="1104">
      <c r="A1104" s="306"/>
      <c r="B1104" s="306"/>
      <c r="C1104" s="306"/>
      <c r="D1104" s="307"/>
      <c r="E1104" s="488"/>
      <c r="F1104" s="455"/>
      <c r="G1104" s="454"/>
      <c r="H1104" s="563"/>
    </row>
    <row r="1105">
      <c r="A1105" s="306"/>
      <c r="B1105" s="306"/>
      <c r="C1105" s="306"/>
      <c r="D1105" s="307"/>
      <c r="E1105" s="488"/>
      <c r="F1105" s="455"/>
      <c r="G1105" s="454"/>
      <c r="H1105" s="563"/>
    </row>
    <row r="1106">
      <c r="A1106" s="485" t="s">
        <v>3167</v>
      </c>
      <c r="B1106" s="290"/>
      <c r="C1106" s="290"/>
      <c r="D1106" s="290"/>
      <c r="E1106" s="290"/>
      <c r="F1106" s="290"/>
      <c r="G1106" s="290"/>
      <c r="H1106" s="291"/>
    </row>
    <row r="1107">
      <c r="A1107" s="292"/>
      <c r="B1107" s="293"/>
      <c r="C1107" s="293"/>
      <c r="D1107" s="293"/>
      <c r="E1107" s="293"/>
      <c r="F1107" s="293"/>
      <c r="G1107" s="293"/>
      <c r="H1107" s="294"/>
    </row>
    <row r="1108">
      <c r="A1108" s="517" t="s">
        <v>1435</v>
      </c>
      <c r="B1108" s="517" t="s">
        <v>1436</v>
      </c>
      <c r="C1108" s="517" t="s">
        <v>1843</v>
      </c>
      <c r="D1108" s="421" t="s">
        <v>1438</v>
      </c>
      <c r="E1108" s="422" t="s">
        <v>1564</v>
      </c>
      <c r="F1108" s="517" t="s">
        <v>1440</v>
      </c>
      <c r="G1108" s="517" t="s">
        <v>1844</v>
      </c>
      <c r="H1108" s="424" t="s">
        <v>1441</v>
      </c>
    </row>
    <row r="1109">
      <c r="A1109" s="329">
        <v>1.0</v>
      </c>
      <c r="B1109" s="329" t="s">
        <v>1443</v>
      </c>
      <c r="C1109" s="329"/>
      <c r="D1109" s="304"/>
      <c r="E1109" s="325"/>
      <c r="F1109" s="329" t="s">
        <v>1518</v>
      </c>
      <c r="G1109" s="329" t="s">
        <v>1446</v>
      </c>
      <c r="H1109" s="326"/>
    </row>
    <row r="1110">
      <c r="A1110" s="329">
        <v>2.0</v>
      </c>
      <c r="B1110" s="329" t="s">
        <v>1444</v>
      </c>
      <c r="C1110" s="329"/>
      <c r="D1110" s="304"/>
      <c r="E1110" s="325"/>
      <c r="F1110" s="329" t="s">
        <v>1518</v>
      </c>
      <c r="G1110" s="329" t="s">
        <v>1446</v>
      </c>
      <c r="H1110" s="326">
        <v>44574.0</v>
      </c>
    </row>
    <row r="1111">
      <c r="A1111" s="329">
        <v>3.0</v>
      </c>
      <c r="B1111" s="329" t="s">
        <v>1853</v>
      </c>
      <c r="C1111" s="329"/>
      <c r="D1111" s="324"/>
      <c r="E1111" s="325"/>
      <c r="F1111" s="329" t="s">
        <v>1518</v>
      </c>
      <c r="G1111" s="329" t="s">
        <v>1446</v>
      </c>
      <c r="H1111" s="326">
        <v>44596.0</v>
      </c>
    </row>
    <row r="1112">
      <c r="A1112" s="329">
        <v>4.0</v>
      </c>
      <c r="B1112" s="303" t="s">
        <v>3170</v>
      </c>
      <c r="C1112" s="303"/>
      <c r="D1112" s="304"/>
      <c r="E1112" s="327"/>
      <c r="F1112" s="303" t="s">
        <v>3171</v>
      </c>
      <c r="G1112" s="303" t="s">
        <v>3172</v>
      </c>
      <c r="H1112" s="305">
        <v>44881.0</v>
      </c>
    </row>
    <row r="1113">
      <c r="A1113" s="329">
        <v>5.0</v>
      </c>
      <c r="B1113" s="303" t="s">
        <v>3173</v>
      </c>
      <c r="C1113" s="303"/>
      <c r="D1113" s="304"/>
      <c r="E1113" s="327"/>
      <c r="F1113" s="303" t="s">
        <v>3174</v>
      </c>
      <c r="G1113" s="303" t="s">
        <v>3172</v>
      </c>
      <c r="H1113" s="305">
        <v>44881.0</v>
      </c>
    </row>
    <row r="1114">
      <c r="A1114" s="564" t="s">
        <v>1562</v>
      </c>
      <c r="B1114" s="3"/>
      <c r="C1114" s="329">
        <f t="shared" ref="C1114:D1114" si="26">sum(C1109:C1113)</f>
        <v>0</v>
      </c>
      <c r="D1114" s="324">
        <f t="shared" si="26"/>
        <v>0</v>
      </c>
      <c r="E1114" s="325">
        <f>SUM(E1109:E1113)</f>
        <v>0</v>
      </c>
      <c r="F1114" s="329"/>
      <c r="G1114" s="326"/>
      <c r="H1114" s="326"/>
    </row>
    <row r="1115">
      <c r="A1115" s="306"/>
      <c r="B1115" s="306"/>
      <c r="C1115" s="306"/>
      <c r="D1115" s="307"/>
      <c r="E1115" s="488"/>
      <c r="F1115" s="455"/>
      <c r="G1115" s="454"/>
      <c r="H1115" s="563"/>
    </row>
    <row r="1116">
      <c r="A1116" s="485" t="s">
        <v>3175</v>
      </c>
      <c r="B1116" s="290"/>
      <c r="C1116" s="290"/>
      <c r="D1116" s="290"/>
      <c r="E1116" s="290"/>
      <c r="F1116" s="290"/>
      <c r="G1116" s="290"/>
      <c r="H1116" s="291"/>
    </row>
    <row r="1117">
      <c r="A1117" s="292"/>
      <c r="B1117" s="293"/>
      <c r="C1117" s="293"/>
      <c r="D1117" s="293"/>
      <c r="E1117" s="293"/>
      <c r="F1117" s="293"/>
      <c r="G1117" s="293"/>
      <c r="H1117" s="294"/>
    </row>
    <row r="1118">
      <c r="A1118" s="517" t="s">
        <v>1435</v>
      </c>
      <c r="B1118" s="517" t="s">
        <v>1436</v>
      </c>
      <c r="C1118" s="517" t="s">
        <v>1843</v>
      </c>
      <c r="D1118" s="421" t="s">
        <v>1438</v>
      </c>
      <c r="E1118" s="422" t="s">
        <v>1564</v>
      </c>
      <c r="F1118" s="517" t="s">
        <v>1440</v>
      </c>
      <c r="G1118" s="517" t="s">
        <v>1844</v>
      </c>
      <c r="H1118" s="424" t="s">
        <v>1441</v>
      </c>
    </row>
    <row r="1119">
      <c r="A1119" s="364">
        <v>1.0</v>
      </c>
      <c r="B1119" s="364" t="s">
        <v>1443</v>
      </c>
      <c r="C1119" s="364">
        <v>1.0</v>
      </c>
      <c r="D1119" s="300">
        <v>144.0</v>
      </c>
      <c r="E1119" s="360"/>
      <c r="F1119" s="364" t="s">
        <v>1518</v>
      </c>
      <c r="G1119" s="364" t="s">
        <v>1446</v>
      </c>
      <c r="H1119" s="428"/>
    </row>
    <row r="1120">
      <c r="A1120" s="364">
        <v>2.0</v>
      </c>
      <c r="B1120" s="364" t="s">
        <v>1444</v>
      </c>
      <c r="C1120" s="364">
        <v>2.0</v>
      </c>
      <c r="D1120" s="300">
        <v>3.2</v>
      </c>
      <c r="E1120" s="360"/>
      <c r="F1120" s="364" t="s">
        <v>1518</v>
      </c>
      <c r="G1120" s="364" t="s">
        <v>1446</v>
      </c>
      <c r="H1120" s="428">
        <v>44574.0</v>
      </c>
    </row>
    <row r="1121">
      <c r="A1121" s="364">
        <v>3.0</v>
      </c>
      <c r="B1121" s="364" t="s">
        <v>1853</v>
      </c>
      <c r="C1121" s="299">
        <v>2.0</v>
      </c>
      <c r="D1121" s="300">
        <v>10.0</v>
      </c>
      <c r="E1121" s="360">
        <v>1.0</v>
      </c>
      <c r="F1121" s="364" t="s">
        <v>1518</v>
      </c>
      <c r="G1121" s="364" t="s">
        <v>1446</v>
      </c>
      <c r="H1121" s="428">
        <v>44596.0</v>
      </c>
    </row>
    <row r="1122">
      <c r="A1122" s="364">
        <v>4.0</v>
      </c>
      <c r="B1122" s="308" t="s">
        <v>3176</v>
      </c>
      <c r="C1122" s="308">
        <v>1.0</v>
      </c>
      <c r="D1122" s="314">
        <v>22.7</v>
      </c>
      <c r="E1122" s="365">
        <v>1.0</v>
      </c>
      <c r="F1122" s="308" t="s">
        <v>3177</v>
      </c>
      <c r="G1122" s="364" t="s">
        <v>1446</v>
      </c>
      <c r="H1122" s="315">
        <v>45275.0</v>
      </c>
    </row>
    <row r="1123">
      <c r="A1123" s="364">
        <v>5.0</v>
      </c>
      <c r="B1123" s="308" t="s">
        <v>2917</v>
      </c>
      <c r="C1123" s="308">
        <v>1.0</v>
      </c>
      <c r="D1123" s="314">
        <v>2.5</v>
      </c>
      <c r="E1123" s="365">
        <v>1.0</v>
      </c>
      <c r="F1123" s="308" t="s">
        <v>3178</v>
      </c>
      <c r="G1123" s="364" t="s">
        <v>1446</v>
      </c>
      <c r="H1123" s="315">
        <v>45275.0</v>
      </c>
    </row>
    <row r="1124">
      <c r="A1124" s="329">
        <v>6.0</v>
      </c>
      <c r="B1124" s="303" t="s">
        <v>2917</v>
      </c>
      <c r="C1124" s="303"/>
      <c r="D1124" s="304"/>
      <c r="E1124" s="327"/>
      <c r="F1124" s="303" t="s">
        <v>3179</v>
      </c>
      <c r="G1124" s="303" t="s">
        <v>3180</v>
      </c>
      <c r="H1124" s="305">
        <v>45275.0</v>
      </c>
    </row>
    <row r="1125">
      <c r="A1125" s="329">
        <v>7.0</v>
      </c>
      <c r="B1125" s="303" t="s">
        <v>2917</v>
      </c>
      <c r="C1125" s="303">
        <v>1.0</v>
      </c>
      <c r="D1125" s="304">
        <v>2.5</v>
      </c>
      <c r="E1125" s="327">
        <v>1.0</v>
      </c>
      <c r="F1125" s="303" t="s">
        <v>3181</v>
      </c>
      <c r="G1125" s="303" t="s">
        <v>3182</v>
      </c>
      <c r="H1125" s="305">
        <v>45275.0</v>
      </c>
    </row>
    <row r="1126">
      <c r="A1126" s="364">
        <v>8.0</v>
      </c>
      <c r="B1126" s="308" t="s">
        <v>2917</v>
      </c>
      <c r="C1126" s="308">
        <v>1.0</v>
      </c>
      <c r="D1126" s="314">
        <v>2.5</v>
      </c>
      <c r="E1126" s="365">
        <v>1.0</v>
      </c>
      <c r="F1126" s="308" t="s">
        <v>3183</v>
      </c>
      <c r="G1126" s="364" t="s">
        <v>1446</v>
      </c>
      <c r="H1126" s="315">
        <v>45275.0</v>
      </c>
    </row>
    <row r="1127">
      <c r="A1127" s="364">
        <v>9.0</v>
      </c>
      <c r="B1127" s="299" t="s">
        <v>3176</v>
      </c>
      <c r="C1127" s="299">
        <v>1.0</v>
      </c>
      <c r="D1127" s="300">
        <v>23.7</v>
      </c>
      <c r="E1127" s="360">
        <v>1.0</v>
      </c>
      <c r="F1127" s="308" t="s">
        <v>3184</v>
      </c>
      <c r="G1127" s="364" t="s">
        <v>1446</v>
      </c>
      <c r="H1127" s="565">
        <v>45285.0</v>
      </c>
    </row>
    <row r="1128">
      <c r="A1128" s="364">
        <v>10.0</v>
      </c>
      <c r="B1128" s="299" t="s">
        <v>3185</v>
      </c>
      <c r="C1128" s="299">
        <v>1.0</v>
      </c>
      <c r="D1128" s="300">
        <v>36.5</v>
      </c>
      <c r="E1128" s="331">
        <v>2.0</v>
      </c>
      <c r="F1128" s="308" t="s">
        <v>3186</v>
      </c>
      <c r="G1128" s="299" t="s">
        <v>1554</v>
      </c>
      <c r="H1128" s="565">
        <v>45315.0</v>
      </c>
    </row>
    <row r="1129">
      <c r="A1129" s="329">
        <v>11.0</v>
      </c>
      <c r="B1129" s="303" t="s">
        <v>3187</v>
      </c>
      <c r="C1129" s="303"/>
      <c r="D1129" s="304"/>
      <c r="E1129" s="327"/>
      <c r="F1129" s="303" t="s">
        <v>3188</v>
      </c>
      <c r="G1129" s="303" t="s">
        <v>1554</v>
      </c>
      <c r="H1129" s="303" t="s">
        <v>3189</v>
      </c>
    </row>
    <row r="1130">
      <c r="A1130" s="329">
        <v>12.0</v>
      </c>
      <c r="B1130" s="303" t="s">
        <v>3187</v>
      </c>
      <c r="C1130" s="303"/>
      <c r="D1130" s="304"/>
      <c r="E1130" s="327"/>
      <c r="F1130" s="303" t="s">
        <v>3190</v>
      </c>
      <c r="G1130" s="303" t="s">
        <v>3191</v>
      </c>
      <c r="H1130" s="566">
        <v>45476.0</v>
      </c>
    </row>
    <row r="1131">
      <c r="A1131" s="299">
        <v>13.0</v>
      </c>
      <c r="B1131" s="299" t="s">
        <v>1635</v>
      </c>
      <c r="C1131" s="299">
        <v>1.0</v>
      </c>
      <c r="D1131" s="300">
        <v>17.5</v>
      </c>
      <c r="E1131" s="331">
        <v>1.0</v>
      </c>
      <c r="F1131" s="308" t="s">
        <v>3192</v>
      </c>
      <c r="G1131" s="299" t="s">
        <v>1554</v>
      </c>
      <c r="H1131" s="565">
        <v>45490.0</v>
      </c>
    </row>
    <row r="1132">
      <c r="A1132" s="303">
        <v>16.0</v>
      </c>
      <c r="B1132" s="303" t="s">
        <v>3193</v>
      </c>
      <c r="C1132" s="303"/>
      <c r="D1132" s="304"/>
      <c r="E1132" s="327"/>
      <c r="F1132" s="303" t="s">
        <v>3194</v>
      </c>
      <c r="G1132" s="303" t="s">
        <v>585</v>
      </c>
      <c r="H1132" s="566">
        <v>45490.0</v>
      </c>
    </row>
    <row r="1133">
      <c r="A1133" s="303">
        <v>17.0</v>
      </c>
      <c r="B1133" s="303" t="s">
        <v>3195</v>
      </c>
      <c r="C1133" s="303"/>
      <c r="D1133" s="304"/>
      <c r="E1133" s="327"/>
      <c r="F1133" s="303" t="s">
        <v>3196</v>
      </c>
      <c r="G1133" s="303" t="s">
        <v>585</v>
      </c>
      <c r="H1133" s="566">
        <v>45529.0</v>
      </c>
    </row>
    <row r="1134">
      <c r="A1134" s="364">
        <v>14.0</v>
      </c>
      <c r="B1134" s="364" t="s">
        <v>3197</v>
      </c>
      <c r="C1134" s="364">
        <v>1.0</v>
      </c>
      <c r="D1134" s="427">
        <v>12.0</v>
      </c>
      <c r="E1134" s="360">
        <v>1.0</v>
      </c>
      <c r="F1134" s="364" t="s">
        <v>3198</v>
      </c>
      <c r="G1134" s="428" t="s">
        <v>1554</v>
      </c>
      <c r="H1134" s="567">
        <v>45555.0</v>
      </c>
    </row>
    <row r="1135">
      <c r="A1135" s="329">
        <v>15.0</v>
      </c>
      <c r="B1135" s="329" t="s">
        <v>3199</v>
      </c>
      <c r="C1135" s="329"/>
      <c r="D1135" s="324"/>
      <c r="E1135" s="325"/>
      <c r="F1135" s="329" t="s">
        <v>3200</v>
      </c>
      <c r="G1135" s="326" t="s">
        <v>1554</v>
      </c>
      <c r="H1135" s="568">
        <v>45555.0</v>
      </c>
    </row>
    <row r="1136">
      <c r="A1136" s="303">
        <v>16.0</v>
      </c>
      <c r="B1136" s="303" t="s">
        <v>3201</v>
      </c>
      <c r="C1136" s="303"/>
      <c r="D1136" s="304"/>
      <c r="E1136" s="327"/>
      <c r="F1136" s="303" t="s">
        <v>3202</v>
      </c>
      <c r="G1136" s="303" t="s">
        <v>1554</v>
      </c>
      <c r="H1136" s="303" t="s">
        <v>3203</v>
      </c>
    </row>
    <row r="1137">
      <c r="A1137" s="303">
        <v>17.0</v>
      </c>
      <c r="B1137" s="303" t="s">
        <v>3201</v>
      </c>
      <c r="C1137" s="303"/>
      <c r="D1137" s="304"/>
      <c r="E1137" s="327"/>
      <c r="F1137" s="303" t="s">
        <v>3204</v>
      </c>
      <c r="G1137" s="303" t="s">
        <v>1554</v>
      </c>
      <c r="H1137" s="303" t="s">
        <v>3203</v>
      </c>
    </row>
    <row r="1138">
      <c r="A1138" s="299">
        <v>18.0</v>
      </c>
      <c r="B1138" s="308" t="s">
        <v>2557</v>
      </c>
      <c r="C1138" s="299">
        <v>1.0</v>
      </c>
      <c r="D1138" s="300">
        <v>2.0</v>
      </c>
      <c r="E1138" s="331">
        <v>1.0</v>
      </c>
      <c r="F1138" s="308" t="s">
        <v>3205</v>
      </c>
      <c r="G1138" s="299" t="s">
        <v>1554</v>
      </c>
      <c r="H1138" s="301">
        <v>45792.0</v>
      </c>
    </row>
    <row r="1139">
      <c r="A1139" s="299">
        <v>19.0</v>
      </c>
      <c r="B1139" s="308" t="s">
        <v>3206</v>
      </c>
      <c r="C1139" s="299">
        <v>1.0</v>
      </c>
      <c r="D1139" s="300">
        <v>6.0</v>
      </c>
      <c r="E1139" s="331">
        <v>1.0</v>
      </c>
      <c r="F1139" s="308" t="s">
        <v>3207</v>
      </c>
      <c r="G1139" s="299" t="s">
        <v>1554</v>
      </c>
      <c r="H1139" s="301">
        <v>45798.0</v>
      </c>
    </row>
    <row r="1140">
      <c r="A1140" s="303">
        <v>20.0</v>
      </c>
      <c r="B1140" s="303" t="s">
        <v>3206</v>
      </c>
      <c r="C1140" s="303"/>
      <c r="D1140" s="304"/>
      <c r="E1140" s="327"/>
      <c r="F1140" s="303" t="s">
        <v>3208</v>
      </c>
      <c r="G1140" s="303" t="s">
        <v>3209</v>
      </c>
      <c r="H1140" s="305">
        <v>45804.0</v>
      </c>
    </row>
    <row r="1141">
      <c r="A1141" s="299">
        <v>21.0</v>
      </c>
      <c r="B1141" s="299" t="s">
        <v>3210</v>
      </c>
      <c r="C1141" s="299">
        <v>1.0</v>
      </c>
      <c r="D1141" s="300">
        <v>31.5</v>
      </c>
      <c r="E1141" s="331">
        <v>2.0</v>
      </c>
      <c r="F1141" s="308" t="s">
        <v>3188</v>
      </c>
      <c r="G1141" s="299" t="s">
        <v>1554</v>
      </c>
      <c r="H1141" s="301">
        <v>45862.0</v>
      </c>
    </row>
    <row r="1142">
      <c r="A1142" s="299">
        <v>22.0</v>
      </c>
      <c r="B1142" s="299" t="s">
        <v>1506</v>
      </c>
      <c r="C1142" s="299">
        <v>1.0</v>
      </c>
      <c r="D1142" s="300">
        <v>7.0</v>
      </c>
      <c r="E1142" s="331" t="s">
        <v>3211</v>
      </c>
      <c r="F1142" s="308" t="s">
        <v>3212</v>
      </c>
      <c r="G1142" s="299" t="s">
        <v>1554</v>
      </c>
      <c r="H1142" s="301">
        <v>46085.0</v>
      </c>
    </row>
    <row r="1143">
      <c r="A1143" s="364"/>
      <c r="B1143" s="364"/>
      <c r="C1143" s="364"/>
      <c r="D1143" s="427"/>
      <c r="E1143" s="360"/>
      <c r="F1143" s="364"/>
      <c r="G1143" s="428"/>
      <c r="H1143" s="428"/>
    </row>
    <row r="1144">
      <c r="A1144" s="569"/>
      <c r="B1144" s="3"/>
      <c r="C1144" s="570"/>
      <c r="D1144" s="571"/>
      <c r="E1144" s="572"/>
      <c r="F1144" s="570"/>
      <c r="G1144" s="573"/>
      <c r="H1144" s="573"/>
    </row>
    <row r="1145">
      <c r="A1145" s="485" t="s">
        <v>3213</v>
      </c>
      <c r="B1145" s="290"/>
      <c r="C1145" s="290"/>
      <c r="D1145" s="290"/>
      <c r="E1145" s="290"/>
      <c r="F1145" s="290"/>
      <c r="G1145" s="290"/>
      <c r="H1145" s="291"/>
    </row>
    <row r="1146">
      <c r="A1146" s="292"/>
      <c r="B1146" s="293"/>
      <c r="C1146" s="293"/>
      <c r="D1146" s="293"/>
      <c r="E1146" s="293"/>
      <c r="F1146" s="293"/>
      <c r="G1146" s="293"/>
      <c r="H1146" s="294"/>
    </row>
    <row r="1147">
      <c r="A1147" s="517" t="s">
        <v>1435</v>
      </c>
      <c r="B1147" s="517" t="s">
        <v>1436</v>
      </c>
      <c r="C1147" s="517" t="s">
        <v>1843</v>
      </c>
      <c r="D1147" s="421" t="s">
        <v>1438</v>
      </c>
      <c r="E1147" s="422" t="s">
        <v>1564</v>
      </c>
      <c r="F1147" s="517" t="s">
        <v>1440</v>
      </c>
      <c r="G1147" s="517" t="s">
        <v>1844</v>
      </c>
      <c r="H1147" s="424" t="s">
        <v>1441</v>
      </c>
    </row>
    <row r="1148">
      <c r="A1148" s="299">
        <v>1.0</v>
      </c>
      <c r="B1148" s="385" t="s">
        <v>3214</v>
      </c>
      <c r="C1148" s="299">
        <v>1.0</v>
      </c>
      <c r="D1148" s="300">
        <v>8.0</v>
      </c>
      <c r="E1148" s="331">
        <v>1.0</v>
      </c>
      <c r="F1148" s="385" t="s">
        <v>3215</v>
      </c>
      <c r="G1148" s="364" t="s">
        <v>1446</v>
      </c>
      <c r="H1148" s="521">
        <v>45875.0</v>
      </c>
    </row>
    <row r="1149">
      <c r="A1149" s="299">
        <v>2.0</v>
      </c>
      <c r="B1149" s="385" t="s">
        <v>1643</v>
      </c>
      <c r="C1149" s="299">
        <v>1.0</v>
      </c>
      <c r="D1149" s="300">
        <v>2.0</v>
      </c>
      <c r="E1149" s="331">
        <v>1.0</v>
      </c>
      <c r="F1149" s="385" t="s">
        <v>3216</v>
      </c>
      <c r="G1149" s="364" t="s">
        <v>1446</v>
      </c>
      <c r="H1149" s="521">
        <v>45875.0</v>
      </c>
    </row>
    <row r="1150">
      <c r="A1150" s="299">
        <v>3.0</v>
      </c>
      <c r="B1150" s="385" t="s">
        <v>1643</v>
      </c>
      <c r="C1150" s="299">
        <v>1.0</v>
      </c>
      <c r="D1150" s="300">
        <v>2.0</v>
      </c>
      <c r="E1150" s="331">
        <v>1.0</v>
      </c>
      <c r="F1150" s="384" t="s">
        <v>3217</v>
      </c>
      <c r="G1150" s="364" t="s">
        <v>1446</v>
      </c>
      <c r="H1150" s="521">
        <v>45875.0</v>
      </c>
    </row>
    <row r="1151">
      <c r="A1151" s="299">
        <v>4.0</v>
      </c>
      <c r="B1151" s="385" t="s">
        <v>1643</v>
      </c>
      <c r="C1151" s="299">
        <v>1.0</v>
      </c>
      <c r="D1151" s="300">
        <v>2.0</v>
      </c>
      <c r="E1151" s="331">
        <v>1.0</v>
      </c>
      <c r="F1151" s="384" t="s">
        <v>3218</v>
      </c>
      <c r="G1151" s="364" t="s">
        <v>1446</v>
      </c>
      <c r="H1151" s="521">
        <v>45875.0</v>
      </c>
    </row>
    <row r="1152">
      <c r="A1152" s="299">
        <v>5.0</v>
      </c>
      <c r="B1152" s="309" t="s">
        <v>2393</v>
      </c>
      <c r="C1152" s="309">
        <v>1.0</v>
      </c>
      <c r="D1152" s="355">
        <v>17.5</v>
      </c>
      <c r="E1152" s="356">
        <v>1.0</v>
      </c>
      <c r="F1152" s="309" t="s">
        <v>2395</v>
      </c>
      <c r="G1152" s="344" t="s">
        <v>3219</v>
      </c>
      <c r="H1152" s="393">
        <v>45892.0</v>
      </c>
    </row>
    <row r="1153">
      <c r="A1153" s="299">
        <v>6.0</v>
      </c>
      <c r="B1153" s="309" t="s">
        <v>2393</v>
      </c>
      <c r="C1153" s="309">
        <v>1.0</v>
      </c>
      <c r="D1153" s="355">
        <v>17.5</v>
      </c>
      <c r="E1153" s="356">
        <v>1.0</v>
      </c>
      <c r="F1153" s="309" t="s">
        <v>2396</v>
      </c>
      <c r="G1153" s="344" t="s">
        <v>3219</v>
      </c>
      <c r="H1153" s="393">
        <v>45892.0</v>
      </c>
    </row>
    <row r="1154">
      <c r="A1154" s="299">
        <v>7.0</v>
      </c>
      <c r="B1154" s="308" t="s">
        <v>2387</v>
      </c>
      <c r="C1154" s="308">
        <v>1.0</v>
      </c>
      <c r="D1154" s="314">
        <v>28.2</v>
      </c>
      <c r="E1154" s="365">
        <v>2.0</v>
      </c>
      <c r="F1154" s="308" t="s">
        <v>2388</v>
      </c>
      <c r="G1154" s="344" t="s">
        <v>3219</v>
      </c>
      <c r="H1154" s="393">
        <v>45892.0</v>
      </c>
    </row>
    <row r="1155">
      <c r="A1155" s="299">
        <v>8.0</v>
      </c>
      <c r="B1155" s="308" t="s">
        <v>2389</v>
      </c>
      <c r="C1155" s="308">
        <v>1.0</v>
      </c>
      <c r="D1155" s="314">
        <v>19.3</v>
      </c>
      <c r="E1155" s="365">
        <v>1.0</v>
      </c>
      <c r="F1155" s="308" t="s">
        <v>2390</v>
      </c>
      <c r="G1155" s="344" t="s">
        <v>3219</v>
      </c>
      <c r="H1155" s="393">
        <v>45892.0</v>
      </c>
    </row>
    <row r="1156">
      <c r="A1156" s="303">
        <v>9.0</v>
      </c>
      <c r="B1156" s="303" t="s">
        <v>1620</v>
      </c>
      <c r="C1156" s="303"/>
      <c r="D1156" s="304"/>
      <c r="E1156" s="327"/>
      <c r="F1156" s="303" t="s">
        <v>2383</v>
      </c>
      <c r="G1156" s="240" t="s">
        <v>3220</v>
      </c>
      <c r="H1156" s="376">
        <v>45892.0</v>
      </c>
    </row>
    <row r="1157">
      <c r="A1157" s="299">
        <v>10.0</v>
      </c>
      <c r="B1157" s="308" t="s">
        <v>2016</v>
      </c>
      <c r="C1157" s="308">
        <v>1.0</v>
      </c>
      <c r="D1157" s="314">
        <v>16.6</v>
      </c>
      <c r="E1157" s="365">
        <v>1.0</v>
      </c>
      <c r="F1157" s="308" t="s">
        <v>3221</v>
      </c>
      <c r="G1157" s="344" t="s">
        <v>1554</v>
      </c>
      <c r="H1157" s="393">
        <v>45893.0</v>
      </c>
    </row>
    <row r="1158">
      <c r="A1158" s="308">
        <v>11.0</v>
      </c>
      <c r="B1158" s="308" t="s">
        <v>3222</v>
      </c>
      <c r="C1158" s="308">
        <v>1.0</v>
      </c>
      <c r="D1158" s="314">
        <v>8.3</v>
      </c>
      <c r="E1158" s="365">
        <v>1.0</v>
      </c>
      <c r="F1158" s="308" t="s">
        <v>3223</v>
      </c>
      <c r="G1158" s="344" t="s">
        <v>1554</v>
      </c>
      <c r="H1158" s="393">
        <v>46046.0</v>
      </c>
    </row>
    <row r="1159">
      <c r="A1159" s="561" t="s">
        <v>1562</v>
      </c>
      <c r="B1159" s="3"/>
      <c r="C1159" s="463">
        <f>SUM(C1119:C1151)</f>
        <v>21</v>
      </c>
      <c r="D1159" s="473">
        <f>sum(D1119:D1151)</f>
        <v>337.6</v>
      </c>
      <c r="E1159" s="464">
        <f>SUM(E1119:E1151)</f>
        <v>18</v>
      </c>
      <c r="F1159" s="463"/>
      <c r="G1159" s="491"/>
      <c r="H1159" s="491"/>
    </row>
    <row r="1160">
      <c r="A1160" s="306"/>
      <c r="B1160" s="306"/>
      <c r="C1160" s="306"/>
      <c r="D1160" s="307"/>
      <c r="E1160" s="488"/>
      <c r="F1160" s="364"/>
      <c r="G1160" s="454"/>
      <c r="H1160" s="563"/>
    </row>
    <row r="1161">
      <c r="A1161" s="306"/>
      <c r="B1161" s="306"/>
      <c r="C1161" s="306"/>
      <c r="D1161" s="307"/>
      <c r="E1161" s="488"/>
      <c r="F1161" s="364"/>
      <c r="G1161" s="454"/>
      <c r="H1161" s="563"/>
    </row>
    <row r="1162">
      <c r="A1162" s="306"/>
      <c r="B1162" s="306"/>
      <c r="C1162" s="306"/>
      <c r="D1162" s="307"/>
      <c r="E1162" s="488"/>
      <c r="F1162" s="364"/>
      <c r="G1162" s="454"/>
      <c r="H1162" s="563"/>
    </row>
    <row r="1163">
      <c r="A1163" s="306"/>
      <c r="B1163" s="306"/>
      <c r="C1163" s="306"/>
      <c r="D1163" s="307"/>
      <c r="E1163" s="488"/>
      <c r="F1163" s="364"/>
      <c r="G1163" s="454"/>
      <c r="H1163" s="563"/>
    </row>
    <row r="1164">
      <c r="A1164" s="306"/>
      <c r="B1164" s="306"/>
      <c r="C1164" s="306"/>
      <c r="D1164" s="307"/>
      <c r="E1164" s="488"/>
      <c r="F1164" s="364"/>
      <c r="G1164" s="454"/>
      <c r="H1164" s="563"/>
    </row>
    <row r="1165">
      <c r="A1165" s="306"/>
      <c r="B1165" s="306"/>
      <c r="C1165" s="306"/>
      <c r="D1165" s="307"/>
      <c r="E1165" s="488"/>
      <c r="F1165" s="364"/>
      <c r="G1165" s="454"/>
      <c r="H1165" s="563"/>
    </row>
    <row r="1166">
      <c r="A1166" s="306"/>
      <c r="B1166" s="306"/>
      <c r="C1166" s="306"/>
      <c r="D1166" s="307"/>
      <c r="E1166" s="488"/>
      <c r="F1166" s="364"/>
      <c r="G1166" s="454"/>
      <c r="H1166" s="563"/>
    </row>
    <row r="1167">
      <c r="A1167" s="574" t="s">
        <v>3224</v>
      </c>
      <c r="B1167" s="290"/>
      <c r="C1167" s="290"/>
      <c r="D1167" s="290"/>
      <c r="E1167" s="290"/>
      <c r="F1167" s="290"/>
      <c r="G1167" s="290"/>
      <c r="H1167" s="291"/>
    </row>
    <row r="1168">
      <c r="A1168" s="292"/>
      <c r="B1168" s="293"/>
      <c r="C1168" s="293"/>
      <c r="D1168" s="293"/>
      <c r="E1168" s="293"/>
      <c r="F1168" s="293"/>
      <c r="G1168" s="293"/>
      <c r="H1168" s="294"/>
    </row>
    <row r="1169">
      <c r="A1169" s="575" t="s">
        <v>1435</v>
      </c>
      <c r="B1169" s="575" t="s">
        <v>1436</v>
      </c>
      <c r="C1169" s="575" t="s">
        <v>1843</v>
      </c>
      <c r="D1169" s="576" t="s">
        <v>1438</v>
      </c>
      <c r="E1169" s="577" t="s">
        <v>1564</v>
      </c>
      <c r="F1169" s="575" t="s">
        <v>1440</v>
      </c>
      <c r="G1169" s="575" t="s">
        <v>1844</v>
      </c>
      <c r="H1169" s="578" t="s">
        <v>1441</v>
      </c>
    </row>
    <row r="1170">
      <c r="A1170" s="579">
        <v>1.0</v>
      </c>
      <c r="B1170" s="579" t="s">
        <v>1443</v>
      </c>
      <c r="C1170" s="579">
        <v>1.0</v>
      </c>
      <c r="D1170" s="526">
        <v>144.0</v>
      </c>
      <c r="E1170" s="580"/>
      <c r="F1170" s="579" t="s">
        <v>1518</v>
      </c>
      <c r="G1170" s="579" t="s">
        <v>1446</v>
      </c>
      <c r="H1170" s="581"/>
    </row>
    <row r="1171">
      <c r="A1171" s="579">
        <v>2.0</v>
      </c>
      <c r="B1171" s="579" t="s">
        <v>1444</v>
      </c>
      <c r="C1171" s="579">
        <v>2.0</v>
      </c>
      <c r="D1171" s="526">
        <f>C1171*3.2</f>
        <v>6.4</v>
      </c>
      <c r="E1171" s="580"/>
      <c r="F1171" s="579" t="s">
        <v>1518</v>
      </c>
      <c r="G1171" s="579" t="s">
        <v>1446</v>
      </c>
      <c r="H1171" s="581">
        <v>44574.0</v>
      </c>
    </row>
    <row r="1172">
      <c r="A1172" s="579">
        <v>3.0</v>
      </c>
      <c r="B1172" s="579" t="s">
        <v>1853</v>
      </c>
      <c r="C1172" s="579">
        <v>1.0</v>
      </c>
      <c r="D1172" s="582">
        <v>5.0</v>
      </c>
      <c r="E1172" s="580">
        <v>1.0</v>
      </c>
      <c r="F1172" s="579" t="s">
        <v>1518</v>
      </c>
      <c r="G1172" s="579" t="s">
        <v>1446</v>
      </c>
      <c r="H1172" s="581">
        <v>44596.0</v>
      </c>
    </row>
    <row r="1173">
      <c r="A1173" s="583">
        <v>4.0</v>
      </c>
      <c r="B1173" s="259" t="s">
        <v>3225</v>
      </c>
      <c r="C1173" s="259"/>
      <c r="D1173" s="530"/>
      <c r="E1173" s="531"/>
      <c r="F1173" s="259" t="s">
        <v>2966</v>
      </c>
      <c r="G1173" s="259" t="s">
        <v>3226</v>
      </c>
      <c r="H1173" s="532">
        <v>45240.0</v>
      </c>
    </row>
    <row r="1174">
      <c r="A1174" s="583">
        <v>5.0</v>
      </c>
      <c r="B1174" s="259" t="s">
        <v>3225</v>
      </c>
      <c r="C1174" s="259"/>
      <c r="D1174" s="530"/>
      <c r="E1174" s="531"/>
      <c r="F1174" s="259" t="s">
        <v>2965</v>
      </c>
      <c r="G1174" s="259" t="s">
        <v>3226</v>
      </c>
      <c r="H1174" s="532">
        <v>45240.0</v>
      </c>
    </row>
    <row r="1175">
      <c r="A1175" s="583">
        <v>6.0</v>
      </c>
      <c r="B1175" s="259" t="s">
        <v>3225</v>
      </c>
      <c r="C1175" s="259"/>
      <c r="D1175" s="530"/>
      <c r="E1175" s="531"/>
      <c r="F1175" s="259" t="s">
        <v>2963</v>
      </c>
      <c r="G1175" s="259" t="s">
        <v>3226</v>
      </c>
      <c r="H1175" s="532">
        <v>45240.0</v>
      </c>
    </row>
    <row r="1176">
      <c r="A1176" s="583">
        <v>7.0</v>
      </c>
      <c r="B1176" s="259" t="s">
        <v>3225</v>
      </c>
      <c r="C1176" s="259"/>
      <c r="D1176" s="530"/>
      <c r="E1176" s="531"/>
      <c r="F1176" s="259" t="s">
        <v>2967</v>
      </c>
      <c r="G1176" s="259" t="s">
        <v>3226</v>
      </c>
      <c r="H1176" s="532">
        <v>45240.0</v>
      </c>
    </row>
    <row r="1177">
      <c r="A1177" s="583">
        <v>8.0</v>
      </c>
      <c r="B1177" s="259" t="s">
        <v>3225</v>
      </c>
      <c r="C1177" s="259"/>
      <c r="D1177" s="530"/>
      <c r="E1177" s="531"/>
      <c r="F1177" s="259" t="s">
        <v>2969</v>
      </c>
      <c r="G1177" s="259" t="s">
        <v>3226</v>
      </c>
      <c r="H1177" s="532">
        <v>45240.0</v>
      </c>
    </row>
    <row r="1178">
      <c r="A1178" s="583">
        <v>9.0</v>
      </c>
      <c r="B1178" s="259" t="s">
        <v>3225</v>
      </c>
      <c r="C1178" s="259"/>
      <c r="D1178" s="530"/>
      <c r="E1178" s="531"/>
      <c r="F1178" s="259" t="s">
        <v>2968</v>
      </c>
      <c r="G1178" s="259" t="s">
        <v>3226</v>
      </c>
      <c r="H1178" s="532">
        <v>45240.0</v>
      </c>
    </row>
    <row r="1179">
      <c r="A1179" s="579">
        <v>10.0</v>
      </c>
      <c r="B1179" s="542" t="s">
        <v>2198</v>
      </c>
      <c r="C1179" s="542">
        <v>1.0</v>
      </c>
      <c r="D1179" s="543">
        <v>2.0</v>
      </c>
      <c r="E1179" s="527">
        <v>1.0</v>
      </c>
      <c r="F1179" s="542" t="s">
        <v>3227</v>
      </c>
      <c r="G1179" s="579" t="s">
        <v>1446</v>
      </c>
      <c r="H1179" s="546">
        <v>45240.0</v>
      </c>
    </row>
    <row r="1180">
      <c r="A1180" s="579">
        <v>11.0</v>
      </c>
      <c r="B1180" s="525" t="s">
        <v>3228</v>
      </c>
      <c r="C1180" s="525">
        <v>1.0</v>
      </c>
      <c r="D1180" s="526">
        <v>2.0</v>
      </c>
      <c r="E1180" s="527">
        <v>1.0</v>
      </c>
      <c r="F1180" s="525" t="s">
        <v>3229</v>
      </c>
      <c r="G1180" s="525" t="s">
        <v>1446</v>
      </c>
      <c r="H1180" s="528">
        <v>45282.0</v>
      </c>
    </row>
    <row r="1181">
      <c r="A1181" s="579">
        <v>12.0</v>
      </c>
      <c r="B1181" s="525" t="s">
        <v>3230</v>
      </c>
      <c r="C1181" s="525">
        <v>1.0</v>
      </c>
      <c r="D1181" s="526">
        <v>5.0</v>
      </c>
      <c r="E1181" s="527">
        <v>1.0</v>
      </c>
      <c r="F1181" s="525">
        <v>2.02312150001E11</v>
      </c>
      <c r="G1181" s="525" t="s">
        <v>1446</v>
      </c>
      <c r="H1181" s="528">
        <v>45282.0</v>
      </c>
    </row>
    <row r="1182">
      <c r="A1182" s="579">
        <v>15.0</v>
      </c>
      <c r="B1182" s="525" t="s">
        <v>3231</v>
      </c>
      <c r="C1182" s="525">
        <v>1.0</v>
      </c>
      <c r="D1182" s="526">
        <v>3.2</v>
      </c>
      <c r="E1182" s="527">
        <v>1.0</v>
      </c>
      <c r="F1182" s="525" t="s">
        <v>3232</v>
      </c>
      <c r="G1182" s="525" t="s">
        <v>1446</v>
      </c>
      <c r="H1182" s="528">
        <v>45346.0</v>
      </c>
    </row>
    <row r="1183">
      <c r="A1183" s="525">
        <v>16.0</v>
      </c>
      <c r="B1183" s="525" t="s">
        <v>3231</v>
      </c>
      <c r="C1183" s="525">
        <v>1.0</v>
      </c>
      <c r="D1183" s="526">
        <v>3.2</v>
      </c>
      <c r="E1183" s="527">
        <v>1.0</v>
      </c>
      <c r="F1183" s="525" t="s">
        <v>3233</v>
      </c>
      <c r="G1183" s="525" t="s">
        <v>1446</v>
      </c>
      <c r="H1183" s="528">
        <v>45346.0</v>
      </c>
    </row>
    <row r="1184">
      <c r="A1184" s="525">
        <v>17.0</v>
      </c>
      <c r="B1184" s="525" t="s">
        <v>3231</v>
      </c>
      <c r="C1184" s="525">
        <v>1.0</v>
      </c>
      <c r="D1184" s="526">
        <v>3.2</v>
      </c>
      <c r="E1184" s="527">
        <v>1.0</v>
      </c>
      <c r="F1184" s="525" t="s">
        <v>3234</v>
      </c>
      <c r="G1184" s="525" t="s">
        <v>1446</v>
      </c>
      <c r="H1184" s="528">
        <v>45346.0</v>
      </c>
    </row>
    <row r="1185">
      <c r="A1185" s="579">
        <v>18.0</v>
      </c>
      <c r="B1185" s="525" t="s">
        <v>3231</v>
      </c>
      <c r="C1185" s="525">
        <v>1.0</v>
      </c>
      <c r="D1185" s="526">
        <v>3.2</v>
      </c>
      <c r="E1185" s="527">
        <v>1.0</v>
      </c>
      <c r="F1185" s="525" t="s">
        <v>3235</v>
      </c>
      <c r="G1185" s="525" t="s">
        <v>1446</v>
      </c>
      <c r="H1185" s="528">
        <v>45346.0</v>
      </c>
    </row>
    <row r="1186">
      <c r="A1186" s="525">
        <v>14.0</v>
      </c>
      <c r="B1186" s="525" t="s">
        <v>2016</v>
      </c>
      <c r="C1186" s="525">
        <v>1.0</v>
      </c>
      <c r="D1186" s="526">
        <v>17.8</v>
      </c>
      <c r="E1186" s="527">
        <v>1.0</v>
      </c>
      <c r="F1186" s="525">
        <v>1.4458410038E10</v>
      </c>
      <c r="G1186" s="525" t="s">
        <v>1446</v>
      </c>
      <c r="H1186" s="528">
        <v>45349.0</v>
      </c>
    </row>
    <row r="1187">
      <c r="A1187" s="525">
        <v>15.0</v>
      </c>
      <c r="B1187" s="525" t="s">
        <v>2997</v>
      </c>
      <c r="C1187" s="525">
        <v>1.0</v>
      </c>
      <c r="D1187" s="526">
        <v>30.4</v>
      </c>
      <c r="E1187" s="527">
        <v>2.0</v>
      </c>
      <c r="F1187" s="525" t="s">
        <v>3236</v>
      </c>
      <c r="G1187" s="525" t="s">
        <v>1446</v>
      </c>
      <c r="H1187" s="528">
        <v>45477.0</v>
      </c>
    </row>
    <row r="1188">
      <c r="A1188" s="259">
        <v>16.0</v>
      </c>
      <c r="B1188" s="259" t="s">
        <v>3237</v>
      </c>
      <c r="C1188" s="259"/>
      <c r="D1188" s="530"/>
      <c r="E1188" s="531"/>
      <c r="F1188" s="259" t="s">
        <v>3238</v>
      </c>
      <c r="G1188" s="259" t="s">
        <v>1848</v>
      </c>
      <c r="H1188" s="259" t="s">
        <v>3239</v>
      </c>
    </row>
    <row r="1189">
      <c r="A1189" s="259">
        <v>17.0</v>
      </c>
      <c r="B1189" s="259" t="s">
        <v>3240</v>
      </c>
      <c r="C1189" s="259"/>
      <c r="D1189" s="530"/>
      <c r="E1189" s="531"/>
      <c r="F1189" s="259" t="s">
        <v>3241</v>
      </c>
      <c r="G1189" s="259" t="s">
        <v>1848</v>
      </c>
      <c r="H1189" s="259" t="s">
        <v>3242</v>
      </c>
    </row>
    <row r="1190">
      <c r="A1190" s="259">
        <v>18.0</v>
      </c>
      <c r="B1190" s="259" t="s">
        <v>3243</v>
      </c>
      <c r="C1190" s="259"/>
      <c r="D1190" s="530"/>
      <c r="E1190" s="531"/>
      <c r="F1190" s="259" t="s">
        <v>3244</v>
      </c>
      <c r="G1190" s="259" t="s">
        <v>1848</v>
      </c>
      <c r="H1190" s="259" t="s">
        <v>3245</v>
      </c>
    </row>
    <row r="1191">
      <c r="A1191" s="542">
        <v>19.0</v>
      </c>
      <c r="B1191" s="542" t="s">
        <v>3246</v>
      </c>
      <c r="C1191" s="542">
        <v>1.0</v>
      </c>
      <c r="D1191" s="543">
        <v>8.8</v>
      </c>
      <c r="E1191" s="544">
        <v>1.0</v>
      </c>
      <c r="F1191" s="542" t="s">
        <v>3247</v>
      </c>
      <c r="G1191" s="542" t="s">
        <v>1446</v>
      </c>
      <c r="H1191" s="546">
        <v>45606.0</v>
      </c>
    </row>
    <row r="1192">
      <c r="A1192" s="542">
        <v>20.0</v>
      </c>
      <c r="B1192" s="525" t="s">
        <v>2513</v>
      </c>
      <c r="C1192" s="525">
        <v>1.0</v>
      </c>
      <c r="D1192" s="526">
        <v>21.9</v>
      </c>
      <c r="E1192" s="527">
        <v>1.0</v>
      </c>
      <c r="F1192" s="525" t="s">
        <v>3248</v>
      </c>
      <c r="G1192" s="542" t="s">
        <v>1446</v>
      </c>
      <c r="H1192" s="528">
        <v>45705.0</v>
      </c>
    </row>
    <row r="1193" ht="13.5" customHeight="1">
      <c r="A1193" s="542">
        <v>21.0</v>
      </c>
      <c r="B1193" s="525" t="s">
        <v>3000</v>
      </c>
      <c r="C1193" s="525">
        <v>1.0</v>
      </c>
      <c r="D1193" s="526">
        <v>17.4</v>
      </c>
      <c r="E1193" s="527">
        <v>1.0</v>
      </c>
      <c r="F1193" s="525">
        <v>3.361096334E9</v>
      </c>
      <c r="G1193" s="542" t="s">
        <v>1446</v>
      </c>
      <c r="H1193" s="528">
        <v>45765.0</v>
      </c>
    </row>
    <row r="1194" ht="13.5" customHeight="1">
      <c r="A1194" s="542">
        <v>22.0</v>
      </c>
      <c r="B1194" s="525" t="s">
        <v>1468</v>
      </c>
      <c r="C1194" s="525">
        <v>1.0</v>
      </c>
      <c r="D1194" s="526">
        <v>2.0</v>
      </c>
      <c r="E1194" s="527">
        <v>1.0</v>
      </c>
      <c r="F1194" s="542" t="s">
        <v>3249</v>
      </c>
      <c r="G1194" s="542" t="s">
        <v>1446</v>
      </c>
      <c r="H1194" s="528">
        <v>45811.0</v>
      </c>
    </row>
    <row r="1195">
      <c r="A1195" s="259">
        <v>23.0</v>
      </c>
      <c r="B1195" s="259" t="s">
        <v>3250</v>
      </c>
      <c r="C1195" s="259"/>
      <c r="D1195" s="530"/>
      <c r="E1195" s="531"/>
      <c r="F1195" s="583"/>
      <c r="G1195" s="259" t="s">
        <v>1848</v>
      </c>
      <c r="H1195" s="259" t="s">
        <v>3251</v>
      </c>
    </row>
    <row r="1196">
      <c r="A1196" s="542">
        <v>24.0</v>
      </c>
      <c r="B1196" s="542" t="s">
        <v>3252</v>
      </c>
      <c r="C1196" s="542">
        <v>1.0</v>
      </c>
      <c r="D1196" s="543">
        <v>5.1</v>
      </c>
      <c r="E1196" s="544">
        <v>2.0</v>
      </c>
      <c r="F1196" s="542" t="s">
        <v>3253</v>
      </c>
      <c r="G1196" s="542" t="s">
        <v>1446</v>
      </c>
      <c r="H1196" s="546">
        <v>45882.0</v>
      </c>
    </row>
    <row r="1197">
      <c r="A1197" s="259">
        <v>25.0</v>
      </c>
      <c r="B1197" s="259" t="s">
        <v>2950</v>
      </c>
      <c r="C1197" s="259">
        <v>1.0</v>
      </c>
      <c r="D1197" s="530">
        <v>9.2</v>
      </c>
      <c r="E1197" s="531">
        <v>1.0</v>
      </c>
      <c r="F1197" s="584">
        <v>1.02525357026E11</v>
      </c>
      <c r="G1197" s="259" t="s">
        <v>3254</v>
      </c>
      <c r="H1197" s="532">
        <v>46018.0</v>
      </c>
    </row>
    <row r="1198">
      <c r="A1198" s="585" t="s">
        <v>1562</v>
      </c>
      <c r="B1198" s="3"/>
      <c r="C1198" s="579">
        <f t="shared" ref="C1198:D1198" si="27">sum(C1170:C1197)</f>
        <v>19</v>
      </c>
      <c r="D1198" s="582">
        <f t="shared" si="27"/>
        <v>289.8</v>
      </c>
      <c r="E1198" s="580">
        <f>SUM(E1170:E1197)</f>
        <v>18</v>
      </c>
      <c r="F1198" s="579"/>
      <c r="G1198" s="581"/>
      <c r="H1198" s="581"/>
    </row>
    <row r="1199">
      <c r="A1199" s="306"/>
      <c r="B1199" s="306"/>
      <c r="C1199" s="306"/>
      <c r="D1199" s="307"/>
      <c r="E1199" s="488"/>
      <c r="F1199" s="455"/>
      <c r="G1199" s="454"/>
      <c r="H1199" s="563"/>
    </row>
    <row r="1200">
      <c r="A1200" s="306"/>
      <c r="B1200" s="306"/>
      <c r="C1200" s="306"/>
      <c r="D1200" s="307"/>
      <c r="E1200" s="488"/>
      <c r="F1200" s="455"/>
      <c r="G1200" s="454"/>
      <c r="H1200" s="563"/>
    </row>
    <row r="1201">
      <c r="A1201" s="485" t="s">
        <v>3255</v>
      </c>
      <c r="B1201" s="290"/>
      <c r="C1201" s="290"/>
      <c r="D1201" s="290"/>
      <c r="E1201" s="290"/>
      <c r="F1201" s="290"/>
      <c r="G1201" s="290"/>
      <c r="H1201" s="291"/>
    </row>
    <row r="1202">
      <c r="A1202" s="292"/>
      <c r="B1202" s="293"/>
      <c r="C1202" s="293"/>
      <c r="D1202" s="293"/>
      <c r="E1202" s="293"/>
      <c r="F1202" s="293"/>
      <c r="G1202" s="293"/>
      <c r="H1202" s="294"/>
    </row>
    <row r="1203">
      <c r="A1203" s="517" t="s">
        <v>1435</v>
      </c>
      <c r="B1203" s="517" t="s">
        <v>1436</v>
      </c>
      <c r="C1203" s="517" t="s">
        <v>1843</v>
      </c>
      <c r="D1203" s="421" t="s">
        <v>1438</v>
      </c>
      <c r="E1203" s="422" t="s">
        <v>1564</v>
      </c>
      <c r="F1203" s="517" t="s">
        <v>1440</v>
      </c>
      <c r="G1203" s="517" t="s">
        <v>1844</v>
      </c>
      <c r="H1203" s="424" t="s">
        <v>1441</v>
      </c>
    </row>
    <row r="1204">
      <c r="A1204" s="364">
        <v>1.0</v>
      </c>
      <c r="B1204" s="364" t="s">
        <v>1443</v>
      </c>
      <c r="C1204" s="364">
        <v>1.0</v>
      </c>
      <c r="D1204" s="300">
        <v>144.0</v>
      </c>
      <c r="E1204" s="360"/>
      <c r="F1204" s="364" t="s">
        <v>1518</v>
      </c>
      <c r="G1204" s="364" t="s">
        <v>1446</v>
      </c>
      <c r="H1204" s="428"/>
    </row>
    <row r="1205">
      <c r="A1205" s="364">
        <v>2.0</v>
      </c>
      <c r="B1205" s="364" t="s">
        <v>1444</v>
      </c>
      <c r="C1205" s="364">
        <v>2.0</v>
      </c>
      <c r="D1205" s="300">
        <v>3.2</v>
      </c>
      <c r="E1205" s="360"/>
      <c r="F1205" s="364" t="s">
        <v>1518</v>
      </c>
      <c r="G1205" s="364" t="s">
        <v>1446</v>
      </c>
      <c r="H1205" s="428">
        <v>44574.0</v>
      </c>
    </row>
    <row r="1206">
      <c r="A1206" s="364">
        <v>3.0</v>
      </c>
      <c r="B1206" s="364" t="s">
        <v>1853</v>
      </c>
      <c r="C1206" s="364">
        <v>1.0</v>
      </c>
      <c r="D1206" s="427">
        <v>5.0</v>
      </c>
      <c r="E1206" s="360">
        <v>1.0</v>
      </c>
      <c r="F1206" s="364" t="s">
        <v>1518</v>
      </c>
      <c r="G1206" s="364" t="s">
        <v>1446</v>
      </c>
      <c r="H1206" s="428">
        <v>44596.0</v>
      </c>
    </row>
    <row r="1207">
      <c r="A1207" s="364">
        <v>4.0</v>
      </c>
      <c r="B1207" s="308" t="s">
        <v>3256</v>
      </c>
      <c r="C1207" s="308">
        <v>1.0</v>
      </c>
      <c r="D1207" s="314">
        <v>9.3</v>
      </c>
      <c r="E1207" s="360">
        <v>1.0</v>
      </c>
      <c r="F1207" s="308" t="s">
        <v>3257</v>
      </c>
      <c r="G1207" s="299" t="s">
        <v>3258</v>
      </c>
      <c r="H1207" s="315">
        <v>44856.0</v>
      </c>
    </row>
    <row r="1208">
      <c r="A1208" s="364">
        <v>5.0</v>
      </c>
      <c r="B1208" s="308" t="s">
        <v>1526</v>
      </c>
      <c r="C1208" s="299">
        <v>1.0</v>
      </c>
      <c r="D1208" s="300">
        <v>9.9</v>
      </c>
      <c r="E1208" s="331">
        <v>1.0</v>
      </c>
      <c r="F1208" s="306" t="s">
        <v>1500</v>
      </c>
      <c r="G1208" s="299" t="s">
        <v>3259</v>
      </c>
      <c r="H1208" s="301">
        <v>44765.0</v>
      </c>
    </row>
    <row r="1209">
      <c r="A1209" s="364">
        <v>6.0</v>
      </c>
      <c r="B1209" s="308" t="s">
        <v>2811</v>
      </c>
      <c r="C1209" s="299">
        <v>1.0</v>
      </c>
      <c r="D1209" s="300">
        <v>14.5</v>
      </c>
      <c r="E1209" s="331">
        <v>1.0</v>
      </c>
      <c r="F1209" s="299" t="s">
        <v>3260</v>
      </c>
      <c r="G1209" s="364" t="s">
        <v>1446</v>
      </c>
      <c r="H1209" s="301">
        <v>44933.0</v>
      </c>
    </row>
    <row r="1210">
      <c r="A1210" s="299">
        <v>7.0</v>
      </c>
      <c r="B1210" s="303" t="s">
        <v>1526</v>
      </c>
      <c r="C1210" s="303"/>
      <c r="D1210" s="304"/>
      <c r="E1210" s="327"/>
      <c r="F1210" s="303" t="s">
        <v>2276</v>
      </c>
      <c r="G1210" s="303" t="s">
        <v>1714</v>
      </c>
      <c r="H1210" s="305">
        <v>45092.0</v>
      </c>
    </row>
    <row r="1211">
      <c r="A1211" s="364">
        <v>8.0</v>
      </c>
      <c r="B1211" s="380" t="s">
        <v>3261</v>
      </c>
      <c r="C1211" s="299">
        <v>1.0</v>
      </c>
      <c r="D1211" s="300">
        <v>5.2</v>
      </c>
      <c r="E1211" s="331">
        <v>1.0</v>
      </c>
      <c r="F1211" s="364"/>
      <c r="G1211" s="299" t="s">
        <v>1446</v>
      </c>
      <c r="H1211" s="301">
        <v>45796.0</v>
      </c>
    </row>
    <row r="1212">
      <c r="A1212" s="299">
        <v>9.0</v>
      </c>
      <c r="B1212" s="299" t="s">
        <v>3262</v>
      </c>
      <c r="C1212" s="299">
        <v>1.0</v>
      </c>
      <c r="D1212" s="300">
        <v>5.1</v>
      </c>
      <c r="E1212" s="331">
        <v>1.0</v>
      </c>
      <c r="F1212" s="364"/>
      <c r="G1212" s="299" t="s">
        <v>1446</v>
      </c>
      <c r="H1212" s="301">
        <v>45796.0</v>
      </c>
    </row>
    <row r="1213">
      <c r="A1213" s="308">
        <v>10.0</v>
      </c>
      <c r="B1213" s="308" t="s">
        <v>3263</v>
      </c>
      <c r="C1213" s="308">
        <v>1.0</v>
      </c>
      <c r="D1213" s="314">
        <v>5.2</v>
      </c>
      <c r="E1213" s="365">
        <v>1.0</v>
      </c>
      <c r="F1213" s="586">
        <v>2.10121536652E11</v>
      </c>
      <c r="G1213" s="299" t="s">
        <v>1446</v>
      </c>
      <c r="H1213" s="315">
        <v>45960.0</v>
      </c>
    </row>
    <row r="1214">
      <c r="A1214" s="308">
        <v>11.0</v>
      </c>
      <c r="B1214" s="308" t="s">
        <v>2113</v>
      </c>
      <c r="C1214" s="308">
        <v>1.0</v>
      </c>
      <c r="D1214" s="314">
        <v>17.5</v>
      </c>
      <c r="E1214" s="365">
        <v>1.0</v>
      </c>
      <c r="F1214" s="586"/>
      <c r="G1214" s="299" t="s">
        <v>1446</v>
      </c>
      <c r="H1214" s="315">
        <v>46126.0</v>
      </c>
    </row>
    <row r="1215">
      <c r="A1215" s="505" t="s">
        <v>1562</v>
      </c>
      <c r="B1215" s="3"/>
      <c r="C1215" s="364">
        <f>sum(C1204:C1210)</f>
        <v>7</v>
      </c>
      <c r="D1215" s="427">
        <f>sum(D1204:D1212)</f>
        <v>196.2</v>
      </c>
      <c r="E1215" s="360">
        <f>SUM(E1204:E1212)</f>
        <v>6</v>
      </c>
      <c r="F1215" s="364"/>
      <c r="G1215" s="428"/>
      <c r="H1215" s="428"/>
    </row>
    <row r="1216">
      <c r="A1216" s="306"/>
      <c r="B1216" s="306"/>
      <c r="C1216" s="306"/>
      <c r="D1216" s="307"/>
      <c r="E1216" s="453"/>
      <c r="F1216" s="306"/>
      <c r="G1216" s="306"/>
      <c r="H1216" s="454"/>
    </row>
    <row r="1217">
      <c r="A1217" s="306"/>
      <c r="B1217" s="306"/>
      <c r="C1217" s="306"/>
      <c r="D1217" s="307"/>
      <c r="E1217" s="453"/>
      <c r="F1217" s="306"/>
      <c r="G1217" s="306"/>
      <c r="H1217" s="454"/>
    </row>
    <row r="1218">
      <c r="A1218" s="289" t="s">
        <v>3264</v>
      </c>
      <c r="B1218" s="290"/>
      <c r="C1218" s="290"/>
      <c r="D1218" s="290"/>
      <c r="E1218" s="290"/>
      <c r="F1218" s="290"/>
      <c r="G1218" s="290"/>
      <c r="H1218" s="291"/>
    </row>
    <row r="1219">
      <c r="A1219" s="292"/>
      <c r="B1219" s="293"/>
      <c r="C1219" s="293"/>
      <c r="D1219" s="293"/>
      <c r="E1219" s="293"/>
      <c r="F1219" s="293"/>
      <c r="G1219" s="293"/>
      <c r="H1219" s="294"/>
    </row>
    <row r="1220">
      <c r="A1220" s="295" t="s">
        <v>1435</v>
      </c>
      <c r="B1220" s="296" t="s">
        <v>1436</v>
      </c>
      <c r="C1220" s="295" t="s">
        <v>1437</v>
      </c>
      <c r="D1220" s="297" t="s">
        <v>1438</v>
      </c>
      <c r="E1220" s="359" t="s">
        <v>1564</v>
      </c>
      <c r="F1220" s="295" t="s">
        <v>1440</v>
      </c>
      <c r="G1220" s="298" t="s">
        <v>1441</v>
      </c>
      <c r="H1220" s="295" t="s">
        <v>1565</v>
      </c>
    </row>
    <row r="1221">
      <c r="A1221" s="299">
        <v>1.0</v>
      </c>
      <c r="B1221" s="299" t="s">
        <v>1443</v>
      </c>
      <c r="C1221" s="299">
        <v>1.0</v>
      </c>
      <c r="D1221" s="300">
        <v>144.0</v>
      </c>
      <c r="E1221" s="360"/>
      <c r="F1221" s="520"/>
      <c r="G1221" s="301"/>
      <c r="H1221" s="299" t="s">
        <v>1554</v>
      </c>
    </row>
    <row r="1222">
      <c r="A1222" s="299">
        <v>2.0</v>
      </c>
      <c r="B1222" s="299" t="s">
        <v>1444</v>
      </c>
      <c r="C1222" s="299">
        <v>2.0</v>
      </c>
      <c r="D1222" s="300">
        <v>2.6</v>
      </c>
      <c r="E1222" s="360"/>
      <c r="F1222" s="520"/>
      <c r="G1222" s="301">
        <v>44574.0</v>
      </c>
      <c r="H1222" s="299" t="s">
        <v>1554</v>
      </c>
    </row>
    <row r="1223">
      <c r="A1223" s="299">
        <v>3.0</v>
      </c>
      <c r="B1223" s="299" t="s">
        <v>1445</v>
      </c>
      <c r="C1223" s="299">
        <v>1.0</v>
      </c>
      <c r="D1223" s="300">
        <v>5.0</v>
      </c>
      <c r="E1223" s="331">
        <v>1.0</v>
      </c>
      <c r="F1223" s="520"/>
      <c r="G1223" s="301">
        <v>44596.0</v>
      </c>
      <c r="H1223" s="299" t="s">
        <v>1554</v>
      </c>
    </row>
    <row r="1224">
      <c r="A1224" s="299">
        <v>4.0</v>
      </c>
      <c r="B1224" s="299" t="s">
        <v>3265</v>
      </c>
      <c r="C1224" s="299">
        <v>1.0</v>
      </c>
      <c r="D1224" s="300">
        <v>10.0</v>
      </c>
      <c r="E1224" s="331">
        <v>1.0</v>
      </c>
      <c r="F1224" s="299" t="s">
        <v>3266</v>
      </c>
      <c r="G1224" s="301">
        <v>45131.0</v>
      </c>
      <c r="H1224" s="299" t="s">
        <v>1554</v>
      </c>
    </row>
    <row r="1225">
      <c r="A1225" s="299">
        <v>5.0</v>
      </c>
      <c r="B1225" s="299" t="s">
        <v>3193</v>
      </c>
      <c r="C1225" s="299">
        <v>1.0</v>
      </c>
      <c r="D1225" s="300">
        <v>2.0</v>
      </c>
      <c r="E1225" s="331">
        <v>1.0</v>
      </c>
      <c r="F1225" s="299" t="s">
        <v>3267</v>
      </c>
      <c r="G1225" s="301">
        <v>45131.0</v>
      </c>
      <c r="H1225" s="299" t="s">
        <v>3268</v>
      </c>
    </row>
    <row r="1226">
      <c r="A1226" s="303">
        <v>6.0</v>
      </c>
      <c r="B1226" s="303" t="s">
        <v>3269</v>
      </c>
      <c r="C1226" s="303"/>
      <c r="D1226" s="556"/>
      <c r="E1226" s="327"/>
      <c r="F1226" s="303" t="s">
        <v>3270</v>
      </c>
      <c r="G1226" s="305">
        <v>45135.0</v>
      </c>
      <c r="H1226" s="303" t="s">
        <v>3271</v>
      </c>
    </row>
    <row r="1227">
      <c r="A1227" s="303">
        <v>7.0</v>
      </c>
      <c r="B1227" s="303" t="s">
        <v>3272</v>
      </c>
      <c r="C1227" s="303"/>
      <c r="D1227" s="304"/>
      <c r="E1227" s="327"/>
      <c r="F1227" s="303" t="s">
        <v>3273</v>
      </c>
      <c r="G1227" s="305">
        <v>45135.0</v>
      </c>
      <c r="H1227" s="303" t="s">
        <v>3274</v>
      </c>
    </row>
    <row r="1228">
      <c r="A1228" s="303">
        <v>8.0</v>
      </c>
      <c r="B1228" s="303" t="s">
        <v>2076</v>
      </c>
      <c r="C1228" s="303"/>
      <c r="D1228" s="304"/>
      <c r="E1228" s="327"/>
      <c r="F1228" s="303" t="s">
        <v>3275</v>
      </c>
      <c r="G1228" s="305">
        <v>45135.0</v>
      </c>
      <c r="H1228" s="303" t="s">
        <v>3276</v>
      </c>
    </row>
    <row r="1229">
      <c r="A1229" s="299">
        <v>9.0</v>
      </c>
      <c r="B1229" s="299" t="s">
        <v>3277</v>
      </c>
      <c r="C1229" s="299">
        <v>1.0</v>
      </c>
      <c r="D1229" s="300" t="s">
        <v>3278</v>
      </c>
      <c r="E1229" s="331">
        <v>1.0</v>
      </c>
      <c r="F1229" s="308" t="s">
        <v>3279</v>
      </c>
      <c r="G1229" s="301">
        <v>45135.0</v>
      </c>
      <c r="H1229" s="299" t="s">
        <v>1554</v>
      </c>
    </row>
    <row r="1230">
      <c r="A1230" s="303">
        <v>10.0</v>
      </c>
      <c r="B1230" s="303" t="s">
        <v>3280</v>
      </c>
      <c r="C1230" s="303"/>
      <c r="D1230" s="304"/>
      <c r="E1230" s="327"/>
      <c r="F1230" s="303" t="s">
        <v>3281</v>
      </c>
      <c r="G1230" s="305">
        <v>45135.0</v>
      </c>
      <c r="H1230" s="303"/>
    </row>
    <row r="1231">
      <c r="A1231" s="303">
        <v>11.0</v>
      </c>
      <c r="B1231" s="303" t="s">
        <v>2026</v>
      </c>
      <c r="C1231" s="303"/>
      <c r="D1231" s="304"/>
      <c r="E1231" s="327"/>
      <c r="F1231" s="303" t="s">
        <v>3282</v>
      </c>
      <c r="G1231" s="305">
        <v>45135.0</v>
      </c>
      <c r="H1231" s="303" t="s">
        <v>3283</v>
      </c>
    </row>
    <row r="1232">
      <c r="A1232" s="299">
        <v>12.0</v>
      </c>
      <c r="B1232" s="306" t="s">
        <v>1635</v>
      </c>
      <c r="C1232" s="306">
        <v>1.0</v>
      </c>
      <c r="D1232" s="307">
        <v>17.8</v>
      </c>
      <c r="E1232" s="453">
        <v>1.0</v>
      </c>
      <c r="F1232" s="522" t="s">
        <v>3077</v>
      </c>
      <c r="G1232" s="301">
        <v>45008.0</v>
      </c>
      <c r="H1232" s="306" t="s">
        <v>2264</v>
      </c>
    </row>
    <row r="1233">
      <c r="A1233" s="303">
        <v>13.0</v>
      </c>
      <c r="B1233" s="398" t="s">
        <v>3080</v>
      </c>
      <c r="C1233" s="303"/>
      <c r="D1233" s="304"/>
      <c r="E1233" s="327"/>
      <c r="F1233" s="303" t="s">
        <v>3284</v>
      </c>
      <c r="G1233" s="303" t="s">
        <v>3285</v>
      </c>
      <c r="H1233" s="303" t="s">
        <v>2264</v>
      </c>
    </row>
    <row r="1234">
      <c r="A1234" s="299">
        <v>14.0</v>
      </c>
      <c r="B1234" s="306" t="s">
        <v>3089</v>
      </c>
      <c r="C1234" s="306">
        <v>1.0</v>
      </c>
      <c r="D1234" s="307">
        <v>17.0</v>
      </c>
      <c r="E1234" s="453">
        <v>1.0</v>
      </c>
      <c r="F1234" s="299" t="s">
        <v>3090</v>
      </c>
      <c r="G1234" s="301">
        <v>45046.0</v>
      </c>
      <c r="H1234" s="306" t="s">
        <v>2264</v>
      </c>
    </row>
    <row r="1235">
      <c r="A1235" s="303">
        <v>15.0</v>
      </c>
      <c r="B1235" s="303" t="s">
        <v>3113</v>
      </c>
      <c r="C1235" s="303"/>
      <c r="D1235" s="304"/>
      <c r="E1235" s="327"/>
      <c r="F1235" s="303" t="s">
        <v>3114</v>
      </c>
      <c r="G1235" s="305">
        <v>45077.0</v>
      </c>
      <c r="H1235" s="303" t="s">
        <v>3286</v>
      </c>
    </row>
    <row r="1236">
      <c r="A1236" s="299">
        <v>16.0</v>
      </c>
      <c r="B1236" s="308" t="s">
        <v>3125</v>
      </c>
      <c r="C1236" s="306">
        <v>1.0</v>
      </c>
      <c r="D1236" s="307">
        <v>17.0</v>
      </c>
      <c r="E1236" s="453">
        <v>1.0</v>
      </c>
      <c r="F1236" s="557" t="s">
        <v>3126</v>
      </c>
      <c r="G1236" s="301">
        <v>45115.0</v>
      </c>
      <c r="H1236" s="306" t="s">
        <v>2264</v>
      </c>
    </row>
    <row r="1237">
      <c r="A1237" s="303">
        <v>17.0</v>
      </c>
      <c r="B1237" s="303" t="s">
        <v>1579</v>
      </c>
      <c r="C1237" s="303"/>
      <c r="D1237" s="304"/>
      <c r="E1237" s="327"/>
      <c r="F1237" s="303" t="s">
        <v>3287</v>
      </c>
      <c r="G1237" s="305">
        <v>45200.0</v>
      </c>
      <c r="H1237" s="303" t="s">
        <v>3288</v>
      </c>
    </row>
    <row r="1238">
      <c r="A1238" s="299">
        <v>18.0</v>
      </c>
      <c r="B1238" s="299" t="s">
        <v>2366</v>
      </c>
      <c r="C1238" s="299">
        <v>1.0</v>
      </c>
      <c r="D1238" s="300">
        <v>2.0</v>
      </c>
      <c r="E1238" s="331">
        <v>1.0</v>
      </c>
      <c r="F1238" s="308" t="s">
        <v>3289</v>
      </c>
      <c r="G1238" s="301">
        <v>45208.0</v>
      </c>
      <c r="H1238" s="299" t="s">
        <v>1554</v>
      </c>
    </row>
    <row r="1239">
      <c r="A1239" s="299">
        <v>19.0</v>
      </c>
      <c r="B1239" s="299" t="s">
        <v>3113</v>
      </c>
      <c r="C1239" s="299">
        <v>1.0</v>
      </c>
      <c r="D1239" s="300">
        <v>2.8</v>
      </c>
      <c r="E1239" s="331">
        <v>1.0</v>
      </c>
      <c r="F1239" s="308" t="s">
        <v>3290</v>
      </c>
      <c r="G1239" s="301">
        <v>45208.0</v>
      </c>
      <c r="H1239" s="299" t="s">
        <v>1554</v>
      </c>
    </row>
    <row r="1240">
      <c r="A1240" s="303">
        <v>20.0</v>
      </c>
      <c r="B1240" s="303" t="s">
        <v>3291</v>
      </c>
      <c r="C1240" s="303"/>
      <c r="D1240" s="304"/>
      <c r="E1240" s="327"/>
      <c r="F1240" s="303" t="s">
        <v>3292</v>
      </c>
      <c r="G1240" s="305">
        <v>45238.0</v>
      </c>
      <c r="H1240" s="303" t="s">
        <v>1554</v>
      </c>
    </row>
    <row r="1241">
      <c r="A1241" s="303">
        <v>21.0</v>
      </c>
      <c r="B1241" s="303" t="s">
        <v>1502</v>
      </c>
      <c r="C1241" s="303"/>
      <c r="D1241" s="304"/>
      <c r="E1241" s="327"/>
      <c r="F1241" s="303" t="s">
        <v>1503</v>
      </c>
      <c r="G1241" s="305">
        <v>45240.0</v>
      </c>
      <c r="H1241" s="303" t="s">
        <v>3293</v>
      </c>
    </row>
    <row r="1242">
      <c r="A1242" s="308"/>
      <c r="B1242" s="308" t="s">
        <v>3294</v>
      </c>
      <c r="C1242" s="299">
        <v>1.0</v>
      </c>
      <c r="D1242" s="314">
        <v>8.6</v>
      </c>
      <c r="E1242" s="365">
        <v>1.0</v>
      </c>
      <c r="F1242" s="308" t="s">
        <v>3295</v>
      </c>
      <c r="G1242" s="315">
        <v>45240.0</v>
      </c>
      <c r="H1242" s="308" t="s">
        <v>1554</v>
      </c>
    </row>
    <row r="1243">
      <c r="A1243" s="308">
        <v>22.0</v>
      </c>
      <c r="B1243" s="308" t="s">
        <v>3296</v>
      </c>
      <c r="C1243" s="308">
        <v>1.0</v>
      </c>
      <c r="D1243" s="314">
        <v>14.0</v>
      </c>
      <c r="E1243" s="365">
        <v>1.0</v>
      </c>
      <c r="F1243" s="308" t="s">
        <v>3297</v>
      </c>
      <c r="G1243" s="315">
        <v>45246.0</v>
      </c>
      <c r="H1243" s="299" t="s">
        <v>1446</v>
      </c>
    </row>
    <row r="1244">
      <c r="A1244" s="303">
        <v>23.0</v>
      </c>
      <c r="B1244" s="303" t="s">
        <v>3269</v>
      </c>
      <c r="C1244" s="303"/>
      <c r="D1244" s="556"/>
      <c r="E1244" s="327"/>
      <c r="F1244" s="303" t="s">
        <v>3298</v>
      </c>
      <c r="G1244" s="305">
        <v>45327.0</v>
      </c>
      <c r="H1244" s="303" t="s">
        <v>3299</v>
      </c>
    </row>
    <row r="1245">
      <c r="A1245" s="303">
        <v>24.0</v>
      </c>
      <c r="B1245" s="303" t="s">
        <v>1652</v>
      </c>
      <c r="C1245" s="303"/>
      <c r="D1245" s="304"/>
      <c r="E1245" s="327"/>
      <c r="F1245" s="303" t="s">
        <v>3300</v>
      </c>
      <c r="G1245" s="305">
        <v>45327.0</v>
      </c>
      <c r="H1245" s="303" t="s">
        <v>3299</v>
      </c>
    </row>
    <row r="1246">
      <c r="A1246" s="303">
        <v>25.0</v>
      </c>
      <c r="B1246" s="303" t="s">
        <v>2644</v>
      </c>
      <c r="C1246" s="429"/>
      <c r="D1246" s="324"/>
      <c r="E1246" s="325"/>
      <c r="F1246" s="303"/>
      <c r="G1246" s="305">
        <v>45360.0</v>
      </c>
      <c r="H1246" s="303" t="s">
        <v>3271</v>
      </c>
    </row>
    <row r="1247">
      <c r="A1247" s="303">
        <v>26.0</v>
      </c>
      <c r="B1247" s="303" t="s">
        <v>2644</v>
      </c>
      <c r="C1247" s="429"/>
      <c r="D1247" s="324"/>
      <c r="E1247" s="325"/>
      <c r="F1247" s="303" t="s">
        <v>3301</v>
      </c>
      <c r="G1247" s="305">
        <v>45364.0</v>
      </c>
      <c r="H1247" s="303" t="s">
        <v>3276</v>
      </c>
    </row>
    <row r="1248">
      <c r="A1248" s="308">
        <v>27.0</v>
      </c>
      <c r="B1248" s="308" t="s">
        <v>3302</v>
      </c>
      <c r="C1248" s="299">
        <v>1.0</v>
      </c>
      <c r="D1248" s="300">
        <v>10.1</v>
      </c>
      <c r="E1248" s="331" t="s">
        <v>2077</v>
      </c>
      <c r="F1248" s="308" t="s">
        <v>3303</v>
      </c>
      <c r="G1248" s="315">
        <v>45403.0</v>
      </c>
      <c r="H1248" s="299" t="s">
        <v>1447</v>
      </c>
    </row>
    <row r="1249">
      <c r="A1249" s="308">
        <v>28.0</v>
      </c>
      <c r="B1249" s="308" t="s">
        <v>3304</v>
      </c>
      <c r="C1249" s="299">
        <v>1.0</v>
      </c>
      <c r="D1249" s="300">
        <v>14.3</v>
      </c>
      <c r="E1249" s="331" t="s">
        <v>2077</v>
      </c>
      <c r="F1249" s="308" t="s">
        <v>3305</v>
      </c>
      <c r="G1249" s="315">
        <v>45403.0</v>
      </c>
      <c r="H1249" s="299" t="s">
        <v>1447</v>
      </c>
    </row>
    <row r="1250">
      <c r="A1250" s="303">
        <v>29.0</v>
      </c>
      <c r="B1250" s="303" t="s">
        <v>3306</v>
      </c>
      <c r="C1250" s="303"/>
      <c r="D1250" s="304"/>
      <c r="E1250" s="327"/>
      <c r="F1250" s="303" t="s">
        <v>3307</v>
      </c>
      <c r="G1250" s="305">
        <v>45489.0</v>
      </c>
      <c r="H1250" s="303" t="s">
        <v>3308</v>
      </c>
    </row>
    <row r="1251">
      <c r="A1251" s="303">
        <v>30.0</v>
      </c>
      <c r="B1251" s="303" t="s">
        <v>3309</v>
      </c>
      <c r="C1251" s="303"/>
      <c r="D1251" s="304"/>
      <c r="E1251" s="327"/>
      <c r="F1251" s="587" t="s">
        <v>3310</v>
      </c>
      <c r="G1251" s="305">
        <v>45494.0</v>
      </c>
      <c r="H1251" s="303" t="s">
        <v>155</v>
      </c>
    </row>
    <row r="1252">
      <c r="A1252" s="303">
        <v>31.0</v>
      </c>
      <c r="B1252" s="303" t="s">
        <v>3311</v>
      </c>
      <c r="C1252" s="303"/>
      <c r="D1252" s="304"/>
      <c r="E1252" s="327"/>
      <c r="F1252" s="587" t="s">
        <v>3312</v>
      </c>
      <c r="G1252" s="305">
        <v>45494.0</v>
      </c>
      <c r="H1252" s="303" t="s">
        <v>3313</v>
      </c>
    </row>
    <row r="1253">
      <c r="A1253" s="299">
        <v>32.0</v>
      </c>
      <c r="B1253" s="299" t="s">
        <v>3314</v>
      </c>
      <c r="C1253" s="299">
        <v>1.0</v>
      </c>
      <c r="D1253" s="300">
        <v>9.5</v>
      </c>
      <c r="E1253" s="331">
        <v>1.0</v>
      </c>
      <c r="F1253" s="299" t="s">
        <v>3315</v>
      </c>
      <c r="G1253" s="301">
        <v>45500.0</v>
      </c>
      <c r="H1253" s="299" t="s">
        <v>1446</v>
      </c>
    </row>
    <row r="1254">
      <c r="A1254" s="299">
        <v>33.0</v>
      </c>
      <c r="B1254" s="299" t="s">
        <v>3311</v>
      </c>
      <c r="C1254" s="299">
        <v>1.0</v>
      </c>
      <c r="D1254" s="300">
        <v>5.0</v>
      </c>
      <c r="E1254" s="331">
        <v>1.0</v>
      </c>
      <c r="F1254" s="299"/>
      <c r="G1254" s="301">
        <v>45500.0</v>
      </c>
      <c r="H1254" s="299" t="s">
        <v>1446</v>
      </c>
    </row>
    <row r="1255">
      <c r="A1255" s="308">
        <v>34.0</v>
      </c>
      <c r="B1255" s="308" t="s">
        <v>3316</v>
      </c>
      <c r="C1255" s="299">
        <v>1.0</v>
      </c>
      <c r="D1255" s="300">
        <v>5.0</v>
      </c>
      <c r="E1255" s="331">
        <v>1.0</v>
      </c>
      <c r="F1255" s="308" t="s">
        <v>3317</v>
      </c>
      <c r="G1255" s="301">
        <v>45503.0</v>
      </c>
      <c r="H1255" s="299" t="s">
        <v>1446</v>
      </c>
    </row>
    <row r="1256">
      <c r="A1256" s="525">
        <v>35.0</v>
      </c>
      <c r="B1256" s="525" t="s">
        <v>3318</v>
      </c>
      <c r="C1256" s="525">
        <v>1.0</v>
      </c>
      <c r="D1256" s="526">
        <v>14.3</v>
      </c>
      <c r="E1256" s="527">
        <v>1.0</v>
      </c>
      <c r="F1256" s="525" t="s">
        <v>3319</v>
      </c>
      <c r="G1256" s="528">
        <v>45539.0</v>
      </c>
      <c r="H1256" s="525" t="s">
        <v>1446</v>
      </c>
    </row>
    <row r="1257">
      <c r="A1257" s="299">
        <v>36.0</v>
      </c>
      <c r="B1257" s="299" t="s">
        <v>3320</v>
      </c>
      <c r="C1257" s="299">
        <v>1.0</v>
      </c>
      <c r="D1257" s="300">
        <v>10.4</v>
      </c>
      <c r="E1257" s="331">
        <v>1.0</v>
      </c>
      <c r="F1257" s="588" t="s">
        <v>3321</v>
      </c>
      <c r="G1257" s="301">
        <v>45672.0</v>
      </c>
      <c r="H1257" s="299" t="s">
        <v>1446</v>
      </c>
    </row>
    <row r="1258">
      <c r="A1258" s="299">
        <v>37.0</v>
      </c>
      <c r="B1258" s="299" t="s">
        <v>3322</v>
      </c>
      <c r="C1258" s="299">
        <v>1.0</v>
      </c>
      <c r="D1258" s="300">
        <v>14.5</v>
      </c>
      <c r="E1258" s="331">
        <v>1.0</v>
      </c>
      <c r="F1258" s="302" t="s">
        <v>3323</v>
      </c>
      <c r="G1258" s="301">
        <v>45683.0</v>
      </c>
      <c r="H1258" s="299" t="s">
        <v>1554</v>
      </c>
    </row>
    <row r="1259">
      <c r="A1259" s="303">
        <v>38.0</v>
      </c>
      <c r="B1259" s="529" t="s">
        <v>3324</v>
      </c>
      <c r="C1259" s="303"/>
      <c r="D1259" s="304"/>
      <c r="E1259" s="327"/>
      <c r="F1259" s="206" t="s">
        <v>3325</v>
      </c>
      <c r="G1259" s="303" t="s">
        <v>3326</v>
      </c>
      <c r="H1259" s="303" t="s">
        <v>1446</v>
      </c>
    </row>
    <row r="1260">
      <c r="A1260" s="299">
        <v>39.0</v>
      </c>
      <c r="B1260" s="400" t="s">
        <v>1643</v>
      </c>
      <c r="C1260" s="299">
        <v>1.0</v>
      </c>
      <c r="D1260" s="300">
        <v>4.0</v>
      </c>
      <c r="E1260" s="331">
        <v>1.0</v>
      </c>
      <c r="F1260" s="400" t="s">
        <v>3327</v>
      </c>
      <c r="G1260" s="301">
        <v>45766.0</v>
      </c>
      <c r="H1260" s="299" t="s">
        <v>1446</v>
      </c>
    </row>
    <row r="1261">
      <c r="A1261" s="308">
        <v>40.0</v>
      </c>
      <c r="B1261" s="400" t="s">
        <v>3265</v>
      </c>
      <c r="C1261" s="308">
        <v>1.0</v>
      </c>
      <c r="D1261" s="314">
        <v>10.5</v>
      </c>
      <c r="E1261" s="365">
        <v>1.0</v>
      </c>
      <c r="F1261" s="400" t="s">
        <v>3328</v>
      </c>
      <c r="G1261" s="315">
        <v>45794.0</v>
      </c>
      <c r="H1261" s="308" t="s">
        <v>1554</v>
      </c>
    </row>
    <row r="1262">
      <c r="A1262" s="308">
        <v>41.0</v>
      </c>
      <c r="B1262" s="400" t="s">
        <v>3329</v>
      </c>
      <c r="C1262" s="308">
        <v>1.0</v>
      </c>
      <c r="D1262" s="314">
        <v>14.0</v>
      </c>
      <c r="E1262" s="365">
        <v>1.0</v>
      </c>
      <c r="F1262" s="400" t="s">
        <v>3330</v>
      </c>
      <c r="G1262" s="315">
        <v>45794.0</v>
      </c>
      <c r="H1262" s="308" t="s">
        <v>1554</v>
      </c>
    </row>
    <row r="1263">
      <c r="A1263" s="308">
        <v>42.0</v>
      </c>
      <c r="B1263" s="589" t="s">
        <v>1652</v>
      </c>
      <c r="C1263" s="308">
        <v>1.0</v>
      </c>
      <c r="D1263" s="314">
        <v>2.0</v>
      </c>
      <c r="E1263" s="365">
        <v>1.0</v>
      </c>
      <c r="F1263" s="589" t="s">
        <v>3331</v>
      </c>
      <c r="G1263" s="315">
        <v>45817.0</v>
      </c>
      <c r="H1263" s="308" t="s">
        <v>1554</v>
      </c>
    </row>
    <row r="1264">
      <c r="A1264" s="308">
        <v>43.0</v>
      </c>
      <c r="B1264" s="589" t="s">
        <v>3332</v>
      </c>
      <c r="C1264" s="308">
        <v>1.0</v>
      </c>
      <c r="D1264" s="314">
        <v>14.0</v>
      </c>
      <c r="E1264" s="365">
        <v>1.0</v>
      </c>
      <c r="F1264" s="589" t="s">
        <v>3333</v>
      </c>
      <c r="G1264" s="315">
        <v>45860.0</v>
      </c>
      <c r="H1264" s="308" t="s">
        <v>1554</v>
      </c>
    </row>
    <row r="1265">
      <c r="A1265" s="308">
        <v>44.0</v>
      </c>
      <c r="B1265" s="589" t="s">
        <v>3334</v>
      </c>
      <c r="C1265" s="308">
        <v>1.0</v>
      </c>
      <c r="D1265" s="314">
        <v>14.0</v>
      </c>
      <c r="E1265" s="365">
        <v>1.0</v>
      </c>
      <c r="F1265" s="589" t="s">
        <v>3335</v>
      </c>
      <c r="G1265" s="315">
        <v>45885.0</v>
      </c>
      <c r="H1265" s="308" t="s">
        <v>1554</v>
      </c>
    </row>
    <row r="1266">
      <c r="A1266" s="299">
        <v>45.0</v>
      </c>
      <c r="B1266" s="299" t="s">
        <v>3336</v>
      </c>
      <c r="C1266" s="299">
        <v>1.0</v>
      </c>
      <c r="D1266" s="300">
        <v>27.0</v>
      </c>
      <c r="E1266" s="331">
        <v>1.0</v>
      </c>
      <c r="F1266" s="590" t="s">
        <v>3337</v>
      </c>
      <c r="G1266" s="315">
        <v>45885.0</v>
      </c>
      <c r="H1266" s="308" t="s">
        <v>1554</v>
      </c>
    </row>
    <row r="1267">
      <c r="A1267" s="299">
        <v>46.0</v>
      </c>
      <c r="B1267" s="591" t="s">
        <v>3338</v>
      </c>
      <c r="C1267" s="299">
        <v>2.0</v>
      </c>
      <c r="D1267" s="300">
        <v>7.7</v>
      </c>
      <c r="E1267" s="331">
        <v>2.0</v>
      </c>
      <c r="F1267" s="590" t="s">
        <v>3339</v>
      </c>
      <c r="G1267" s="301">
        <v>45894.0</v>
      </c>
      <c r="H1267" s="299" t="s">
        <v>1554</v>
      </c>
    </row>
    <row r="1268">
      <c r="A1268" s="299">
        <v>47.0</v>
      </c>
      <c r="B1268" s="591" t="s">
        <v>3340</v>
      </c>
      <c r="C1268" s="299">
        <v>1.0</v>
      </c>
      <c r="D1268" s="300">
        <v>4.6</v>
      </c>
      <c r="E1268" s="331">
        <v>1.0</v>
      </c>
      <c r="F1268" s="590" t="s">
        <v>3341</v>
      </c>
      <c r="G1268" s="301">
        <v>45987.0</v>
      </c>
      <c r="H1268" s="299" t="s">
        <v>1447</v>
      </c>
    </row>
    <row r="1269">
      <c r="A1269" s="303">
        <v>48.0</v>
      </c>
      <c r="B1269" s="592" t="s">
        <v>1872</v>
      </c>
      <c r="C1269" s="303">
        <v>1.0</v>
      </c>
      <c r="D1269" s="304">
        <v>10.3</v>
      </c>
      <c r="E1269" s="327">
        <v>1.0</v>
      </c>
      <c r="F1269" s="593" t="s">
        <v>3342</v>
      </c>
      <c r="G1269" s="303" t="s">
        <v>3343</v>
      </c>
      <c r="H1269" s="303" t="s">
        <v>1554</v>
      </c>
    </row>
    <row r="1270">
      <c r="A1270" s="299">
        <v>49.0</v>
      </c>
      <c r="B1270" s="591" t="s">
        <v>1445</v>
      </c>
      <c r="C1270" s="299">
        <v>1.0</v>
      </c>
      <c r="D1270" s="300"/>
      <c r="E1270" s="331">
        <v>1.0</v>
      </c>
      <c r="F1270" s="590" t="s">
        <v>1518</v>
      </c>
      <c r="G1270" s="301">
        <v>46125.0</v>
      </c>
      <c r="H1270" s="299" t="s">
        <v>1554</v>
      </c>
    </row>
    <row r="1271">
      <c r="A1271" s="366" t="s">
        <v>1562</v>
      </c>
      <c r="B1271" s="3"/>
      <c r="C1271" s="299">
        <f>SUM(C1221:C1270)</f>
        <v>34</v>
      </c>
      <c r="D1271" s="300">
        <f>SUM(D1221:D1269)</f>
        <v>434</v>
      </c>
      <c r="E1271" s="331">
        <f>SUM(E1221:E1270)</f>
        <v>29</v>
      </c>
      <c r="F1271" s="594"/>
      <c r="G1271" s="301"/>
      <c r="H1271" s="299"/>
    </row>
    <row r="1272">
      <c r="A1272" s="306"/>
      <c r="B1272" s="306"/>
      <c r="C1272" s="306"/>
      <c r="D1272" s="307"/>
      <c r="E1272" s="453"/>
      <c r="F1272" s="306"/>
      <c r="G1272" s="306"/>
      <c r="H1272" s="595"/>
    </row>
    <row r="1273">
      <c r="A1273" s="306"/>
      <c r="B1273" s="306"/>
      <c r="C1273" s="306"/>
      <c r="D1273" s="307"/>
      <c r="E1273" s="453"/>
      <c r="F1273" s="306"/>
      <c r="G1273" s="306"/>
      <c r="H1273" s="595"/>
    </row>
    <row r="1274">
      <c r="A1274" s="289" t="s">
        <v>3344</v>
      </c>
      <c r="B1274" s="290"/>
      <c r="C1274" s="290"/>
      <c r="D1274" s="290"/>
      <c r="E1274" s="290"/>
      <c r="F1274" s="290"/>
      <c r="G1274" s="290"/>
      <c r="H1274" s="291"/>
    </row>
    <row r="1275">
      <c r="A1275" s="292"/>
      <c r="B1275" s="293"/>
      <c r="C1275" s="293"/>
      <c r="D1275" s="293"/>
      <c r="E1275" s="293"/>
      <c r="F1275" s="293"/>
      <c r="G1275" s="293"/>
      <c r="H1275" s="294"/>
    </row>
    <row r="1276">
      <c r="A1276" s="295" t="s">
        <v>1435</v>
      </c>
      <c r="B1276" s="296" t="s">
        <v>1436</v>
      </c>
      <c r="C1276" s="295" t="s">
        <v>1437</v>
      </c>
      <c r="D1276" s="297" t="s">
        <v>1438</v>
      </c>
      <c r="E1276" s="359" t="s">
        <v>1564</v>
      </c>
      <c r="F1276" s="295" t="s">
        <v>1440</v>
      </c>
      <c r="G1276" s="298" t="s">
        <v>1441</v>
      </c>
      <c r="H1276" s="295" t="s">
        <v>1565</v>
      </c>
    </row>
    <row r="1277">
      <c r="A1277" s="299">
        <v>1.0</v>
      </c>
      <c r="B1277" s="299" t="s">
        <v>1443</v>
      </c>
      <c r="C1277" s="299">
        <v>1.0</v>
      </c>
      <c r="D1277" s="307">
        <v>144.0</v>
      </c>
      <c r="E1277" s="360"/>
      <c r="F1277" s="520"/>
      <c r="G1277" s="301"/>
      <c r="H1277" s="364" t="s">
        <v>1446</v>
      </c>
    </row>
    <row r="1278">
      <c r="A1278" s="299">
        <v>2.0</v>
      </c>
      <c r="B1278" s="299" t="s">
        <v>1444</v>
      </c>
      <c r="C1278" s="299">
        <v>2.0</v>
      </c>
      <c r="D1278" s="307">
        <v>2.6</v>
      </c>
      <c r="E1278" s="360"/>
      <c r="F1278" s="520"/>
      <c r="G1278" s="301">
        <v>44574.0</v>
      </c>
      <c r="H1278" s="364" t="s">
        <v>1446</v>
      </c>
    </row>
    <row r="1279">
      <c r="A1279" s="299">
        <v>3.0</v>
      </c>
      <c r="B1279" s="299" t="s">
        <v>1445</v>
      </c>
      <c r="C1279" s="299">
        <v>2.0</v>
      </c>
      <c r="D1279" s="307">
        <v>10.0</v>
      </c>
      <c r="E1279" s="360"/>
      <c r="F1279" s="520"/>
      <c r="G1279" s="301">
        <v>44596.0</v>
      </c>
      <c r="H1279" s="364" t="s">
        <v>1446</v>
      </c>
    </row>
    <row r="1280">
      <c r="A1280" s="303">
        <v>4.0</v>
      </c>
      <c r="B1280" s="303" t="s">
        <v>3345</v>
      </c>
      <c r="C1280" s="303"/>
      <c r="D1280" s="304"/>
      <c r="E1280" s="327"/>
      <c r="F1280" s="303"/>
      <c r="G1280" s="305">
        <v>45099.0</v>
      </c>
      <c r="H1280" s="303" t="s">
        <v>3346</v>
      </c>
    </row>
    <row r="1281">
      <c r="A1281" s="303">
        <v>5.0</v>
      </c>
      <c r="B1281" s="303" t="s">
        <v>3347</v>
      </c>
      <c r="C1281" s="303"/>
      <c r="D1281" s="304"/>
      <c r="E1281" s="327"/>
      <c r="F1281" s="303"/>
      <c r="G1281" s="305">
        <v>45163.0</v>
      </c>
      <c r="H1281" s="303" t="s">
        <v>3348</v>
      </c>
    </row>
    <row r="1282">
      <c r="A1282" s="308">
        <v>6.0</v>
      </c>
      <c r="B1282" s="299" t="s">
        <v>3349</v>
      </c>
      <c r="C1282" s="299">
        <v>1.0</v>
      </c>
      <c r="D1282" s="300">
        <v>1.6</v>
      </c>
      <c r="E1282" s="331">
        <v>1.0</v>
      </c>
      <c r="F1282" s="299" t="s">
        <v>3350</v>
      </c>
      <c r="G1282" s="301">
        <v>45502.0</v>
      </c>
      <c r="H1282" s="299" t="s">
        <v>1446</v>
      </c>
    </row>
    <row r="1283">
      <c r="A1283" s="299">
        <v>7.0</v>
      </c>
      <c r="B1283" s="299" t="s">
        <v>3351</v>
      </c>
      <c r="C1283" s="299">
        <v>1.0</v>
      </c>
      <c r="D1283" s="300">
        <v>8.5</v>
      </c>
      <c r="E1283" s="331">
        <v>1.0</v>
      </c>
      <c r="F1283" s="520"/>
      <c r="G1283" s="301">
        <v>45502.0</v>
      </c>
      <c r="H1283" s="299" t="s">
        <v>1446</v>
      </c>
    </row>
    <row r="1284">
      <c r="A1284" s="299">
        <v>8.0</v>
      </c>
      <c r="B1284" s="299" t="s">
        <v>1635</v>
      </c>
      <c r="C1284" s="299">
        <v>1.0</v>
      </c>
      <c r="D1284" s="300">
        <v>17.2</v>
      </c>
      <c r="E1284" s="331">
        <v>1.0</v>
      </c>
      <c r="F1284" s="520"/>
      <c r="G1284" s="301">
        <v>45502.0</v>
      </c>
      <c r="H1284" s="299" t="s">
        <v>1446</v>
      </c>
    </row>
    <row r="1285">
      <c r="A1285" s="299">
        <v>9.0</v>
      </c>
      <c r="B1285" s="24" t="s">
        <v>1696</v>
      </c>
      <c r="C1285" s="299">
        <v>1.0</v>
      </c>
      <c r="D1285" s="300">
        <v>18.4</v>
      </c>
      <c r="E1285" s="331" t="s">
        <v>215</v>
      </c>
      <c r="F1285" s="299" t="s">
        <v>3352</v>
      </c>
      <c r="G1285" s="301">
        <v>45599.0</v>
      </c>
      <c r="H1285" s="299" t="s">
        <v>1731</v>
      </c>
    </row>
    <row r="1286">
      <c r="A1286" s="299">
        <v>10.0</v>
      </c>
      <c r="B1286" s="24" t="s">
        <v>3353</v>
      </c>
      <c r="C1286" s="299">
        <v>1.0</v>
      </c>
      <c r="D1286" s="300">
        <v>8.4</v>
      </c>
      <c r="E1286" s="331">
        <v>1.0</v>
      </c>
      <c r="F1286" s="299" t="s">
        <v>3354</v>
      </c>
      <c r="G1286" s="301">
        <v>45599.0</v>
      </c>
      <c r="H1286" s="299" t="s">
        <v>1731</v>
      </c>
    </row>
    <row r="1287">
      <c r="A1287" s="303">
        <v>11.0</v>
      </c>
      <c r="B1287" s="384" t="s">
        <v>3355</v>
      </c>
      <c r="C1287" s="303"/>
      <c r="D1287" s="304"/>
      <c r="E1287" s="327"/>
      <c r="F1287" s="384" t="s">
        <v>3356</v>
      </c>
      <c r="G1287" s="305">
        <v>45678.0</v>
      </c>
      <c r="H1287" s="303" t="s">
        <v>1446</v>
      </c>
    </row>
    <row r="1288">
      <c r="A1288" s="303">
        <v>12.0</v>
      </c>
      <c r="B1288" s="388" t="s">
        <v>1652</v>
      </c>
      <c r="C1288" s="303">
        <v>1.0</v>
      </c>
      <c r="D1288" s="304"/>
      <c r="E1288" s="327">
        <v>1.0</v>
      </c>
      <c r="F1288" s="388" t="s">
        <v>3049</v>
      </c>
      <c r="G1288" s="303" t="s">
        <v>425</v>
      </c>
      <c r="H1288" s="303"/>
    </row>
    <row r="1289">
      <c r="A1289" s="366" t="s">
        <v>1562</v>
      </c>
      <c r="B1289" s="3"/>
      <c r="C1289" s="299"/>
      <c r="D1289" s="427">
        <f>sum(D1277:D1287)</f>
        <v>210.7</v>
      </c>
      <c r="E1289" s="331">
        <f>SUM(E1277:E1288)</f>
        <v>5</v>
      </c>
      <c r="F1289" s="299"/>
      <c r="G1289" s="301"/>
      <c r="H1289" s="299"/>
    </row>
    <row r="1290">
      <c r="A1290" s="552"/>
      <c r="B1290" s="552"/>
      <c r="C1290" s="552"/>
      <c r="D1290" s="487"/>
      <c r="E1290" s="488"/>
      <c r="F1290" s="552"/>
      <c r="G1290" s="552"/>
      <c r="H1290" s="555"/>
    </row>
    <row r="1291">
      <c r="A1291" s="552"/>
      <c r="B1291" s="552"/>
      <c r="C1291" s="552"/>
      <c r="D1291" s="487"/>
      <c r="E1291" s="488"/>
      <c r="F1291" s="552"/>
      <c r="G1291" s="552"/>
      <c r="H1291" s="555"/>
    </row>
    <row r="1292">
      <c r="A1292" s="289" t="s">
        <v>3357</v>
      </c>
      <c r="B1292" s="290"/>
      <c r="C1292" s="290"/>
      <c r="D1292" s="290"/>
      <c r="E1292" s="290"/>
      <c r="F1292" s="290"/>
      <c r="G1292" s="290"/>
      <c r="H1292" s="291"/>
    </row>
    <row r="1293">
      <c r="A1293" s="292"/>
      <c r="B1293" s="293"/>
      <c r="C1293" s="293"/>
      <c r="D1293" s="293"/>
      <c r="E1293" s="293"/>
      <c r="F1293" s="293"/>
      <c r="G1293" s="293"/>
      <c r="H1293" s="294"/>
    </row>
    <row r="1294">
      <c r="A1294" s="295" t="s">
        <v>1435</v>
      </c>
      <c r="B1294" s="296" t="s">
        <v>1436</v>
      </c>
      <c r="C1294" s="295" t="s">
        <v>1437</v>
      </c>
      <c r="D1294" s="297" t="s">
        <v>1438</v>
      </c>
      <c r="E1294" s="359" t="s">
        <v>1564</v>
      </c>
      <c r="F1294" s="295" t="s">
        <v>1440</v>
      </c>
      <c r="G1294" s="298" t="s">
        <v>1441</v>
      </c>
      <c r="H1294" s="295" t="s">
        <v>1565</v>
      </c>
    </row>
    <row r="1295">
      <c r="A1295" s="299">
        <v>1.0</v>
      </c>
      <c r="B1295" s="299" t="s">
        <v>1443</v>
      </c>
      <c r="C1295" s="299">
        <v>1.0</v>
      </c>
      <c r="D1295" s="300">
        <v>144.0</v>
      </c>
      <c r="E1295" s="360"/>
      <c r="F1295" s="520"/>
      <c r="G1295" s="301"/>
      <c r="H1295" s="364" t="s">
        <v>1446</v>
      </c>
    </row>
    <row r="1296">
      <c r="A1296" s="299">
        <v>2.0</v>
      </c>
      <c r="B1296" s="299" t="s">
        <v>1444</v>
      </c>
      <c r="C1296" s="299">
        <v>2.0</v>
      </c>
      <c r="D1296" s="300">
        <v>2.6</v>
      </c>
      <c r="E1296" s="360"/>
      <c r="F1296" s="520"/>
      <c r="G1296" s="301">
        <v>44574.0</v>
      </c>
      <c r="H1296" s="364" t="s">
        <v>1446</v>
      </c>
    </row>
    <row r="1297">
      <c r="A1297" s="299">
        <v>3.0</v>
      </c>
      <c r="B1297" s="299" t="s">
        <v>1445</v>
      </c>
      <c r="C1297" s="299">
        <v>1.0</v>
      </c>
      <c r="D1297" s="300">
        <v>5.0</v>
      </c>
      <c r="E1297" s="360"/>
      <c r="F1297" s="520"/>
      <c r="G1297" s="301">
        <v>44596.0</v>
      </c>
      <c r="H1297" s="364" t="s">
        <v>1446</v>
      </c>
    </row>
    <row r="1298">
      <c r="A1298" s="299" t="s">
        <v>3358</v>
      </c>
      <c r="B1298" s="308" t="s">
        <v>3359</v>
      </c>
      <c r="C1298" s="299">
        <v>1.0</v>
      </c>
      <c r="D1298" s="300">
        <v>2.9</v>
      </c>
      <c r="E1298" s="331">
        <v>1.0</v>
      </c>
      <c r="F1298" s="520"/>
      <c r="G1298" s="301">
        <v>45063.0</v>
      </c>
      <c r="H1298" s="521"/>
    </row>
    <row r="1299">
      <c r="A1299" s="303">
        <v>5.0</v>
      </c>
      <c r="B1299" s="303" t="s">
        <v>3360</v>
      </c>
      <c r="C1299" s="303"/>
      <c r="D1299" s="304"/>
      <c r="E1299" s="327"/>
      <c r="F1299" s="323"/>
      <c r="G1299" s="305">
        <v>45063.0</v>
      </c>
      <c r="H1299" s="303" t="s">
        <v>3361</v>
      </c>
    </row>
    <row r="1300">
      <c r="A1300" s="299">
        <v>6.0</v>
      </c>
      <c r="B1300" s="308" t="s">
        <v>3007</v>
      </c>
      <c r="C1300" s="308">
        <v>1.0</v>
      </c>
      <c r="D1300" s="314">
        <v>2.0</v>
      </c>
      <c r="E1300" s="365">
        <v>1.0</v>
      </c>
      <c r="F1300" s="308" t="s">
        <v>3021</v>
      </c>
      <c r="G1300" s="301">
        <v>45063.0</v>
      </c>
      <c r="H1300" s="521"/>
    </row>
    <row r="1301">
      <c r="A1301" s="299">
        <v>7.0</v>
      </c>
      <c r="B1301" s="299" t="s">
        <v>2019</v>
      </c>
      <c r="C1301" s="299">
        <v>1.0</v>
      </c>
      <c r="D1301" s="300">
        <v>10.0</v>
      </c>
      <c r="E1301" s="331">
        <v>1.0</v>
      </c>
      <c r="F1301" s="299" t="s">
        <v>3362</v>
      </c>
      <c r="G1301" s="301">
        <v>45205.0</v>
      </c>
      <c r="H1301" s="299" t="s">
        <v>1554</v>
      </c>
    </row>
    <row r="1302">
      <c r="A1302" s="299">
        <v>8.0</v>
      </c>
      <c r="B1302" s="299" t="s">
        <v>1697</v>
      </c>
      <c r="C1302" s="299">
        <v>1.0</v>
      </c>
      <c r="D1302" s="300">
        <v>7.8</v>
      </c>
      <c r="E1302" s="331">
        <v>1.0</v>
      </c>
      <c r="F1302" s="299" t="s">
        <v>3363</v>
      </c>
      <c r="G1302" s="301">
        <v>45205.0</v>
      </c>
      <c r="H1302" s="299" t="s">
        <v>1554</v>
      </c>
    </row>
    <row r="1303">
      <c r="A1303" s="299">
        <v>9.0</v>
      </c>
      <c r="B1303" s="299" t="s">
        <v>1445</v>
      </c>
      <c r="C1303" s="299">
        <v>1.0</v>
      </c>
      <c r="D1303" s="300">
        <v>5.0</v>
      </c>
      <c r="E1303" s="331">
        <v>1.0</v>
      </c>
      <c r="F1303" s="299"/>
      <c r="G1303" s="301">
        <v>45209.0</v>
      </c>
      <c r="H1303" s="299" t="s">
        <v>1554</v>
      </c>
    </row>
    <row r="1304">
      <c r="A1304" s="299">
        <v>10.0</v>
      </c>
      <c r="B1304" s="299" t="s">
        <v>2113</v>
      </c>
      <c r="C1304" s="299">
        <v>1.0</v>
      </c>
      <c r="D1304" s="307">
        <v>19.1</v>
      </c>
      <c r="E1304" s="331">
        <v>1.0</v>
      </c>
      <c r="F1304" s="299"/>
      <c r="G1304" s="596">
        <v>45232.0</v>
      </c>
      <c r="H1304" s="299" t="s">
        <v>1554</v>
      </c>
    </row>
    <row r="1305">
      <c r="A1305" s="299">
        <v>11.0</v>
      </c>
      <c r="B1305" s="299" t="s">
        <v>1652</v>
      </c>
      <c r="C1305" s="308">
        <v>1.0</v>
      </c>
      <c r="D1305" s="300">
        <v>2.0</v>
      </c>
      <c r="E1305" s="331">
        <v>1.0</v>
      </c>
      <c r="F1305" s="299" t="s">
        <v>3364</v>
      </c>
      <c r="G1305" s="301">
        <v>45589.0</v>
      </c>
      <c r="H1305" s="299"/>
    </row>
    <row r="1306">
      <c r="A1306" s="299"/>
      <c r="B1306" s="299"/>
      <c r="C1306" s="308"/>
      <c r="D1306" s="300"/>
      <c r="E1306" s="331"/>
      <c r="F1306" s="299"/>
      <c r="G1306" s="301"/>
      <c r="H1306" s="299"/>
    </row>
    <row r="1307">
      <c r="A1307" s="299"/>
      <c r="B1307" s="299"/>
      <c r="C1307" s="308"/>
      <c r="D1307" s="300"/>
      <c r="E1307" s="331"/>
      <c r="F1307" s="299"/>
      <c r="G1307" s="301"/>
      <c r="H1307" s="299"/>
    </row>
    <row r="1308">
      <c r="A1308" s="366" t="s">
        <v>1562</v>
      </c>
      <c r="B1308" s="3"/>
      <c r="C1308" s="471">
        <f>sum(C1295:C1300)</f>
        <v>6</v>
      </c>
      <c r="D1308" s="300">
        <f>sum(D1295:D1305)</f>
        <v>200.4</v>
      </c>
      <c r="E1308" s="331">
        <f>SUM(E1295:E1305)</f>
        <v>7</v>
      </c>
      <c r="F1308" s="299"/>
      <c r="G1308" s="301"/>
      <c r="H1308" s="299"/>
    </row>
    <row r="1309">
      <c r="A1309" s="364"/>
      <c r="B1309" s="364"/>
      <c r="C1309" s="364"/>
      <c r="D1309" s="427"/>
      <c r="E1309" s="360"/>
      <c r="F1309" s="364"/>
      <c r="G1309" s="364"/>
      <c r="H1309" s="428"/>
    </row>
    <row r="1310">
      <c r="A1310" s="364"/>
      <c r="B1310" s="364"/>
      <c r="C1310" s="364"/>
      <c r="D1310" s="427"/>
      <c r="E1310" s="360"/>
      <c r="F1310" s="364"/>
      <c r="G1310" s="364"/>
      <c r="H1310" s="428"/>
    </row>
    <row r="1311">
      <c r="A1311" s="597" t="s">
        <v>3365</v>
      </c>
      <c r="B1311" s="290"/>
      <c r="C1311" s="290"/>
      <c r="D1311" s="290"/>
      <c r="E1311" s="290"/>
      <c r="F1311" s="290"/>
      <c r="G1311" s="290"/>
      <c r="H1311" s="291"/>
    </row>
    <row r="1312">
      <c r="A1312" s="292"/>
      <c r="B1312" s="293"/>
      <c r="C1312" s="293"/>
      <c r="D1312" s="293"/>
      <c r="E1312" s="293"/>
      <c r="F1312" s="293"/>
      <c r="G1312" s="293"/>
      <c r="H1312" s="294"/>
    </row>
    <row r="1313">
      <c r="A1313" s="295" t="s">
        <v>1435</v>
      </c>
      <c r="B1313" s="296" t="s">
        <v>1436</v>
      </c>
      <c r="C1313" s="295" t="s">
        <v>1437</v>
      </c>
      <c r="D1313" s="297" t="s">
        <v>1438</v>
      </c>
      <c r="E1313" s="359" t="s">
        <v>1564</v>
      </c>
      <c r="F1313" s="295" t="s">
        <v>1440</v>
      </c>
      <c r="G1313" s="298" t="s">
        <v>1441</v>
      </c>
      <c r="H1313" s="295" t="s">
        <v>1565</v>
      </c>
    </row>
    <row r="1314">
      <c r="A1314" s="299">
        <v>1.0</v>
      </c>
      <c r="B1314" s="299" t="s">
        <v>1443</v>
      </c>
      <c r="C1314" s="299">
        <v>1.0</v>
      </c>
      <c r="D1314" s="300">
        <v>144.0</v>
      </c>
      <c r="E1314" s="360"/>
      <c r="F1314" s="520"/>
      <c r="G1314" s="301"/>
      <c r="H1314" s="364" t="s">
        <v>1446</v>
      </c>
    </row>
    <row r="1315">
      <c r="A1315" s="299">
        <v>2.0</v>
      </c>
      <c r="B1315" s="299" t="s">
        <v>1444</v>
      </c>
      <c r="C1315" s="299">
        <v>2.0</v>
      </c>
      <c r="D1315" s="300">
        <f>3.2*C1315</f>
        <v>6.4</v>
      </c>
      <c r="E1315" s="360"/>
      <c r="F1315" s="520"/>
      <c r="G1315" s="301">
        <v>44574.0</v>
      </c>
      <c r="H1315" s="364" t="s">
        <v>1446</v>
      </c>
    </row>
    <row r="1316">
      <c r="A1316" s="299">
        <v>3.0</v>
      </c>
      <c r="B1316" s="299" t="s">
        <v>1445</v>
      </c>
      <c r="C1316" s="299">
        <v>1.0</v>
      </c>
      <c r="D1316" s="300">
        <v>5.0</v>
      </c>
      <c r="E1316" s="360"/>
      <c r="F1316" s="520"/>
      <c r="G1316" s="301">
        <v>44596.0</v>
      </c>
      <c r="H1316" s="364" t="s">
        <v>1446</v>
      </c>
    </row>
    <row r="1317">
      <c r="A1317" s="299">
        <v>4.0</v>
      </c>
      <c r="B1317" s="299" t="s">
        <v>2019</v>
      </c>
      <c r="C1317" s="299">
        <v>1.0</v>
      </c>
      <c r="D1317" s="307">
        <v>10.0</v>
      </c>
      <c r="E1317" s="331">
        <v>1.0</v>
      </c>
      <c r="F1317" s="299" t="s">
        <v>3366</v>
      </c>
      <c r="G1317" s="301">
        <v>44996.0</v>
      </c>
      <c r="H1317" s="299" t="s">
        <v>1554</v>
      </c>
    </row>
    <row r="1318">
      <c r="A1318" s="303">
        <v>5.0</v>
      </c>
      <c r="B1318" s="303" t="s">
        <v>3367</v>
      </c>
      <c r="C1318" s="303"/>
      <c r="D1318" s="304"/>
      <c r="E1318" s="327"/>
      <c r="F1318" s="303" t="s">
        <v>3368</v>
      </c>
      <c r="G1318" s="305">
        <v>44996.0</v>
      </c>
      <c r="H1318" s="303" t="s">
        <v>3369</v>
      </c>
    </row>
    <row r="1319">
      <c r="A1319" s="299">
        <v>6.0</v>
      </c>
      <c r="B1319" s="306" t="s">
        <v>3370</v>
      </c>
      <c r="C1319" s="306">
        <v>1.0</v>
      </c>
      <c r="D1319" s="307">
        <v>17.8</v>
      </c>
      <c r="E1319" s="453">
        <v>1.0</v>
      </c>
      <c r="F1319" s="306" t="s">
        <v>3017</v>
      </c>
      <c r="G1319" s="454">
        <v>44996.0</v>
      </c>
      <c r="H1319" s="306" t="s">
        <v>3371</v>
      </c>
    </row>
    <row r="1320">
      <c r="A1320" s="299">
        <v>7.0</v>
      </c>
      <c r="B1320" s="306" t="s">
        <v>2113</v>
      </c>
      <c r="C1320" s="306">
        <v>1.0</v>
      </c>
      <c r="D1320" s="307">
        <v>17.8</v>
      </c>
      <c r="E1320" s="453">
        <v>1.0</v>
      </c>
      <c r="F1320" s="306" t="s">
        <v>3037</v>
      </c>
      <c r="G1320" s="454">
        <v>44996.0</v>
      </c>
      <c r="H1320" s="306" t="s">
        <v>3371</v>
      </c>
    </row>
    <row r="1321">
      <c r="A1321" s="299">
        <v>8.0</v>
      </c>
      <c r="B1321" s="306" t="s">
        <v>1521</v>
      </c>
      <c r="C1321" s="306">
        <v>1.0</v>
      </c>
      <c r="D1321" s="307">
        <v>1.0</v>
      </c>
      <c r="E1321" s="453">
        <v>1.0</v>
      </c>
      <c r="F1321" s="306" t="s">
        <v>3372</v>
      </c>
      <c r="G1321" s="454">
        <v>45008.0</v>
      </c>
      <c r="H1321" s="306" t="s">
        <v>1554</v>
      </c>
    </row>
    <row r="1322">
      <c r="A1322" s="299">
        <v>9.0</v>
      </c>
      <c r="B1322" s="306" t="s">
        <v>3373</v>
      </c>
      <c r="C1322" s="306">
        <v>1.0</v>
      </c>
      <c r="D1322" s="307">
        <v>14.4</v>
      </c>
      <c r="E1322" s="453">
        <v>2.0</v>
      </c>
      <c r="F1322" s="306" t="s">
        <v>3374</v>
      </c>
      <c r="G1322" s="454">
        <v>45646.0</v>
      </c>
      <c r="H1322" s="306" t="s">
        <v>1554</v>
      </c>
    </row>
    <row r="1323">
      <c r="A1323" s="299">
        <v>10.0</v>
      </c>
      <c r="B1323" s="306" t="s">
        <v>3373</v>
      </c>
      <c r="C1323" s="306">
        <v>1.0</v>
      </c>
      <c r="D1323" s="307">
        <v>14.4</v>
      </c>
      <c r="E1323" s="453">
        <v>2.0</v>
      </c>
      <c r="F1323" s="306" t="s">
        <v>3375</v>
      </c>
      <c r="G1323" s="454">
        <v>45646.0</v>
      </c>
      <c r="H1323" s="306" t="s">
        <v>1554</v>
      </c>
    </row>
    <row r="1324">
      <c r="A1324" s="299">
        <v>11.0</v>
      </c>
      <c r="B1324" s="306" t="s">
        <v>3373</v>
      </c>
      <c r="C1324" s="306">
        <v>1.0</v>
      </c>
      <c r="D1324" s="307">
        <v>14.4</v>
      </c>
      <c r="E1324" s="453">
        <v>2.0</v>
      </c>
      <c r="F1324" s="306" t="s">
        <v>3376</v>
      </c>
      <c r="G1324" s="454">
        <v>45646.0</v>
      </c>
      <c r="H1324" s="306" t="s">
        <v>1554</v>
      </c>
    </row>
    <row r="1325">
      <c r="A1325" s="299">
        <v>12.0</v>
      </c>
      <c r="B1325" s="306" t="s">
        <v>3373</v>
      </c>
      <c r="C1325" s="306">
        <v>1.0</v>
      </c>
      <c r="D1325" s="307">
        <v>14.4</v>
      </c>
      <c r="E1325" s="453">
        <v>2.0</v>
      </c>
      <c r="F1325" s="306" t="s">
        <v>3377</v>
      </c>
      <c r="G1325" s="454">
        <v>45646.0</v>
      </c>
      <c r="H1325" s="306" t="s">
        <v>1554</v>
      </c>
    </row>
    <row r="1326">
      <c r="A1326" s="299">
        <v>13.0</v>
      </c>
      <c r="B1326" s="306" t="s">
        <v>3378</v>
      </c>
      <c r="C1326" s="306">
        <v>1.0</v>
      </c>
      <c r="D1326" s="307">
        <v>8.7</v>
      </c>
      <c r="E1326" s="453">
        <v>1.0</v>
      </c>
      <c r="F1326" s="306" t="s">
        <v>3379</v>
      </c>
      <c r="G1326" s="454">
        <v>45646.0</v>
      </c>
      <c r="H1326" s="306" t="s">
        <v>1554</v>
      </c>
    </row>
    <row r="1327">
      <c r="A1327" s="299">
        <v>14.0</v>
      </c>
      <c r="B1327" s="306" t="s">
        <v>3380</v>
      </c>
      <c r="C1327" s="306">
        <v>1.0</v>
      </c>
      <c r="D1327" s="307">
        <v>28.76</v>
      </c>
      <c r="E1327" s="453">
        <v>2.0</v>
      </c>
      <c r="F1327" s="306"/>
      <c r="G1327" s="454"/>
      <c r="H1327" s="306"/>
    </row>
    <row r="1328">
      <c r="A1328" s="366" t="s">
        <v>1562</v>
      </c>
      <c r="B1328" s="3"/>
      <c r="C1328" s="364">
        <f t="shared" ref="C1328:D1328" si="28">sum(C1314:C1327)</f>
        <v>14</v>
      </c>
      <c r="D1328" s="300">
        <f t="shared" si="28"/>
        <v>297.06</v>
      </c>
      <c r="E1328" s="360">
        <f>SUM(E1314:E1327)</f>
        <v>15</v>
      </c>
      <c r="F1328" s="299"/>
      <c r="G1328" s="301"/>
      <c r="H1328" s="299"/>
    </row>
    <row r="1329">
      <c r="A1329" s="598"/>
      <c r="B1329" s="598"/>
      <c r="C1329" s="598"/>
      <c r="D1329" s="599"/>
      <c r="E1329" s="600"/>
      <c r="F1329" s="598"/>
      <c r="G1329" s="598"/>
      <c r="H1329" s="601"/>
    </row>
    <row r="1330">
      <c r="A1330" s="598"/>
      <c r="B1330" s="598"/>
      <c r="C1330" s="598"/>
      <c r="D1330" s="599"/>
      <c r="E1330" s="600"/>
      <c r="F1330" s="598"/>
      <c r="G1330" s="598"/>
      <c r="H1330" s="601"/>
    </row>
    <row r="1331">
      <c r="A1331" s="602" t="s">
        <v>3381</v>
      </c>
      <c r="B1331" s="290"/>
      <c r="C1331" s="290"/>
      <c r="D1331" s="290"/>
      <c r="E1331" s="290"/>
      <c r="F1331" s="290"/>
      <c r="G1331" s="290"/>
      <c r="H1331" s="291"/>
    </row>
    <row r="1332">
      <c r="A1332" s="292"/>
      <c r="B1332" s="293"/>
      <c r="C1332" s="293"/>
      <c r="D1332" s="293"/>
      <c r="E1332" s="293"/>
      <c r="F1332" s="293"/>
      <c r="G1332" s="293"/>
      <c r="H1332" s="294"/>
    </row>
    <row r="1333">
      <c r="A1333" s="603" t="s">
        <v>1435</v>
      </c>
      <c r="B1333" s="604" t="s">
        <v>1436</v>
      </c>
      <c r="C1333" s="603" t="s">
        <v>1437</v>
      </c>
      <c r="D1333" s="605" t="s">
        <v>1438</v>
      </c>
      <c r="E1333" s="606" t="s">
        <v>1564</v>
      </c>
      <c r="F1333" s="603" t="s">
        <v>1440</v>
      </c>
      <c r="G1333" s="607" t="s">
        <v>1441</v>
      </c>
      <c r="H1333" s="603" t="s">
        <v>1565</v>
      </c>
    </row>
    <row r="1334">
      <c r="A1334" s="525">
        <v>1.0</v>
      </c>
      <c r="B1334" s="525" t="s">
        <v>1443</v>
      </c>
      <c r="C1334" s="525">
        <v>1.0</v>
      </c>
      <c r="D1334" s="526">
        <v>144.0</v>
      </c>
      <c r="E1334" s="580"/>
      <c r="F1334" s="608"/>
      <c r="G1334" s="528"/>
      <c r="H1334" s="609"/>
    </row>
    <row r="1335">
      <c r="A1335" s="525">
        <v>2.0</v>
      </c>
      <c r="B1335" s="525" t="s">
        <v>1444</v>
      </c>
      <c r="C1335" s="525">
        <v>2.0</v>
      </c>
      <c r="D1335" s="526">
        <v>2.6</v>
      </c>
      <c r="E1335" s="580"/>
      <c r="F1335" s="608"/>
      <c r="G1335" s="528">
        <v>44574.0</v>
      </c>
      <c r="H1335" s="609"/>
    </row>
    <row r="1336">
      <c r="A1336" s="525">
        <v>3.0</v>
      </c>
      <c r="B1336" s="525" t="s">
        <v>1445</v>
      </c>
      <c r="C1336" s="525">
        <v>1.0</v>
      </c>
      <c r="D1336" s="543">
        <v>5.0</v>
      </c>
      <c r="E1336" s="527">
        <v>1.0</v>
      </c>
      <c r="F1336" s="608"/>
      <c r="G1336" s="528">
        <v>44596.0</v>
      </c>
      <c r="H1336" s="609"/>
    </row>
    <row r="1337">
      <c r="A1337" s="542">
        <v>4.0</v>
      </c>
      <c r="B1337" s="542" t="s">
        <v>3382</v>
      </c>
      <c r="C1337" s="542">
        <v>1.0</v>
      </c>
      <c r="D1337" s="543">
        <v>8.5</v>
      </c>
      <c r="E1337" s="610"/>
      <c r="F1337" s="611" t="s">
        <v>3383</v>
      </c>
      <c r="G1337" s="528">
        <v>44866.0</v>
      </c>
      <c r="H1337" s="609"/>
    </row>
    <row r="1338">
      <c r="A1338" s="259">
        <v>5.0</v>
      </c>
      <c r="B1338" s="259" t="s">
        <v>3384</v>
      </c>
      <c r="C1338" s="259"/>
      <c r="D1338" s="530"/>
      <c r="E1338" s="612"/>
      <c r="F1338" s="613" t="s">
        <v>3385</v>
      </c>
      <c r="G1338" s="532">
        <v>44866.0</v>
      </c>
      <c r="H1338" s="614"/>
    </row>
    <row r="1339">
      <c r="A1339" s="259">
        <v>6.0</v>
      </c>
      <c r="B1339" s="613" t="s">
        <v>2773</v>
      </c>
      <c r="C1339" s="259"/>
      <c r="D1339" s="530"/>
      <c r="E1339" s="612"/>
      <c r="F1339" s="613" t="s">
        <v>3386</v>
      </c>
      <c r="G1339" s="532">
        <v>44884.0</v>
      </c>
      <c r="H1339" s="259" t="s">
        <v>585</v>
      </c>
    </row>
    <row r="1340">
      <c r="A1340" s="259">
        <v>7.0</v>
      </c>
      <c r="B1340" s="613" t="s">
        <v>3387</v>
      </c>
      <c r="C1340" s="259"/>
      <c r="D1340" s="530"/>
      <c r="E1340" s="612"/>
      <c r="F1340" s="613" t="s">
        <v>3388</v>
      </c>
      <c r="G1340" s="532">
        <v>44884.0</v>
      </c>
      <c r="H1340" s="259" t="s">
        <v>585</v>
      </c>
    </row>
    <row r="1341">
      <c r="A1341" s="542">
        <v>8.0</v>
      </c>
      <c r="B1341" s="542" t="s">
        <v>3384</v>
      </c>
      <c r="C1341" s="542">
        <v>1.0</v>
      </c>
      <c r="D1341" s="543">
        <v>2.0</v>
      </c>
      <c r="E1341" s="610"/>
      <c r="F1341" s="611" t="s">
        <v>3389</v>
      </c>
      <c r="G1341" s="546">
        <v>44889.0</v>
      </c>
      <c r="H1341" s="525" t="s">
        <v>1446</v>
      </c>
    </row>
    <row r="1342">
      <c r="A1342" s="259">
        <v>9.0</v>
      </c>
      <c r="B1342" s="259" t="s">
        <v>1862</v>
      </c>
      <c r="C1342" s="259"/>
      <c r="D1342" s="530"/>
      <c r="E1342" s="612"/>
      <c r="F1342" s="259" t="s">
        <v>3390</v>
      </c>
      <c r="G1342" s="532">
        <v>45000.0</v>
      </c>
      <c r="H1342" s="259" t="s">
        <v>3391</v>
      </c>
    </row>
    <row r="1343">
      <c r="A1343" s="259">
        <v>10.0</v>
      </c>
      <c r="B1343" s="259" t="s">
        <v>3392</v>
      </c>
      <c r="C1343" s="259"/>
      <c r="D1343" s="530"/>
      <c r="E1343" s="612"/>
      <c r="F1343" s="259" t="s">
        <v>3393</v>
      </c>
      <c r="G1343" s="532">
        <v>45002.0</v>
      </c>
      <c r="H1343" s="259" t="s">
        <v>425</v>
      </c>
    </row>
    <row r="1344">
      <c r="A1344" s="259">
        <v>11.0</v>
      </c>
      <c r="B1344" s="259" t="s">
        <v>3394</v>
      </c>
      <c r="C1344" s="259"/>
      <c r="D1344" s="530"/>
      <c r="E1344" s="612"/>
      <c r="F1344" s="259" t="s">
        <v>3395</v>
      </c>
      <c r="G1344" s="532">
        <v>45002.0</v>
      </c>
      <c r="H1344" s="259" t="s">
        <v>3396</v>
      </c>
    </row>
    <row r="1345">
      <c r="A1345" s="259">
        <v>12.0</v>
      </c>
      <c r="B1345" s="259" t="s">
        <v>3397</v>
      </c>
      <c r="C1345" s="259"/>
      <c r="D1345" s="530"/>
      <c r="E1345" s="612"/>
      <c r="F1345" s="259" t="s">
        <v>3398</v>
      </c>
      <c r="G1345" s="532">
        <v>45002.0</v>
      </c>
      <c r="H1345" s="259" t="s">
        <v>3399</v>
      </c>
    </row>
    <row r="1346">
      <c r="A1346" s="259">
        <v>13.0</v>
      </c>
      <c r="B1346" s="259" t="s">
        <v>3397</v>
      </c>
      <c r="C1346" s="259"/>
      <c r="D1346" s="530"/>
      <c r="E1346" s="612"/>
      <c r="F1346" s="259" t="s">
        <v>3400</v>
      </c>
      <c r="G1346" s="532">
        <v>45002.0</v>
      </c>
      <c r="H1346" s="259" t="s">
        <v>3401</v>
      </c>
    </row>
    <row r="1347">
      <c r="A1347" s="259">
        <v>14.0</v>
      </c>
      <c r="B1347" s="259" t="s">
        <v>3402</v>
      </c>
      <c r="C1347" s="259"/>
      <c r="D1347" s="530"/>
      <c r="E1347" s="612"/>
      <c r="F1347" s="613" t="s">
        <v>3403</v>
      </c>
      <c r="G1347" s="532">
        <v>45011.0</v>
      </c>
      <c r="H1347" s="259" t="s">
        <v>3404</v>
      </c>
    </row>
    <row r="1348">
      <c r="A1348" s="615">
        <v>15.0</v>
      </c>
      <c r="B1348" s="525" t="s">
        <v>3405</v>
      </c>
      <c r="C1348" s="542">
        <v>1.0</v>
      </c>
      <c r="D1348" s="543">
        <v>4.0</v>
      </c>
      <c r="E1348" s="610"/>
      <c r="F1348" s="611" t="s">
        <v>3406</v>
      </c>
      <c r="G1348" s="546">
        <v>45011.0</v>
      </c>
      <c r="H1348" s="525" t="s">
        <v>1446</v>
      </c>
    </row>
    <row r="1349">
      <c r="A1349" s="615">
        <v>16.0</v>
      </c>
      <c r="B1349" s="525" t="s">
        <v>3407</v>
      </c>
      <c r="C1349" s="542">
        <v>1.0</v>
      </c>
      <c r="D1349" s="543">
        <v>19.0</v>
      </c>
      <c r="E1349" s="610"/>
      <c r="F1349" s="611" t="s">
        <v>3408</v>
      </c>
      <c r="G1349" s="546">
        <v>45011.0</v>
      </c>
      <c r="H1349" s="525" t="s">
        <v>1446</v>
      </c>
    </row>
    <row r="1350">
      <c r="A1350" s="259">
        <v>17.0</v>
      </c>
      <c r="B1350" s="259" t="s">
        <v>3397</v>
      </c>
      <c r="C1350" s="259"/>
      <c r="D1350" s="530"/>
      <c r="E1350" s="612"/>
      <c r="F1350" s="613" t="s">
        <v>3409</v>
      </c>
      <c r="G1350" s="532">
        <v>45512.0</v>
      </c>
      <c r="H1350" s="259" t="s">
        <v>1446</v>
      </c>
    </row>
    <row r="1351">
      <c r="A1351" s="615">
        <v>18.0</v>
      </c>
      <c r="B1351" s="525" t="s">
        <v>3410</v>
      </c>
      <c r="C1351" s="542">
        <v>1.0</v>
      </c>
      <c r="D1351" s="543">
        <v>9.7</v>
      </c>
      <c r="E1351" s="544"/>
      <c r="F1351" s="542" t="s">
        <v>3411</v>
      </c>
      <c r="G1351" s="546">
        <v>45070.0</v>
      </c>
      <c r="H1351" s="525" t="s">
        <v>1446</v>
      </c>
    </row>
    <row r="1352">
      <c r="A1352" s="259">
        <v>19.0</v>
      </c>
      <c r="B1352" s="259" t="s">
        <v>3412</v>
      </c>
      <c r="C1352" s="259"/>
      <c r="D1352" s="530"/>
      <c r="E1352" s="612"/>
      <c r="F1352" s="259" t="s">
        <v>3413</v>
      </c>
      <c r="G1352" s="532">
        <v>45075.0</v>
      </c>
      <c r="H1352" s="259" t="s">
        <v>2745</v>
      </c>
    </row>
    <row r="1353">
      <c r="A1353" s="615">
        <v>20.0</v>
      </c>
      <c r="B1353" s="525" t="s">
        <v>1635</v>
      </c>
      <c r="C1353" s="525">
        <v>1.0</v>
      </c>
      <c r="D1353" s="526">
        <v>17.5</v>
      </c>
      <c r="E1353" s="544"/>
      <c r="F1353" s="542" t="s">
        <v>3414</v>
      </c>
      <c r="G1353" s="546">
        <v>45090.0</v>
      </c>
      <c r="H1353" s="525"/>
    </row>
    <row r="1354">
      <c r="A1354" s="525">
        <v>21.0</v>
      </c>
      <c r="B1354" s="525" t="s">
        <v>1741</v>
      </c>
      <c r="C1354" s="542">
        <v>1.0</v>
      </c>
      <c r="D1354" s="543">
        <v>7.8</v>
      </c>
      <c r="E1354" s="527"/>
      <c r="F1354" s="542">
        <v>1.02335133684E11</v>
      </c>
      <c r="G1354" s="528">
        <v>45124.0</v>
      </c>
      <c r="H1354" s="525" t="s">
        <v>1446</v>
      </c>
    </row>
    <row r="1355">
      <c r="A1355" s="259">
        <v>22.0</v>
      </c>
      <c r="B1355" s="259" t="s">
        <v>1741</v>
      </c>
      <c r="C1355" s="259"/>
      <c r="D1355" s="530"/>
      <c r="E1355" s="531"/>
      <c r="F1355" s="259">
        <v>1.02345322815E11</v>
      </c>
      <c r="G1355" s="532">
        <v>45124.0</v>
      </c>
      <c r="H1355" s="259" t="s">
        <v>3415</v>
      </c>
    </row>
    <row r="1356">
      <c r="A1356" s="525">
        <v>23.0</v>
      </c>
      <c r="B1356" s="542" t="s">
        <v>1862</v>
      </c>
      <c r="C1356" s="525">
        <v>1.0</v>
      </c>
      <c r="D1356" s="543">
        <v>17.5</v>
      </c>
      <c r="E1356" s="527"/>
      <c r="F1356" s="616" t="s">
        <v>3416</v>
      </c>
      <c r="G1356" s="528">
        <v>45135.0</v>
      </c>
      <c r="H1356" s="525" t="s">
        <v>1446</v>
      </c>
    </row>
    <row r="1357">
      <c r="A1357" s="525">
        <v>24.0</v>
      </c>
      <c r="B1357" s="525" t="s">
        <v>3417</v>
      </c>
      <c r="C1357" s="525">
        <v>1.0</v>
      </c>
      <c r="D1357" s="543">
        <v>19.0</v>
      </c>
      <c r="E1357" s="527"/>
      <c r="F1357" s="616" t="s">
        <v>3418</v>
      </c>
      <c r="G1357" s="528">
        <v>45138.0</v>
      </c>
      <c r="H1357" s="525" t="s">
        <v>1446</v>
      </c>
    </row>
    <row r="1358">
      <c r="A1358" s="259">
        <v>25.0</v>
      </c>
      <c r="B1358" s="259" t="s">
        <v>3419</v>
      </c>
      <c r="C1358" s="259"/>
      <c r="D1358" s="530"/>
      <c r="E1358" s="531"/>
      <c r="F1358" s="613" t="s">
        <v>3420</v>
      </c>
      <c r="G1358" s="532">
        <v>45149.0</v>
      </c>
      <c r="H1358" s="259" t="s">
        <v>3421</v>
      </c>
    </row>
    <row r="1359">
      <c r="A1359" s="525">
        <v>26.0</v>
      </c>
      <c r="B1359" s="542" t="s">
        <v>3419</v>
      </c>
      <c r="C1359" s="525">
        <v>1.0</v>
      </c>
      <c r="D1359" s="543">
        <v>8.0</v>
      </c>
      <c r="E1359" s="527"/>
      <c r="F1359" s="616" t="s">
        <v>3422</v>
      </c>
      <c r="G1359" s="528">
        <v>45149.0</v>
      </c>
      <c r="H1359" s="525" t="s">
        <v>1446</v>
      </c>
    </row>
    <row r="1360">
      <c r="A1360" s="525">
        <v>27.0</v>
      </c>
      <c r="B1360" s="542" t="s">
        <v>3419</v>
      </c>
      <c r="C1360" s="525">
        <v>1.0</v>
      </c>
      <c r="D1360" s="543">
        <v>8.0</v>
      </c>
      <c r="E1360" s="527"/>
      <c r="F1360" s="616" t="s">
        <v>3423</v>
      </c>
      <c r="G1360" s="528">
        <v>45149.0</v>
      </c>
      <c r="H1360" s="525" t="s">
        <v>1446</v>
      </c>
    </row>
    <row r="1361">
      <c r="A1361" s="525">
        <v>28.0</v>
      </c>
      <c r="B1361" s="615" t="s">
        <v>3424</v>
      </c>
      <c r="C1361" s="525">
        <v>1.0</v>
      </c>
      <c r="D1361" s="543">
        <v>19.0</v>
      </c>
      <c r="E1361" s="527"/>
      <c r="F1361" s="542" t="s">
        <v>3393</v>
      </c>
      <c r="G1361" s="528">
        <v>45175.0</v>
      </c>
      <c r="H1361" s="525" t="s">
        <v>1446</v>
      </c>
    </row>
    <row r="1362">
      <c r="A1362" s="259">
        <v>29.0</v>
      </c>
      <c r="B1362" s="259" t="s">
        <v>2016</v>
      </c>
      <c r="C1362" s="259"/>
      <c r="D1362" s="530"/>
      <c r="E1362" s="531"/>
      <c r="F1362" s="259" t="s">
        <v>3425</v>
      </c>
      <c r="G1362" s="532">
        <v>45175.0</v>
      </c>
      <c r="H1362" s="259" t="s">
        <v>425</v>
      </c>
    </row>
    <row r="1363">
      <c r="A1363" s="542">
        <v>30.0</v>
      </c>
      <c r="B1363" s="542" t="s">
        <v>3426</v>
      </c>
      <c r="C1363" s="542">
        <v>1.0</v>
      </c>
      <c r="D1363" s="543">
        <v>8.6</v>
      </c>
      <c r="E1363" s="544"/>
      <c r="F1363" s="542" t="s">
        <v>3427</v>
      </c>
      <c r="G1363" s="546">
        <v>45217.0</v>
      </c>
      <c r="H1363" s="525" t="s">
        <v>1446</v>
      </c>
    </row>
    <row r="1364">
      <c r="A1364" s="542">
        <v>31.0</v>
      </c>
      <c r="B1364" s="542" t="s">
        <v>1635</v>
      </c>
      <c r="C1364" s="542">
        <v>1.0</v>
      </c>
      <c r="D1364" s="543">
        <v>17.5</v>
      </c>
      <c r="E1364" s="544"/>
      <c r="F1364" s="542" t="s">
        <v>3428</v>
      </c>
      <c r="G1364" s="546">
        <v>45237.0</v>
      </c>
      <c r="H1364" s="525" t="s">
        <v>1446</v>
      </c>
    </row>
    <row r="1365">
      <c r="A1365" s="542">
        <v>32.0</v>
      </c>
      <c r="B1365" s="542" t="s">
        <v>1635</v>
      </c>
      <c r="C1365" s="542">
        <v>1.0</v>
      </c>
      <c r="D1365" s="543">
        <v>17.5</v>
      </c>
      <c r="E1365" s="544"/>
      <c r="F1365" s="542" t="s">
        <v>3429</v>
      </c>
      <c r="G1365" s="546">
        <v>45237.0</v>
      </c>
      <c r="H1365" s="542" t="s">
        <v>1446</v>
      </c>
    </row>
    <row r="1366">
      <c r="A1366" s="259">
        <v>33.0</v>
      </c>
      <c r="B1366" s="259" t="s">
        <v>1635</v>
      </c>
      <c r="C1366" s="259"/>
      <c r="D1366" s="530"/>
      <c r="E1366" s="531"/>
      <c r="F1366" s="259" t="s">
        <v>1636</v>
      </c>
      <c r="G1366" s="259" t="s">
        <v>3430</v>
      </c>
      <c r="H1366" s="259" t="s">
        <v>425</v>
      </c>
    </row>
    <row r="1367">
      <c r="A1367" s="259">
        <v>34.0</v>
      </c>
      <c r="B1367" s="259" t="s">
        <v>2113</v>
      </c>
      <c r="C1367" s="259"/>
      <c r="D1367" s="530"/>
      <c r="E1367" s="531"/>
      <c r="F1367" s="259" t="s">
        <v>3431</v>
      </c>
      <c r="G1367" s="532">
        <v>45424.0</v>
      </c>
      <c r="H1367" s="259" t="s">
        <v>425</v>
      </c>
    </row>
    <row r="1368">
      <c r="A1368" s="259">
        <v>35.0</v>
      </c>
      <c r="B1368" s="259" t="s">
        <v>3432</v>
      </c>
      <c r="C1368" s="259"/>
      <c r="D1368" s="530"/>
      <c r="E1368" s="531"/>
      <c r="F1368" s="613" t="s">
        <v>3433</v>
      </c>
      <c r="G1368" s="532">
        <v>45684.0</v>
      </c>
      <c r="H1368" s="259" t="s">
        <v>3434</v>
      </c>
    </row>
    <row r="1369">
      <c r="A1369" s="259">
        <v>36.0</v>
      </c>
      <c r="B1369" s="259" t="s">
        <v>3435</v>
      </c>
      <c r="C1369" s="259"/>
      <c r="D1369" s="530"/>
      <c r="E1369" s="531"/>
      <c r="F1369" s="259" t="s">
        <v>3436</v>
      </c>
      <c r="G1369" s="532">
        <v>45800.0</v>
      </c>
      <c r="H1369" s="259" t="s">
        <v>3437</v>
      </c>
    </row>
    <row r="1370">
      <c r="A1370" s="525">
        <v>37.0</v>
      </c>
      <c r="B1370" s="542" t="s">
        <v>2113</v>
      </c>
      <c r="C1370" s="542">
        <v>1.0</v>
      </c>
      <c r="D1370" s="526">
        <v>17.5</v>
      </c>
      <c r="E1370" s="527"/>
      <c r="F1370" s="542" t="s">
        <v>3438</v>
      </c>
      <c r="G1370" s="528">
        <v>45800.0</v>
      </c>
      <c r="H1370" s="525" t="s">
        <v>1446</v>
      </c>
    </row>
    <row r="1371">
      <c r="A1371" s="525">
        <v>38.0</v>
      </c>
      <c r="B1371" s="542" t="s">
        <v>2113</v>
      </c>
      <c r="C1371" s="542">
        <v>1.0</v>
      </c>
      <c r="D1371" s="526">
        <v>17.5</v>
      </c>
      <c r="E1371" s="527"/>
      <c r="F1371" s="542" t="s">
        <v>3439</v>
      </c>
      <c r="G1371" s="528">
        <v>45800.0</v>
      </c>
      <c r="H1371" s="525" t="s">
        <v>1446</v>
      </c>
    </row>
    <row r="1372">
      <c r="A1372" s="259">
        <v>39.0</v>
      </c>
      <c r="B1372" s="259" t="s">
        <v>2113</v>
      </c>
      <c r="C1372" s="259">
        <v>1.0</v>
      </c>
      <c r="D1372" s="530"/>
      <c r="E1372" s="531"/>
      <c r="F1372" s="259" t="s">
        <v>3390</v>
      </c>
      <c r="G1372" s="259" t="s">
        <v>3440</v>
      </c>
      <c r="H1372" s="525" t="s">
        <v>1446</v>
      </c>
    </row>
    <row r="1373">
      <c r="A1373" s="525">
        <v>40.0</v>
      </c>
      <c r="B1373" s="525" t="s">
        <v>2756</v>
      </c>
      <c r="C1373" s="542">
        <v>1.0</v>
      </c>
      <c r="D1373" s="526">
        <v>10.0</v>
      </c>
      <c r="E1373" s="527"/>
      <c r="F1373" s="616" t="s">
        <v>3441</v>
      </c>
      <c r="G1373" s="528">
        <v>45880.0</v>
      </c>
      <c r="H1373" s="525" t="s">
        <v>1446</v>
      </c>
    </row>
    <row r="1374">
      <c r="A1374" s="525">
        <v>41.0</v>
      </c>
      <c r="B1374" s="24" t="s">
        <v>3442</v>
      </c>
      <c r="C1374" s="542">
        <v>1.0</v>
      </c>
      <c r="D1374" s="526">
        <v>2.0</v>
      </c>
      <c r="E1374" s="527"/>
      <c r="F1374" s="24" t="s">
        <v>3443</v>
      </c>
      <c r="G1374" s="528">
        <v>45880.0</v>
      </c>
      <c r="H1374" s="525" t="s">
        <v>1446</v>
      </c>
    </row>
    <row r="1375">
      <c r="A1375" s="542">
        <v>42.0</v>
      </c>
      <c r="B1375" s="542" t="s">
        <v>1741</v>
      </c>
      <c r="C1375" s="542">
        <v>1.0</v>
      </c>
      <c r="D1375" s="543">
        <v>8.9</v>
      </c>
      <c r="E1375" s="544"/>
      <c r="F1375" s="611">
        <v>1.02487810302E11</v>
      </c>
      <c r="G1375" s="546">
        <v>45883.0</v>
      </c>
      <c r="H1375" s="542" t="s">
        <v>1446</v>
      </c>
    </row>
    <row r="1376">
      <c r="A1376" s="542">
        <v>43.0</v>
      </c>
      <c r="B1376" s="542" t="s">
        <v>1529</v>
      </c>
      <c r="C1376" s="542">
        <v>1.0</v>
      </c>
      <c r="D1376" s="543">
        <v>35.2</v>
      </c>
      <c r="E1376" s="544"/>
      <c r="F1376" s="617" t="s">
        <v>3444</v>
      </c>
      <c r="G1376" s="546">
        <v>45900.0</v>
      </c>
      <c r="H1376" s="542" t="s">
        <v>1446</v>
      </c>
    </row>
    <row r="1377">
      <c r="A1377" s="542">
        <v>44.0</v>
      </c>
      <c r="B1377" s="542" t="s">
        <v>1529</v>
      </c>
      <c r="C1377" s="542">
        <v>1.0</v>
      </c>
      <c r="D1377" s="543">
        <v>35.2</v>
      </c>
      <c r="E1377" s="544"/>
      <c r="F1377" s="617" t="s">
        <v>3445</v>
      </c>
      <c r="G1377" s="546">
        <v>45900.0</v>
      </c>
      <c r="H1377" s="542" t="s">
        <v>1446</v>
      </c>
    </row>
    <row r="1378">
      <c r="A1378" s="542">
        <v>45.0</v>
      </c>
      <c r="B1378" s="542" t="s">
        <v>1529</v>
      </c>
      <c r="C1378" s="542">
        <v>1.0</v>
      </c>
      <c r="D1378" s="543">
        <v>35.2</v>
      </c>
      <c r="E1378" s="544"/>
      <c r="F1378" s="617" t="s">
        <v>3446</v>
      </c>
      <c r="G1378" s="546">
        <v>45901.0</v>
      </c>
      <c r="H1378" s="542" t="s">
        <v>1446</v>
      </c>
    </row>
    <row r="1379">
      <c r="A1379" s="542">
        <v>46.0</v>
      </c>
      <c r="B1379" s="542" t="s">
        <v>2016</v>
      </c>
      <c r="C1379" s="542">
        <v>1.0</v>
      </c>
      <c r="D1379" s="543">
        <v>17.4</v>
      </c>
      <c r="E1379" s="544">
        <v>1.0</v>
      </c>
      <c r="F1379" s="617" t="s">
        <v>3447</v>
      </c>
      <c r="G1379" s="546">
        <v>45937.0</v>
      </c>
      <c r="H1379" s="542" t="s">
        <v>1819</v>
      </c>
    </row>
    <row r="1380">
      <c r="A1380" s="542">
        <v>47.0</v>
      </c>
      <c r="B1380" s="542" t="s">
        <v>2016</v>
      </c>
      <c r="C1380" s="542">
        <v>1.0</v>
      </c>
      <c r="D1380" s="543">
        <v>17.4</v>
      </c>
      <c r="E1380" s="544">
        <v>1.0</v>
      </c>
      <c r="F1380" s="618" t="s">
        <v>3448</v>
      </c>
      <c r="G1380" s="546">
        <v>46059.0</v>
      </c>
      <c r="H1380" s="542" t="s">
        <v>1819</v>
      </c>
    </row>
    <row r="1381">
      <c r="A1381" s="259">
        <v>48.0</v>
      </c>
      <c r="B1381" s="259" t="s">
        <v>2507</v>
      </c>
      <c r="C1381" s="259">
        <v>1.0</v>
      </c>
      <c r="D1381" s="530"/>
      <c r="E1381" s="531"/>
      <c r="F1381" s="619" t="s">
        <v>3449</v>
      </c>
      <c r="G1381" s="532">
        <v>46059.0</v>
      </c>
      <c r="H1381" s="259" t="s">
        <v>3450</v>
      </c>
    </row>
    <row r="1382">
      <c r="A1382" s="542">
        <v>49.0</v>
      </c>
      <c r="B1382" s="542" t="s">
        <v>3451</v>
      </c>
      <c r="C1382" s="542">
        <v>1.0</v>
      </c>
      <c r="D1382" s="543">
        <v>3.0</v>
      </c>
      <c r="E1382" s="544">
        <v>1.0</v>
      </c>
      <c r="F1382" s="618" t="s">
        <v>3452</v>
      </c>
      <c r="G1382" s="546">
        <v>46059.0</v>
      </c>
      <c r="H1382" s="542" t="s">
        <v>1819</v>
      </c>
    </row>
    <row r="1383">
      <c r="A1383" s="525">
        <v>50.0</v>
      </c>
      <c r="B1383" s="620" t="s">
        <v>2198</v>
      </c>
      <c r="C1383" s="542">
        <v>1.0</v>
      </c>
      <c r="D1383" s="526">
        <v>1.9</v>
      </c>
      <c r="E1383" s="527">
        <v>1.0</v>
      </c>
      <c r="F1383" s="620" t="s">
        <v>3453</v>
      </c>
      <c r="G1383" s="528">
        <v>46098.0</v>
      </c>
      <c r="H1383" s="525" t="s">
        <v>3454</v>
      </c>
    </row>
    <row r="1384">
      <c r="A1384" s="525">
        <v>51.0</v>
      </c>
      <c r="B1384" s="620" t="s">
        <v>3455</v>
      </c>
      <c r="C1384" s="542">
        <v>1.0</v>
      </c>
      <c r="D1384" s="526">
        <v>7.4</v>
      </c>
      <c r="E1384" s="527">
        <v>1.0</v>
      </c>
      <c r="F1384" s="620" t="s">
        <v>3456</v>
      </c>
      <c r="G1384" s="528">
        <v>46098.0</v>
      </c>
      <c r="H1384" s="525" t="s">
        <v>3454</v>
      </c>
    </row>
    <row r="1385">
      <c r="A1385" s="621" t="s">
        <v>1562</v>
      </c>
      <c r="B1385" s="3"/>
      <c r="C1385" s="542">
        <f t="shared" ref="C1385:E1385" si="29">SUM(C1334:C1384)</f>
        <v>34</v>
      </c>
      <c r="D1385" s="543">
        <f t="shared" si="29"/>
        <v>543.8</v>
      </c>
      <c r="E1385" s="544">
        <f t="shared" si="29"/>
        <v>6</v>
      </c>
      <c r="F1385" s="616"/>
      <c r="G1385" s="528"/>
      <c r="H1385" s="525"/>
    </row>
    <row r="1386">
      <c r="A1386" s="598"/>
      <c r="B1386" s="598"/>
      <c r="C1386" s="598"/>
      <c r="D1386" s="598"/>
      <c r="E1386" s="600"/>
      <c r="F1386" s="598"/>
      <c r="G1386" s="598"/>
      <c r="H1386" s="601"/>
    </row>
    <row r="1387">
      <c r="A1387" s="598"/>
      <c r="B1387" s="598"/>
      <c r="C1387" s="598"/>
      <c r="D1387" s="599"/>
      <c r="E1387" s="600"/>
      <c r="F1387" s="598"/>
      <c r="G1387" s="598"/>
      <c r="H1387" s="601"/>
    </row>
    <row r="1388">
      <c r="A1388" s="622" t="s">
        <v>3457</v>
      </c>
      <c r="H1388" s="247"/>
    </row>
    <row r="1389">
      <c r="A1389" s="292"/>
      <c r="B1389" s="293"/>
      <c r="C1389" s="293"/>
      <c r="D1389" s="293"/>
      <c r="E1389" s="293"/>
      <c r="F1389" s="293"/>
      <c r="G1389" s="293"/>
      <c r="H1389" s="294"/>
    </row>
    <row r="1390">
      <c r="A1390" s="295" t="s">
        <v>1435</v>
      </c>
      <c r="B1390" s="296" t="s">
        <v>1436</v>
      </c>
      <c r="C1390" s="295" t="s">
        <v>1437</v>
      </c>
      <c r="D1390" s="297" t="s">
        <v>1438</v>
      </c>
      <c r="E1390" s="359" t="s">
        <v>1564</v>
      </c>
      <c r="F1390" s="295" t="s">
        <v>1440</v>
      </c>
      <c r="G1390" s="298" t="s">
        <v>1441</v>
      </c>
      <c r="H1390" s="295" t="s">
        <v>1565</v>
      </c>
    </row>
    <row r="1391">
      <c r="A1391" s="299">
        <v>1.0</v>
      </c>
      <c r="B1391" s="299" t="s">
        <v>1443</v>
      </c>
      <c r="C1391" s="299">
        <v>1.0</v>
      </c>
      <c r="D1391" s="300">
        <v>144.0</v>
      </c>
      <c r="E1391" s="360"/>
      <c r="F1391" s="520"/>
      <c r="G1391" s="301"/>
      <c r="H1391" s="521"/>
    </row>
    <row r="1392">
      <c r="A1392" s="299">
        <v>2.0</v>
      </c>
      <c r="B1392" s="299" t="s">
        <v>1444</v>
      </c>
      <c r="C1392" s="299">
        <v>2.0</v>
      </c>
      <c r="D1392" s="300">
        <v>2.6</v>
      </c>
      <c r="E1392" s="360"/>
      <c r="F1392" s="520"/>
      <c r="G1392" s="301">
        <v>44574.0</v>
      </c>
      <c r="H1392" s="521"/>
    </row>
    <row r="1393">
      <c r="A1393" s="299">
        <v>3.0</v>
      </c>
      <c r="B1393" s="299" t="s">
        <v>1445</v>
      </c>
      <c r="C1393" s="299">
        <v>1.0</v>
      </c>
      <c r="D1393" s="300">
        <v>5.0</v>
      </c>
      <c r="E1393" s="360"/>
      <c r="F1393" s="520"/>
      <c r="G1393" s="301">
        <v>44596.0</v>
      </c>
      <c r="H1393" s="521"/>
    </row>
    <row r="1394">
      <c r="A1394" s="299">
        <v>4.0</v>
      </c>
      <c r="B1394" s="299" t="s">
        <v>1862</v>
      </c>
      <c r="C1394" s="299">
        <v>1.0</v>
      </c>
      <c r="D1394" s="300">
        <v>15.0</v>
      </c>
      <c r="E1394" s="331">
        <v>1.0</v>
      </c>
      <c r="F1394" s="299" t="s">
        <v>3458</v>
      </c>
      <c r="G1394" s="301">
        <v>44886.0</v>
      </c>
      <c r="H1394" s="299" t="s">
        <v>1446</v>
      </c>
    </row>
    <row r="1395">
      <c r="A1395" s="299">
        <v>5.0</v>
      </c>
      <c r="B1395" s="299" t="s">
        <v>1862</v>
      </c>
      <c r="C1395" s="299">
        <v>1.0</v>
      </c>
      <c r="D1395" s="300">
        <v>15.0</v>
      </c>
      <c r="E1395" s="331">
        <v>1.0</v>
      </c>
      <c r="F1395" s="299" t="s">
        <v>3459</v>
      </c>
      <c r="G1395" s="301">
        <v>44886.0</v>
      </c>
      <c r="H1395" s="299" t="s">
        <v>1446</v>
      </c>
    </row>
    <row r="1396">
      <c r="A1396" s="299">
        <v>6.0</v>
      </c>
      <c r="B1396" s="299" t="s">
        <v>3460</v>
      </c>
      <c r="C1396" s="299">
        <v>1.0</v>
      </c>
      <c r="D1396" s="300">
        <v>2.7</v>
      </c>
      <c r="E1396" s="331">
        <v>1.0</v>
      </c>
      <c r="F1396" s="299" t="s">
        <v>3461</v>
      </c>
      <c r="G1396" s="301">
        <v>44886.0</v>
      </c>
      <c r="H1396" s="299" t="s">
        <v>1446</v>
      </c>
    </row>
    <row r="1397">
      <c r="A1397" s="303">
        <v>7.0</v>
      </c>
      <c r="B1397" s="303" t="s">
        <v>2113</v>
      </c>
      <c r="C1397" s="303"/>
      <c r="D1397" s="304"/>
      <c r="E1397" s="327"/>
      <c r="F1397" s="303" t="s">
        <v>3462</v>
      </c>
      <c r="G1397" s="305">
        <v>44910.0</v>
      </c>
      <c r="H1397" s="303" t="s">
        <v>3463</v>
      </c>
    </row>
    <row r="1398">
      <c r="A1398" s="303">
        <v>8.0</v>
      </c>
      <c r="B1398" s="303" t="s">
        <v>2113</v>
      </c>
      <c r="C1398" s="303"/>
      <c r="D1398" s="304"/>
      <c r="E1398" s="327"/>
      <c r="F1398" s="303" t="s">
        <v>3464</v>
      </c>
      <c r="G1398" s="305">
        <v>44910.0</v>
      </c>
      <c r="H1398" s="303" t="s">
        <v>3463</v>
      </c>
    </row>
    <row r="1399">
      <c r="A1399" s="303">
        <v>9.0</v>
      </c>
      <c r="B1399" s="303" t="s">
        <v>3460</v>
      </c>
      <c r="C1399" s="303"/>
      <c r="D1399" s="304"/>
      <c r="E1399" s="327"/>
      <c r="F1399" s="303"/>
      <c r="G1399" s="305">
        <v>44910.0</v>
      </c>
      <c r="H1399" s="303" t="s">
        <v>3465</v>
      </c>
    </row>
    <row r="1400">
      <c r="A1400" s="303">
        <v>10.0</v>
      </c>
      <c r="B1400" s="303" t="s">
        <v>1635</v>
      </c>
      <c r="C1400" s="303"/>
      <c r="D1400" s="304"/>
      <c r="E1400" s="327"/>
      <c r="F1400" s="303" t="s">
        <v>3466</v>
      </c>
      <c r="G1400" s="305">
        <v>45160.0</v>
      </c>
      <c r="H1400" s="303" t="s">
        <v>3463</v>
      </c>
    </row>
    <row r="1401">
      <c r="A1401" s="303">
        <v>11.0</v>
      </c>
      <c r="B1401" s="303" t="s">
        <v>2494</v>
      </c>
      <c r="C1401" s="303"/>
      <c r="D1401" s="304"/>
      <c r="E1401" s="327"/>
      <c r="F1401" s="303" t="s">
        <v>3467</v>
      </c>
      <c r="G1401" s="305">
        <v>45160.0</v>
      </c>
      <c r="H1401" s="303" t="s">
        <v>3463</v>
      </c>
    </row>
    <row r="1402">
      <c r="A1402" s="299">
        <v>12.0</v>
      </c>
      <c r="B1402" s="299" t="s">
        <v>3468</v>
      </c>
      <c r="C1402" s="299">
        <v>1.0</v>
      </c>
      <c r="D1402" s="300">
        <v>20.7</v>
      </c>
      <c r="E1402" s="331">
        <v>1.0</v>
      </c>
      <c r="F1402" s="299" t="s">
        <v>3469</v>
      </c>
      <c r="G1402" s="301">
        <v>45667.0</v>
      </c>
      <c r="H1402" s="299" t="s">
        <v>1446</v>
      </c>
    </row>
    <row r="1403">
      <c r="A1403" s="299">
        <v>13.0</v>
      </c>
      <c r="B1403" s="623" t="s">
        <v>3470</v>
      </c>
      <c r="C1403" s="299">
        <v>1.0</v>
      </c>
      <c r="D1403" s="300">
        <v>3.9</v>
      </c>
      <c r="E1403" s="331">
        <v>2.0</v>
      </c>
      <c r="F1403" s="623" t="s">
        <v>3471</v>
      </c>
      <c r="G1403" s="301">
        <v>45910.0</v>
      </c>
      <c r="H1403" s="299" t="s">
        <v>1446</v>
      </c>
    </row>
    <row r="1404">
      <c r="A1404" s="299">
        <v>14.0</v>
      </c>
      <c r="B1404" s="299" t="s">
        <v>3472</v>
      </c>
      <c r="C1404" s="299">
        <v>1.0</v>
      </c>
      <c r="D1404" s="300">
        <v>8.5</v>
      </c>
      <c r="E1404" s="331">
        <v>1.0</v>
      </c>
      <c r="F1404" s="299" t="s">
        <v>3473</v>
      </c>
      <c r="G1404" s="301">
        <v>45958.0</v>
      </c>
      <c r="H1404" s="299" t="s">
        <v>1446</v>
      </c>
    </row>
    <row r="1405">
      <c r="A1405" s="303">
        <v>15.0</v>
      </c>
      <c r="B1405" s="303" t="s">
        <v>1548</v>
      </c>
      <c r="C1405" s="303">
        <v>1.0</v>
      </c>
      <c r="D1405" s="304">
        <v>17.4</v>
      </c>
      <c r="E1405" s="327">
        <v>1.0</v>
      </c>
      <c r="F1405" s="303" t="s">
        <v>3474</v>
      </c>
      <c r="G1405" s="305">
        <v>45960.0</v>
      </c>
      <c r="H1405" s="303" t="s">
        <v>3475</v>
      </c>
    </row>
    <row r="1406">
      <c r="A1406" s="366" t="s">
        <v>1562</v>
      </c>
      <c r="B1406" s="3"/>
      <c r="C1406" s="364">
        <f>sum(C1391:C1405)</f>
        <v>11</v>
      </c>
      <c r="D1406" s="473">
        <f>sum(D1391:D1401)</f>
        <v>184.3</v>
      </c>
      <c r="E1406" s="331">
        <f>SUM(E1391:E1405)</f>
        <v>8</v>
      </c>
      <c r="F1406" s="299"/>
      <c r="G1406" s="301"/>
      <c r="H1406" s="299"/>
    </row>
    <row r="1407">
      <c r="A1407" s="598"/>
      <c r="B1407" s="598"/>
      <c r="C1407" s="598"/>
      <c r="D1407" s="598"/>
      <c r="E1407" s="598"/>
      <c r="F1407" s="598"/>
      <c r="G1407" s="598"/>
      <c r="H1407" s="598"/>
    </row>
    <row r="1408">
      <c r="A1408" s="624"/>
      <c r="B1408" s="624"/>
      <c r="C1408" s="624"/>
      <c r="D1408" s="625"/>
      <c r="E1408" s="626"/>
      <c r="F1408" s="624"/>
      <c r="G1408" s="624"/>
      <c r="H1408" s="627"/>
    </row>
    <row r="1409">
      <c r="A1409" s="622" t="s">
        <v>3476</v>
      </c>
      <c r="H1409" s="247"/>
    </row>
    <row r="1410">
      <c r="A1410" s="292"/>
      <c r="B1410" s="293"/>
      <c r="C1410" s="293"/>
      <c r="D1410" s="293"/>
      <c r="E1410" s="293"/>
      <c r="F1410" s="293"/>
      <c r="G1410" s="293"/>
      <c r="H1410" s="294"/>
    </row>
    <row r="1411">
      <c r="A1411" s="295" t="s">
        <v>1435</v>
      </c>
      <c r="B1411" s="296" t="s">
        <v>1436</v>
      </c>
      <c r="C1411" s="295" t="s">
        <v>1437</v>
      </c>
      <c r="D1411" s="297" t="s">
        <v>1438</v>
      </c>
      <c r="E1411" s="359" t="s">
        <v>1564</v>
      </c>
      <c r="F1411" s="295" t="s">
        <v>1440</v>
      </c>
      <c r="G1411" s="298" t="s">
        <v>1441</v>
      </c>
      <c r="H1411" s="295" t="s">
        <v>1565</v>
      </c>
    </row>
    <row r="1412">
      <c r="A1412" s="299">
        <v>1.0</v>
      </c>
      <c r="B1412" s="299" t="s">
        <v>1443</v>
      </c>
      <c r="C1412" s="299">
        <v>1.0</v>
      </c>
      <c r="D1412" s="300">
        <v>144.0</v>
      </c>
      <c r="E1412" s="360"/>
      <c r="F1412" s="520"/>
      <c r="G1412" s="301"/>
      <c r="H1412" s="521"/>
    </row>
    <row r="1413">
      <c r="A1413" s="299">
        <v>2.0</v>
      </c>
      <c r="B1413" s="299" t="s">
        <v>1444</v>
      </c>
      <c r="C1413" s="299">
        <v>2.0</v>
      </c>
      <c r="D1413" s="300">
        <v>3.2</v>
      </c>
      <c r="E1413" s="360"/>
      <c r="F1413" s="520"/>
      <c r="G1413" s="301">
        <v>44574.0</v>
      </c>
      <c r="H1413" s="521"/>
    </row>
    <row r="1414">
      <c r="A1414" s="299">
        <v>3.0</v>
      </c>
      <c r="B1414" s="299" t="s">
        <v>1445</v>
      </c>
      <c r="C1414" s="299">
        <v>1.0</v>
      </c>
      <c r="D1414" s="300">
        <v>5.0</v>
      </c>
      <c r="E1414" s="331">
        <v>1.0</v>
      </c>
      <c r="F1414" s="520"/>
      <c r="G1414" s="301">
        <v>44596.0</v>
      </c>
      <c r="H1414" s="521"/>
    </row>
    <row r="1415">
      <c r="A1415" s="299">
        <v>4.0</v>
      </c>
      <c r="B1415" s="303" t="s">
        <v>3477</v>
      </c>
      <c r="C1415" s="303"/>
      <c r="D1415" s="304"/>
      <c r="E1415" s="327"/>
      <c r="F1415" s="303" t="s">
        <v>3478</v>
      </c>
      <c r="G1415" s="305">
        <v>44881.0</v>
      </c>
      <c r="H1415" s="303" t="s">
        <v>425</v>
      </c>
    </row>
    <row r="1416">
      <c r="A1416" s="299">
        <v>5.0</v>
      </c>
      <c r="B1416" s="308" t="s">
        <v>3479</v>
      </c>
      <c r="C1416" s="299">
        <v>1.0</v>
      </c>
      <c r="D1416" s="300">
        <v>15.0</v>
      </c>
      <c r="E1416" s="331">
        <v>1.0</v>
      </c>
      <c r="F1416" s="308">
        <v>7.898354479671E12</v>
      </c>
      <c r="G1416" s="301">
        <v>44881.0</v>
      </c>
      <c r="H1416" s="299" t="s">
        <v>1446</v>
      </c>
    </row>
    <row r="1417">
      <c r="A1417" s="299">
        <v>6.0</v>
      </c>
      <c r="B1417" s="303" t="s">
        <v>3480</v>
      </c>
      <c r="C1417" s="303"/>
      <c r="D1417" s="304"/>
      <c r="E1417" s="327"/>
      <c r="F1417" s="303" t="s">
        <v>3481</v>
      </c>
      <c r="G1417" s="305">
        <v>44890.0</v>
      </c>
      <c r="H1417" s="303" t="s">
        <v>3482</v>
      </c>
    </row>
    <row r="1418">
      <c r="A1418" s="299">
        <v>7.0</v>
      </c>
      <c r="B1418" s="303" t="s">
        <v>3480</v>
      </c>
      <c r="C1418" s="303"/>
      <c r="D1418" s="304"/>
      <c r="E1418" s="327"/>
      <c r="F1418" s="303" t="s">
        <v>3483</v>
      </c>
      <c r="G1418" s="305">
        <v>44890.0</v>
      </c>
      <c r="H1418" s="303" t="s">
        <v>3482</v>
      </c>
    </row>
    <row r="1419">
      <c r="A1419" s="299">
        <v>8.0</v>
      </c>
      <c r="B1419" s="303" t="s">
        <v>3484</v>
      </c>
      <c r="C1419" s="303"/>
      <c r="D1419" s="304"/>
      <c r="E1419" s="327"/>
      <c r="F1419" s="303" t="s">
        <v>3485</v>
      </c>
      <c r="G1419" s="305">
        <v>44895.0</v>
      </c>
      <c r="H1419" s="303" t="s">
        <v>3486</v>
      </c>
    </row>
    <row r="1420">
      <c r="A1420" s="299">
        <v>9.0</v>
      </c>
      <c r="B1420" s="303" t="s">
        <v>3487</v>
      </c>
      <c r="C1420" s="303"/>
      <c r="D1420" s="304"/>
      <c r="E1420" s="327"/>
      <c r="F1420" s="303" t="s">
        <v>3488</v>
      </c>
      <c r="G1420" s="305">
        <v>44912.0</v>
      </c>
      <c r="H1420" s="303" t="s">
        <v>3489</v>
      </c>
    </row>
    <row r="1421">
      <c r="A1421" s="299">
        <v>10.0</v>
      </c>
      <c r="B1421" s="303" t="s">
        <v>3487</v>
      </c>
      <c r="C1421" s="303"/>
      <c r="D1421" s="304"/>
      <c r="E1421" s="327"/>
      <c r="F1421" s="303" t="s">
        <v>3490</v>
      </c>
      <c r="G1421" s="305">
        <v>44912.0</v>
      </c>
      <c r="H1421" s="303" t="s">
        <v>3489</v>
      </c>
    </row>
    <row r="1422">
      <c r="A1422" s="299">
        <v>11.0</v>
      </c>
      <c r="B1422" s="308" t="s">
        <v>3491</v>
      </c>
      <c r="C1422" s="308">
        <v>1.0</v>
      </c>
      <c r="D1422" s="300">
        <v>37.0</v>
      </c>
      <c r="E1422" s="331">
        <v>2.0</v>
      </c>
      <c r="F1422" s="308" t="s">
        <v>3492</v>
      </c>
      <c r="G1422" s="315">
        <v>44912.0</v>
      </c>
      <c r="H1422" s="308" t="s">
        <v>3489</v>
      </c>
    </row>
    <row r="1423">
      <c r="A1423" s="299">
        <v>12.0</v>
      </c>
      <c r="B1423" s="303" t="s">
        <v>3493</v>
      </c>
      <c r="C1423" s="303"/>
      <c r="D1423" s="304"/>
      <c r="E1423" s="327"/>
      <c r="F1423" s="303" t="s">
        <v>3494</v>
      </c>
      <c r="G1423" s="305">
        <v>44912.0</v>
      </c>
      <c r="H1423" s="303" t="s">
        <v>425</v>
      </c>
    </row>
    <row r="1424">
      <c r="A1424" s="299">
        <v>13.0</v>
      </c>
      <c r="B1424" s="303" t="s">
        <v>2326</v>
      </c>
      <c r="C1424" s="303"/>
      <c r="D1424" s="304"/>
      <c r="E1424" s="327"/>
      <c r="F1424" s="303"/>
      <c r="G1424" s="305">
        <v>44912.0</v>
      </c>
      <c r="H1424" s="303" t="s">
        <v>3482</v>
      </c>
    </row>
    <row r="1425">
      <c r="A1425" s="299">
        <v>14.0</v>
      </c>
      <c r="B1425" s="308" t="s">
        <v>2494</v>
      </c>
      <c r="C1425" s="308">
        <v>1.0</v>
      </c>
      <c r="D1425" s="314">
        <v>18.5</v>
      </c>
      <c r="E1425" s="331">
        <v>1.0</v>
      </c>
      <c r="F1425" s="308" t="s">
        <v>3495</v>
      </c>
      <c r="G1425" s="315">
        <v>44564.0</v>
      </c>
      <c r="H1425" s="308"/>
    </row>
    <row r="1426">
      <c r="A1426" s="299">
        <v>15.0</v>
      </c>
      <c r="B1426" s="308" t="s">
        <v>3496</v>
      </c>
      <c r="C1426" s="308">
        <v>1.0</v>
      </c>
      <c r="D1426" s="314">
        <v>4.8</v>
      </c>
      <c r="E1426" s="331"/>
      <c r="F1426" s="308" t="s">
        <v>3497</v>
      </c>
      <c r="G1426" s="315">
        <v>44564.0</v>
      </c>
      <c r="H1426" s="308"/>
    </row>
    <row r="1427">
      <c r="A1427" s="299">
        <v>16.0</v>
      </c>
      <c r="B1427" s="303" t="s">
        <v>3498</v>
      </c>
      <c r="C1427" s="303"/>
      <c r="D1427" s="304"/>
      <c r="E1427" s="327"/>
      <c r="F1427" s="303" t="s">
        <v>3499</v>
      </c>
      <c r="G1427" s="303" t="s">
        <v>3500</v>
      </c>
      <c r="H1427" s="303" t="s">
        <v>3489</v>
      </c>
    </row>
    <row r="1428">
      <c r="A1428" s="299">
        <v>17.0</v>
      </c>
      <c r="B1428" s="299" t="s">
        <v>2557</v>
      </c>
      <c r="C1428" s="299">
        <v>1.0</v>
      </c>
      <c r="D1428" s="314">
        <v>1.0</v>
      </c>
      <c r="E1428" s="331">
        <v>1.0</v>
      </c>
      <c r="F1428" s="299" t="s">
        <v>3501</v>
      </c>
      <c r="G1428" s="315">
        <v>44949.0</v>
      </c>
      <c r="H1428" s="299" t="s">
        <v>1446</v>
      </c>
    </row>
    <row r="1429">
      <c r="A1429" s="299">
        <v>18.0</v>
      </c>
      <c r="B1429" s="303" t="s">
        <v>3502</v>
      </c>
      <c r="C1429" s="303"/>
      <c r="D1429" s="304"/>
      <c r="E1429" s="327"/>
      <c r="F1429" s="303" t="s">
        <v>3503</v>
      </c>
      <c r="G1429" s="305">
        <v>44949.0</v>
      </c>
      <c r="H1429" s="303" t="s">
        <v>425</v>
      </c>
    </row>
    <row r="1430">
      <c r="A1430" s="299">
        <v>19.0</v>
      </c>
      <c r="B1430" s="303" t="s">
        <v>2158</v>
      </c>
      <c r="C1430" s="303"/>
      <c r="D1430" s="304"/>
      <c r="E1430" s="327"/>
      <c r="F1430" s="303" t="s">
        <v>3504</v>
      </c>
      <c r="G1430" s="305">
        <v>44950.0</v>
      </c>
      <c r="H1430" s="303" t="s">
        <v>3505</v>
      </c>
    </row>
    <row r="1431">
      <c r="A1431" s="299">
        <v>20.0</v>
      </c>
      <c r="B1431" s="303" t="s">
        <v>2158</v>
      </c>
      <c r="C1431" s="303"/>
      <c r="D1431" s="304"/>
      <c r="E1431" s="327"/>
      <c r="F1431" s="303" t="s">
        <v>3506</v>
      </c>
      <c r="G1431" s="305">
        <v>45020.0</v>
      </c>
      <c r="H1431" s="303" t="s">
        <v>3507</v>
      </c>
    </row>
    <row r="1432">
      <c r="A1432" s="299">
        <v>21.0</v>
      </c>
      <c r="B1432" s="303" t="s">
        <v>2113</v>
      </c>
      <c r="C1432" s="303"/>
      <c r="D1432" s="304"/>
      <c r="E1432" s="327"/>
      <c r="F1432" s="303" t="s">
        <v>3508</v>
      </c>
      <c r="G1432" s="305">
        <v>45026.0</v>
      </c>
      <c r="H1432" s="303" t="s">
        <v>3509</v>
      </c>
    </row>
    <row r="1433">
      <c r="A1433" s="299">
        <v>22.0</v>
      </c>
      <c r="B1433" s="303" t="s">
        <v>2113</v>
      </c>
      <c r="C1433" s="303"/>
      <c r="D1433" s="304"/>
      <c r="E1433" s="327"/>
      <c r="F1433" s="303" t="s">
        <v>3510</v>
      </c>
      <c r="G1433" s="305">
        <v>45026.0</v>
      </c>
      <c r="H1433" s="303" t="s">
        <v>3509</v>
      </c>
    </row>
    <row r="1434">
      <c r="A1434" s="299">
        <v>23.0</v>
      </c>
      <c r="B1434" s="308" t="s">
        <v>2158</v>
      </c>
      <c r="C1434" s="299">
        <v>1.0</v>
      </c>
      <c r="D1434" s="314">
        <v>18.5</v>
      </c>
      <c r="E1434" s="331">
        <v>1.0</v>
      </c>
      <c r="F1434" s="299" t="s">
        <v>3511</v>
      </c>
      <c r="G1434" s="315">
        <v>45077.0</v>
      </c>
      <c r="H1434" s="299" t="s">
        <v>1446</v>
      </c>
    </row>
    <row r="1435">
      <c r="A1435" s="299">
        <v>24.0</v>
      </c>
      <c r="B1435" s="308" t="s">
        <v>2158</v>
      </c>
      <c r="C1435" s="299">
        <v>1.0</v>
      </c>
      <c r="D1435" s="314">
        <v>18.5</v>
      </c>
      <c r="E1435" s="331">
        <v>1.0</v>
      </c>
      <c r="F1435" s="299" t="s">
        <v>3511</v>
      </c>
      <c r="G1435" s="315">
        <v>45083.0</v>
      </c>
      <c r="H1435" s="299" t="s">
        <v>1446</v>
      </c>
    </row>
    <row r="1436">
      <c r="A1436" s="299">
        <v>25.0</v>
      </c>
      <c r="B1436" s="308" t="s">
        <v>2158</v>
      </c>
      <c r="C1436" s="299">
        <v>1.0</v>
      </c>
      <c r="D1436" s="314">
        <v>18.5</v>
      </c>
      <c r="E1436" s="331">
        <v>1.0</v>
      </c>
      <c r="F1436" s="299" t="s">
        <v>3512</v>
      </c>
      <c r="G1436" s="315">
        <v>45083.0</v>
      </c>
      <c r="H1436" s="299" t="s">
        <v>1446</v>
      </c>
    </row>
    <row r="1437">
      <c r="A1437" s="299">
        <v>26.0</v>
      </c>
      <c r="B1437" s="308" t="s">
        <v>2158</v>
      </c>
      <c r="C1437" s="299">
        <v>1.0</v>
      </c>
      <c r="D1437" s="314">
        <v>18.5</v>
      </c>
      <c r="E1437" s="331">
        <v>1.0</v>
      </c>
      <c r="F1437" s="299" t="s">
        <v>3513</v>
      </c>
      <c r="G1437" s="315">
        <v>45091.0</v>
      </c>
      <c r="H1437" s="299" t="s">
        <v>1446</v>
      </c>
    </row>
    <row r="1438">
      <c r="A1438" s="299">
        <v>27.0</v>
      </c>
      <c r="B1438" s="308" t="s">
        <v>2158</v>
      </c>
      <c r="C1438" s="299">
        <v>1.0</v>
      </c>
      <c r="D1438" s="314">
        <v>18.5</v>
      </c>
      <c r="E1438" s="331">
        <v>1.0</v>
      </c>
      <c r="F1438" s="299"/>
      <c r="G1438" s="315"/>
      <c r="H1438" s="299" t="s">
        <v>1446</v>
      </c>
    </row>
    <row r="1439">
      <c r="A1439" s="299">
        <v>28.0</v>
      </c>
      <c r="B1439" s="308" t="s">
        <v>2158</v>
      </c>
      <c r="C1439" s="299">
        <v>1.0</v>
      </c>
      <c r="D1439" s="314">
        <v>18.5</v>
      </c>
      <c r="E1439" s="331">
        <v>1.0</v>
      </c>
      <c r="F1439" s="299"/>
      <c r="G1439" s="315"/>
      <c r="H1439" s="299" t="s">
        <v>1446</v>
      </c>
    </row>
    <row r="1440">
      <c r="A1440" s="299">
        <v>29.0</v>
      </c>
      <c r="B1440" s="303" t="s">
        <v>2113</v>
      </c>
      <c r="C1440" s="303"/>
      <c r="D1440" s="304"/>
      <c r="E1440" s="327"/>
      <c r="F1440" s="303" t="s">
        <v>3514</v>
      </c>
      <c r="G1440" s="305">
        <v>45188.0</v>
      </c>
      <c r="H1440" s="303" t="s">
        <v>3515</v>
      </c>
    </row>
    <row r="1441">
      <c r="A1441" s="299">
        <v>30.0</v>
      </c>
      <c r="B1441" s="299" t="s">
        <v>1579</v>
      </c>
      <c r="C1441" s="299">
        <v>1.0</v>
      </c>
      <c r="D1441" s="300">
        <v>1.0</v>
      </c>
      <c r="E1441" s="331" t="s">
        <v>2077</v>
      </c>
      <c r="F1441" s="299" t="s">
        <v>3516</v>
      </c>
      <c r="G1441" s="301">
        <v>45203.0</v>
      </c>
      <c r="H1441" s="299" t="s">
        <v>1446</v>
      </c>
    </row>
    <row r="1442">
      <c r="A1442" s="299">
        <v>31.0</v>
      </c>
      <c r="B1442" s="303" t="s">
        <v>1579</v>
      </c>
      <c r="C1442" s="303"/>
      <c r="D1442" s="304"/>
      <c r="E1442" s="327"/>
      <c r="F1442" s="303" t="s">
        <v>3517</v>
      </c>
      <c r="G1442" s="303" t="s">
        <v>3518</v>
      </c>
      <c r="H1442" s="303" t="s">
        <v>300</v>
      </c>
    </row>
    <row r="1443">
      <c r="A1443" s="299">
        <v>32.0</v>
      </c>
      <c r="B1443" s="299" t="s">
        <v>2756</v>
      </c>
      <c r="C1443" s="299">
        <v>1.0</v>
      </c>
      <c r="D1443" s="300">
        <v>10.0</v>
      </c>
      <c r="E1443" s="331">
        <v>1.0</v>
      </c>
      <c r="F1443" s="299" t="s">
        <v>3519</v>
      </c>
      <c r="G1443" s="301">
        <v>45405.0</v>
      </c>
      <c r="H1443" s="299" t="s">
        <v>1446</v>
      </c>
    </row>
    <row r="1444">
      <c r="A1444" s="299">
        <v>33.0</v>
      </c>
      <c r="B1444" s="303" t="s">
        <v>3520</v>
      </c>
      <c r="C1444" s="303"/>
      <c r="D1444" s="304"/>
      <c r="E1444" s="327"/>
      <c r="F1444" s="303">
        <v>8.19520411E8</v>
      </c>
      <c r="G1444" s="305">
        <v>45426.0</v>
      </c>
      <c r="H1444" s="303" t="s">
        <v>3521</v>
      </c>
    </row>
    <row r="1445">
      <c r="A1445" s="303">
        <v>34.0</v>
      </c>
      <c r="B1445" s="303" t="s">
        <v>3522</v>
      </c>
      <c r="C1445" s="303"/>
      <c r="D1445" s="304"/>
      <c r="E1445" s="327"/>
      <c r="F1445" s="303" t="s">
        <v>3523</v>
      </c>
      <c r="G1445" s="303" t="s">
        <v>3524</v>
      </c>
      <c r="H1445" s="303" t="s">
        <v>1446</v>
      </c>
    </row>
    <row r="1446">
      <c r="A1446" s="299">
        <v>35.0</v>
      </c>
      <c r="B1446" s="308" t="s">
        <v>3525</v>
      </c>
      <c r="C1446" s="299">
        <v>1.0</v>
      </c>
      <c r="D1446" s="300">
        <v>2.0</v>
      </c>
      <c r="E1446" s="331">
        <v>1.0</v>
      </c>
      <c r="F1446" s="299" t="s">
        <v>3526</v>
      </c>
      <c r="G1446" s="301">
        <v>45622.0</v>
      </c>
      <c r="H1446" s="299" t="s">
        <v>1446</v>
      </c>
    </row>
    <row r="1447">
      <c r="A1447" s="299">
        <v>36.0</v>
      </c>
      <c r="B1447" s="628" t="s">
        <v>2557</v>
      </c>
      <c r="C1447" s="299">
        <v>1.0</v>
      </c>
      <c r="D1447" s="300">
        <v>3.0</v>
      </c>
      <c r="E1447" s="331">
        <v>1.0</v>
      </c>
      <c r="F1447" s="628" t="s">
        <v>3527</v>
      </c>
      <c r="G1447" s="301">
        <v>45640.0</v>
      </c>
      <c r="H1447" s="299" t="s">
        <v>1554</v>
      </c>
    </row>
    <row r="1448">
      <c r="A1448" s="299">
        <v>37.0</v>
      </c>
      <c r="B1448" s="629" t="s">
        <v>3528</v>
      </c>
      <c r="C1448" s="299">
        <v>1.0</v>
      </c>
      <c r="D1448" s="300">
        <v>3.0</v>
      </c>
      <c r="E1448" s="331">
        <v>1.0</v>
      </c>
      <c r="F1448" s="299" t="s">
        <v>3529</v>
      </c>
      <c r="G1448" s="301">
        <v>45726.0</v>
      </c>
      <c r="H1448" s="299" t="s">
        <v>1554</v>
      </c>
    </row>
    <row r="1449">
      <c r="A1449" s="299">
        <v>38.0</v>
      </c>
      <c r="B1449" s="630" t="s">
        <v>3530</v>
      </c>
      <c r="C1449" s="303"/>
      <c r="D1449" s="324"/>
      <c r="E1449" s="327"/>
      <c r="F1449" s="630" t="s">
        <v>3531</v>
      </c>
      <c r="G1449" s="303" t="s">
        <v>300</v>
      </c>
      <c r="H1449" s="480">
        <v>45764.0</v>
      </c>
    </row>
    <row r="1450">
      <c r="A1450" s="299">
        <v>39.0</v>
      </c>
      <c r="B1450" s="299" t="s">
        <v>2393</v>
      </c>
      <c r="C1450" s="299">
        <v>1.0</v>
      </c>
      <c r="D1450" s="300">
        <v>14.2</v>
      </c>
      <c r="E1450" s="331">
        <v>1.0</v>
      </c>
      <c r="F1450" s="629" t="s">
        <v>3532</v>
      </c>
      <c r="G1450" s="301">
        <v>45762.0</v>
      </c>
      <c r="H1450" s="299" t="s">
        <v>1554</v>
      </c>
    </row>
    <row r="1451">
      <c r="A1451" s="303">
        <v>40.0</v>
      </c>
      <c r="B1451" s="303" t="s">
        <v>3533</v>
      </c>
      <c r="C1451" s="303"/>
      <c r="D1451" s="304"/>
      <c r="E1451" s="327"/>
      <c r="F1451" s="630"/>
      <c r="G1451" s="305"/>
      <c r="H1451" s="303" t="s">
        <v>1554</v>
      </c>
    </row>
    <row r="1452">
      <c r="A1452" s="303" t="s">
        <v>3534</v>
      </c>
      <c r="B1452" s="303" t="s">
        <v>2393</v>
      </c>
      <c r="C1452" s="303"/>
      <c r="D1452" s="304"/>
      <c r="E1452" s="327"/>
      <c r="F1452" s="631" t="s">
        <v>3535</v>
      </c>
      <c r="G1452" s="303" t="s">
        <v>3536</v>
      </c>
      <c r="H1452" s="303" t="s">
        <v>1554</v>
      </c>
    </row>
    <row r="1453">
      <c r="A1453" s="299">
        <v>42.0</v>
      </c>
      <c r="B1453" s="632" t="s">
        <v>3537</v>
      </c>
      <c r="C1453" s="579">
        <v>1.0</v>
      </c>
      <c r="D1453" s="582">
        <v>6.5</v>
      </c>
      <c r="E1453" s="580">
        <v>1.0</v>
      </c>
      <c r="F1453" s="299" t="s">
        <v>3538</v>
      </c>
      <c r="G1453" s="528">
        <v>45839.0</v>
      </c>
      <c r="H1453" s="525" t="s">
        <v>1554</v>
      </c>
    </row>
    <row r="1454">
      <c r="A1454" s="299">
        <v>43.0</v>
      </c>
      <c r="B1454" s="633" t="s">
        <v>3539</v>
      </c>
      <c r="C1454" s="525">
        <v>1.0</v>
      </c>
      <c r="D1454" s="526">
        <v>1.67</v>
      </c>
      <c r="E1454" s="527">
        <v>1.0</v>
      </c>
      <c r="F1454" s="634" t="s">
        <v>3540</v>
      </c>
      <c r="G1454" s="528">
        <v>45878.0</v>
      </c>
      <c r="H1454" s="525" t="s">
        <v>3541</v>
      </c>
    </row>
    <row r="1455">
      <c r="A1455" s="299">
        <v>44.0</v>
      </c>
      <c r="B1455" s="633" t="s">
        <v>3542</v>
      </c>
      <c r="C1455" s="525">
        <v>1.0</v>
      </c>
      <c r="D1455" s="526">
        <v>0.12</v>
      </c>
      <c r="E1455" s="527">
        <v>1.0</v>
      </c>
      <c r="F1455" s="634" t="s">
        <v>3543</v>
      </c>
      <c r="G1455" s="528">
        <v>45878.0</v>
      </c>
      <c r="H1455" s="525" t="s">
        <v>3541</v>
      </c>
    </row>
    <row r="1456">
      <c r="A1456" s="299">
        <v>45.0</v>
      </c>
      <c r="B1456" s="633" t="s">
        <v>1983</v>
      </c>
      <c r="C1456" s="525">
        <v>1.0</v>
      </c>
      <c r="D1456" s="526"/>
      <c r="E1456" s="527">
        <v>1.0</v>
      </c>
      <c r="F1456" s="635" t="s">
        <v>3544</v>
      </c>
      <c r="G1456" s="528">
        <v>45884.0</v>
      </c>
      <c r="H1456" s="525" t="s">
        <v>1554</v>
      </c>
    </row>
    <row r="1457">
      <c r="A1457" s="299">
        <v>46.0</v>
      </c>
      <c r="B1457" s="633" t="s">
        <v>2016</v>
      </c>
      <c r="C1457" s="525">
        <v>1.0</v>
      </c>
      <c r="D1457" s="526">
        <v>17.4</v>
      </c>
      <c r="E1457" s="527">
        <v>1.0</v>
      </c>
      <c r="F1457" s="36" t="s">
        <v>3545</v>
      </c>
      <c r="G1457" s="528">
        <v>45930.0</v>
      </c>
      <c r="H1457" s="525" t="s">
        <v>3541</v>
      </c>
    </row>
    <row r="1458">
      <c r="A1458" s="299">
        <v>47.0</v>
      </c>
      <c r="B1458" s="633" t="s">
        <v>2326</v>
      </c>
      <c r="C1458" s="525">
        <v>1.0</v>
      </c>
      <c r="D1458" s="526">
        <v>9.0</v>
      </c>
      <c r="E1458" s="527">
        <v>1.0</v>
      </c>
      <c r="F1458" s="36" t="s">
        <v>3546</v>
      </c>
      <c r="G1458" s="528">
        <v>45933.0</v>
      </c>
      <c r="H1458" s="525" t="s">
        <v>1554</v>
      </c>
    </row>
    <row r="1459">
      <c r="A1459" s="303"/>
      <c r="B1459" s="303" t="s">
        <v>3547</v>
      </c>
      <c r="C1459" s="303"/>
      <c r="D1459" s="324"/>
      <c r="E1459" s="327"/>
      <c r="F1459" s="429"/>
      <c r="G1459" s="303" t="s">
        <v>3548</v>
      </c>
      <c r="H1459" s="303" t="s">
        <v>425</v>
      </c>
    </row>
    <row r="1460">
      <c r="A1460" s="299">
        <v>48.0</v>
      </c>
      <c r="B1460" s="299" t="s">
        <v>2393</v>
      </c>
      <c r="C1460" s="299">
        <v>1.0</v>
      </c>
      <c r="D1460" s="300">
        <v>17.4</v>
      </c>
      <c r="E1460" s="331">
        <v>1.0</v>
      </c>
      <c r="F1460" s="36" t="s">
        <v>3549</v>
      </c>
      <c r="G1460" s="301">
        <v>45953.0</v>
      </c>
      <c r="H1460" s="299" t="s">
        <v>1446</v>
      </c>
    </row>
    <row r="1461">
      <c r="A1461" s="435">
        <v>49.0</v>
      </c>
      <c r="B1461" s="435" t="s">
        <v>3550</v>
      </c>
      <c r="C1461" s="435">
        <v>1.0</v>
      </c>
      <c r="D1461" s="300">
        <v>2.0</v>
      </c>
      <c r="E1461" s="331">
        <v>1.0</v>
      </c>
      <c r="F1461" s="435" t="s">
        <v>3551</v>
      </c>
      <c r="G1461" s="636">
        <v>45984.0</v>
      </c>
      <c r="H1461" s="435" t="s">
        <v>1446</v>
      </c>
    </row>
    <row r="1462">
      <c r="A1462" s="435">
        <v>50.0</v>
      </c>
      <c r="B1462" s="435" t="s">
        <v>3552</v>
      </c>
      <c r="C1462" s="435">
        <v>1.0</v>
      </c>
      <c r="D1462" s="314">
        <v>4.5</v>
      </c>
      <c r="E1462" s="331">
        <v>1.0</v>
      </c>
      <c r="F1462" s="435" t="s">
        <v>3553</v>
      </c>
      <c r="G1462" s="636">
        <v>46063.0</v>
      </c>
      <c r="H1462" s="435" t="s">
        <v>1446</v>
      </c>
    </row>
    <row r="1463">
      <c r="A1463" s="401">
        <v>51.0</v>
      </c>
      <c r="B1463" s="401" t="s">
        <v>3554</v>
      </c>
      <c r="C1463" s="401"/>
      <c r="D1463" s="304"/>
      <c r="E1463" s="327"/>
      <c r="F1463" s="401" t="s">
        <v>3555</v>
      </c>
      <c r="G1463" s="401" t="s">
        <v>3556</v>
      </c>
      <c r="H1463" s="401" t="s">
        <v>1446</v>
      </c>
    </row>
    <row r="1464">
      <c r="A1464" s="435">
        <v>52.0</v>
      </c>
      <c r="B1464" s="435" t="s">
        <v>3554</v>
      </c>
      <c r="C1464" s="435">
        <v>1.0</v>
      </c>
      <c r="D1464" s="314">
        <v>16.2</v>
      </c>
      <c r="E1464" s="331">
        <v>1.0</v>
      </c>
      <c r="F1464" s="435" t="s">
        <v>3557</v>
      </c>
      <c r="G1464" s="636">
        <v>46063.0</v>
      </c>
      <c r="H1464" s="435" t="s">
        <v>1446</v>
      </c>
    </row>
    <row r="1465">
      <c r="A1465" s="435">
        <v>53.0</v>
      </c>
      <c r="B1465" s="435" t="s">
        <v>3554</v>
      </c>
      <c r="C1465" s="435">
        <v>1.0</v>
      </c>
      <c r="D1465" s="314">
        <v>16.2</v>
      </c>
      <c r="E1465" s="331">
        <v>1.0</v>
      </c>
      <c r="F1465" s="435" t="s">
        <v>3558</v>
      </c>
      <c r="G1465" s="636">
        <v>46065.0</v>
      </c>
      <c r="H1465" s="435" t="s">
        <v>1446</v>
      </c>
    </row>
    <row r="1466">
      <c r="A1466" s="401">
        <v>54.0</v>
      </c>
      <c r="B1466" s="401" t="s">
        <v>2016</v>
      </c>
      <c r="C1466" s="401">
        <v>1.0</v>
      </c>
      <c r="D1466" s="304">
        <v>17.4</v>
      </c>
      <c r="E1466" s="327">
        <v>1.0</v>
      </c>
      <c r="F1466" s="401" t="s">
        <v>3559</v>
      </c>
      <c r="G1466" s="401" t="s">
        <v>3560</v>
      </c>
      <c r="H1466" s="401" t="s">
        <v>1446</v>
      </c>
    </row>
    <row r="1467">
      <c r="A1467" s="366" t="s">
        <v>1562</v>
      </c>
      <c r="B1467" s="3"/>
      <c r="C1467" s="364">
        <f>sum(C1412:C1453)</f>
        <v>22</v>
      </c>
      <c r="D1467" s="427">
        <f>sum(D1412:D1466)</f>
        <v>481.09</v>
      </c>
      <c r="E1467" s="331">
        <f>SUM(E1412:E1465)</f>
        <v>28</v>
      </c>
      <c r="F1467" s="425"/>
      <c r="G1467" s="301"/>
      <c r="H1467" s="299"/>
    </row>
    <row r="1468">
      <c r="A1468" s="624"/>
      <c r="B1468" s="624"/>
      <c r="C1468" s="624"/>
      <c r="D1468" s="637"/>
      <c r="E1468" s="626"/>
      <c r="F1468" s="638"/>
      <c r="G1468" s="624"/>
      <c r="H1468" s="627"/>
    </row>
    <row r="1469">
      <c r="A1469" s="624"/>
      <c r="B1469" s="624"/>
      <c r="C1469" s="624"/>
      <c r="D1469" s="637"/>
      <c r="E1469" s="626"/>
      <c r="F1469" s="624"/>
      <c r="G1469" s="624"/>
      <c r="H1469" s="627"/>
    </row>
    <row r="1470">
      <c r="A1470" s="289" t="s">
        <v>3561</v>
      </c>
      <c r="B1470" s="290"/>
      <c r="C1470" s="290"/>
      <c r="D1470" s="290"/>
      <c r="E1470" s="290"/>
      <c r="F1470" s="290"/>
      <c r="G1470" s="290"/>
      <c r="H1470" s="291"/>
    </row>
    <row r="1471">
      <c r="A1471" s="292"/>
      <c r="B1471" s="293"/>
      <c r="C1471" s="293"/>
      <c r="D1471" s="293"/>
      <c r="E1471" s="293"/>
      <c r="F1471" s="293"/>
      <c r="G1471" s="293"/>
      <c r="H1471" s="294"/>
    </row>
    <row r="1472">
      <c r="A1472" s="295" t="s">
        <v>1435</v>
      </c>
      <c r="B1472" s="296" t="s">
        <v>1436</v>
      </c>
      <c r="C1472" s="295" t="s">
        <v>1437</v>
      </c>
      <c r="D1472" s="297" t="s">
        <v>1438</v>
      </c>
      <c r="E1472" s="359" t="s">
        <v>1564</v>
      </c>
      <c r="F1472" s="295" t="s">
        <v>1440</v>
      </c>
      <c r="G1472" s="298" t="s">
        <v>1441</v>
      </c>
      <c r="H1472" s="295" t="s">
        <v>1565</v>
      </c>
    </row>
    <row r="1473">
      <c r="A1473" s="299">
        <v>1.0</v>
      </c>
      <c r="B1473" s="299" t="s">
        <v>1443</v>
      </c>
      <c r="C1473" s="299">
        <v>1.0</v>
      </c>
      <c r="D1473" s="300">
        <v>144.0</v>
      </c>
      <c r="E1473" s="360"/>
      <c r="F1473" s="520"/>
      <c r="G1473" s="301"/>
      <c r="H1473" s="521"/>
    </row>
    <row r="1474">
      <c r="A1474" s="299">
        <v>2.0</v>
      </c>
      <c r="B1474" s="299" t="s">
        <v>1444</v>
      </c>
      <c r="C1474" s="299">
        <v>2.0</v>
      </c>
      <c r="D1474" s="300">
        <v>2.6</v>
      </c>
      <c r="E1474" s="360"/>
      <c r="F1474" s="520"/>
      <c r="G1474" s="301">
        <v>44574.0</v>
      </c>
      <c r="H1474" s="299" t="s">
        <v>1554</v>
      </c>
    </row>
    <row r="1475">
      <c r="A1475" s="299">
        <v>3.0</v>
      </c>
      <c r="B1475" s="299" t="s">
        <v>1445</v>
      </c>
      <c r="C1475" s="299">
        <v>1.0</v>
      </c>
      <c r="D1475" s="300">
        <v>5.0</v>
      </c>
      <c r="E1475" s="360"/>
      <c r="F1475" s="520"/>
      <c r="G1475" s="301">
        <v>44596.0</v>
      </c>
      <c r="H1475" s="299" t="s">
        <v>1554</v>
      </c>
    </row>
    <row r="1476" ht="18.75" customHeight="1">
      <c r="A1476" s="303">
        <v>4.0</v>
      </c>
      <c r="B1476" s="639" t="s">
        <v>3562</v>
      </c>
      <c r="C1476" s="329"/>
      <c r="D1476" s="304"/>
      <c r="E1476" s="327"/>
      <c r="F1476" s="639" t="s">
        <v>3563</v>
      </c>
      <c r="G1476" s="305">
        <v>45262.0</v>
      </c>
      <c r="H1476" s="303" t="s">
        <v>3564</v>
      </c>
    </row>
    <row r="1477" ht="18.75" customHeight="1">
      <c r="A1477" s="299">
        <v>5.0</v>
      </c>
      <c r="B1477" s="404" t="s">
        <v>3562</v>
      </c>
      <c r="C1477" s="299">
        <v>1.0</v>
      </c>
      <c r="D1477" s="300">
        <v>8.7</v>
      </c>
      <c r="E1477" s="331">
        <v>1.0</v>
      </c>
      <c r="F1477" s="404" t="s">
        <v>3565</v>
      </c>
      <c r="G1477" s="301">
        <v>45262.0</v>
      </c>
      <c r="H1477" s="299" t="s">
        <v>1554</v>
      </c>
    </row>
    <row r="1478" ht="18.75" customHeight="1">
      <c r="A1478" s="299">
        <v>6.0</v>
      </c>
      <c r="B1478" s="588" t="s">
        <v>3566</v>
      </c>
      <c r="C1478" s="299">
        <v>1.0</v>
      </c>
      <c r="D1478" s="300">
        <v>9.5</v>
      </c>
      <c r="E1478" s="331">
        <v>4.0</v>
      </c>
      <c r="F1478" s="588" t="s">
        <v>3567</v>
      </c>
      <c r="G1478" s="301">
        <v>45639.0</v>
      </c>
      <c r="H1478" s="299" t="s">
        <v>1554</v>
      </c>
    </row>
    <row r="1479" ht="18.75" customHeight="1">
      <c r="A1479" s="303">
        <v>7.0</v>
      </c>
      <c r="B1479" s="303" t="s">
        <v>2632</v>
      </c>
      <c r="C1479" s="303">
        <v>1.0</v>
      </c>
      <c r="D1479" s="304">
        <v>2.0</v>
      </c>
      <c r="E1479" s="327">
        <v>1.0</v>
      </c>
      <c r="F1479" s="303"/>
      <c r="G1479" s="305">
        <v>45639.0</v>
      </c>
      <c r="H1479" s="303" t="s">
        <v>425</v>
      </c>
    </row>
    <row r="1480" ht="18.75" customHeight="1">
      <c r="A1480" s="303">
        <v>8.0</v>
      </c>
      <c r="B1480" s="303" t="s">
        <v>2191</v>
      </c>
      <c r="C1480" s="303">
        <v>1.0</v>
      </c>
      <c r="D1480" s="304">
        <v>2.0</v>
      </c>
      <c r="E1480" s="327">
        <v>1.0</v>
      </c>
      <c r="F1480" s="303"/>
      <c r="G1480" s="305">
        <v>45639.0</v>
      </c>
      <c r="H1480" s="303" t="s">
        <v>425</v>
      </c>
    </row>
    <row r="1481" ht="18.75" customHeight="1">
      <c r="A1481" s="303">
        <v>9.0</v>
      </c>
      <c r="B1481" s="303" t="s">
        <v>3568</v>
      </c>
      <c r="C1481" s="303">
        <v>1.0</v>
      </c>
      <c r="D1481" s="304">
        <v>2.0</v>
      </c>
      <c r="E1481" s="327">
        <v>1.0</v>
      </c>
      <c r="F1481" s="303"/>
      <c r="G1481" s="305">
        <v>45639.0</v>
      </c>
      <c r="H1481" s="303" t="s">
        <v>425</v>
      </c>
    </row>
    <row r="1482" ht="18.75" customHeight="1">
      <c r="A1482" s="299">
        <v>10.0</v>
      </c>
      <c r="B1482" s="299" t="s">
        <v>3569</v>
      </c>
      <c r="C1482" s="299">
        <v>1.0</v>
      </c>
      <c r="D1482" s="300">
        <v>3.0</v>
      </c>
      <c r="E1482" s="331">
        <v>1.0</v>
      </c>
      <c r="F1482" s="299" t="s">
        <v>3570</v>
      </c>
      <c r="G1482" s="301">
        <v>45985.0</v>
      </c>
      <c r="H1482" s="299" t="s">
        <v>2904</v>
      </c>
    </row>
    <row r="1483" ht="18.75" customHeight="1">
      <c r="A1483" s="299">
        <v>11.0</v>
      </c>
      <c r="B1483" s="299" t="s">
        <v>3569</v>
      </c>
      <c r="C1483" s="299">
        <v>1.0</v>
      </c>
      <c r="D1483" s="300">
        <v>3.0</v>
      </c>
      <c r="E1483" s="331">
        <v>1.0</v>
      </c>
      <c r="F1483" s="299" t="s">
        <v>3571</v>
      </c>
      <c r="G1483" s="301">
        <v>45985.0</v>
      </c>
      <c r="H1483" s="299" t="s">
        <v>2904</v>
      </c>
    </row>
    <row r="1484" ht="18.75" customHeight="1">
      <c r="A1484" s="303">
        <v>12.0</v>
      </c>
      <c r="B1484" s="303" t="s">
        <v>3572</v>
      </c>
      <c r="C1484" s="303">
        <v>1.0</v>
      </c>
      <c r="D1484" s="304">
        <v>12.6</v>
      </c>
      <c r="E1484" s="327">
        <v>1.0</v>
      </c>
      <c r="F1484" s="303" t="s">
        <v>1518</v>
      </c>
      <c r="G1484" s="305">
        <v>45985.0</v>
      </c>
      <c r="H1484" s="303" t="s">
        <v>3573</v>
      </c>
    </row>
    <row r="1485" ht="18.75" customHeight="1">
      <c r="A1485" s="299">
        <v>13.0</v>
      </c>
      <c r="B1485" s="299" t="s">
        <v>3574</v>
      </c>
      <c r="C1485" s="299">
        <v>1.0</v>
      </c>
      <c r="D1485" s="300"/>
      <c r="E1485" s="331">
        <v>1.0</v>
      </c>
      <c r="F1485" s="299" t="s">
        <v>3575</v>
      </c>
      <c r="G1485" s="301">
        <v>45986.0</v>
      </c>
      <c r="H1485" s="299" t="s">
        <v>1446</v>
      </c>
    </row>
    <row r="1486" ht="18.75" customHeight="1">
      <c r="A1486" s="303">
        <v>14.0</v>
      </c>
      <c r="B1486" s="529" t="s">
        <v>1472</v>
      </c>
      <c r="C1486" s="303">
        <v>1.0</v>
      </c>
      <c r="D1486" s="304"/>
      <c r="E1486" s="327">
        <v>1.0</v>
      </c>
      <c r="F1486" s="529" t="s">
        <v>3576</v>
      </c>
      <c r="G1486" s="303" t="s">
        <v>3577</v>
      </c>
      <c r="H1486" s="299" t="s">
        <v>425</v>
      </c>
    </row>
    <row r="1487" ht="18.75" customHeight="1">
      <c r="A1487" s="299">
        <v>15.0</v>
      </c>
      <c r="B1487" s="299" t="s">
        <v>3578</v>
      </c>
      <c r="C1487" s="299">
        <v>1.0</v>
      </c>
      <c r="D1487" s="300">
        <v>20.0</v>
      </c>
      <c r="E1487" s="331">
        <v>2.0</v>
      </c>
      <c r="F1487" s="299" t="s">
        <v>3579</v>
      </c>
      <c r="G1487" s="433">
        <v>46000.0</v>
      </c>
      <c r="H1487" s="299" t="s">
        <v>1554</v>
      </c>
    </row>
    <row r="1488" ht="18.75" customHeight="1">
      <c r="A1488" s="366" t="s">
        <v>1562</v>
      </c>
      <c r="B1488" s="3"/>
      <c r="C1488" s="364">
        <f>sum(C1470:C1487)</f>
        <v>15</v>
      </c>
      <c r="D1488" s="300">
        <f>SUM(D1473:D1484)</f>
        <v>194.4</v>
      </c>
      <c r="E1488" s="360">
        <f>SUM(E1470:E1487)</f>
        <v>15</v>
      </c>
      <c r="F1488" s="299" t="s">
        <v>3580</v>
      </c>
      <c r="G1488" s="301"/>
      <c r="H1488" s="299"/>
    </row>
    <row r="1489">
      <c r="A1489" s="624"/>
      <c r="B1489" s="624"/>
      <c r="C1489" s="624"/>
      <c r="D1489" s="637"/>
      <c r="E1489" s="626"/>
      <c r="F1489" s="624"/>
      <c r="G1489" s="624"/>
      <c r="H1489" s="627"/>
    </row>
    <row r="1490">
      <c r="A1490" s="624"/>
      <c r="B1490" s="624"/>
      <c r="C1490" s="624"/>
      <c r="D1490" s="637"/>
      <c r="E1490" s="626"/>
      <c r="F1490" s="624"/>
      <c r="G1490" s="624"/>
      <c r="H1490" s="627"/>
    </row>
    <row r="1491">
      <c r="A1491" s="640" t="s">
        <v>3581</v>
      </c>
      <c r="H1491" s="247"/>
    </row>
    <row r="1492">
      <c r="A1492" s="292"/>
      <c r="B1492" s="293"/>
      <c r="C1492" s="293"/>
      <c r="D1492" s="293"/>
      <c r="E1492" s="293"/>
      <c r="F1492" s="293"/>
      <c r="G1492" s="293"/>
      <c r="H1492" s="294"/>
    </row>
    <row r="1493">
      <c r="A1493" s="303" t="s">
        <v>1435</v>
      </c>
      <c r="B1493" s="323" t="s">
        <v>1436</v>
      </c>
      <c r="C1493" s="303" t="s">
        <v>1437</v>
      </c>
      <c r="D1493" s="324" t="s">
        <v>1438</v>
      </c>
      <c r="E1493" s="325" t="s">
        <v>1564</v>
      </c>
      <c r="F1493" s="303" t="s">
        <v>1440</v>
      </c>
      <c r="G1493" s="326" t="s">
        <v>1441</v>
      </c>
      <c r="H1493" s="303" t="s">
        <v>1565</v>
      </c>
    </row>
    <row r="1494">
      <c r="A1494" s="303">
        <v>1.0</v>
      </c>
      <c r="B1494" s="303" t="s">
        <v>1443</v>
      </c>
      <c r="C1494" s="303"/>
      <c r="D1494" s="304"/>
      <c r="E1494" s="325"/>
      <c r="F1494" s="323"/>
      <c r="G1494" s="305"/>
      <c r="H1494" s="641"/>
    </row>
    <row r="1495">
      <c r="A1495" s="303">
        <v>2.0</v>
      </c>
      <c r="B1495" s="303" t="s">
        <v>1444</v>
      </c>
      <c r="C1495" s="303"/>
      <c r="D1495" s="304"/>
      <c r="E1495" s="325"/>
      <c r="F1495" s="323"/>
      <c r="G1495" s="305">
        <v>44574.0</v>
      </c>
      <c r="H1495" s="303" t="s">
        <v>1446</v>
      </c>
    </row>
    <row r="1496">
      <c r="A1496" s="303">
        <v>3.0</v>
      </c>
      <c r="B1496" s="303" t="s">
        <v>1445</v>
      </c>
      <c r="C1496" s="303"/>
      <c r="D1496" s="304"/>
      <c r="E1496" s="327"/>
      <c r="F1496" s="323"/>
      <c r="G1496" s="305">
        <v>44596.0</v>
      </c>
      <c r="H1496" s="303" t="s">
        <v>1446</v>
      </c>
    </row>
    <row r="1497">
      <c r="A1497" s="303">
        <v>4.0</v>
      </c>
      <c r="B1497" s="303" t="s">
        <v>3582</v>
      </c>
      <c r="C1497" s="303"/>
      <c r="D1497" s="304"/>
      <c r="E1497" s="327"/>
      <c r="F1497" s="303" t="s">
        <v>3583</v>
      </c>
      <c r="G1497" s="305">
        <v>44900.0</v>
      </c>
      <c r="H1497" s="303" t="s">
        <v>3584</v>
      </c>
    </row>
    <row r="1498">
      <c r="A1498" s="303">
        <v>5.0</v>
      </c>
      <c r="B1498" s="303" t="s">
        <v>3585</v>
      </c>
      <c r="C1498" s="303"/>
      <c r="D1498" s="304"/>
      <c r="E1498" s="327"/>
      <c r="F1498" s="303" t="s">
        <v>3586</v>
      </c>
      <c r="G1498" s="305">
        <v>44908.0</v>
      </c>
      <c r="H1498" s="303" t="s">
        <v>3584</v>
      </c>
    </row>
    <row r="1499">
      <c r="A1499" s="303">
        <v>6.0</v>
      </c>
      <c r="B1499" s="303" t="s">
        <v>3585</v>
      </c>
      <c r="C1499" s="303"/>
      <c r="D1499" s="304"/>
      <c r="E1499" s="327"/>
      <c r="F1499" s="303" t="s">
        <v>3587</v>
      </c>
      <c r="G1499" s="305">
        <v>44909.0</v>
      </c>
      <c r="H1499" s="303" t="s">
        <v>3584</v>
      </c>
    </row>
    <row r="1500">
      <c r="A1500" s="303">
        <v>7.0</v>
      </c>
      <c r="B1500" s="303" t="s">
        <v>3588</v>
      </c>
      <c r="C1500" s="303"/>
      <c r="D1500" s="304"/>
      <c r="E1500" s="327"/>
      <c r="F1500" s="303" t="s">
        <v>3589</v>
      </c>
      <c r="G1500" s="305">
        <v>45079.0</v>
      </c>
      <c r="H1500" s="303" t="s">
        <v>3584</v>
      </c>
    </row>
    <row r="1501">
      <c r="A1501" s="303">
        <v>8.0</v>
      </c>
      <c r="B1501" s="303" t="s">
        <v>3588</v>
      </c>
      <c r="C1501" s="303"/>
      <c r="D1501" s="304"/>
      <c r="E1501" s="327"/>
      <c r="F1501" s="305"/>
      <c r="G1501" s="305">
        <v>45079.0</v>
      </c>
      <c r="H1501" s="303" t="s">
        <v>3584</v>
      </c>
    </row>
    <row r="1502">
      <c r="A1502" s="303">
        <v>9.0</v>
      </c>
      <c r="B1502" s="303" t="s">
        <v>3590</v>
      </c>
      <c r="C1502" s="303"/>
      <c r="D1502" s="304"/>
      <c r="E1502" s="327"/>
      <c r="F1502" s="303" t="s">
        <v>3591</v>
      </c>
      <c r="G1502" s="305">
        <v>45248.0</v>
      </c>
      <c r="H1502" s="303" t="s">
        <v>3592</v>
      </c>
    </row>
    <row r="1503">
      <c r="A1503" s="322" t="s">
        <v>1562</v>
      </c>
      <c r="B1503" s="3"/>
      <c r="C1503" s="303">
        <f t="shared" ref="C1503:D1503" si="30">SUM(C1494:C1502)</f>
        <v>0</v>
      </c>
      <c r="D1503" s="304">
        <f t="shared" si="30"/>
        <v>0</v>
      </c>
      <c r="E1503" s="325">
        <f>SUM(E1492:E1502)</f>
        <v>0</v>
      </c>
      <c r="F1503" s="303"/>
      <c r="G1503" s="305"/>
      <c r="H1503" s="303"/>
    </row>
    <row r="1504">
      <c r="A1504" s="364"/>
      <c r="B1504" s="364"/>
      <c r="C1504" s="364"/>
      <c r="D1504" s="427"/>
      <c r="E1504" s="360"/>
      <c r="F1504" s="364"/>
      <c r="G1504" s="364"/>
      <c r="H1504" s="428"/>
    </row>
    <row r="1505">
      <c r="A1505" s="485" t="s">
        <v>3593</v>
      </c>
      <c r="B1505" s="290"/>
      <c r="C1505" s="290"/>
      <c r="D1505" s="290"/>
      <c r="E1505" s="290"/>
      <c r="F1505" s="290"/>
      <c r="G1505" s="290"/>
      <c r="H1505" s="291"/>
    </row>
    <row r="1506">
      <c r="A1506" s="292"/>
      <c r="B1506" s="293"/>
      <c r="C1506" s="293"/>
      <c r="D1506" s="293"/>
      <c r="E1506" s="293"/>
      <c r="F1506" s="293"/>
      <c r="G1506" s="293"/>
      <c r="H1506" s="294"/>
    </row>
    <row r="1507">
      <c r="A1507" s="517" t="s">
        <v>1435</v>
      </c>
      <c r="B1507" s="517" t="s">
        <v>1436</v>
      </c>
      <c r="C1507" s="517" t="s">
        <v>1437</v>
      </c>
      <c r="D1507" s="421" t="s">
        <v>1438</v>
      </c>
      <c r="E1507" s="422" t="s">
        <v>1564</v>
      </c>
      <c r="F1507" s="517" t="s">
        <v>1440</v>
      </c>
      <c r="G1507" s="424" t="s">
        <v>1441</v>
      </c>
      <c r="H1507" s="424" t="s">
        <v>1565</v>
      </c>
    </row>
    <row r="1508">
      <c r="A1508" s="299">
        <v>1.0</v>
      </c>
      <c r="B1508" s="299" t="s">
        <v>1443</v>
      </c>
      <c r="C1508" s="299">
        <v>1.0</v>
      </c>
      <c r="D1508" s="300">
        <v>144.0</v>
      </c>
      <c r="E1508" s="360"/>
      <c r="F1508" s="520"/>
      <c r="G1508" s="301"/>
      <c r="H1508" s="521"/>
    </row>
    <row r="1509">
      <c r="A1509" s="299">
        <v>2.0</v>
      </c>
      <c r="B1509" s="299" t="s">
        <v>1444</v>
      </c>
      <c r="C1509" s="299">
        <v>2.0</v>
      </c>
      <c r="D1509" s="300">
        <v>2.6</v>
      </c>
      <c r="E1509" s="360"/>
      <c r="F1509" s="520"/>
      <c r="G1509" s="301">
        <v>44574.0</v>
      </c>
      <c r="H1509" s="521"/>
    </row>
    <row r="1510">
      <c r="A1510" s="299">
        <v>3.0</v>
      </c>
      <c r="B1510" s="299" t="s">
        <v>1445</v>
      </c>
      <c r="C1510" s="299">
        <v>1.0</v>
      </c>
      <c r="D1510" s="300">
        <v>5.0</v>
      </c>
      <c r="E1510" s="360"/>
      <c r="F1510" s="520"/>
      <c r="G1510" s="301">
        <v>44596.0</v>
      </c>
      <c r="H1510" s="521"/>
    </row>
    <row r="1511">
      <c r="A1511" s="299">
        <v>4.0</v>
      </c>
      <c r="B1511" s="299" t="s">
        <v>1538</v>
      </c>
      <c r="C1511" s="299">
        <v>1.0</v>
      </c>
      <c r="D1511" s="300">
        <v>4.5</v>
      </c>
      <c r="E1511" s="331">
        <v>1.0</v>
      </c>
      <c r="F1511" s="299" t="s">
        <v>1539</v>
      </c>
      <c r="G1511" s="301">
        <v>45617.0</v>
      </c>
      <c r="H1511" s="299" t="s">
        <v>1554</v>
      </c>
    </row>
    <row r="1512">
      <c r="A1512" s="299">
        <v>5.0</v>
      </c>
      <c r="B1512" s="299" t="s">
        <v>1542</v>
      </c>
      <c r="C1512" s="299">
        <v>1.0</v>
      </c>
      <c r="D1512" s="300">
        <v>21.2</v>
      </c>
      <c r="E1512" s="331">
        <v>1.0</v>
      </c>
      <c r="F1512" s="299" t="s">
        <v>1543</v>
      </c>
      <c r="G1512" s="301">
        <v>45617.0</v>
      </c>
      <c r="H1512" s="299" t="s">
        <v>1554</v>
      </c>
    </row>
    <row r="1513">
      <c r="A1513" s="299">
        <v>6.0</v>
      </c>
      <c r="B1513" s="299" t="s">
        <v>3594</v>
      </c>
      <c r="C1513" s="299">
        <v>1.0</v>
      </c>
      <c r="D1513" s="300">
        <v>28.6</v>
      </c>
      <c r="E1513" s="331">
        <v>2.0</v>
      </c>
      <c r="F1513" s="299" t="s">
        <v>3595</v>
      </c>
      <c r="G1513" s="301">
        <v>45617.0</v>
      </c>
      <c r="H1513" s="299" t="s">
        <v>1554</v>
      </c>
    </row>
    <row r="1514">
      <c r="A1514" s="299">
        <v>7.0</v>
      </c>
      <c r="B1514" s="299" t="s">
        <v>1545</v>
      </c>
      <c r="C1514" s="299">
        <v>1.0</v>
      </c>
      <c r="D1514" s="300">
        <v>3.6</v>
      </c>
      <c r="E1514" s="331">
        <v>1.0</v>
      </c>
      <c r="F1514" s="299" t="s">
        <v>1546</v>
      </c>
      <c r="G1514" s="301">
        <v>45617.0</v>
      </c>
      <c r="H1514" s="299" t="s">
        <v>1554</v>
      </c>
    </row>
    <row r="1515">
      <c r="A1515" s="366" t="s">
        <v>1562</v>
      </c>
      <c r="B1515" s="3"/>
      <c r="C1515" s="364">
        <f>sum(C1508:C1514)</f>
        <v>8</v>
      </c>
      <c r="D1515" s="300">
        <f>SUM(D1508:D1514)</f>
        <v>209.5</v>
      </c>
      <c r="E1515" s="360">
        <f>SUM(E1505:E1514)</f>
        <v>5</v>
      </c>
      <c r="F1515" s="299"/>
      <c r="G1515" s="301"/>
      <c r="H1515" s="299"/>
    </row>
    <row r="1516">
      <c r="A1516" s="642"/>
      <c r="B1516" s="642"/>
      <c r="C1516" s="642"/>
      <c r="D1516" s="355"/>
      <c r="E1516" s="356"/>
      <c r="F1516" s="642"/>
      <c r="G1516" s="339"/>
      <c r="H1516" s="339"/>
    </row>
    <row r="1517">
      <c r="A1517" s="364"/>
      <c r="B1517" s="364"/>
      <c r="C1517" s="364"/>
      <c r="D1517" s="427"/>
      <c r="E1517" s="360"/>
      <c r="F1517" s="364"/>
      <c r="G1517" s="364"/>
      <c r="H1517" s="428"/>
    </row>
    <row r="1518">
      <c r="A1518" s="364"/>
      <c r="B1518" s="364"/>
      <c r="C1518" s="364"/>
      <c r="D1518" s="427"/>
      <c r="E1518" s="360"/>
      <c r="F1518" s="364"/>
      <c r="G1518" s="364"/>
      <c r="H1518" s="428"/>
    </row>
    <row r="1519">
      <c r="A1519" s="485" t="s">
        <v>3596</v>
      </c>
      <c r="B1519" s="290"/>
      <c r="C1519" s="290"/>
      <c r="D1519" s="290"/>
      <c r="E1519" s="290"/>
      <c r="F1519" s="290"/>
      <c r="G1519" s="290"/>
      <c r="H1519" s="291"/>
    </row>
    <row r="1520">
      <c r="A1520" s="292"/>
      <c r="B1520" s="293"/>
      <c r="C1520" s="293"/>
      <c r="D1520" s="293"/>
      <c r="E1520" s="293"/>
      <c r="F1520" s="293"/>
      <c r="G1520" s="293"/>
      <c r="H1520" s="294"/>
    </row>
    <row r="1521">
      <c r="A1521" s="517" t="s">
        <v>1435</v>
      </c>
      <c r="B1521" s="517" t="s">
        <v>1436</v>
      </c>
      <c r="C1521" s="517" t="s">
        <v>1843</v>
      </c>
      <c r="D1521" s="421" t="s">
        <v>1438</v>
      </c>
      <c r="E1521" s="422" t="s">
        <v>1564</v>
      </c>
      <c r="F1521" s="517" t="s">
        <v>1440</v>
      </c>
      <c r="G1521" s="517" t="s">
        <v>1844</v>
      </c>
      <c r="H1521" s="424" t="s">
        <v>1441</v>
      </c>
    </row>
    <row r="1522">
      <c r="A1522" s="364">
        <v>1.0</v>
      </c>
      <c r="B1522" s="364" t="s">
        <v>1443</v>
      </c>
      <c r="C1522" s="364">
        <v>1.0</v>
      </c>
      <c r="D1522" s="300">
        <v>144.0</v>
      </c>
      <c r="E1522" s="360"/>
      <c r="F1522" s="364" t="s">
        <v>1518</v>
      </c>
      <c r="G1522" s="364" t="s">
        <v>1446</v>
      </c>
      <c r="H1522" s="428"/>
    </row>
    <row r="1523">
      <c r="A1523" s="364">
        <v>2.0</v>
      </c>
      <c r="B1523" s="364" t="s">
        <v>1444</v>
      </c>
      <c r="C1523" s="364">
        <v>2.0</v>
      </c>
      <c r="D1523" s="300">
        <v>3.2</v>
      </c>
      <c r="E1523" s="360"/>
      <c r="F1523" s="364" t="s">
        <v>1518</v>
      </c>
      <c r="G1523" s="364" t="s">
        <v>1446</v>
      </c>
      <c r="H1523" s="428">
        <v>44574.0</v>
      </c>
    </row>
    <row r="1524">
      <c r="A1524" s="364">
        <v>3.0</v>
      </c>
      <c r="B1524" s="364" t="s">
        <v>1853</v>
      </c>
      <c r="C1524" s="364">
        <v>1.0</v>
      </c>
      <c r="D1524" s="427">
        <v>5.0</v>
      </c>
      <c r="E1524" s="360">
        <v>1.0</v>
      </c>
      <c r="F1524" s="364" t="s">
        <v>1518</v>
      </c>
      <c r="G1524" s="364" t="s">
        <v>1446</v>
      </c>
      <c r="H1524" s="428">
        <v>44596.0</v>
      </c>
    </row>
    <row r="1525">
      <c r="A1525" s="364">
        <v>4.0</v>
      </c>
      <c r="B1525" s="306" t="s">
        <v>3597</v>
      </c>
      <c r="C1525" s="299">
        <v>1.0</v>
      </c>
      <c r="D1525" s="307">
        <v>10.8</v>
      </c>
      <c r="E1525" s="331">
        <v>1.0</v>
      </c>
      <c r="F1525" s="299" t="s">
        <v>3598</v>
      </c>
      <c r="G1525" s="364" t="s">
        <v>1446</v>
      </c>
      <c r="H1525" s="301">
        <v>44774.0</v>
      </c>
    </row>
    <row r="1526">
      <c r="A1526" s="364">
        <v>5.0</v>
      </c>
      <c r="B1526" s="306" t="s">
        <v>3597</v>
      </c>
      <c r="C1526" s="299">
        <v>1.0</v>
      </c>
      <c r="D1526" s="307">
        <v>10.8</v>
      </c>
      <c r="E1526" s="331">
        <v>1.0</v>
      </c>
      <c r="F1526" s="299" t="s">
        <v>3599</v>
      </c>
      <c r="G1526" s="364" t="s">
        <v>1446</v>
      </c>
      <c r="H1526" s="301">
        <v>44774.0</v>
      </c>
    </row>
    <row r="1527">
      <c r="A1527" s="364">
        <v>6.0</v>
      </c>
      <c r="B1527" s="306" t="s">
        <v>3597</v>
      </c>
      <c r="C1527" s="299">
        <v>1.0</v>
      </c>
      <c r="D1527" s="307">
        <v>10.8</v>
      </c>
      <c r="E1527" s="331">
        <v>1.0</v>
      </c>
      <c r="F1527" s="299" t="s">
        <v>3600</v>
      </c>
      <c r="G1527" s="364" t="s">
        <v>1446</v>
      </c>
      <c r="H1527" s="301">
        <v>44774.0</v>
      </c>
    </row>
    <row r="1528">
      <c r="A1528" s="364">
        <v>7.0</v>
      </c>
      <c r="B1528" s="306" t="s">
        <v>3597</v>
      </c>
      <c r="C1528" s="299">
        <v>1.0</v>
      </c>
      <c r="D1528" s="307">
        <v>10.8</v>
      </c>
      <c r="E1528" s="331">
        <v>1.0</v>
      </c>
      <c r="F1528" s="299" t="s">
        <v>3601</v>
      </c>
      <c r="G1528" s="364" t="s">
        <v>1446</v>
      </c>
      <c r="H1528" s="301">
        <v>44774.0</v>
      </c>
    </row>
    <row r="1529">
      <c r="A1529" s="303">
        <v>8.0</v>
      </c>
      <c r="B1529" s="303" t="s">
        <v>3602</v>
      </c>
      <c r="C1529" s="303"/>
      <c r="D1529" s="304"/>
      <c r="E1529" s="327"/>
      <c r="F1529" s="303">
        <v>7.898354479671E12</v>
      </c>
      <c r="G1529" s="303" t="s">
        <v>2611</v>
      </c>
      <c r="H1529" s="305">
        <v>44774.0</v>
      </c>
    </row>
    <row r="1530">
      <c r="A1530" s="299">
        <v>9.0</v>
      </c>
      <c r="B1530" s="299" t="s">
        <v>3603</v>
      </c>
      <c r="C1530" s="299">
        <v>1.0</v>
      </c>
      <c r="D1530" s="300">
        <v>4.0</v>
      </c>
      <c r="E1530" s="331">
        <v>1.0</v>
      </c>
      <c r="F1530" s="299" t="s">
        <v>3604</v>
      </c>
      <c r="G1530" s="364" t="s">
        <v>1446</v>
      </c>
      <c r="H1530" s="301">
        <v>44776.0</v>
      </c>
    </row>
    <row r="1531">
      <c r="A1531" s="299">
        <v>10.0</v>
      </c>
      <c r="B1531" s="299" t="s">
        <v>3605</v>
      </c>
      <c r="C1531" s="299">
        <v>1.0</v>
      </c>
      <c r="D1531" s="300">
        <v>1.2</v>
      </c>
      <c r="E1531" s="331">
        <v>1.0</v>
      </c>
      <c r="F1531" s="299" t="s">
        <v>3606</v>
      </c>
      <c r="G1531" s="364" t="s">
        <v>1446</v>
      </c>
      <c r="H1531" s="301">
        <v>44776.0</v>
      </c>
    </row>
    <row r="1532">
      <c r="A1532" s="299">
        <v>11.0</v>
      </c>
      <c r="B1532" s="643" t="s">
        <v>3607</v>
      </c>
      <c r="C1532" s="643">
        <v>1.0</v>
      </c>
      <c r="D1532" s="300">
        <v>7.8</v>
      </c>
      <c r="E1532" s="331">
        <v>1.0</v>
      </c>
      <c r="F1532" s="299">
        <v>1.4151021110043E13</v>
      </c>
      <c r="G1532" s="299" t="s">
        <v>1446</v>
      </c>
      <c r="H1532" s="301">
        <v>44830.0</v>
      </c>
    </row>
    <row r="1533">
      <c r="A1533" s="299">
        <v>12.0</v>
      </c>
      <c r="B1533" s="643" t="s">
        <v>3608</v>
      </c>
      <c r="C1533" s="643">
        <v>1.0</v>
      </c>
      <c r="D1533" s="300">
        <v>12.4</v>
      </c>
      <c r="E1533" s="331">
        <v>1.0</v>
      </c>
      <c r="F1533" s="364"/>
      <c r="G1533" s="299" t="s">
        <v>1446</v>
      </c>
      <c r="H1533" s="301">
        <v>44830.0</v>
      </c>
    </row>
    <row r="1534">
      <c r="A1534" s="299">
        <v>13.0</v>
      </c>
      <c r="B1534" s="643" t="s">
        <v>3609</v>
      </c>
      <c r="C1534" s="643">
        <v>1.0</v>
      </c>
      <c r="D1534" s="300">
        <v>6.0</v>
      </c>
      <c r="E1534" s="331">
        <v>1.0</v>
      </c>
      <c r="F1534" s="299">
        <v>2.105471409663E12</v>
      </c>
      <c r="G1534" s="299" t="s">
        <v>1446</v>
      </c>
      <c r="H1534" s="301">
        <v>44830.0</v>
      </c>
    </row>
    <row r="1535">
      <c r="A1535" s="299">
        <v>14.0</v>
      </c>
      <c r="B1535" s="299" t="s">
        <v>3610</v>
      </c>
      <c r="C1535" s="643">
        <v>1.0</v>
      </c>
      <c r="D1535" s="300">
        <v>3.0</v>
      </c>
      <c r="E1535" s="331">
        <v>1.0</v>
      </c>
      <c r="F1535" s="299" t="s">
        <v>3611</v>
      </c>
      <c r="G1535" s="299" t="s">
        <v>1446</v>
      </c>
      <c r="H1535" s="301">
        <v>44830.0</v>
      </c>
    </row>
    <row r="1536">
      <c r="A1536" s="299">
        <v>15.0</v>
      </c>
      <c r="B1536" s="308" t="s">
        <v>3612</v>
      </c>
      <c r="C1536" s="308">
        <v>1.0</v>
      </c>
      <c r="D1536" s="300">
        <v>11.2</v>
      </c>
      <c r="E1536" s="331">
        <v>1.0</v>
      </c>
      <c r="F1536" s="299" t="s">
        <v>3613</v>
      </c>
      <c r="G1536" s="364"/>
      <c r="H1536" s="361">
        <v>44878.0</v>
      </c>
    </row>
    <row r="1537">
      <c r="A1537" s="303">
        <v>16.0</v>
      </c>
      <c r="B1537" s="303" t="s">
        <v>3614</v>
      </c>
      <c r="C1537" s="303"/>
      <c r="D1537" s="304"/>
      <c r="E1537" s="327"/>
      <c r="F1537" s="303" t="s">
        <v>3615</v>
      </c>
      <c r="G1537" s="303" t="s">
        <v>3616</v>
      </c>
      <c r="H1537" s="328">
        <v>44953.0</v>
      </c>
    </row>
    <row r="1538">
      <c r="A1538" s="299">
        <v>17.0</v>
      </c>
      <c r="B1538" s="306" t="s">
        <v>3617</v>
      </c>
      <c r="C1538" s="306">
        <v>1.0</v>
      </c>
      <c r="D1538" s="307">
        <v>11.3</v>
      </c>
      <c r="E1538" s="331">
        <v>1.0</v>
      </c>
      <c r="F1538" s="299" t="s">
        <v>3618</v>
      </c>
      <c r="G1538" s="299" t="s">
        <v>1554</v>
      </c>
      <c r="H1538" s="454">
        <v>44981.0</v>
      </c>
    </row>
    <row r="1539">
      <c r="A1539" s="303">
        <v>18.0</v>
      </c>
      <c r="B1539" s="303" t="s">
        <v>3619</v>
      </c>
      <c r="C1539" s="303"/>
      <c r="D1539" s="304"/>
      <c r="E1539" s="327"/>
      <c r="F1539" s="303" t="s">
        <v>3620</v>
      </c>
      <c r="G1539" s="303" t="s">
        <v>3616</v>
      </c>
      <c r="H1539" s="305"/>
    </row>
    <row r="1540">
      <c r="A1540" s="299">
        <v>19.0</v>
      </c>
      <c r="B1540" s="308" t="s">
        <v>3621</v>
      </c>
      <c r="C1540" s="308">
        <v>1.0</v>
      </c>
      <c r="D1540" s="314">
        <v>1.0</v>
      </c>
      <c r="E1540" s="365">
        <v>1.0</v>
      </c>
      <c r="F1540" s="308" t="s">
        <v>3622</v>
      </c>
      <c r="G1540" s="299" t="s">
        <v>1554</v>
      </c>
      <c r="H1540" s="315">
        <v>45325.0</v>
      </c>
    </row>
    <row r="1541">
      <c r="A1541" s="299">
        <v>20.0</v>
      </c>
      <c r="B1541" s="299" t="s">
        <v>3623</v>
      </c>
      <c r="C1541" s="299">
        <v>1.0</v>
      </c>
      <c r="D1541" s="300">
        <v>11.0</v>
      </c>
      <c r="E1541" s="331">
        <v>1.0</v>
      </c>
      <c r="F1541" s="299" t="s">
        <v>3624</v>
      </c>
      <c r="G1541" s="299" t="s">
        <v>1554</v>
      </c>
      <c r="H1541" s="301">
        <v>45325.0</v>
      </c>
    </row>
    <row r="1542">
      <c r="A1542" s="299">
        <v>21.0</v>
      </c>
      <c r="B1542" s="644" t="s">
        <v>3625</v>
      </c>
      <c r="C1542" s="299">
        <v>1.0</v>
      </c>
      <c r="D1542" s="300">
        <v>21.4</v>
      </c>
      <c r="E1542" s="331">
        <v>1.0</v>
      </c>
      <c r="F1542" s="644" t="s">
        <v>3626</v>
      </c>
      <c r="G1542" s="299" t="s">
        <v>1554</v>
      </c>
      <c r="H1542" s="301">
        <v>45440.0</v>
      </c>
    </row>
    <row r="1543">
      <c r="A1543" s="299">
        <v>22.0</v>
      </c>
      <c r="B1543" s="644" t="s">
        <v>3627</v>
      </c>
      <c r="C1543" s="299">
        <v>1.0</v>
      </c>
      <c r="D1543" s="300">
        <v>10.6</v>
      </c>
      <c r="E1543" s="331">
        <v>1.0</v>
      </c>
      <c r="F1543" s="644" t="s">
        <v>3628</v>
      </c>
      <c r="G1543" s="299" t="s">
        <v>1554</v>
      </c>
      <c r="H1543" s="301">
        <v>45494.0</v>
      </c>
    </row>
    <row r="1544">
      <c r="A1544" s="299">
        <v>23.0</v>
      </c>
      <c r="B1544" s="644" t="s">
        <v>2091</v>
      </c>
      <c r="C1544" s="299">
        <v>1.0</v>
      </c>
      <c r="D1544" s="300">
        <v>10.7</v>
      </c>
      <c r="E1544" s="331">
        <v>1.0</v>
      </c>
      <c r="F1544" s="644" t="s">
        <v>1518</v>
      </c>
      <c r="G1544" s="299" t="s">
        <v>1554</v>
      </c>
      <c r="H1544" s="301">
        <v>45494.0</v>
      </c>
    </row>
    <row r="1545">
      <c r="A1545" s="299">
        <v>24.0</v>
      </c>
      <c r="B1545" s="390" t="s">
        <v>3629</v>
      </c>
      <c r="C1545" s="308">
        <v>1.0</v>
      </c>
      <c r="D1545" s="314">
        <v>6.65</v>
      </c>
      <c r="E1545" s="365">
        <v>1.0</v>
      </c>
      <c r="F1545" s="645" t="s">
        <v>3630</v>
      </c>
      <c r="G1545" s="308" t="s">
        <v>1554</v>
      </c>
      <c r="H1545" s="315">
        <v>45617.0</v>
      </c>
    </row>
    <row r="1546">
      <c r="A1546" s="299">
        <v>25.0</v>
      </c>
      <c r="B1546" s="390" t="s">
        <v>3631</v>
      </c>
      <c r="C1546" s="308">
        <v>1.0</v>
      </c>
      <c r="D1546" s="314">
        <v>1.63</v>
      </c>
      <c r="E1546" s="365">
        <v>1.0</v>
      </c>
      <c r="F1546" s="645" t="s">
        <v>3632</v>
      </c>
      <c r="G1546" s="308" t="s">
        <v>1554</v>
      </c>
      <c r="H1546" s="315">
        <v>45617.0</v>
      </c>
    </row>
    <row r="1547">
      <c r="A1547" s="299">
        <v>26.0</v>
      </c>
      <c r="B1547" s="646" t="s">
        <v>1502</v>
      </c>
      <c r="C1547" s="308">
        <v>1.0</v>
      </c>
      <c r="D1547" s="391">
        <v>2.5</v>
      </c>
      <c r="E1547" s="647">
        <v>1.0</v>
      </c>
      <c r="F1547" s="646" t="s">
        <v>3633</v>
      </c>
      <c r="G1547" s="308" t="s">
        <v>1554</v>
      </c>
      <c r="H1547" s="393">
        <v>45731.0</v>
      </c>
    </row>
    <row r="1548">
      <c r="A1548" s="299">
        <v>27.0</v>
      </c>
      <c r="B1548" s="646" t="s">
        <v>3634</v>
      </c>
      <c r="C1548" s="308">
        <v>1.0</v>
      </c>
      <c r="D1548" s="391">
        <v>2.8</v>
      </c>
      <c r="E1548" s="647">
        <v>1.0</v>
      </c>
      <c r="F1548" s="646" t="s">
        <v>3635</v>
      </c>
      <c r="G1548" s="308" t="s">
        <v>1554</v>
      </c>
      <c r="H1548" s="393">
        <v>45731.0</v>
      </c>
    </row>
    <row r="1549">
      <c r="A1549" s="303">
        <v>28.0</v>
      </c>
      <c r="B1549" s="648" t="s">
        <v>3636</v>
      </c>
      <c r="C1549" s="303"/>
      <c r="D1549" s="382"/>
      <c r="E1549" s="383"/>
      <c r="F1549" s="648" t="s">
        <v>3637</v>
      </c>
      <c r="G1549" s="303" t="s">
        <v>300</v>
      </c>
      <c r="H1549" s="376">
        <v>45731.0</v>
      </c>
    </row>
    <row r="1550">
      <c r="A1550" s="299">
        <v>29.0</v>
      </c>
      <c r="B1550" s="646" t="s">
        <v>3638</v>
      </c>
      <c r="C1550" s="308">
        <v>1.0</v>
      </c>
      <c r="D1550" s="391">
        <v>6.5</v>
      </c>
      <c r="E1550" s="647">
        <v>1.0</v>
      </c>
      <c r="F1550" s="646" t="s">
        <v>3639</v>
      </c>
      <c r="G1550" s="308" t="s">
        <v>1554</v>
      </c>
      <c r="H1550" s="393">
        <v>45731.0</v>
      </c>
    </row>
    <row r="1551">
      <c r="A1551" s="299">
        <v>30.0</v>
      </c>
      <c r="B1551" s="646" t="s">
        <v>3640</v>
      </c>
      <c r="C1551" s="308">
        <v>1.0</v>
      </c>
      <c r="D1551" s="391">
        <v>21.4</v>
      </c>
      <c r="E1551" s="647">
        <v>2.0</v>
      </c>
      <c r="F1551" s="646" t="s">
        <v>3641</v>
      </c>
      <c r="G1551" s="308" t="s">
        <v>1554</v>
      </c>
      <c r="H1551" s="393">
        <v>45731.0</v>
      </c>
    </row>
    <row r="1552">
      <c r="A1552" s="299">
        <v>31.0</v>
      </c>
      <c r="B1552" s="299" t="s">
        <v>3642</v>
      </c>
      <c r="C1552" s="299">
        <v>1.0</v>
      </c>
      <c r="D1552" s="300">
        <v>20.7</v>
      </c>
      <c r="E1552" s="331">
        <v>1.0</v>
      </c>
      <c r="F1552" s="299" t="s">
        <v>3643</v>
      </c>
      <c r="G1552" s="308" t="s">
        <v>1554</v>
      </c>
      <c r="H1552" s="301">
        <v>45875.0</v>
      </c>
    </row>
    <row r="1553">
      <c r="A1553" s="299">
        <v>32.0</v>
      </c>
      <c r="B1553" s="299" t="s">
        <v>3644</v>
      </c>
      <c r="C1553" s="299">
        <v>1.0</v>
      </c>
      <c r="D1553" s="300">
        <v>17.9</v>
      </c>
      <c r="E1553" s="331" t="s">
        <v>2111</v>
      </c>
      <c r="F1553" s="364"/>
      <c r="G1553" s="308"/>
      <c r="H1553" s="301">
        <v>46011.0</v>
      </c>
    </row>
    <row r="1554">
      <c r="A1554" s="299">
        <v>33.0</v>
      </c>
      <c r="B1554" s="345" t="s">
        <v>3645</v>
      </c>
      <c r="C1554" s="345">
        <v>1.0</v>
      </c>
      <c r="D1554" s="300">
        <v>17.4</v>
      </c>
      <c r="E1554" s="331" t="s">
        <v>2111</v>
      </c>
      <c r="F1554" s="299" t="s">
        <v>3646</v>
      </c>
      <c r="G1554" s="308" t="s">
        <v>1554</v>
      </c>
      <c r="H1554" s="301">
        <v>46056.0</v>
      </c>
    </row>
    <row r="1555">
      <c r="A1555" s="299">
        <v>34.0</v>
      </c>
      <c r="B1555" s="345" t="s">
        <v>3647</v>
      </c>
      <c r="C1555" s="345">
        <v>1.0</v>
      </c>
      <c r="D1555" s="300">
        <v>9.1</v>
      </c>
      <c r="E1555" s="331" t="s">
        <v>2111</v>
      </c>
      <c r="F1555" s="299" t="s">
        <v>3648</v>
      </c>
      <c r="G1555" s="308" t="s">
        <v>1554</v>
      </c>
      <c r="H1555" s="301">
        <v>46056.0</v>
      </c>
    </row>
    <row r="1556">
      <c r="A1556" s="299">
        <v>35.0</v>
      </c>
      <c r="B1556" s="345" t="s">
        <v>3636</v>
      </c>
      <c r="C1556" s="345">
        <v>1.0</v>
      </c>
      <c r="D1556" s="300">
        <v>17.69</v>
      </c>
      <c r="E1556" s="331">
        <v>1.0</v>
      </c>
      <c r="F1556" s="299" t="s">
        <v>3649</v>
      </c>
      <c r="G1556" s="308"/>
      <c r="H1556" s="301"/>
    </row>
    <row r="1557">
      <c r="A1557" s="505" t="s">
        <v>1562</v>
      </c>
      <c r="B1557" s="3"/>
      <c r="C1557" s="364">
        <f t="shared" ref="C1557:E1557" si="31">sum(C1522:C1553)</f>
        <v>29</v>
      </c>
      <c r="D1557" s="427">
        <f t="shared" si="31"/>
        <v>387.08</v>
      </c>
      <c r="E1557" s="360">
        <f t="shared" si="31"/>
        <v>26</v>
      </c>
      <c r="F1557" s="364"/>
      <c r="G1557" s="308"/>
      <c r="H1557" s="428"/>
    </row>
    <row r="1558">
      <c r="A1558" s="364"/>
      <c r="B1558" s="364"/>
      <c r="C1558" s="364"/>
      <c r="D1558" s="427"/>
      <c r="E1558" s="360"/>
      <c r="F1558" s="364"/>
      <c r="G1558" s="364"/>
      <c r="H1558" s="428"/>
    </row>
  </sheetData>
  <mergeCells count="108">
    <mergeCell ref="A558:H559"/>
    <mergeCell ref="A571:H572"/>
    <mergeCell ref="A598:B598"/>
    <mergeCell ref="A601:H602"/>
    <mergeCell ref="A614:H615"/>
    <mergeCell ref="A623:B623"/>
    <mergeCell ref="A626:H627"/>
    <mergeCell ref="A635:B635"/>
    <mergeCell ref="A637:B637"/>
    <mergeCell ref="A639:H639"/>
    <mergeCell ref="A673:B673"/>
    <mergeCell ref="A676:H677"/>
    <mergeCell ref="A685:H685"/>
    <mergeCell ref="A706:H707"/>
    <mergeCell ref="A723:H724"/>
    <mergeCell ref="A742:H743"/>
    <mergeCell ref="A760:H761"/>
    <mergeCell ref="A794:H795"/>
    <mergeCell ref="A822:H823"/>
    <mergeCell ref="A863:H864"/>
    <mergeCell ref="A891:H892"/>
    <mergeCell ref="A703:B703"/>
    <mergeCell ref="A720:B720"/>
    <mergeCell ref="A740:B740"/>
    <mergeCell ref="A759:B759"/>
    <mergeCell ref="A791:B791"/>
    <mergeCell ref="A819:B819"/>
    <mergeCell ref="A860:B860"/>
    <mergeCell ref="A888:B888"/>
    <mergeCell ref="A916:B916"/>
    <mergeCell ref="A919:H920"/>
    <mergeCell ref="A946:H947"/>
    <mergeCell ref="A943:B943"/>
    <mergeCell ref="B960:B965"/>
    <mergeCell ref="A990:B990"/>
    <mergeCell ref="A993:H994"/>
    <mergeCell ref="A1035:B1035"/>
    <mergeCell ref="A1038:H1039"/>
    <mergeCell ref="A1095:H1096"/>
    <mergeCell ref="A1092:B1092"/>
    <mergeCell ref="A1103:B1103"/>
    <mergeCell ref="A1114:B1114"/>
    <mergeCell ref="A1144:B1144"/>
    <mergeCell ref="A1159:B1159"/>
    <mergeCell ref="A1198:B1198"/>
    <mergeCell ref="A1215:B1215"/>
    <mergeCell ref="A1106:H1107"/>
    <mergeCell ref="A1116:H1117"/>
    <mergeCell ref="A1145:H1146"/>
    <mergeCell ref="A1167:H1168"/>
    <mergeCell ref="A1201:H1202"/>
    <mergeCell ref="A1218:H1219"/>
    <mergeCell ref="A1274:H1275"/>
    <mergeCell ref="A1271:B1271"/>
    <mergeCell ref="A1289:B1289"/>
    <mergeCell ref="A1308:B1308"/>
    <mergeCell ref="A1328:B1328"/>
    <mergeCell ref="A1385:B1385"/>
    <mergeCell ref="A1406:B1406"/>
    <mergeCell ref="A1467:B1467"/>
    <mergeCell ref="A1292:H1293"/>
    <mergeCell ref="A1311:H1312"/>
    <mergeCell ref="A1331:H1332"/>
    <mergeCell ref="A1388:H1389"/>
    <mergeCell ref="A1409:H1410"/>
    <mergeCell ref="A1470:H1471"/>
    <mergeCell ref="A1491:H1492"/>
    <mergeCell ref="A1:H1"/>
    <mergeCell ref="A19:H19"/>
    <mergeCell ref="A20:B20"/>
    <mergeCell ref="F20:H20"/>
    <mergeCell ref="A22:H22"/>
    <mergeCell ref="F40:H40"/>
    <mergeCell ref="A43:H43"/>
    <mergeCell ref="A40:B40"/>
    <mergeCell ref="A76:B76"/>
    <mergeCell ref="A79:H79"/>
    <mergeCell ref="A101:B101"/>
    <mergeCell ref="A104:H104"/>
    <mergeCell ref="A130:B130"/>
    <mergeCell ref="A132:H132"/>
    <mergeCell ref="A155:H155"/>
    <mergeCell ref="A215:H215"/>
    <mergeCell ref="A271:B271"/>
    <mergeCell ref="A274:H274"/>
    <mergeCell ref="A305:B305"/>
    <mergeCell ref="A309:H309"/>
    <mergeCell ref="A329:H329"/>
    <mergeCell ref="A326:B326"/>
    <mergeCell ref="A363:B363"/>
    <mergeCell ref="A366:H366"/>
    <mergeCell ref="A425:B425"/>
    <mergeCell ref="A428:H428"/>
    <mergeCell ref="A456:B456"/>
    <mergeCell ref="A459:H459"/>
    <mergeCell ref="A476:B476"/>
    <mergeCell ref="A479:H479"/>
    <mergeCell ref="A498:B498"/>
    <mergeCell ref="A501:H501"/>
    <mergeCell ref="A531:B531"/>
    <mergeCell ref="A533:H534"/>
    <mergeCell ref="A555:B555"/>
    <mergeCell ref="A1488:B1488"/>
    <mergeCell ref="A1503:B1503"/>
    <mergeCell ref="A1515:B1515"/>
    <mergeCell ref="A1557:B1557"/>
    <mergeCell ref="A1505:H1506"/>
    <mergeCell ref="A1519:H1520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52.29"/>
    <col customWidth="1" min="3" max="3" width="9.0"/>
    <col customWidth="1" min="5" max="5" width="12.29"/>
    <col customWidth="1" min="6" max="6" width="43.43"/>
    <col customWidth="1" min="7" max="7" width="58.71"/>
    <col customWidth="1" min="8" max="8" width="45.0"/>
  </cols>
  <sheetData>
    <row r="1">
      <c r="A1" s="649" t="s">
        <v>3650</v>
      </c>
      <c r="B1" s="2"/>
      <c r="C1" s="2"/>
      <c r="D1" s="2"/>
      <c r="E1" s="2"/>
      <c r="F1" s="2"/>
      <c r="G1" s="2"/>
      <c r="H1" s="3"/>
    </row>
    <row r="2">
      <c r="A2" s="650" t="s">
        <v>1435</v>
      </c>
      <c r="B2" s="651" t="s">
        <v>1436</v>
      </c>
      <c r="C2" s="650" t="s">
        <v>1843</v>
      </c>
      <c r="D2" s="652" t="s">
        <v>1438</v>
      </c>
      <c r="E2" s="653" t="s">
        <v>1564</v>
      </c>
      <c r="F2" s="650" t="s">
        <v>1440</v>
      </c>
      <c r="G2" s="650" t="s">
        <v>1565</v>
      </c>
      <c r="H2" s="654" t="s">
        <v>1441</v>
      </c>
    </row>
    <row r="3">
      <c r="A3" s="655">
        <v>1.0</v>
      </c>
      <c r="B3" s="655" t="s">
        <v>1443</v>
      </c>
      <c r="C3" s="655">
        <v>1.0</v>
      </c>
      <c r="D3" s="656">
        <v>150.0</v>
      </c>
      <c r="E3" s="657"/>
      <c r="F3" s="655" t="s">
        <v>1518</v>
      </c>
      <c r="G3" s="658" t="s">
        <v>1554</v>
      </c>
      <c r="H3" s="659">
        <v>45141.0</v>
      </c>
    </row>
    <row r="4">
      <c r="A4" s="655">
        <v>2.0</v>
      </c>
      <c r="B4" s="655" t="s">
        <v>1444</v>
      </c>
      <c r="C4" s="655">
        <v>2.0</v>
      </c>
      <c r="D4" s="656">
        <f>C4*3.2</f>
        <v>6.4</v>
      </c>
      <c r="E4" s="660"/>
      <c r="F4" s="655"/>
      <c r="G4" s="658" t="s">
        <v>1554</v>
      </c>
      <c r="H4" s="659">
        <v>45141.0</v>
      </c>
    </row>
    <row r="5">
      <c r="A5" s="655">
        <v>3.0</v>
      </c>
      <c r="B5" s="655" t="s">
        <v>3651</v>
      </c>
      <c r="C5" s="655">
        <v>1.0</v>
      </c>
      <c r="D5" s="656">
        <v>5.0</v>
      </c>
      <c r="E5" s="657">
        <v>1.0</v>
      </c>
      <c r="F5" s="655"/>
      <c r="G5" s="658" t="s">
        <v>1554</v>
      </c>
      <c r="H5" s="659">
        <v>45141.0</v>
      </c>
    </row>
    <row r="6">
      <c r="A6" s="655">
        <v>4.0</v>
      </c>
      <c r="B6" s="655" t="s">
        <v>3652</v>
      </c>
      <c r="C6" s="655">
        <v>1.0</v>
      </c>
      <c r="D6" s="656">
        <v>17.2</v>
      </c>
      <c r="E6" s="657">
        <v>1.0</v>
      </c>
      <c r="F6" s="655" t="s">
        <v>3653</v>
      </c>
      <c r="G6" s="655" t="s">
        <v>1554</v>
      </c>
      <c r="H6" s="661">
        <v>45646.0</v>
      </c>
    </row>
    <row r="7">
      <c r="A7" s="655">
        <v>5.0</v>
      </c>
      <c r="B7" s="655" t="s">
        <v>3654</v>
      </c>
      <c r="C7" s="655">
        <v>1.0</v>
      </c>
      <c r="D7" s="656">
        <v>12.1</v>
      </c>
      <c r="E7" s="657">
        <v>1.0</v>
      </c>
      <c r="F7" s="655" t="s">
        <v>3655</v>
      </c>
      <c r="G7" s="655" t="s">
        <v>1554</v>
      </c>
      <c r="H7" s="661">
        <v>45646.0</v>
      </c>
    </row>
    <row r="8">
      <c r="A8" s="655">
        <v>6.0</v>
      </c>
      <c r="B8" s="655" t="s">
        <v>3656</v>
      </c>
      <c r="C8" s="655">
        <v>1.0</v>
      </c>
      <c r="D8" s="656">
        <v>8.0</v>
      </c>
      <c r="E8" s="657">
        <v>1.0</v>
      </c>
      <c r="F8" s="658" t="s">
        <v>3657</v>
      </c>
      <c r="G8" s="655" t="s">
        <v>1554</v>
      </c>
      <c r="H8" s="661">
        <v>45676.0</v>
      </c>
    </row>
    <row r="9">
      <c r="A9" s="662">
        <v>7.0</v>
      </c>
      <c r="B9" s="663" t="s">
        <v>2773</v>
      </c>
      <c r="C9" s="663"/>
      <c r="D9" s="664"/>
      <c r="E9" s="665"/>
      <c r="F9" s="663" t="s">
        <v>3411</v>
      </c>
      <c r="G9" s="662" t="s">
        <v>3658</v>
      </c>
      <c r="H9" s="666">
        <v>45708.0</v>
      </c>
    </row>
    <row r="10">
      <c r="A10" s="655">
        <v>8.0</v>
      </c>
      <c r="B10" s="667" t="s">
        <v>3659</v>
      </c>
      <c r="C10" s="668">
        <v>1.0</v>
      </c>
      <c r="D10" s="656">
        <v>17.4</v>
      </c>
      <c r="E10" s="669">
        <v>1.0</v>
      </c>
      <c r="F10" s="667">
        <v>7317052.0</v>
      </c>
      <c r="G10" s="668" t="s">
        <v>1446</v>
      </c>
      <c r="H10" s="670">
        <v>45708.0</v>
      </c>
    </row>
    <row r="11">
      <c r="A11" s="655">
        <v>9.0</v>
      </c>
      <c r="B11" s="667" t="s">
        <v>3659</v>
      </c>
      <c r="C11" s="668">
        <v>1.0</v>
      </c>
      <c r="D11" s="656">
        <v>17.4</v>
      </c>
      <c r="E11" s="669">
        <v>1.0</v>
      </c>
      <c r="F11" s="667" t="s">
        <v>3660</v>
      </c>
      <c r="G11" s="668" t="s">
        <v>1446</v>
      </c>
      <c r="H11" s="670">
        <v>45708.0</v>
      </c>
    </row>
    <row r="12">
      <c r="A12" s="671">
        <v>10.0</v>
      </c>
      <c r="B12" s="667" t="s">
        <v>3659</v>
      </c>
      <c r="C12" s="655">
        <v>1.0</v>
      </c>
      <c r="D12" s="656">
        <v>17.4</v>
      </c>
      <c r="E12" s="657">
        <v>1.0</v>
      </c>
      <c r="F12" s="655" t="s">
        <v>3661</v>
      </c>
      <c r="G12" s="668" t="s">
        <v>1446</v>
      </c>
      <c r="H12" s="670">
        <v>45708.0</v>
      </c>
    </row>
    <row r="13">
      <c r="A13" s="672">
        <v>11.0</v>
      </c>
      <c r="B13" s="663" t="s">
        <v>3659</v>
      </c>
      <c r="C13" s="662"/>
      <c r="D13" s="673"/>
      <c r="E13" s="665"/>
      <c r="F13" s="662" t="s">
        <v>3428</v>
      </c>
      <c r="G13" s="663" t="s">
        <v>1446</v>
      </c>
      <c r="H13" s="674">
        <v>45719.0</v>
      </c>
    </row>
    <row r="14">
      <c r="A14" s="672">
        <v>12.0</v>
      </c>
      <c r="B14" s="663" t="s">
        <v>3659</v>
      </c>
      <c r="C14" s="662"/>
      <c r="D14" s="673"/>
      <c r="E14" s="665"/>
      <c r="F14" s="662" t="s">
        <v>3662</v>
      </c>
      <c r="G14" s="663" t="s">
        <v>1446</v>
      </c>
      <c r="H14" s="674">
        <v>45719.0</v>
      </c>
    </row>
    <row r="15">
      <c r="A15" s="675">
        <v>13.0</v>
      </c>
      <c r="B15" s="668" t="s">
        <v>3659</v>
      </c>
      <c r="C15" s="658">
        <v>1.0</v>
      </c>
      <c r="D15" s="656">
        <v>17.4</v>
      </c>
      <c r="E15" s="676">
        <v>1.0</v>
      </c>
      <c r="F15" s="658" t="s">
        <v>3663</v>
      </c>
      <c r="G15" s="668" t="s">
        <v>1446</v>
      </c>
      <c r="H15" s="677">
        <v>45719.0</v>
      </c>
    </row>
    <row r="16">
      <c r="A16" s="658">
        <v>14.0</v>
      </c>
      <c r="B16" s="658" t="s">
        <v>2513</v>
      </c>
      <c r="C16" s="658">
        <v>1.0</v>
      </c>
      <c r="D16" s="678">
        <v>22.0</v>
      </c>
      <c r="E16" s="676">
        <v>1.0</v>
      </c>
      <c r="F16" s="658" t="s">
        <v>3664</v>
      </c>
      <c r="G16" s="668" t="s">
        <v>1446</v>
      </c>
      <c r="H16" s="679">
        <v>45743.0</v>
      </c>
    </row>
    <row r="17">
      <c r="A17" s="658">
        <v>15.0</v>
      </c>
      <c r="B17" s="658" t="s">
        <v>3665</v>
      </c>
      <c r="C17" s="658">
        <v>1.0</v>
      </c>
      <c r="D17" s="678">
        <v>5.4</v>
      </c>
      <c r="E17" s="676">
        <v>1.0</v>
      </c>
      <c r="F17" s="658">
        <v>2.10126037063E11</v>
      </c>
      <c r="G17" s="668" t="s">
        <v>1446</v>
      </c>
      <c r="H17" s="679">
        <v>45743.0</v>
      </c>
    </row>
    <row r="18">
      <c r="A18" s="662">
        <v>16.0</v>
      </c>
      <c r="B18" s="680" t="s">
        <v>3666</v>
      </c>
      <c r="C18" s="662">
        <v>1.0</v>
      </c>
      <c r="D18" s="673">
        <v>4.2</v>
      </c>
      <c r="E18" s="665">
        <v>1.0</v>
      </c>
      <c r="F18" s="680" t="s">
        <v>3667</v>
      </c>
      <c r="G18" s="662" t="s">
        <v>3668</v>
      </c>
      <c r="H18" s="681">
        <v>45783.0</v>
      </c>
    </row>
    <row r="19">
      <c r="A19" s="682">
        <v>17.0</v>
      </c>
      <c r="B19" s="683" t="s">
        <v>3669</v>
      </c>
      <c r="C19" s="682">
        <v>1.0</v>
      </c>
      <c r="D19" s="684">
        <v>10.0</v>
      </c>
      <c r="E19" s="685">
        <v>1.0</v>
      </c>
      <c r="F19" s="36" t="s">
        <v>3670</v>
      </c>
      <c r="G19" s="658" t="s">
        <v>1446</v>
      </c>
      <c r="H19" s="686">
        <v>46000.0</v>
      </c>
    </row>
    <row r="20">
      <c r="A20" s="682">
        <v>18.0</v>
      </c>
      <c r="B20" s="683" t="s">
        <v>3666</v>
      </c>
      <c r="C20" s="682">
        <v>1.0</v>
      </c>
      <c r="D20" s="684">
        <v>4.2</v>
      </c>
      <c r="E20" s="685">
        <v>1.0</v>
      </c>
      <c r="F20" s="36" t="s">
        <v>3671</v>
      </c>
      <c r="G20" s="658" t="s">
        <v>1446</v>
      </c>
      <c r="H20" s="686">
        <v>46043.0</v>
      </c>
    </row>
    <row r="21">
      <c r="A21" s="687" t="s">
        <v>1562</v>
      </c>
      <c r="B21" s="291"/>
      <c r="C21" s="682">
        <f t="shared" ref="C21:D21" si="1">sum(C3:C20)</f>
        <v>16</v>
      </c>
      <c r="D21" s="684">
        <f t="shared" si="1"/>
        <v>314.1</v>
      </c>
      <c r="E21" s="685">
        <f>SUM(E3:E19)</f>
        <v>12</v>
      </c>
      <c r="F21" s="682"/>
      <c r="G21" s="688"/>
      <c r="H21" s="688"/>
    </row>
    <row r="22">
      <c r="A22" s="689"/>
      <c r="B22" s="689"/>
      <c r="C22" s="689"/>
      <c r="D22" s="689"/>
      <c r="E22" s="689"/>
      <c r="F22" s="689"/>
      <c r="G22" s="689"/>
      <c r="H22" s="689"/>
    </row>
    <row r="23">
      <c r="A23" s="690"/>
      <c r="B23" s="690"/>
      <c r="C23" s="690"/>
      <c r="D23" s="690"/>
      <c r="E23" s="690"/>
      <c r="F23" s="691" t="s">
        <v>3672</v>
      </c>
      <c r="G23" s="690"/>
      <c r="H23" s="690"/>
    </row>
    <row r="24">
      <c r="A24" s="691" t="s">
        <v>1435</v>
      </c>
      <c r="B24" s="692" t="s">
        <v>1436</v>
      </c>
      <c r="C24" s="691" t="s">
        <v>1843</v>
      </c>
      <c r="D24" s="693" t="s">
        <v>1438</v>
      </c>
      <c r="E24" s="694" t="s">
        <v>1564</v>
      </c>
      <c r="F24" s="691" t="s">
        <v>1440</v>
      </c>
      <c r="G24" s="691" t="s">
        <v>1565</v>
      </c>
      <c r="H24" s="695" t="s">
        <v>1441</v>
      </c>
    </row>
    <row r="25">
      <c r="A25" s="658">
        <v>1.0</v>
      </c>
      <c r="B25" s="658" t="s">
        <v>3673</v>
      </c>
      <c r="C25" s="658">
        <v>1.0</v>
      </c>
      <c r="D25" s="678">
        <v>5.0</v>
      </c>
      <c r="E25" s="676">
        <v>1.0</v>
      </c>
      <c r="F25" s="658" t="s">
        <v>1518</v>
      </c>
      <c r="G25" s="658" t="s">
        <v>1554</v>
      </c>
      <c r="H25" s="679">
        <v>45141.0</v>
      </c>
    </row>
    <row r="26">
      <c r="A26" s="658">
        <v>2.0</v>
      </c>
      <c r="B26" s="658" t="s">
        <v>1443</v>
      </c>
      <c r="C26" s="658">
        <v>1.0</v>
      </c>
      <c r="D26" s="678">
        <v>150.0</v>
      </c>
      <c r="E26" s="669"/>
      <c r="F26" s="658"/>
      <c r="G26" s="658" t="s">
        <v>1554</v>
      </c>
      <c r="H26" s="659">
        <v>45141.0</v>
      </c>
    </row>
    <row r="27">
      <c r="A27" s="658">
        <v>3.0</v>
      </c>
      <c r="B27" s="658" t="s">
        <v>1444</v>
      </c>
      <c r="C27" s="658">
        <v>2.0</v>
      </c>
      <c r="D27" s="678">
        <v>3.2</v>
      </c>
      <c r="E27" s="676"/>
      <c r="F27" s="658"/>
      <c r="G27" s="658" t="s">
        <v>1554</v>
      </c>
      <c r="H27" s="659">
        <v>45141.0</v>
      </c>
    </row>
    <row r="28">
      <c r="A28" s="658">
        <v>4.0</v>
      </c>
      <c r="B28" s="658" t="s">
        <v>3674</v>
      </c>
      <c r="C28" s="658">
        <v>1.0</v>
      </c>
      <c r="D28" s="678">
        <v>13.1</v>
      </c>
      <c r="E28" s="676">
        <v>1.0</v>
      </c>
      <c r="F28" s="658" t="s">
        <v>3675</v>
      </c>
      <c r="G28" s="658" t="s">
        <v>1554</v>
      </c>
      <c r="H28" s="696">
        <v>45261.0</v>
      </c>
    </row>
    <row r="29">
      <c r="A29" s="658">
        <v>5.0</v>
      </c>
      <c r="B29" s="658" t="s">
        <v>3676</v>
      </c>
      <c r="C29" s="658">
        <v>1.0</v>
      </c>
      <c r="D29" s="678">
        <v>13.1</v>
      </c>
      <c r="E29" s="676">
        <v>1.0</v>
      </c>
      <c r="F29" s="658" t="s">
        <v>3677</v>
      </c>
      <c r="G29" s="658" t="s">
        <v>1554</v>
      </c>
      <c r="H29" s="696">
        <v>45261.0</v>
      </c>
    </row>
    <row r="30">
      <c r="A30" s="658">
        <v>6.0</v>
      </c>
      <c r="B30" s="658" t="s">
        <v>3676</v>
      </c>
      <c r="C30" s="658">
        <v>1.0</v>
      </c>
      <c r="D30" s="678">
        <v>13.1</v>
      </c>
      <c r="E30" s="676">
        <v>1.0</v>
      </c>
      <c r="F30" s="658" t="s">
        <v>3678</v>
      </c>
      <c r="G30" s="658" t="s">
        <v>1554</v>
      </c>
      <c r="H30" s="696">
        <v>45261.0</v>
      </c>
    </row>
    <row r="31">
      <c r="A31" s="658">
        <v>7.0</v>
      </c>
      <c r="B31" s="658" t="s">
        <v>3679</v>
      </c>
      <c r="C31" s="658">
        <v>1.0</v>
      </c>
      <c r="D31" s="678">
        <v>11.1</v>
      </c>
      <c r="E31" s="676">
        <v>1.0</v>
      </c>
      <c r="F31" s="658" t="s">
        <v>3680</v>
      </c>
      <c r="G31" s="658" t="s">
        <v>1554</v>
      </c>
      <c r="H31" s="696">
        <v>45261.0</v>
      </c>
    </row>
    <row r="32">
      <c r="A32" s="658">
        <v>8.0</v>
      </c>
      <c r="B32" s="658" t="s">
        <v>3679</v>
      </c>
      <c r="C32" s="658">
        <v>1.0</v>
      </c>
      <c r="D32" s="678">
        <v>11.1</v>
      </c>
      <c r="E32" s="676">
        <v>1.0</v>
      </c>
      <c r="F32" s="658" t="s">
        <v>3681</v>
      </c>
      <c r="G32" s="658" t="s">
        <v>1554</v>
      </c>
      <c r="H32" s="696">
        <v>45261.0</v>
      </c>
    </row>
    <row r="33">
      <c r="A33" s="658">
        <v>9.0</v>
      </c>
      <c r="B33" s="658" t="s">
        <v>3682</v>
      </c>
      <c r="C33" s="658">
        <v>1.0</v>
      </c>
      <c r="D33" s="678">
        <v>20.0</v>
      </c>
      <c r="E33" s="676">
        <v>1.0</v>
      </c>
      <c r="F33" s="658" t="s">
        <v>3683</v>
      </c>
      <c r="G33" s="658" t="s">
        <v>1554</v>
      </c>
      <c r="H33" s="696">
        <v>45261.0</v>
      </c>
    </row>
    <row r="34">
      <c r="A34" s="658">
        <v>10.0</v>
      </c>
      <c r="B34" s="658" t="s">
        <v>3682</v>
      </c>
      <c r="C34" s="658">
        <v>1.0</v>
      </c>
      <c r="D34" s="678">
        <v>20.0</v>
      </c>
      <c r="E34" s="676">
        <v>1.0</v>
      </c>
      <c r="F34" s="658" t="s">
        <v>3684</v>
      </c>
      <c r="G34" s="658" t="s">
        <v>1554</v>
      </c>
      <c r="H34" s="696">
        <v>45261.0</v>
      </c>
    </row>
    <row r="35">
      <c r="A35" s="658">
        <v>11.0</v>
      </c>
      <c r="B35" s="658" t="s">
        <v>3682</v>
      </c>
      <c r="C35" s="658">
        <v>1.0</v>
      </c>
      <c r="D35" s="678">
        <v>20.0</v>
      </c>
      <c r="E35" s="676">
        <v>1.0</v>
      </c>
      <c r="F35" s="658" t="s">
        <v>3685</v>
      </c>
      <c r="G35" s="658" t="s">
        <v>1554</v>
      </c>
      <c r="H35" s="696">
        <v>45261.0</v>
      </c>
    </row>
    <row r="36">
      <c r="A36" s="658">
        <v>12.0</v>
      </c>
      <c r="B36" s="658" t="s">
        <v>3682</v>
      </c>
      <c r="C36" s="658">
        <v>1.0</v>
      </c>
      <c r="D36" s="678">
        <v>20.0</v>
      </c>
      <c r="E36" s="676">
        <v>1.0</v>
      </c>
      <c r="F36" s="658" t="s">
        <v>3686</v>
      </c>
      <c r="G36" s="658" t="s">
        <v>1554</v>
      </c>
      <c r="H36" s="696">
        <v>45261.0</v>
      </c>
    </row>
    <row r="37">
      <c r="A37" s="658">
        <v>13.0</v>
      </c>
      <c r="B37" s="658" t="s">
        <v>3687</v>
      </c>
      <c r="C37" s="658">
        <v>1.0</v>
      </c>
      <c r="D37" s="678">
        <v>27.6</v>
      </c>
      <c r="E37" s="676">
        <v>2.0</v>
      </c>
      <c r="F37" s="658" t="s">
        <v>3688</v>
      </c>
      <c r="G37" s="658" t="s">
        <v>1554</v>
      </c>
      <c r="H37" s="696">
        <v>45261.0</v>
      </c>
    </row>
    <row r="38">
      <c r="A38" s="658">
        <v>14.0</v>
      </c>
      <c r="B38" s="658" t="s">
        <v>3687</v>
      </c>
      <c r="C38" s="658">
        <v>1.0</v>
      </c>
      <c r="D38" s="678">
        <v>27.6</v>
      </c>
      <c r="E38" s="676">
        <v>2.0</v>
      </c>
      <c r="F38" s="658" t="s">
        <v>3689</v>
      </c>
      <c r="G38" s="658" t="s">
        <v>1554</v>
      </c>
      <c r="H38" s="696">
        <v>45261.0</v>
      </c>
    </row>
    <row r="39">
      <c r="A39" s="658">
        <v>15.0</v>
      </c>
      <c r="B39" s="658" t="s">
        <v>3687</v>
      </c>
      <c r="C39" s="658">
        <v>1.0</v>
      </c>
      <c r="D39" s="678">
        <v>27.6</v>
      </c>
      <c r="E39" s="676">
        <v>2.0</v>
      </c>
      <c r="F39" s="658" t="s">
        <v>3690</v>
      </c>
      <c r="G39" s="658" t="s">
        <v>1554</v>
      </c>
      <c r="H39" s="696">
        <v>45261.0</v>
      </c>
    </row>
    <row r="40">
      <c r="A40" s="658">
        <v>16.0</v>
      </c>
      <c r="B40" s="658" t="s">
        <v>3687</v>
      </c>
      <c r="C40" s="658">
        <v>1.0</v>
      </c>
      <c r="D40" s="678">
        <v>27.6</v>
      </c>
      <c r="E40" s="676">
        <v>2.0</v>
      </c>
      <c r="F40" s="658" t="s">
        <v>3691</v>
      </c>
      <c r="G40" s="658" t="s">
        <v>1554</v>
      </c>
      <c r="H40" s="696">
        <v>45261.0</v>
      </c>
    </row>
    <row r="41">
      <c r="A41" s="658">
        <v>17.0</v>
      </c>
      <c r="B41" s="658" t="s">
        <v>3687</v>
      </c>
      <c r="C41" s="658">
        <v>1.0</v>
      </c>
      <c r="D41" s="678">
        <v>27.6</v>
      </c>
      <c r="E41" s="676">
        <v>2.0</v>
      </c>
      <c r="F41" s="658" t="s">
        <v>3692</v>
      </c>
      <c r="G41" s="658" t="s">
        <v>1554</v>
      </c>
      <c r="H41" s="696">
        <v>45261.0</v>
      </c>
    </row>
    <row r="42">
      <c r="A42" s="697" t="s">
        <v>1562</v>
      </c>
      <c r="B42" s="3"/>
      <c r="C42" s="658">
        <f t="shared" ref="C42:D42" si="2">sum(C25:C41)</f>
        <v>18</v>
      </c>
      <c r="D42" s="678">
        <f t="shared" si="2"/>
        <v>437.7</v>
      </c>
      <c r="E42" s="676">
        <f>SUM(E25:E41)</f>
        <v>20</v>
      </c>
      <c r="F42" s="658"/>
      <c r="G42" s="679"/>
      <c r="H42" s="679"/>
    </row>
    <row r="43">
      <c r="A43" s="689"/>
      <c r="B43" s="689"/>
      <c r="C43" s="689"/>
      <c r="D43" s="689"/>
      <c r="E43" s="689"/>
      <c r="F43" s="689"/>
      <c r="G43" s="689"/>
      <c r="H43" s="689"/>
    </row>
    <row r="44">
      <c r="A44" s="689"/>
      <c r="B44" s="689"/>
      <c r="C44" s="689"/>
      <c r="D44" s="689"/>
      <c r="E44" s="689"/>
      <c r="F44" s="689"/>
      <c r="G44" s="689"/>
      <c r="H44" s="689"/>
    </row>
    <row r="45">
      <c r="A45" s="649" t="s">
        <v>3693</v>
      </c>
      <c r="B45" s="2"/>
      <c r="C45" s="2"/>
      <c r="D45" s="2"/>
      <c r="E45" s="2"/>
      <c r="F45" s="2"/>
      <c r="G45" s="2"/>
      <c r="H45" s="3"/>
    </row>
    <row r="46">
      <c r="A46" s="691" t="s">
        <v>1435</v>
      </c>
      <c r="B46" s="692" t="s">
        <v>1436</v>
      </c>
      <c r="C46" s="691" t="s">
        <v>1843</v>
      </c>
      <c r="D46" s="693" t="s">
        <v>1438</v>
      </c>
      <c r="E46" s="694" t="s">
        <v>1564</v>
      </c>
      <c r="F46" s="691" t="s">
        <v>1440</v>
      </c>
      <c r="G46" s="691" t="s">
        <v>1565</v>
      </c>
      <c r="H46" s="695" t="s">
        <v>1441</v>
      </c>
    </row>
    <row r="47">
      <c r="A47" s="658">
        <v>1.0</v>
      </c>
      <c r="B47" s="658" t="s">
        <v>3673</v>
      </c>
      <c r="C47" s="658">
        <v>1.0</v>
      </c>
      <c r="D47" s="678">
        <v>5.0</v>
      </c>
      <c r="E47" s="676">
        <v>1.0</v>
      </c>
      <c r="F47" s="658" t="s">
        <v>1518</v>
      </c>
      <c r="G47" s="658" t="s">
        <v>1554</v>
      </c>
      <c r="H47" s="679">
        <v>45141.0</v>
      </c>
    </row>
    <row r="48">
      <c r="A48" s="658">
        <v>2.0</v>
      </c>
      <c r="B48" s="658" t="s">
        <v>1443</v>
      </c>
      <c r="C48" s="658">
        <v>1.0</v>
      </c>
      <c r="D48" s="678">
        <v>150.0</v>
      </c>
      <c r="E48" s="676"/>
      <c r="F48" s="658"/>
      <c r="G48" s="658" t="s">
        <v>1554</v>
      </c>
      <c r="H48" s="659">
        <v>45141.0</v>
      </c>
    </row>
    <row r="49">
      <c r="A49" s="658">
        <v>3.0</v>
      </c>
      <c r="B49" s="658" t="s">
        <v>1444</v>
      </c>
      <c r="C49" s="658">
        <v>2.0</v>
      </c>
      <c r="D49" s="678">
        <v>3.2</v>
      </c>
      <c r="E49" s="669"/>
      <c r="F49" s="658"/>
      <c r="G49" s="658" t="s">
        <v>1554</v>
      </c>
      <c r="H49" s="659">
        <v>45141.0</v>
      </c>
    </row>
    <row r="50">
      <c r="A50" s="658">
        <v>4.0</v>
      </c>
      <c r="B50" s="655" t="s">
        <v>3674</v>
      </c>
      <c r="C50" s="658">
        <v>1.0</v>
      </c>
      <c r="D50" s="678">
        <v>13.1</v>
      </c>
      <c r="E50" s="676">
        <v>1.0</v>
      </c>
      <c r="F50" s="655" t="s">
        <v>3694</v>
      </c>
      <c r="G50" s="658" t="s">
        <v>1554</v>
      </c>
      <c r="H50" s="696">
        <v>45261.0</v>
      </c>
    </row>
    <row r="51">
      <c r="A51" s="658">
        <v>5.0</v>
      </c>
      <c r="B51" s="655" t="s">
        <v>3695</v>
      </c>
      <c r="C51" s="658">
        <v>1.0</v>
      </c>
      <c r="D51" s="678">
        <v>13.1</v>
      </c>
      <c r="E51" s="676">
        <v>1.0</v>
      </c>
      <c r="F51" s="655" t="s">
        <v>3696</v>
      </c>
      <c r="G51" s="658" t="s">
        <v>1554</v>
      </c>
      <c r="H51" s="696">
        <v>45261.0</v>
      </c>
    </row>
    <row r="52">
      <c r="A52" s="658">
        <v>6.0</v>
      </c>
      <c r="B52" s="655" t="s">
        <v>3695</v>
      </c>
      <c r="C52" s="658">
        <v>1.0</v>
      </c>
      <c r="D52" s="678">
        <v>13.1</v>
      </c>
      <c r="E52" s="676">
        <v>1.0</v>
      </c>
      <c r="F52" s="655" t="s">
        <v>3697</v>
      </c>
      <c r="G52" s="658" t="s">
        <v>1554</v>
      </c>
      <c r="H52" s="696">
        <v>45261.0</v>
      </c>
    </row>
    <row r="53">
      <c r="A53" s="658">
        <v>7.0</v>
      </c>
      <c r="B53" s="655" t="s">
        <v>3687</v>
      </c>
      <c r="C53" s="658">
        <v>1.0</v>
      </c>
      <c r="D53" s="678">
        <v>27.6</v>
      </c>
      <c r="E53" s="676">
        <v>2.0</v>
      </c>
      <c r="F53" s="655" t="s">
        <v>3698</v>
      </c>
      <c r="G53" s="658" t="s">
        <v>1554</v>
      </c>
      <c r="H53" s="696">
        <v>45261.0</v>
      </c>
    </row>
    <row r="54">
      <c r="A54" s="658">
        <v>8.0</v>
      </c>
      <c r="B54" s="655" t="s">
        <v>3687</v>
      </c>
      <c r="C54" s="658">
        <v>1.0</v>
      </c>
      <c r="D54" s="678">
        <v>27.6</v>
      </c>
      <c r="E54" s="676">
        <v>2.0</v>
      </c>
      <c r="F54" s="655" t="s">
        <v>3699</v>
      </c>
      <c r="G54" s="658" t="s">
        <v>1554</v>
      </c>
      <c r="H54" s="696">
        <v>45261.0</v>
      </c>
    </row>
    <row r="55">
      <c r="A55" s="658">
        <v>9.0</v>
      </c>
      <c r="B55" s="655" t="s">
        <v>3687</v>
      </c>
      <c r="C55" s="658">
        <v>1.0</v>
      </c>
      <c r="D55" s="678">
        <v>27.6</v>
      </c>
      <c r="E55" s="676">
        <v>2.0</v>
      </c>
      <c r="F55" s="655" t="s">
        <v>3700</v>
      </c>
      <c r="G55" s="658" t="s">
        <v>1554</v>
      </c>
      <c r="H55" s="696">
        <v>45261.0</v>
      </c>
    </row>
    <row r="56">
      <c r="A56" s="658">
        <v>10.0</v>
      </c>
      <c r="B56" s="655" t="s">
        <v>3687</v>
      </c>
      <c r="C56" s="658">
        <v>1.0</v>
      </c>
      <c r="D56" s="678">
        <v>27.6</v>
      </c>
      <c r="E56" s="676">
        <v>2.0</v>
      </c>
      <c r="F56" s="655" t="s">
        <v>3701</v>
      </c>
      <c r="G56" s="658" t="s">
        <v>1554</v>
      </c>
      <c r="H56" s="696">
        <v>45261.0</v>
      </c>
    </row>
    <row r="57">
      <c r="A57" s="658">
        <v>11.0</v>
      </c>
      <c r="B57" s="655" t="s">
        <v>3702</v>
      </c>
      <c r="C57" s="658">
        <v>1.0</v>
      </c>
      <c r="D57" s="678">
        <v>27.6</v>
      </c>
      <c r="E57" s="676">
        <v>2.0</v>
      </c>
      <c r="F57" s="655" t="s">
        <v>3703</v>
      </c>
      <c r="G57" s="658" t="s">
        <v>1554</v>
      </c>
      <c r="H57" s="696">
        <v>45261.0</v>
      </c>
    </row>
    <row r="58">
      <c r="A58" s="658">
        <v>12.0</v>
      </c>
      <c r="B58" s="655" t="s">
        <v>3702</v>
      </c>
      <c r="C58" s="658">
        <v>1.0</v>
      </c>
      <c r="D58" s="678">
        <v>27.6</v>
      </c>
      <c r="E58" s="676">
        <v>2.0</v>
      </c>
      <c r="F58" s="655" t="s">
        <v>3704</v>
      </c>
      <c r="G58" s="658" t="s">
        <v>1554</v>
      </c>
      <c r="H58" s="696">
        <v>45261.0</v>
      </c>
    </row>
    <row r="59">
      <c r="A59" s="658">
        <v>13.0</v>
      </c>
      <c r="B59" s="655" t="s">
        <v>3702</v>
      </c>
      <c r="C59" s="658">
        <v>1.0</v>
      </c>
      <c r="D59" s="678">
        <v>27.6</v>
      </c>
      <c r="E59" s="676">
        <v>2.0</v>
      </c>
      <c r="F59" s="655" t="s">
        <v>3705</v>
      </c>
      <c r="G59" s="658" t="s">
        <v>1554</v>
      </c>
      <c r="H59" s="696">
        <v>45261.0</v>
      </c>
    </row>
    <row r="60">
      <c r="A60" s="658">
        <v>14.0</v>
      </c>
      <c r="B60" s="655" t="s">
        <v>3702</v>
      </c>
      <c r="C60" s="658">
        <v>1.0</v>
      </c>
      <c r="D60" s="678">
        <v>27.6</v>
      </c>
      <c r="E60" s="676">
        <v>2.0</v>
      </c>
      <c r="F60" s="655" t="s">
        <v>3706</v>
      </c>
      <c r="G60" s="658" t="s">
        <v>1554</v>
      </c>
      <c r="H60" s="696">
        <v>45261.0</v>
      </c>
    </row>
    <row r="61">
      <c r="A61" s="658">
        <v>15.0</v>
      </c>
      <c r="B61" s="655" t="s">
        <v>3702</v>
      </c>
      <c r="C61" s="658">
        <v>1.0</v>
      </c>
      <c r="D61" s="678">
        <v>27.6</v>
      </c>
      <c r="E61" s="676">
        <v>2.0</v>
      </c>
      <c r="F61" s="655" t="s">
        <v>3707</v>
      </c>
      <c r="G61" s="658" t="s">
        <v>1554</v>
      </c>
      <c r="H61" s="696">
        <v>45261.0</v>
      </c>
    </row>
    <row r="62">
      <c r="A62" s="658">
        <v>16.0</v>
      </c>
      <c r="B62" s="655" t="s">
        <v>3702</v>
      </c>
      <c r="C62" s="658">
        <v>1.0</v>
      </c>
      <c r="D62" s="678">
        <v>27.6</v>
      </c>
      <c r="E62" s="676">
        <v>2.0</v>
      </c>
      <c r="F62" s="655" t="s">
        <v>3708</v>
      </c>
      <c r="G62" s="658" t="s">
        <v>1554</v>
      </c>
      <c r="H62" s="696">
        <v>45261.0</v>
      </c>
    </row>
    <row r="63">
      <c r="A63" s="697" t="s">
        <v>1562</v>
      </c>
      <c r="B63" s="3"/>
      <c r="C63" s="658">
        <f t="shared" ref="C63:E63" si="3">sum(C47:C62)</f>
        <v>17</v>
      </c>
      <c r="D63" s="678">
        <f t="shared" si="3"/>
        <v>473.5</v>
      </c>
      <c r="E63" s="676">
        <f t="shared" si="3"/>
        <v>24</v>
      </c>
      <c r="F63" s="658"/>
      <c r="G63" s="679"/>
      <c r="H63" s="679"/>
    </row>
    <row r="64">
      <c r="A64" s="689"/>
      <c r="B64" s="689"/>
      <c r="C64" s="689"/>
      <c r="D64" s="689"/>
      <c r="E64" s="689"/>
      <c r="F64" s="689"/>
      <c r="G64" s="689"/>
      <c r="H64" s="689"/>
    </row>
    <row r="65">
      <c r="A65" s="689"/>
      <c r="B65" s="689"/>
      <c r="C65" s="689"/>
      <c r="D65" s="689"/>
      <c r="E65" s="689"/>
      <c r="F65" s="689"/>
      <c r="G65" s="689"/>
      <c r="H65" s="689"/>
    </row>
    <row r="66">
      <c r="A66" s="649" t="s">
        <v>3709</v>
      </c>
      <c r="B66" s="2"/>
      <c r="C66" s="2"/>
      <c r="D66" s="2"/>
      <c r="E66" s="2"/>
      <c r="F66" s="2"/>
      <c r="G66" s="2"/>
      <c r="H66" s="3"/>
    </row>
    <row r="67">
      <c r="A67" s="691" t="s">
        <v>1435</v>
      </c>
      <c r="B67" s="692" t="s">
        <v>1436</v>
      </c>
      <c r="C67" s="691" t="s">
        <v>1843</v>
      </c>
      <c r="D67" s="693" t="s">
        <v>1438</v>
      </c>
      <c r="E67" s="694" t="s">
        <v>1564</v>
      </c>
      <c r="F67" s="691" t="s">
        <v>1440</v>
      </c>
      <c r="G67" s="691" t="s">
        <v>1565</v>
      </c>
      <c r="H67" s="695" t="s">
        <v>1441</v>
      </c>
    </row>
    <row r="68">
      <c r="A68" s="658">
        <v>1.0</v>
      </c>
      <c r="B68" s="658" t="s">
        <v>3673</v>
      </c>
      <c r="C68" s="658">
        <v>1.0</v>
      </c>
      <c r="D68" s="678">
        <v>5.0</v>
      </c>
      <c r="E68" s="676">
        <v>1.0</v>
      </c>
      <c r="F68" s="658" t="s">
        <v>1518</v>
      </c>
      <c r="G68" s="658" t="s">
        <v>1554</v>
      </c>
      <c r="H68" s="679">
        <v>45141.0</v>
      </c>
    </row>
    <row r="69">
      <c r="A69" s="658">
        <v>2.0</v>
      </c>
      <c r="B69" s="658" t="s">
        <v>1443</v>
      </c>
      <c r="C69" s="658">
        <v>1.0</v>
      </c>
      <c r="D69" s="678">
        <v>150.0</v>
      </c>
      <c r="E69" s="676"/>
      <c r="F69" s="658"/>
      <c r="G69" s="658" t="s">
        <v>1554</v>
      </c>
      <c r="H69" s="659">
        <v>45141.0</v>
      </c>
    </row>
    <row r="70">
      <c r="A70" s="658">
        <v>3.0</v>
      </c>
      <c r="B70" s="658" t="s">
        <v>1444</v>
      </c>
      <c r="C70" s="658">
        <v>2.0</v>
      </c>
      <c r="D70" s="678">
        <v>3.2</v>
      </c>
      <c r="E70" s="669"/>
      <c r="F70" s="658"/>
      <c r="G70" s="658" t="s">
        <v>1554</v>
      </c>
      <c r="H70" s="659">
        <v>45141.0</v>
      </c>
    </row>
    <row r="71">
      <c r="A71" s="658">
        <v>4.0</v>
      </c>
      <c r="B71" s="655" t="s">
        <v>3710</v>
      </c>
      <c r="C71" s="658">
        <v>1.0</v>
      </c>
      <c r="D71" s="658">
        <v>24.3</v>
      </c>
      <c r="E71" s="676">
        <v>1.0</v>
      </c>
      <c r="F71" s="655" t="s">
        <v>3711</v>
      </c>
      <c r="G71" s="658" t="s">
        <v>1554</v>
      </c>
      <c r="H71" s="696">
        <v>45439.0</v>
      </c>
    </row>
    <row r="72">
      <c r="A72" s="658">
        <v>5.0</v>
      </c>
      <c r="B72" s="655" t="s">
        <v>3712</v>
      </c>
      <c r="C72" s="658">
        <v>1.0</v>
      </c>
      <c r="D72" s="658">
        <v>4.3</v>
      </c>
      <c r="E72" s="676">
        <v>1.0</v>
      </c>
      <c r="F72" s="655" t="s">
        <v>3713</v>
      </c>
      <c r="G72" s="658" t="s">
        <v>1554</v>
      </c>
      <c r="H72" s="696">
        <v>45439.0</v>
      </c>
    </row>
    <row r="73">
      <c r="A73" s="658">
        <v>6.0</v>
      </c>
      <c r="B73" s="655" t="s">
        <v>3714</v>
      </c>
      <c r="C73" s="658">
        <v>1.0</v>
      </c>
      <c r="D73" s="658">
        <v>10.6</v>
      </c>
      <c r="E73" s="676">
        <v>1.0</v>
      </c>
      <c r="F73" s="655" t="s">
        <v>3715</v>
      </c>
      <c r="G73" s="658" t="s">
        <v>1554</v>
      </c>
      <c r="H73" s="696">
        <v>45439.0</v>
      </c>
    </row>
    <row r="74">
      <c r="A74" s="658">
        <v>7.0</v>
      </c>
      <c r="B74" s="655" t="s">
        <v>3716</v>
      </c>
      <c r="C74" s="658">
        <v>1.0</v>
      </c>
      <c r="D74" s="678">
        <v>11.0</v>
      </c>
      <c r="E74" s="676">
        <v>1.0</v>
      </c>
      <c r="F74" s="655" t="s">
        <v>3717</v>
      </c>
      <c r="G74" s="658" t="s">
        <v>1554</v>
      </c>
      <c r="H74" s="696">
        <v>45439.0</v>
      </c>
    </row>
    <row r="75">
      <c r="A75" s="658">
        <v>8.0</v>
      </c>
      <c r="B75" s="655" t="s">
        <v>3718</v>
      </c>
      <c r="C75" s="658">
        <v>1.0</v>
      </c>
      <c r="D75" s="678">
        <v>19.0</v>
      </c>
      <c r="E75" s="676">
        <v>1.0</v>
      </c>
      <c r="F75" s="655" t="s">
        <v>3719</v>
      </c>
      <c r="G75" s="658" t="s">
        <v>1554</v>
      </c>
      <c r="H75" s="696">
        <v>45439.0</v>
      </c>
    </row>
    <row r="76">
      <c r="A76" s="658">
        <v>9.0</v>
      </c>
      <c r="B76" s="655" t="s">
        <v>2467</v>
      </c>
      <c r="C76" s="658">
        <v>1.0</v>
      </c>
      <c r="D76" s="678">
        <v>2.7</v>
      </c>
      <c r="E76" s="676">
        <v>1.0</v>
      </c>
      <c r="F76" s="655" t="s">
        <v>3720</v>
      </c>
      <c r="G76" s="658" t="s">
        <v>1554</v>
      </c>
      <c r="H76" s="696">
        <v>45439.0</v>
      </c>
    </row>
    <row r="77">
      <c r="A77" s="658">
        <v>10.0</v>
      </c>
      <c r="B77" s="655" t="s">
        <v>3721</v>
      </c>
      <c r="C77" s="658">
        <v>1.0</v>
      </c>
      <c r="D77" s="678">
        <v>4.3</v>
      </c>
      <c r="E77" s="676">
        <v>1.0</v>
      </c>
      <c r="F77" s="655" t="s">
        <v>3722</v>
      </c>
      <c r="G77" s="658" t="s">
        <v>1554</v>
      </c>
      <c r="H77" s="696">
        <v>45439.0</v>
      </c>
    </row>
    <row r="78">
      <c r="A78" s="658">
        <v>11.0</v>
      </c>
      <c r="B78" s="655"/>
      <c r="C78" s="658"/>
      <c r="D78" s="678"/>
      <c r="E78" s="676"/>
      <c r="F78" s="655"/>
      <c r="G78" s="658"/>
      <c r="H78" s="696"/>
    </row>
    <row r="79">
      <c r="A79" s="697" t="s">
        <v>1562</v>
      </c>
      <c r="B79" s="3"/>
      <c r="C79" s="658">
        <f t="shared" ref="C79:E79" si="4">sum(C68:C78)</f>
        <v>11</v>
      </c>
      <c r="D79" s="678">
        <f t="shared" si="4"/>
        <v>234.4</v>
      </c>
      <c r="E79" s="676">
        <f t="shared" si="4"/>
        <v>8</v>
      </c>
      <c r="F79" s="658"/>
      <c r="G79" s="679"/>
      <c r="H79" s="679"/>
    </row>
    <row r="80">
      <c r="A80" s="689"/>
      <c r="B80" s="689"/>
      <c r="C80" s="689"/>
      <c r="D80" s="689"/>
      <c r="E80" s="689"/>
      <c r="F80" s="689"/>
      <c r="G80" s="689"/>
      <c r="H80" s="689"/>
    </row>
    <row r="81">
      <c r="A81" s="689"/>
      <c r="B81" s="689"/>
      <c r="C81" s="689"/>
      <c r="D81" s="689"/>
      <c r="E81" s="689"/>
      <c r="F81" s="689"/>
      <c r="G81" s="689"/>
      <c r="H81" s="689"/>
    </row>
    <row r="82">
      <c r="A82" s="649" t="s">
        <v>3723</v>
      </c>
      <c r="B82" s="2"/>
      <c r="C82" s="2"/>
      <c r="D82" s="2"/>
      <c r="E82" s="2"/>
      <c r="F82" s="2"/>
      <c r="G82" s="2"/>
      <c r="H82" s="3"/>
    </row>
    <row r="83">
      <c r="A83" s="691" t="s">
        <v>1435</v>
      </c>
      <c r="B83" s="692" t="s">
        <v>1436</v>
      </c>
      <c r="C83" s="691" t="s">
        <v>1843</v>
      </c>
      <c r="D83" s="693" t="s">
        <v>1438</v>
      </c>
      <c r="E83" s="694" t="s">
        <v>1564</v>
      </c>
      <c r="F83" s="691" t="s">
        <v>1440</v>
      </c>
      <c r="G83" s="691" t="s">
        <v>1565</v>
      </c>
      <c r="H83" s="695" t="s">
        <v>1441</v>
      </c>
    </row>
    <row r="84">
      <c r="A84" s="658">
        <v>1.0</v>
      </c>
      <c r="B84" s="658" t="s">
        <v>3673</v>
      </c>
      <c r="C84" s="658">
        <v>1.0</v>
      </c>
      <c r="D84" s="678">
        <v>5.0</v>
      </c>
      <c r="E84" s="676">
        <v>1.0</v>
      </c>
      <c r="F84" s="658" t="s">
        <v>1518</v>
      </c>
      <c r="G84" s="658" t="s">
        <v>1554</v>
      </c>
      <c r="H84" s="679">
        <v>45141.0</v>
      </c>
    </row>
    <row r="85">
      <c r="A85" s="658">
        <v>2.0</v>
      </c>
      <c r="B85" s="658" t="s">
        <v>1443</v>
      </c>
      <c r="C85" s="658">
        <v>1.0</v>
      </c>
      <c r="D85" s="678">
        <v>150.0</v>
      </c>
      <c r="E85" s="676"/>
      <c r="F85" s="658"/>
      <c r="G85" s="658" t="s">
        <v>1554</v>
      </c>
      <c r="H85" s="659">
        <v>45141.0</v>
      </c>
    </row>
    <row r="86">
      <c r="A86" s="658">
        <v>3.0</v>
      </c>
      <c r="B86" s="658" t="s">
        <v>1444</v>
      </c>
      <c r="C86" s="658">
        <v>2.0</v>
      </c>
      <c r="D86" s="678">
        <v>3.2</v>
      </c>
      <c r="E86" s="669"/>
      <c r="F86" s="658"/>
      <c r="G86" s="658" t="s">
        <v>1554</v>
      </c>
      <c r="H86" s="659">
        <v>45141.0</v>
      </c>
    </row>
    <row r="87">
      <c r="A87" s="662">
        <v>4.0</v>
      </c>
      <c r="B87" s="662" t="s">
        <v>2996</v>
      </c>
      <c r="C87" s="662"/>
      <c r="D87" s="673"/>
      <c r="E87" s="665"/>
      <c r="F87" s="662" t="s">
        <v>3724</v>
      </c>
      <c r="G87" s="662" t="s">
        <v>3616</v>
      </c>
      <c r="H87" s="698">
        <v>45232.0</v>
      </c>
    </row>
    <row r="88">
      <c r="A88" s="658">
        <v>5.0</v>
      </c>
      <c r="B88" s="655" t="s">
        <v>3725</v>
      </c>
      <c r="C88" s="658">
        <v>1.0</v>
      </c>
      <c r="D88" s="678">
        <v>8.4</v>
      </c>
      <c r="E88" s="676">
        <v>1.0</v>
      </c>
      <c r="F88" s="655">
        <v>1.02375426012E11</v>
      </c>
      <c r="G88" s="658" t="s">
        <v>1554</v>
      </c>
      <c r="H88" s="696">
        <v>45232.0</v>
      </c>
    </row>
    <row r="89">
      <c r="A89" s="658">
        <v>6.0</v>
      </c>
      <c r="B89" s="655" t="s">
        <v>2996</v>
      </c>
      <c r="C89" s="658">
        <v>1.0</v>
      </c>
      <c r="D89" s="678">
        <v>6.5</v>
      </c>
      <c r="E89" s="676">
        <v>1.0</v>
      </c>
      <c r="F89" s="655" t="s">
        <v>3726</v>
      </c>
      <c r="G89" s="658" t="s">
        <v>1554</v>
      </c>
      <c r="H89" s="696">
        <v>45237.0</v>
      </c>
    </row>
    <row r="90">
      <c r="A90" s="662">
        <v>7.0</v>
      </c>
      <c r="B90" s="662" t="s">
        <v>3727</v>
      </c>
      <c r="C90" s="662"/>
      <c r="D90" s="673"/>
      <c r="E90" s="665"/>
      <c r="F90" s="662" t="s">
        <v>3728</v>
      </c>
      <c r="G90" s="662" t="s">
        <v>3729</v>
      </c>
      <c r="H90" s="698">
        <v>45221.0</v>
      </c>
    </row>
    <row r="91">
      <c r="A91" s="658">
        <v>8.0</v>
      </c>
      <c r="B91" s="655" t="s">
        <v>3730</v>
      </c>
      <c r="C91" s="658">
        <v>1.0</v>
      </c>
      <c r="D91" s="678">
        <v>2.0</v>
      </c>
      <c r="E91" s="676">
        <v>1.0</v>
      </c>
      <c r="F91" s="655" t="s">
        <v>3731</v>
      </c>
      <c r="G91" s="658" t="s">
        <v>3732</v>
      </c>
      <c r="H91" s="696">
        <v>45221.0</v>
      </c>
    </row>
    <row r="92">
      <c r="A92" s="658">
        <v>9.0</v>
      </c>
      <c r="B92" s="655" t="s">
        <v>2811</v>
      </c>
      <c r="C92" s="658">
        <v>1.0</v>
      </c>
      <c r="D92" s="678">
        <v>17.8</v>
      </c>
      <c r="E92" s="676">
        <v>1.0</v>
      </c>
      <c r="F92" s="655" t="s">
        <v>3733</v>
      </c>
      <c r="G92" s="658" t="s">
        <v>3732</v>
      </c>
      <c r="H92" s="696">
        <v>45221.0</v>
      </c>
    </row>
    <row r="93">
      <c r="A93" s="658">
        <v>10.0</v>
      </c>
      <c r="B93" s="655" t="s">
        <v>3734</v>
      </c>
      <c r="C93" s="658">
        <v>1.0</v>
      </c>
      <c r="D93" s="678">
        <v>1.0</v>
      </c>
      <c r="E93" s="676">
        <v>1.0</v>
      </c>
      <c r="F93" s="655" t="s">
        <v>3735</v>
      </c>
      <c r="G93" s="658" t="s">
        <v>3732</v>
      </c>
      <c r="H93" s="696">
        <v>45253.0</v>
      </c>
    </row>
    <row r="94">
      <c r="A94" s="662">
        <v>11.0</v>
      </c>
      <c r="B94" s="662" t="s">
        <v>3736</v>
      </c>
      <c r="C94" s="662"/>
      <c r="D94" s="673"/>
      <c r="E94" s="665"/>
      <c r="F94" s="662" t="s">
        <v>3737</v>
      </c>
      <c r="G94" s="662" t="s">
        <v>2904</v>
      </c>
      <c r="H94" s="662" t="s">
        <v>3738</v>
      </c>
    </row>
    <row r="95">
      <c r="A95" s="658">
        <v>12.0</v>
      </c>
      <c r="B95" s="658" t="s">
        <v>3739</v>
      </c>
      <c r="C95" s="658">
        <v>1.0</v>
      </c>
      <c r="D95" s="678">
        <v>17.8</v>
      </c>
      <c r="E95" s="676">
        <v>1.0</v>
      </c>
      <c r="F95" s="658" t="s">
        <v>3740</v>
      </c>
      <c r="G95" s="658" t="s">
        <v>1554</v>
      </c>
      <c r="H95" s="679">
        <v>45358.0</v>
      </c>
    </row>
    <row r="96">
      <c r="A96" s="662">
        <v>13.0</v>
      </c>
      <c r="B96" s="662" t="s">
        <v>3741</v>
      </c>
      <c r="C96" s="662"/>
      <c r="D96" s="673"/>
      <c r="E96" s="665"/>
      <c r="F96" s="662" t="s">
        <v>3742</v>
      </c>
      <c r="G96" s="662" t="s">
        <v>3729</v>
      </c>
      <c r="H96" s="681">
        <v>45399.0</v>
      </c>
    </row>
    <row r="97">
      <c r="A97" s="662">
        <v>14.0</v>
      </c>
      <c r="B97" s="662" t="s">
        <v>2191</v>
      </c>
      <c r="C97" s="662"/>
      <c r="D97" s="673"/>
      <c r="E97" s="665"/>
      <c r="F97" s="662" t="s">
        <v>3743</v>
      </c>
      <c r="G97" s="662" t="s">
        <v>3729</v>
      </c>
      <c r="H97" s="681">
        <v>45399.0</v>
      </c>
    </row>
    <row r="98">
      <c r="A98" s="662">
        <v>15.0</v>
      </c>
      <c r="B98" s="662" t="s">
        <v>3744</v>
      </c>
      <c r="C98" s="662"/>
      <c r="D98" s="673"/>
      <c r="E98" s="665"/>
      <c r="F98" s="662" t="s">
        <v>3745</v>
      </c>
      <c r="G98" s="662" t="s">
        <v>1554</v>
      </c>
      <c r="H98" s="681">
        <v>45426.0</v>
      </c>
    </row>
    <row r="99">
      <c r="A99" s="662">
        <v>16.0</v>
      </c>
      <c r="B99" s="662" t="s">
        <v>3744</v>
      </c>
      <c r="C99" s="662"/>
      <c r="D99" s="673"/>
      <c r="E99" s="665"/>
      <c r="F99" s="662" t="s">
        <v>3746</v>
      </c>
      <c r="G99" s="662" t="s">
        <v>3747</v>
      </c>
      <c r="H99" s="681">
        <v>45426.0</v>
      </c>
    </row>
    <row r="100">
      <c r="A100" s="658">
        <v>17.0</v>
      </c>
      <c r="B100" s="655" t="s">
        <v>3748</v>
      </c>
      <c r="C100" s="658">
        <v>1.0</v>
      </c>
      <c r="D100" s="656">
        <v>1.0</v>
      </c>
      <c r="E100" s="657">
        <v>1.0</v>
      </c>
      <c r="F100" s="655" t="s">
        <v>3749</v>
      </c>
      <c r="G100" s="658" t="s">
        <v>1554</v>
      </c>
      <c r="H100" s="659">
        <v>45426.0</v>
      </c>
    </row>
    <row r="101">
      <c r="A101" s="662">
        <v>18.0</v>
      </c>
      <c r="B101" s="662" t="s">
        <v>1643</v>
      </c>
      <c r="C101" s="662"/>
      <c r="D101" s="673"/>
      <c r="E101" s="665"/>
      <c r="F101" s="662" t="s">
        <v>3750</v>
      </c>
      <c r="G101" s="662" t="s">
        <v>1554</v>
      </c>
      <c r="H101" s="681">
        <v>45438.0</v>
      </c>
    </row>
    <row r="102">
      <c r="A102" s="658">
        <v>19.0</v>
      </c>
      <c r="B102" s="658" t="s">
        <v>1872</v>
      </c>
      <c r="C102" s="658">
        <v>2.0</v>
      </c>
      <c r="D102" s="678">
        <v>10.5</v>
      </c>
      <c r="E102" s="678">
        <v>21.0</v>
      </c>
      <c r="F102" s="658"/>
      <c r="G102" s="61" t="s">
        <v>1446</v>
      </c>
      <c r="H102" s="679">
        <v>46010.0</v>
      </c>
    </row>
    <row r="103">
      <c r="A103" s="658"/>
      <c r="B103" s="658"/>
      <c r="C103" s="658"/>
      <c r="D103" s="678"/>
      <c r="E103" s="676"/>
      <c r="F103" s="658"/>
      <c r="G103" s="679"/>
      <c r="H103" s="679"/>
    </row>
    <row r="104">
      <c r="A104" s="697" t="s">
        <v>1562</v>
      </c>
      <c r="B104" s="3"/>
      <c r="C104" s="658">
        <f t="shared" ref="C104:E104" si="5">sum(C84:C101)</f>
        <v>11</v>
      </c>
      <c r="D104" s="678">
        <f t="shared" si="5"/>
        <v>212.7</v>
      </c>
      <c r="E104" s="676">
        <f t="shared" si="5"/>
        <v>8</v>
      </c>
      <c r="F104" s="658"/>
      <c r="G104" s="679"/>
      <c r="H104" s="679"/>
    </row>
    <row r="105">
      <c r="A105" s="689"/>
      <c r="B105" s="689"/>
      <c r="C105" s="689"/>
      <c r="D105" s="689"/>
      <c r="E105" s="689"/>
      <c r="F105" s="689"/>
      <c r="G105" s="689"/>
      <c r="H105" s="689"/>
    </row>
    <row r="106">
      <c r="A106" s="689"/>
      <c r="B106" s="689"/>
      <c r="C106" s="689"/>
      <c r="D106" s="689"/>
      <c r="E106" s="689"/>
      <c r="F106" s="689"/>
      <c r="G106" s="689"/>
      <c r="H106" s="689"/>
    </row>
    <row r="107">
      <c r="A107" s="699" t="s">
        <v>3751</v>
      </c>
      <c r="B107" s="2"/>
      <c r="C107" s="2"/>
      <c r="D107" s="2"/>
      <c r="E107" s="2"/>
      <c r="F107" s="2"/>
      <c r="G107" s="2"/>
      <c r="H107" s="3"/>
    </row>
    <row r="108">
      <c r="A108" s="700" t="s">
        <v>1435</v>
      </c>
      <c r="B108" s="701" t="s">
        <v>1436</v>
      </c>
      <c r="C108" s="700" t="s">
        <v>1843</v>
      </c>
      <c r="D108" s="702" t="s">
        <v>1438</v>
      </c>
      <c r="E108" s="703" t="s">
        <v>1564</v>
      </c>
      <c r="F108" s="700" t="s">
        <v>1440</v>
      </c>
      <c r="G108" s="700" t="s">
        <v>1565</v>
      </c>
      <c r="H108" s="704" t="s">
        <v>1441</v>
      </c>
    </row>
    <row r="109">
      <c r="A109" s="87">
        <v>1.0</v>
      </c>
      <c r="B109" s="87" t="s">
        <v>3673</v>
      </c>
      <c r="C109" s="87">
        <v>1.0</v>
      </c>
      <c r="D109" s="705">
        <v>5.0</v>
      </c>
      <c r="E109" s="706">
        <v>1.0</v>
      </c>
      <c r="F109" s="87" t="s">
        <v>1518</v>
      </c>
      <c r="G109" s="87" t="s">
        <v>1554</v>
      </c>
      <c r="H109" s="707">
        <v>45141.0</v>
      </c>
    </row>
    <row r="110">
      <c r="A110" s="87">
        <v>2.0</v>
      </c>
      <c r="B110" s="87" t="s">
        <v>1443</v>
      </c>
      <c r="C110" s="87">
        <v>1.0</v>
      </c>
      <c r="D110" s="705">
        <v>150.0</v>
      </c>
      <c r="E110" s="706"/>
      <c r="F110" s="87"/>
      <c r="G110" s="87" t="s">
        <v>1554</v>
      </c>
      <c r="H110" s="708">
        <v>45141.0</v>
      </c>
    </row>
    <row r="111">
      <c r="A111" s="87">
        <v>3.0</v>
      </c>
      <c r="B111" s="87" t="s">
        <v>1444</v>
      </c>
      <c r="C111" s="87">
        <v>2.0</v>
      </c>
      <c r="D111" s="705">
        <v>3.2</v>
      </c>
      <c r="E111" s="709"/>
      <c r="F111" s="87"/>
      <c r="G111" s="87" t="s">
        <v>1554</v>
      </c>
      <c r="H111" s="708">
        <v>45141.0</v>
      </c>
    </row>
    <row r="112">
      <c r="A112" s="87">
        <v>4.0</v>
      </c>
      <c r="B112" s="97" t="s">
        <v>2158</v>
      </c>
      <c r="C112" s="87">
        <v>1.0</v>
      </c>
      <c r="D112" s="87">
        <v>16.4</v>
      </c>
      <c r="E112" s="706">
        <v>1.0</v>
      </c>
      <c r="F112" s="97" t="s">
        <v>3752</v>
      </c>
      <c r="G112" s="87" t="s">
        <v>1554</v>
      </c>
      <c r="H112" s="710">
        <v>45276.0</v>
      </c>
    </row>
    <row r="113">
      <c r="A113" s="87">
        <v>5.0</v>
      </c>
      <c r="B113" s="97" t="s">
        <v>2113</v>
      </c>
      <c r="C113" s="87">
        <v>1.0</v>
      </c>
      <c r="D113" s="87">
        <v>16.4</v>
      </c>
      <c r="E113" s="706">
        <v>1.0</v>
      </c>
      <c r="F113" s="97" t="s">
        <v>3753</v>
      </c>
      <c r="G113" s="87" t="s">
        <v>1554</v>
      </c>
      <c r="H113" s="710">
        <v>45276.0</v>
      </c>
    </row>
    <row r="114">
      <c r="A114" s="87">
        <v>6.0</v>
      </c>
      <c r="B114" s="97" t="s">
        <v>3754</v>
      </c>
      <c r="C114" s="87">
        <v>1.0</v>
      </c>
      <c r="D114" s="87">
        <v>8.6</v>
      </c>
      <c r="E114" s="706">
        <v>1.0</v>
      </c>
      <c r="F114" s="97" t="s">
        <v>3755</v>
      </c>
      <c r="G114" s="87" t="s">
        <v>1554</v>
      </c>
      <c r="H114" s="710">
        <v>45276.0</v>
      </c>
    </row>
    <row r="115">
      <c r="A115" s="86">
        <v>7.0</v>
      </c>
      <c r="B115" s="86" t="s">
        <v>2158</v>
      </c>
      <c r="C115" s="86"/>
      <c r="D115" s="438"/>
      <c r="E115" s="83"/>
      <c r="F115" s="86" t="s">
        <v>3756</v>
      </c>
      <c r="G115" s="86" t="s">
        <v>1554</v>
      </c>
      <c r="H115" s="86" t="s">
        <v>3757</v>
      </c>
    </row>
    <row r="116">
      <c r="A116" s="87">
        <v>8.0</v>
      </c>
      <c r="B116" s="87" t="s">
        <v>2158</v>
      </c>
      <c r="C116" s="87">
        <v>1.0</v>
      </c>
      <c r="D116" s="705">
        <v>15.8</v>
      </c>
      <c r="E116" s="706">
        <v>1.0</v>
      </c>
      <c r="F116" s="87"/>
      <c r="G116" s="87" t="s">
        <v>1554</v>
      </c>
      <c r="H116" s="710">
        <v>45313.0</v>
      </c>
    </row>
    <row r="117">
      <c r="A117" s="87">
        <v>9.0</v>
      </c>
      <c r="B117" s="87" t="s">
        <v>3758</v>
      </c>
      <c r="C117" s="87">
        <v>1.0</v>
      </c>
      <c r="D117" s="705">
        <v>2.9</v>
      </c>
      <c r="E117" s="706">
        <v>1.0</v>
      </c>
      <c r="F117" s="87"/>
      <c r="G117" s="87" t="s">
        <v>1554</v>
      </c>
      <c r="H117" s="710">
        <v>45313.0</v>
      </c>
    </row>
    <row r="118">
      <c r="A118" s="87">
        <v>10.0</v>
      </c>
      <c r="B118" s="87" t="s">
        <v>3759</v>
      </c>
      <c r="C118" s="87">
        <v>1.0</v>
      </c>
      <c r="D118" s="705">
        <v>3.6</v>
      </c>
      <c r="E118" s="706"/>
      <c r="F118" s="87" t="s">
        <v>3760</v>
      </c>
      <c r="G118" s="87" t="s">
        <v>1554</v>
      </c>
      <c r="H118" s="710">
        <v>45702.0</v>
      </c>
    </row>
    <row r="119">
      <c r="A119" s="87">
        <v>11.0</v>
      </c>
      <c r="B119" s="87" t="s">
        <v>2158</v>
      </c>
      <c r="C119" s="87">
        <v>1.0</v>
      </c>
      <c r="D119" s="705">
        <v>18.6</v>
      </c>
      <c r="E119" s="706">
        <v>1.0</v>
      </c>
      <c r="F119" s="97" t="s">
        <v>3756</v>
      </c>
      <c r="G119" s="87" t="s">
        <v>1554</v>
      </c>
      <c r="H119" s="710">
        <v>45940.0</v>
      </c>
    </row>
    <row r="120">
      <c r="A120" s="87">
        <v>12.0</v>
      </c>
      <c r="B120" s="87" t="s">
        <v>3761</v>
      </c>
      <c r="C120" s="87">
        <v>1.0</v>
      </c>
      <c r="D120" s="705">
        <v>11.9</v>
      </c>
      <c r="E120" s="706">
        <v>1.0</v>
      </c>
      <c r="F120" s="97" t="s">
        <v>3762</v>
      </c>
      <c r="G120" s="87" t="s">
        <v>1554</v>
      </c>
      <c r="H120" s="710">
        <v>45943.0</v>
      </c>
    </row>
    <row r="121">
      <c r="A121" s="87">
        <v>13.0</v>
      </c>
      <c r="B121" s="87" t="s">
        <v>2756</v>
      </c>
      <c r="C121" s="87">
        <v>1.0</v>
      </c>
      <c r="D121" s="705">
        <v>10.0</v>
      </c>
      <c r="E121" s="706">
        <v>1.0</v>
      </c>
      <c r="F121" s="87" t="s">
        <v>3763</v>
      </c>
      <c r="G121" s="87" t="s">
        <v>1554</v>
      </c>
      <c r="H121" s="707">
        <v>46031.0</v>
      </c>
    </row>
    <row r="122">
      <c r="A122" s="711" t="s">
        <v>1562</v>
      </c>
      <c r="B122" s="3"/>
      <c r="C122" s="87">
        <f t="shared" ref="C122:E122" si="6">sum(C109:C121)</f>
        <v>13</v>
      </c>
      <c r="D122" s="705">
        <f t="shared" si="6"/>
        <v>262.4</v>
      </c>
      <c r="E122" s="706">
        <f t="shared" si="6"/>
        <v>9</v>
      </c>
      <c r="F122" s="87"/>
      <c r="G122" s="707"/>
      <c r="H122" s="707"/>
    </row>
    <row r="123">
      <c r="A123" s="712"/>
      <c r="B123" s="712"/>
      <c r="C123" s="712"/>
      <c r="D123" s="712"/>
      <c r="E123" s="712"/>
      <c r="F123" s="712"/>
      <c r="G123" s="712"/>
      <c r="H123" s="712"/>
    </row>
    <row r="124">
      <c r="A124" s="712"/>
      <c r="B124" s="712"/>
      <c r="C124" s="712"/>
      <c r="D124" s="712"/>
      <c r="E124" s="712"/>
      <c r="F124" s="712"/>
      <c r="G124" s="712"/>
      <c r="H124" s="712"/>
    </row>
    <row r="125">
      <c r="A125" s="713" t="s">
        <v>3764</v>
      </c>
      <c r="B125" s="293"/>
      <c r="C125" s="293"/>
      <c r="D125" s="293"/>
      <c r="E125" s="293"/>
      <c r="F125" s="293"/>
      <c r="G125" s="293"/>
      <c r="H125" s="294"/>
    </row>
    <row r="126">
      <c r="A126" s="691" t="s">
        <v>1435</v>
      </c>
      <c r="B126" s="692" t="s">
        <v>1436</v>
      </c>
      <c r="C126" s="691" t="s">
        <v>1843</v>
      </c>
      <c r="D126" s="693" t="s">
        <v>1438</v>
      </c>
      <c r="E126" s="694" t="s">
        <v>1564</v>
      </c>
      <c r="F126" s="691" t="s">
        <v>1440</v>
      </c>
      <c r="G126" s="691" t="s">
        <v>1565</v>
      </c>
      <c r="H126" s="695" t="s">
        <v>1441</v>
      </c>
    </row>
    <row r="127">
      <c r="A127" s="658">
        <v>1.0</v>
      </c>
      <c r="B127" s="658" t="s">
        <v>1443</v>
      </c>
      <c r="C127" s="658">
        <v>1.0</v>
      </c>
      <c r="D127" s="678">
        <v>150.0</v>
      </c>
      <c r="E127" s="676">
        <v>1.0</v>
      </c>
      <c r="F127" s="658" t="s">
        <v>1518</v>
      </c>
      <c r="G127" s="658" t="s">
        <v>1554</v>
      </c>
      <c r="H127" s="679">
        <v>45141.0</v>
      </c>
    </row>
    <row r="128">
      <c r="A128" s="658">
        <v>2.0</v>
      </c>
      <c r="B128" s="658" t="s">
        <v>1444</v>
      </c>
      <c r="C128" s="658">
        <v>2.0</v>
      </c>
      <c r="D128" s="678">
        <v>3.2</v>
      </c>
      <c r="E128" s="669"/>
      <c r="F128" s="658"/>
      <c r="G128" s="658"/>
      <c r="H128" s="659">
        <v>45141.0</v>
      </c>
    </row>
    <row r="129">
      <c r="A129" s="658">
        <v>3.0</v>
      </c>
      <c r="B129" s="658" t="s">
        <v>3673</v>
      </c>
      <c r="C129" s="658">
        <v>2.0</v>
      </c>
      <c r="D129" s="678">
        <v>10.0</v>
      </c>
      <c r="E129" s="676">
        <v>1.0</v>
      </c>
      <c r="F129" s="658" t="s">
        <v>1518</v>
      </c>
      <c r="G129" s="658" t="s">
        <v>1554</v>
      </c>
      <c r="H129" s="679">
        <v>45141.0</v>
      </c>
    </row>
    <row r="130">
      <c r="A130" s="658">
        <v>4.0</v>
      </c>
      <c r="B130" s="655" t="s">
        <v>3765</v>
      </c>
      <c r="C130" s="658">
        <v>1.0</v>
      </c>
      <c r="D130" s="678">
        <v>2.5</v>
      </c>
      <c r="E130" s="676">
        <v>1.0</v>
      </c>
      <c r="F130" s="655" t="s">
        <v>3766</v>
      </c>
      <c r="G130" s="714" t="s">
        <v>3767</v>
      </c>
      <c r="H130" s="679">
        <v>44813.0</v>
      </c>
    </row>
    <row r="131">
      <c r="A131" s="658">
        <v>5.0</v>
      </c>
      <c r="B131" s="655" t="s">
        <v>3768</v>
      </c>
      <c r="C131" s="655">
        <v>1.0</v>
      </c>
      <c r="D131" s="656">
        <v>2.7</v>
      </c>
      <c r="E131" s="715">
        <v>1.0</v>
      </c>
      <c r="F131" s="714" t="s">
        <v>3769</v>
      </c>
      <c r="G131" s="714" t="s">
        <v>3767</v>
      </c>
      <c r="H131" s="716">
        <v>44860.0</v>
      </c>
    </row>
    <row r="132">
      <c r="A132" s="662">
        <v>6.0</v>
      </c>
      <c r="B132" s="662" t="s">
        <v>2481</v>
      </c>
      <c r="C132" s="662"/>
      <c r="D132" s="673"/>
      <c r="E132" s="665"/>
      <c r="F132" s="662" t="s">
        <v>3770</v>
      </c>
      <c r="G132" s="662" t="s">
        <v>3771</v>
      </c>
      <c r="H132" s="681">
        <v>45084.0</v>
      </c>
    </row>
    <row r="133">
      <c r="A133" s="658">
        <v>7.0</v>
      </c>
      <c r="B133" s="658" t="s">
        <v>1652</v>
      </c>
      <c r="C133" s="658">
        <v>1.0</v>
      </c>
      <c r="D133" s="717">
        <v>2.8</v>
      </c>
      <c r="E133" s="676">
        <v>1.0</v>
      </c>
      <c r="F133" s="658" t="s">
        <v>3772</v>
      </c>
      <c r="G133" s="714" t="s">
        <v>3767</v>
      </c>
      <c r="H133" s="716">
        <v>45141.0</v>
      </c>
    </row>
    <row r="134">
      <c r="A134" s="658">
        <v>8.0</v>
      </c>
      <c r="B134" s="655" t="s">
        <v>2113</v>
      </c>
      <c r="C134" s="658">
        <v>1.0</v>
      </c>
      <c r="D134" s="678">
        <v>14.0</v>
      </c>
      <c r="E134" s="676">
        <v>1.0</v>
      </c>
      <c r="F134" s="655" t="s">
        <v>3773</v>
      </c>
      <c r="G134" s="714" t="s">
        <v>3767</v>
      </c>
      <c r="H134" s="716">
        <v>45173.0</v>
      </c>
    </row>
    <row r="135">
      <c r="A135" s="662">
        <v>9.0</v>
      </c>
      <c r="B135" s="662" t="s">
        <v>1944</v>
      </c>
      <c r="C135" s="662"/>
      <c r="D135" s="673"/>
      <c r="E135" s="665"/>
      <c r="F135" s="662" t="s">
        <v>3774</v>
      </c>
      <c r="G135" s="662" t="s">
        <v>3775</v>
      </c>
      <c r="H135" s="681">
        <v>45182.0</v>
      </c>
    </row>
    <row r="136">
      <c r="A136" s="662">
        <v>10.0</v>
      </c>
      <c r="B136" s="662" t="s">
        <v>1944</v>
      </c>
      <c r="C136" s="662"/>
      <c r="D136" s="673"/>
      <c r="E136" s="665"/>
      <c r="F136" s="662" t="s">
        <v>3776</v>
      </c>
      <c r="G136" s="662" t="s">
        <v>3777</v>
      </c>
      <c r="H136" s="681">
        <v>45182.0</v>
      </c>
    </row>
    <row r="137">
      <c r="A137" s="658">
        <v>11.0</v>
      </c>
      <c r="B137" s="655" t="s">
        <v>2996</v>
      </c>
      <c r="C137" s="655">
        <v>1.0</v>
      </c>
      <c r="D137" s="656">
        <v>10.0</v>
      </c>
      <c r="E137" s="676">
        <v>1.0</v>
      </c>
      <c r="F137" s="655" t="s">
        <v>3778</v>
      </c>
      <c r="G137" s="714" t="s">
        <v>3767</v>
      </c>
      <c r="H137" s="716">
        <v>45182.0</v>
      </c>
    </row>
    <row r="138">
      <c r="A138" s="658">
        <v>12.0</v>
      </c>
      <c r="B138" s="655" t="s">
        <v>1872</v>
      </c>
      <c r="C138" s="655">
        <v>1.0</v>
      </c>
      <c r="D138" s="656">
        <v>10.4</v>
      </c>
      <c r="E138" s="676">
        <v>1.0</v>
      </c>
      <c r="F138" s="655" t="s">
        <v>3779</v>
      </c>
      <c r="G138" s="714" t="s">
        <v>3767</v>
      </c>
      <c r="H138" s="716">
        <v>45205.0</v>
      </c>
    </row>
    <row r="139">
      <c r="A139" s="662">
        <v>13.0</v>
      </c>
      <c r="B139" s="662" t="s">
        <v>3780</v>
      </c>
      <c r="C139" s="662"/>
      <c r="D139" s="673"/>
      <c r="E139" s="665"/>
      <c r="F139" s="662" t="s">
        <v>3781</v>
      </c>
      <c r="G139" s="662" t="s">
        <v>3782</v>
      </c>
      <c r="H139" s="718">
        <v>45303.0</v>
      </c>
    </row>
    <row r="140">
      <c r="A140" s="658">
        <v>14.0</v>
      </c>
      <c r="B140" s="655" t="s">
        <v>2806</v>
      </c>
      <c r="C140" s="658">
        <v>1.0</v>
      </c>
      <c r="D140" s="678">
        <v>1.6</v>
      </c>
      <c r="E140" s="676"/>
      <c r="F140" s="658"/>
      <c r="G140" s="658" t="s">
        <v>3783</v>
      </c>
      <c r="H140" s="679">
        <v>45303.0</v>
      </c>
    </row>
    <row r="141">
      <c r="A141" s="714">
        <v>15.0</v>
      </c>
      <c r="B141" s="714" t="s">
        <v>3784</v>
      </c>
      <c r="C141" s="714">
        <v>1.0</v>
      </c>
      <c r="D141" s="717">
        <v>8.1</v>
      </c>
      <c r="E141" s="715">
        <v>1.0</v>
      </c>
      <c r="F141" s="714"/>
      <c r="G141" s="714" t="s">
        <v>3767</v>
      </c>
      <c r="H141" s="716">
        <v>45341.0</v>
      </c>
    </row>
    <row r="142">
      <c r="A142" s="662">
        <v>16.0</v>
      </c>
      <c r="B142" s="662" t="s">
        <v>3785</v>
      </c>
      <c r="C142" s="662"/>
      <c r="D142" s="673"/>
      <c r="E142" s="665"/>
      <c r="F142" s="662" t="s">
        <v>3786</v>
      </c>
      <c r="G142" s="662" t="s">
        <v>3767</v>
      </c>
      <c r="H142" s="681">
        <v>45377.0</v>
      </c>
    </row>
    <row r="143">
      <c r="A143" s="714">
        <v>17.0</v>
      </c>
      <c r="B143" s="714" t="s">
        <v>3784</v>
      </c>
      <c r="C143" s="714">
        <v>1.0</v>
      </c>
      <c r="D143" s="717">
        <v>5.0</v>
      </c>
      <c r="E143" s="715">
        <v>1.0</v>
      </c>
      <c r="F143" s="714" t="s">
        <v>3787</v>
      </c>
      <c r="G143" s="714" t="s">
        <v>3767</v>
      </c>
      <c r="H143" s="716">
        <v>45377.0</v>
      </c>
    </row>
    <row r="144">
      <c r="A144" s="714">
        <v>18.0</v>
      </c>
      <c r="B144" s="714" t="s">
        <v>1623</v>
      </c>
      <c r="C144" s="714">
        <v>1.0</v>
      </c>
      <c r="D144" s="717">
        <v>27.6</v>
      </c>
      <c r="E144" s="715">
        <v>2.0</v>
      </c>
      <c r="F144" s="714" t="s">
        <v>3788</v>
      </c>
      <c r="G144" s="714" t="s">
        <v>3789</v>
      </c>
      <c r="H144" s="716">
        <v>45494.0</v>
      </c>
    </row>
    <row r="145">
      <c r="A145" s="714">
        <v>19.0</v>
      </c>
      <c r="B145" s="714" t="s">
        <v>3790</v>
      </c>
      <c r="C145" s="714">
        <v>1.0</v>
      </c>
      <c r="D145" s="717">
        <v>8.0</v>
      </c>
      <c r="E145" s="715">
        <v>1.0</v>
      </c>
      <c r="F145" s="714" t="s">
        <v>3791</v>
      </c>
      <c r="G145" s="714" t="s">
        <v>3792</v>
      </c>
      <c r="H145" s="716">
        <v>45494.0</v>
      </c>
    </row>
    <row r="146">
      <c r="A146" s="714">
        <v>20.0</v>
      </c>
      <c r="B146" s="714" t="s">
        <v>3793</v>
      </c>
      <c r="C146" s="714">
        <v>1.0</v>
      </c>
      <c r="D146" s="717">
        <v>1.0</v>
      </c>
      <c r="E146" s="715">
        <v>1.0</v>
      </c>
      <c r="F146" s="714" t="s">
        <v>3794</v>
      </c>
      <c r="G146" s="714" t="s">
        <v>3789</v>
      </c>
      <c r="H146" s="716">
        <v>45494.0</v>
      </c>
    </row>
    <row r="147">
      <c r="A147" s="714">
        <v>21.0</v>
      </c>
      <c r="B147" s="714" t="s">
        <v>3793</v>
      </c>
      <c r="C147" s="714">
        <v>1.0</v>
      </c>
      <c r="D147" s="717">
        <v>1.0</v>
      </c>
      <c r="E147" s="715">
        <v>1.0</v>
      </c>
      <c r="F147" s="714" t="s">
        <v>3795</v>
      </c>
      <c r="G147" s="714" t="s">
        <v>3789</v>
      </c>
      <c r="H147" s="716">
        <v>45494.0</v>
      </c>
    </row>
    <row r="148">
      <c r="A148" s="714">
        <v>22.0</v>
      </c>
      <c r="B148" s="714" t="s">
        <v>3796</v>
      </c>
      <c r="C148" s="714">
        <v>1.0</v>
      </c>
      <c r="D148" s="717">
        <v>1.0</v>
      </c>
      <c r="E148" s="715">
        <v>1.0</v>
      </c>
      <c r="F148" s="714" t="s">
        <v>3797</v>
      </c>
      <c r="G148" s="714" t="s">
        <v>3789</v>
      </c>
      <c r="H148" s="716">
        <v>45494.0</v>
      </c>
    </row>
    <row r="149">
      <c r="A149" s="714">
        <v>23.0</v>
      </c>
      <c r="B149" s="714" t="s">
        <v>2204</v>
      </c>
      <c r="C149" s="714">
        <v>1.0</v>
      </c>
      <c r="D149" s="717">
        <v>2.0</v>
      </c>
      <c r="E149" s="715">
        <v>1.0</v>
      </c>
      <c r="F149" s="655" t="s">
        <v>3798</v>
      </c>
      <c r="G149" s="714" t="s">
        <v>3789</v>
      </c>
      <c r="H149" s="716">
        <v>45496.0</v>
      </c>
    </row>
    <row r="150">
      <c r="A150" s="714">
        <v>24.0</v>
      </c>
      <c r="B150" s="714" t="s">
        <v>3799</v>
      </c>
      <c r="C150" s="714">
        <v>1.0</v>
      </c>
      <c r="D150" s="717">
        <v>8.0</v>
      </c>
      <c r="E150" s="715">
        <v>1.0</v>
      </c>
      <c r="F150" s="655" t="s">
        <v>3800</v>
      </c>
      <c r="G150" s="714" t="s">
        <v>3792</v>
      </c>
      <c r="H150" s="716">
        <v>45494.0</v>
      </c>
    </row>
    <row r="151">
      <c r="A151" s="662">
        <v>25.0</v>
      </c>
      <c r="B151" s="662" t="s">
        <v>3801</v>
      </c>
      <c r="C151" s="662"/>
      <c r="D151" s="673"/>
      <c r="E151" s="665"/>
      <c r="F151" s="662" t="s">
        <v>3802</v>
      </c>
      <c r="G151" s="662" t="s">
        <v>3803</v>
      </c>
      <c r="H151" s="681">
        <v>45500.0</v>
      </c>
    </row>
    <row r="152">
      <c r="A152" s="714">
        <v>26.0</v>
      </c>
      <c r="B152" s="658" t="s">
        <v>3804</v>
      </c>
      <c r="C152" s="658">
        <v>1.0</v>
      </c>
      <c r="D152" s="678">
        <v>20.4</v>
      </c>
      <c r="E152" s="676">
        <v>20.4</v>
      </c>
      <c r="F152" s="655" t="s">
        <v>3776</v>
      </c>
      <c r="G152" s="658" t="s">
        <v>3805</v>
      </c>
      <c r="H152" s="679">
        <v>45569.0</v>
      </c>
    </row>
    <row r="153">
      <c r="A153" s="655">
        <v>27.0</v>
      </c>
      <c r="B153" s="655" t="s">
        <v>3806</v>
      </c>
      <c r="C153" s="655">
        <v>1.0</v>
      </c>
      <c r="D153" s="656">
        <v>17.7</v>
      </c>
      <c r="E153" s="657">
        <v>1.0</v>
      </c>
      <c r="F153" s="655" t="s">
        <v>3807</v>
      </c>
      <c r="G153" s="655" t="s">
        <v>3808</v>
      </c>
      <c r="H153" s="655" t="s">
        <v>3809</v>
      </c>
    </row>
    <row r="154">
      <c r="A154" s="714">
        <v>28.0</v>
      </c>
      <c r="B154" s="658" t="s">
        <v>3810</v>
      </c>
      <c r="C154" s="658">
        <v>1.0</v>
      </c>
      <c r="D154" s="678" t="s">
        <v>1518</v>
      </c>
      <c r="E154" s="676" t="s">
        <v>1518</v>
      </c>
      <c r="F154" s="655" t="s">
        <v>1518</v>
      </c>
      <c r="G154" s="658" t="s">
        <v>1518</v>
      </c>
      <c r="H154" s="658" t="s">
        <v>3811</v>
      </c>
    </row>
    <row r="155">
      <c r="A155" s="714">
        <v>29.0</v>
      </c>
      <c r="B155" s="655" t="s">
        <v>3812</v>
      </c>
      <c r="C155" s="658">
        <v>1.0</v>
      </c>
      <c r="D155" s="678">
        <v>11.6</v>
      </c>
      <c r="E155" s="676">
        <v>1.0</v>
      </c>
      <c r="F155" s="655" t="s">
        <v>3813</v>
      </c>
      <c r="G155" s="658" t="s">
        <v>3814</v>
      </c>
      <c r="H155" s="719">
        <v>45754.0</v>
      </c>
    </row>
    <row r="156">
      <c r="A156" s="658">
        <v>30.0</v>
      </c>
      <c r="B156" s="720" t="s">
        <v>3815</v>
      </c>
      <c r="C156" s="299">
        <v>1.0</v>
      </c>
      <c r="D156" s="678">
        <v>15.6</v>
      </c>
      <c r="E156" s="676">
        <v>2.0</v>
      </c>
      <c r="F156" s="658" t="s">
        <v>3816</v>
      </c>
      <c r="G156" s="658" t="s">
        <v>3814</v>
      </c>
      <c r="H156" s="679">
        <v>45676.0</v>
      </c>
    </row>
    <row r="157">
      <c r="A157" s="697" t="s">
        <v>1562</v>
      </c>
      <c r="B157" s="3"/>
      <c r="C157" s="658">
        <f>sum(C127:C154)</f>
        <v>24</v>
      </c>
      <c r="D157" s="678">
        <f>sum(D127:D155)</f>
        <v>318.6</v>
      </c>
      <c r="E157" s="676">
        <f>sum(E127:E156)</f>
        <v>42.4</v>
      </c>
      <c r="F157" s="658"/>
      <c r="G157" s="679"/>
      <c r="H157" s="679"/>
    </row>
    <row r="158">
      <c r="A158" s="689"/>
      <c r="B158" s="689"/>
      <c r="C158" s="689"/>
      <c r="D158" s="689"/>
      <c r="E158" s="689"/>
      <c r="F158" s="689"/>
      <c r="G158" s="689"/>
      <c r="H158" s="689"/>
    </row>
    <row r="159">
      <c r="A159" s="689"/>
      <c r="B159" s="689"/>
      <c r="C159" s="689"/>
      <c r="D159" s="689"/>
      <c r="E159" s="689"/>
      <c r="F159" s="689"/>
      <c r="G159" s="689"/>
      <c r="H159" s="689"/>
    </row>
    <row r="160">
      <c r="A160" s="649" t="s">
        <v>3817</v>
      </c>
      <c r="B160" s="2"/>
      <c r="C160" s="2"/>
      <c r="D160" s="2"/>
      <c r="E160" s="2"/>
      <c r="F160" s="2"/>
      <c r="G160" s="2"/>
      <c r="H160" s="3"/>
    </row>
    <row r="161">
      <c r="A161" s="691" t="s">
        <v>1435</v>
      </c>
      <c r="B161" s="692" t="s">
        <v>1436</v>
      </c>
      <c r="C161" s="691" t="s">
        <v>1843</v>
      </c>
      <c r="D161" s="693" t="s">
        <v>1438</v>
      </c>
      <c r="E161" s="694" t="s">
        <v>1564</v>
      </c>
      <c r="F161" s="691" t="s">
        <v>1440</v>
      </c>
      <c r="G161" s="691" t="s">
        <v>1565</v>
      </c>
      <c r="H161" s="695" t="s">
        <v>1441</v>
      </c>
    </row>
    <row r="162">
      <c r="A162" s="658">
        <v>1.0</v>
      </c>
      <c r="B162" s="658" t="s">
        <v>1443</v>
      </c>
      <c r="C162" s="658">
        <v>1.0</v>
      </c>
      <c r="D162" s="678">
        <v>150.0</v>
      </c>
      <c r="E162" s="676"/>
      <c r="F162" s="658" t="s">
        <v>1518</v>
      </c>
      <c r="G162" s="658" t="s">
        <v>1554</v>
      </c>
      <c r="H162" s="659">
        <v>45141.0</v>
      </c>
    </row>
    <row r="163">
      <c r="A163" s="658">
        <v>2.0</v>
      </c>
      <c r="B163" s="658" t="s">
        <v>1444</v>
      </c>
      <c r="C163" s="658">
        <v>2.0</v>
      </c>
      <c r="D163" s="678">
        <v>3.2</v>
      </c>
      <c r="E163" s="669"/>
      <c r="F163" s="658"/>
      <c r="G163" s="658" t="s">
        <v>1554</v>
      </c>
      <c r="H163" s="659">
        <v>45141.0</v>
      </c>
    </row>
    <row r="164">
      <c r="A164" s="658">
        <v>3.0</v>
      </c>
      <c r="B164" s="658" t="s">
        <v>3673</v>
      </c>
      <c r="C164" s="658">
        <v>1.0</v>
      </c>
      <c r="D164" s="678">
        <v>5.0</v>
      </c>
      <c r="E164" s="676">
        <v>1.0</v>
      </c>
      <c r="F164" s="658"/>
      <c r="G164" s="658" t="s">
        <v>1554</v>
      </c>
      <c r="H164" s="679">
        <v>45141.0</v>
      </c>
    </row>
    <row r="165">
      <c r="A165" s="662">
        <v>4.0</v>
      </c>
      <c r="B165" s="662" t="s">
        <v>3818</v>
      </c>
      <c r="C165" s="662">
        <v>1.0</v>
      </c>
      <c r="D165" s="673">
        <v>4.3</v>
      </c>
      <c r="E165" s="665">
        <v>1.0</v>
      </c>
      <c r="F165" s="662" t="s">
        <v>3819</v>
      </c>
      <c r="G165" s="662" t="s">
        <v>1554</v>
      </c>
      <c r="H165" s="662" t="s">
        <v>3820</v>
      </c>
    </row>
    <row r="166">
      <c r="A166" s="662">
        <v>5.0</v>
      </c>
      <c r="B166" s="662" t="s">
        <v>3821</v>
      </c>
      <c r="C166" s="662">
        <v>1.0</v>
      </c>
      <c r="D166" s="673">
        <v>14.6</v>
      </c>
      <c r="E166" s="665">
        <v>1.0</v>
      </c>
      <c r="F166" s="662" t="s">
        <v>3822</v>
      </c>
      <c r="G166" s="662" t="s">
        <v>1554</v>
      </c>
      <c r="H166" s="662" t="s">
        <v>3823</v>
      </c>
    </row>
    <row r="167">
      <c r="A167" s="662">
        <v>6.0</v>
      </c>
      <c r="B167" s="662" t="s">
        <v>3824</v>
      </c>
      <c r="C167" s="662">
        <v>1.0</v>
      </c>
      <c r="D167" s="673">
        <v>21.8</v>
      </c>
      <c r="E167" s="665">
        <v>2.0</v>
      </c>
      <c r="F167" s="662" t="s">
        <v>3825</v>
      </c>
      <c r="G167" s="662" t="s">
        <v>1554</v>
      </c>
      <c r="H167" s="662" t="s">
        <v>3826</v>
      </c>
    </row>
    <row r="168">
      <c r="A168" s="662">
        <v>7.0</v>
      </c>
      <c r="B168" s="662" t="s">
        <v>3827</v>
      </c>
      <c r="C168" s="662">
        <v>1.0</v>
      </c>
      <c r="D168" s="673">
        <v>1.1</v>
      </c>
      <c r="E168" s="665">
        <v>1.0</v>
      </c>
      <c r="F168" s="662" t="s">
        <v>3828</v>
      </c>
      <c r="G168" s="662" t="s">
        <v>1554</v>
      </c>
      <c r="H168" s="681">
        <v>45447.0</v>
      </c>
    </row>
    <row r="169">
      <c r="A169" s="662">
        <v>8.0</v>
      </c>
      <c r="B169" s="662" t="s">
        <v>3821</v>
      </c>
      <c r="C169" s="662">
        <v>1.0</v>
      </c>
      <c r="D169" s="673">
        <v>14.8</v>
      </c>
      <c r="E169" s="665">
        <v>1.0</v>
      </c>
      <c r="F169" s="662" t="s">
        <v>3829</v>
      </c>
      <c r="G169" s="662" t="s">
        <v>1554</v>
      </c>
      <c r="H169" s="681">
        <v>45447.0</v>
      </c>
    </row>
    <row r="170">
      <c r="A170" s="662">
        <v>9.0</v>
      </c>
      <c r="B170" s="662" t="s">
        <v>1526</v>
      </c>
      <c r="C170" s="662">
        <v>1.0</v>
      </c>
      <c r="D170" s="673">
        <v>9.9</v>
      </c>
      <c r="E170" s="665">
        <v>1.0</v>
      </c>
      <c r="F170" s="662" t="s">
        <v>3830</v>
      </c>
      <c r="G170" s="662" t="s">
        <v>1554</v>
      </c>
      <c r="H170" s="662" t="s">
        <v>3831</v>
      </c>
    </row>
    <row r="171">
      <c r="A171" s="662">
        <v>10.0</v>
      </c>
      <c r="B171" s="662" t="s">
        <v>3818</v>
      </c>
      <c r="C171" s="662">
        <v>1.0</v>
      </c>
      <c r="D171" s="673">
        <v>4.2</v>
      </c>
      <c r="E171" s="665" t="s">
        <v>2077</v>
      </c>
      <c r="F171" s="662">
        <v>1.02375038439E11</v>
      </c>
      <c r="G171" s="662" t="s">
        <v>1554</v>
      </c>
      <c r="H171" s="681">
        <v>45473.0</v>
      </c>
    </row>
    <row r="172">
      <c r="A172" s="662">
        <v>11.0</v>
      </c>
      <c r="B172" s="662" t="s">
        <v>3105</v>
      </c>
      <c r="C172" s="662">
        <v>1.0</v>
      </c>
      <c r="D172" s="673">
        <v>2.0</v>
      </c>
      <c r="E172" s="665">
        <v>1.0</v>
      </c>
      <c r="F172" s="662" t="s">
        <v>3832</v>
      </c>
      <c r="G172" s="662" t="s">
        <v>1554</v>
      </c>
      <c r="H172" s="662" t="s">
        <v>3833</v>
      </c>
    </row>
    <row r="173">
      <c r="A173" s="655"/>
      <c r="B173" s="655"/>
      <c r="C173" s="655"/>
      <c r="D173" s="655"/>
      <c r="E173" s="655"/>
      <c r="F173" s="655"/>
      <c r="G173" s="655"/>
      <c r="H173" s="655"/>
    </row>
    <row r="174">
      <c r="A174" s="649" t="s">
        <v>3834</v>
      </c>
      <c r="B174" s="2"/>
      <c r="C174" s="2"/>
      <c r="D174" s="2"/>
      <c r="E174" s="2"/>
      <c r="F174" s="2"/>
      <c r="G174" s="2"/>
      <c r="H174" s="3"/>
    </row>
    <row r="175">
      <c r="A175" s="658">
        <v>1.0</v>
      </c>
      <c r="B175" s="667" t="s">
        <v>2627</v>
      </c>
      <c r="C175" s="668">
        <v>1.0</v>
      </c>
      <c r="D175" s="721">
        <v>20.0</v>
      </c>
      <c r="E175" s="669">
        <v>2.0</v>
      </c>
      <c r="F175" s="667" t="s">
        <v>3835</v>
      </c>
      <c r="G175" s="668" t="s">
        <v>3836</v>
      </c>
      <c r="H175" s="655" t="s">
        <v>3837</v>
      </c>
    </row>
    <row r="176">
      <c r="A176" s="658">
        <v>2.0</v>
      </c>
      <c r="B176" s="667" t="s">
        <v>3460</v>
      </c>
      <c r="C176" s="668">
        <v>1.0</v>
      </c>
      <c r="D176" s="721">
        <v>2.0</v>
      </c>
      <c r="E176" s="669">
        <v>1.0</v>
      </c>
      <c r="F176" s="667" t="s">
        <v>3838</v>
      </c>
      <c r="G176" s="668" t="s">
        <v>3836</v>
      </c>
      <c r="H176" s="655" t="s">
        <v>3837</v>
      </c>
    </row>
    <row r="177">
      <c r="A177" s="658">
        <v>3.0</v>
      </c>
      <c r="B177" s="655" t="s">
        <v>2016</v>
      </c>
      <c r="C177" s="658">
        <v>1.0</v>
      </c>
      <c r="D177" s="678">
        <v>14.8</v>
      </c>
      <c r="E177" s="676">
        <v>1.0</v>
      </c>
      <c r="F177" s="714"/>
      <c r="G177" s="668" t="s">
        <v>3836</v>
      </c>
      <c r="H177" s="655" t="s">
        <v>3837</v>
      </c>
    </row>
    <row r="178">
      <c r="A178" s="662">
        <v>4.0</v>
      </c>
      <c r="B178" s="662" t="s">
        <v>3000</v>
      </c>
      <c r="C178" s="662"/>
      <c r="D178" s="673"/>
      <c r="E178" s="665"/>
      <c r="F178" s="662" t="s">
        <v>3839</v>
      </c>
      <c r="G178" s="662" t="s">
        <v>3840</v>
      </c>
      <c r="H178" s="662" t="s">
        <v>3841</v>
      </c>
    </row>
    <row r="179">
      <c r="A179" s="658">
        <v>5.0</v>
      </c>
      <c r="B179" s="655" t="s">
        <v>3673</v>
      </c>
      <c r="C179" s="658">
        <v>1.0</v>
      </c>
      <c r="D179" s="678">
        <v>5.0</v>
      </c>
      <c r="E179" s="676">
        <v>1.0</v>
      </c>
      <c r="F179" s="655"/>
      <c r="G179" s="658"/>
      <c r="H179" s="679">
        <v>45141.0</v>
      </c>
    </row>
    <row r="180">
      <c r="A180" s="655">
        <v>6.0</v>
      </c>
      <c r="B180" s="655" t="s">
        <v>1872</v>
      </c>
      <c r="C180" s="655">
        <v>1.0</v>
      </c>
      <c r="D180" s="656">
        <v>10.5</v>
      </c>
      <c r="E180" s="657">
        <v>2.0</v>
      </c>
      <c r="F180" s="655" t="s">
        <v>3842</v>
      </c>
      <c r="G180" s="655" t="s">
        <v>3840</v>
      </c>
      <c r="H180" s="659">
        <v>45902.0</v>
      </c>
    </row>
    <row r="181">
      <c r="A181" s="662">
        <v>7.0</v>
      </c>
      <c r="B181" s="662" t="s">
        <v>2393</v>
      </c>
      <c r="C181" s="662">
        <v>1.0</v>
      </c>
      <c r="D181" s="673">
        <v>14.8</v>
      </c>
      <c r="E181" s="665">
        <v>1.0</v>
      </c>
      <c r="F181" s="662"/>
      <c r="G181" s="662" t="s">
        <v>3840</v>
      </c>
      <c r="H181" s="662" t="s">
        <v>3843</v>
      </c>
    </row>
    <row r="182">
      <c r="A182" s="697" t="s">
        <v>1562</v>
      </c>
      <c r="B182" s="3"/>
      <c r="C182" s="658">
        <f>sum(C162:C181)</f>
        <v>18</v>
      </c>
      <c r="D182" s="678">
        <f t="shared" ref="D182:E182" si="7">sum(D162:D178)</f>
        <v>267.7</v>
      </c>
      <c r="E182" s="676">
        <f t="shared" si="7"/>
        <v>13</v>
      </c>
      <c r="F182" s="658"/>
      <c r="G182" s="679"/>
      <c r="H182" s="679"/>
    </row>
    <row r="183">
      <c r="A183" s="689"/>
      <c r="B183" s="689"/>
      <c r="C183" s="689"/>
      <c r="D183" s="689"/>
      <c r="E183" s="689"/>
      <c r="F183" s="689"/>
      <c r="G183" s="689"/>
      <c r="H183" s="689"/>
    </row>
    <row r="184">
      <c r="A184" s="649" t="s">
        <v>3844</v>
      </c>
      <c r="B184" s="2"/>
      <c r="C184" s="2"/>
      <c r="D184" s="2"/>
      <c r="E184" s="2"/>
      <c r="F184" s="2"/>
      <c r="G184" s="2"/>
      <c r="H184" s="3"/>
    </row>
    <row r="185">
      <c r="A185" s="691" t="s">
        <v>1435</v>
      </c>
      <c r="B185" s="691" t="s">
        <v>3845</v>
      </c>
      <c r="C185" s="691" t="s">
        <v>1843</v>
      </c>
      <c r="D185" s="693" t="s">
        <v>1438</v>
      </c>
      <c r="E185" s="694" t="s">
        <v>1564</v>
      </c>
      <c r="F185" s="691" t="s">
        <v>1440</v>
      </c>
      <c r="G185" s="691" t="s">
        <v>1565</v>
      </c>
      <c r="H185" s="695" t="s">
        <v>1441</v>
      </c>
    </row>
    <row r="186">
      <c r="A186" s="658">
        <v>1.0</v>
      </c>
      <c r="B186" s="658" t="s">
        <v>3846</v>
      </c>
      <c r="C186" s="658">
        <v>1.0</v>
      </c>
      <c r="D186" s="678">
        <v>2.0</v>
      </c>
      <c r="E186" s="658">
        <v>1.0</v>
      </c>
      <c r="F186" s="689"/>
      <c r="G186" s="658" t="s">
        <v>1554</v>
      </c>
      <c r="H186" s="679">
        <v>45898.0</v>
      </c>
    </row>
    <row r="187">
      <c r="A187" s="658">
        <v>2.0</v>
      </c>
      <c r="B187" s="658" t="s">
        <v>3460</v>
      </c>
      <c r="C187" s="658">
        <v>1.0</v>
      </c>
      <c r="D187" s="678">
        <v>2.0</v>
      </c>
      <c r="E187" s="676">
        <v>1.0</v>
      </c>
      <c r="F187" s="658"/>
      <c r="G187" s="658" t="s">
        <v>1554</v>
      </c>
      <c r="H187" s="679">
        <v>45898.0</v>
      </c>
    </row>
    <row r="188">
      <c r="A188" s="697" t="s">
        <v>1562</v>
      </c>
      <c r="B188" s="3"/>
      <c r="C188" s="658">
        <f>sum(C170:C187)</f>
        <v>29</v>
      </c>
      <c r="D188" s="678">
        <f t="shared" ref="D188:E188" si="8">sum(D170:D185)</f>
        <v>350.9</v>
      </c>
      <c r="E188" s="676">
        <f t="shared" si="8"/>
        <v>23</v>
      </c>
      <c r="F188" s="658"/>
      <c r="G188" s="679"/>
      <c r="H188" s="679"/>
    </row>
    <row r="189">
      <c r="A189" s="689"/>
      <c r="B189" s="689"/>
      <c r="C189" s="689"/>
      <c r="D189" s="689"/>
      <c r="E189" s="689"/>
      <c r="F189" s="689"/>
      <c r="G189" s="689"/>
      <c r="H189" s="689"/>
    </row>
    <row r="190">
      <c r="A190" s="649" t="s">
        <v>3847</v>
      </c>
      <c r="B190" s="2"/>
      <c r="C190" s="2"/>
      <c r="D190" s="2"/>
      <c r="E190" s="2"/>
      <c r="F190" s="2"/>
      <c r="G190" s="2"/>
      <c r="H190" s="3"/>
    </row>
    <row r="191">
      <c r="A191" s="722" t="s">
        <v>1435</v>
      </c>
      <c r="B191" s="722" t="s">
        <v>1436</v>
      </c>
      <c r="C191" s="722" t="s">
        <v>1843</v>
      </c>
      <c r="D191" s="664" t="s">
        <v>1438</v>
      </c>
      <c r="E191" s="723" t="s">
        <v>1564</v>
      </c>
      <c r="F191" s="722" t="s">
        <v>1440</v>
      </c>
      <c r="G191" s="722" t="s">
        <v>1844</v>
      </c>
      <c r="H191" s="724" t="s">
        <v>1441</v>
      </c>
    </row>
    <row r="192">
      <c r="A192" s="662">
        <v>1.0</v>
      </c>
      <c r="B192" s="662" t="s">
        <v>1443</v>
      </c>
      <c r="C192" s="662"/>
      <c r="D192" s="673"/>
      <c r="E192" s="662"/>
      <c r="F192" s="662"/>
      <c r="G192" s="662"/>
      <c r="H192" s="662"/>
    </row>
    <row r="193">
      <c r="A193" s="662">
        <v>2.0</v>
      </c>
      <c r="B193" s="662" t="s">
        <v>1444</v>
      </c>
      <c r="C193" s="662"/>
      <c r="D193" s="673"/>
      <c r="E193" s="723"/>
      <c r="F193" s="662"/>
      <c r="G193" s="662"/>
      <c r="H193" s="725"/>
    </row>
    <row r="194">
      <c r="A194" s="662">
        <v>3.0</v>
      </c>
      <c r="B194" s="662" t="s">
        <v>3673</v>
      </c>
      <c r="C194" s="662"/>
      <c r="D194" s="673"/>
      <c r="E194" s="665"/>
      <c r="F194" s="662"/>
      <c r="G194" s="662"/>
      <c r="H194" s="662" t="s">
        <v>3848</v>
      </c>
    </row>
    <row r="195">
      <c r="A195" s="662">
        <v>4.0</v>
      </c>
      <c r="B195" s="662" t="s">
        <v>3849</v>
      </c>
      <c r="C195" s="662"/>
      <c r="D195" s="673"/>
      <c r="E195" s="665"/>
      <c r="F195" s="662" t="s">
        <v>3850</v>
      </c>
      <c r="G195" s="662" t="s">
        <v>1554</v>
      </c>
      <c r="H195" s="725">
        <v>45188.0</v>
      </c>
    </row>
    <row r="196">
      <c r="A196" s="662">
        <v>5.0</v>
      </c>
      <c r="B196" s="662" t="s">
        <v>1635</v>
      </c>
      <c r="C196" s="662"/>
      <c r="D196" s="673"/>
      <c r="E196" s="665"/>
      <c r="F196" s="662" t="s">
        <v>3123</v>
      </c>
      <c r="G196" s="662" t="s">
        <v>3851</v>
      </c>
      <c r="H196" s="725">
        <v>45188.0</v>
      </c>
    </row>
    <row r="197">
      <c r="A197" s="662">
        <v>6.0</v>
      </c>
      <c r="B197" s="662" t="s">
        <v>1635</v>
      </c>
      <c r="C197" s="662"/>
      <c r="D197" s="673"/>
      <c r="E197" s="665"/>
      <c r="F197" s="662" t="s">
        <v>3852</v>
      </c>
      <c r="G197" s="662" t="s">
        <v>3853</v>
      </c>
      <c r="H197" s="725">
        <v>45188.0</v>
      </c>
    </row>
    <row r="198">
      <c r="A198" s="662">
        <v>7.0</v>
      </c>
      <c r="B198" s="662" t="s">
        <v>1635</v>
      </c>
      <c r="C198" s="662"/>
      <c r="D198" s="673"/>
      <c r="E198" s="665"/>
      <c r="F198" s="662" t="s">
        <v>3854</v>
      </c>
      <c r="G198" s="662" t="s">
        <v>1554</v>
      </c>
      <c r="H198" s="725">
        <v>45199.0</v>
      </c>
    </row>
    <row r="199">
      <c r="A199" s="662">
        <v>8.0</v>
      </c>
      <c r="B199" s="662" t="s">
        <v>1635</v>
      </c>
      <c r="C199" s="662"/>
      <c r="D199" s="673"/>
      <c r="E199" s="665"/>
      <c r="F199" s="662" t="s">
        <v>3855</v>
      </c>
      <c r="G199" s="662" t="s">
        <v>1554</v>
      </c>
      <c r="H199" s="725">
        <v>45199.0</v>
      </c>
    </row>
    <row r="200">
      <c r="A200" s="662">
        <v>9.0</v>
      </c>
      <c r="B200" s="662" t="s">
        <v>2879</v>
      </c>
      <c r="C200" s="662"/>
      <c r="D200" s="673"/>
      <c r="E200" s="665"/>
      <c r="F200" s="662" t="s">
        <v>3856</v>
      </c>
      <c r="G200" s="662" t="s">
        <v>3857</v>
      </c>
      <c r="H200" s="725">
        <v>45271.0</v>
      </c>
    </row>
    <row r="201">
      <c r="A201" s="662">
        <v>10.0</v>
      </c>
      <c r="B201" s="726" t="s">
        <v>3858</v>
      </c>
      <c r="C201" s="662"/>
      <c r="D201" s="727"/>
      <c r="E201" s="665"/>
      <c r="F201" s="662" t="s">
        <v>3859</v>
      </c>
      <c r="G201" s="662" t="s">
        <v>1554</v>
      </c>
      <c r="H201" s="725">
        <v>45279.0</v>
      </c>
    </row>
    <row r="202">
      <c r="A202" s="662">
        <v>11.0</v>
      </c>
      <c r="B202" s="662" t="s">
        <v>3849</v>
      </c>
      <c r="C202" s="662"/>
      <c r="D202" s="673"/>
      <c r="E202" s="665"/>
      <c r="F202" s="662" t="s">
        <v>3860</v>
      </c>
      <c r="G202" s="662" t="s">
        <v>1554</v>
      </c>
      <c r="H202" s="725">
        <v>45380.0</v>
      </c>
    </row>
    <row r="203">
      <c r="A203" s="662">
        <v>12.0</v>
      </c>
      <c r="B203" s="726" t="s">
        <v>3858</v>
      </c>
      <c r="C203" s="662"/>
      <c r="D203" s="727"/>
      <c r="E203" s="665"/>
      <c r="F203" s="662" t="s">
        <v>3861</v>
      </c>
      <c r="G203" s="662" t="s">
        <v>1554</v>
      </c>
      <c r="H203" s="725">
        <v>45380.0</v>
      </c>
    </row>
    <row r="204">
      <c r="A204" s="662">
        <v>13.0</v>
      </c>
      <c r="B204" s="726" t="s">
        <v>2553</v>
      </c>
      <c r="C204" s="662"/>
      <c r="D204" s="727"/>
      <c r="E204" s="665"/>
      <c r="F204" s="662"/>
      <c r="G204" s="662" t="s">
        <v>1554</v>
      </c>
      <c r="H204" s="725">
        <v>45380.0</v>
      </c>
    </row>
    <row r="205">
      <c r="A205" s="662">
        <v>14.0</v>
      </c>
      <c r="B205" s="726" t="s">
        <v>1635</v>
      </c>
      <c r="C205" s="662"/>
      <c r="D205" s="727"/>
      <c r="E205" s="665"/>
      <c r="F205" s="662"/>
      <c r="G205" s="662" t="s">
        <v>1554</v>
      </c>
      <c r="H205" s="725">
        <v>45478.0</v>
      </c>
    </row>
    <row r="206">
      <c r="A206" s="662">
        <v>15.0</v>
      </c>
      <c r="B206" s="726" t="s">
        <v>1635</v>
      </c>
      <c r="C206" s="662"/>
      <c r="D206" s="673"/>
      <c r="E206" s="665"/>
      <c r="F206" s="665" t="s">
        <v>3862</v>
      </c>
      <c r="G206" s="662" t="s">
        <v>158</v>
      </c>
      <c r="H206" s="681">
        <v>45573.0</v>
      </c>
    </row>
    <row r="207">
      <c r="A207" s="728" t="s">
        <v>1562</v>
      </c>
      <c r="B207" s="2"/>
      <c r="C207" s="3"/>
      <c r="D207" s="673">
        <f t="shared" ref="D207:E207" si="9">sum(D195:D206)</f>
        <v>0</v>
      </c>
      <c r="E207" s="665">
        <f t="shared" si="9"/>
        <v>0</v>
      </c>
      <c r="F207" s="665"/>
      <c r="G207" s="662"/>
      <c r="H207" s="681"/>
    </row>
    <row r="208">
      <c r="A208" s="658"/>
      <c r="B208" s="658"/>
      <c r="C208" s="658"/>
      <c r="D208" s="658"/>
      <c r="E208" s="658"/>
      <c r="F208" s="658"/>
      <c r="G208" s="658"/>
      <c r="H208" s="658"/>
    </row>
    <row r="209">
      <c r="A209" s="658"/>
      <c r="B209" s="658"/>
      <c r="C209" s="658"/>
      <c r="D209" s="658"/>
      <c r="E209" s="658"/>
      <c r="F209" s="658"/>
      <c r="G209" s="658"/>
      <c r="H209" s="658"/>
    </row>
    <row r="210">
      <c r="A210" s="649" t="s">
        <v>3863</v>
      </c>
      <c r="B210" s="2"/>
      <c r="C210" s="2"/>
      <c r="D210" s="2"/>
      <c r="E210" s="2"/>
      <c r="F210" s="2"/>
      <c r="G210" s="2"/>
      <c r="H210" s="3"/>
    </row>
    <row r="211">
      <c r="A211" s="691" t="s">
        <v>1435</v>
      </c>
      <c r="B211" s="692" t="s">
        <v>1436</v>
      </c>
      <c r="C211" s="691" t="s">
        <v>1843</v>
      </c>
      <c r="D211" s="693" t="s">
        <v>1438</v>
      </c>
      <c r="E211" s="694" t="s">
        <v>1564</v>
      </c>
      <c r="F211" s="691" t="s">
        <v>1440</v>
      </c>
      <c r="G211" s="691" t="s">
        <v>1565</v>
      </c>
      <c r="H211" s="695" t="s">
        <v>1441</v>
      </c>
    </row>
    <row r="212">
      <c r="A212" s="658">
        <v>1.0</v>
      </c>
      <c r="B212" s="658" t="s">
        <v>3673</v>
      </c>
      <c r="C212" s="658">
        <v>1.0</v>
      </c>
      <c r="D212" s="678">
        <v>9.0</v>
      </c>
      <c r="E212" s="676">
        <v>1.0</v>
      </c>
      <c r="F212" s="658" t="s">
        <v>1518</v>
      </c>
      <c r="G212" s="658" t="s">
        <v>1554</v>
      </c>
      <c r="H212" s="679">
        <v>45141.0</v>
      </c>
    </row>
    <row r="213">
      <c r="A213" s="658">
        <v>2.0</v>
      </c>
      <c r="B213" s="658" t="s">
        <v>1443</v>
      </c>
      <c r="C213" s="658">
        <v>1.0</v>
      </c>
      <c r="D213" s="678">
        <v>150.0</v>
      </c>
      <c r="E213" s="676"/>
      <c r="F213" s="658"/>
      <c r="G213" s="658" t="s">
        <v>1554</v>
      </c>
      <c r="H213" s="679">
        <v>45141.0</v>
      </c>
    </row>
    <row r="214">
      <c r="A214" s="658">
        <v>3.0</v>
      </c>
      <c r="B214" s="658" t="s">
        <v>1444</v>
      </c>
      <c r="C214" s="658">
        <v>2.0</v>
      </c>
      <c r="D214" s="678">
        <f>3.2*C214</f>
        <v>6.4</v>
      </c>
      <c r="E214" s="676"/>
      <c r="F214" s="658"/>
      <c r="G214" s="658" t="s">
        <v>1554</v>
      </c>
      <c r="H214" s="679">
        <v>45141.0</v>
      </c>
    </row>
    <row r="215">
      <c r="A215" s="658">
        <v>5.0</v>
      </c>
      <c r="B215" s="658" t="s">
        <v>3864</v>
      </c>
      <c r="C215" s="658">
        <v>1.0</v>
      </c>
      <c r="D215" s="678">
        <v>2.0</v>
      </c>
      <c r="E215" s="676">
        <v>1.0</v>
      </c>
      <c r="F215" s="658" t="s">
        <v>3865</v>
      </c>
      <c r="G215" s="658" t="s">
        <v>3866</v>
      </c>
      <c r="H215" s="696">
        <v>45233.0</v>
      </c>
    </row>
    <row r="216">
      <c r="A216" s="658">
        <v>6.0</v>
      </c>
      <c r="B216" s="658" t="s">
        <v>2553</v>
      </c>
      <c r="C216" s="658">
        <v>1.0</v>
      </c>
      <c r="D216" s="678">
        <v>2.0</v>
      </c>
      <c r="E216" s="676">
        <v>1.0</v>
      </c>
      <c r="F216" s="658" t="s">
        <v>3867</v>
      </c>
      <c r="G216" s="658" t="s">
        <v>3868</v>
      </c>
      <c r="H216" s="696">
        <v>45526.0</v>
      </c>
    </row>
    <row r="217">
      <c r="A217" s="658">
        <v>7.0</v>
      </c>
      <c r="B217" s="658" t="s">
        <v>3113</v>
      </c>
      <c r="C217" s="658">
        <v>1.0</v>
      </c>
      <c r="D217" s="678">
        <v>2.0</v>
      </c>
      <c r="E217" s="676">
        <v>1.0</v>
      </c>
      <c r="F217" s="658" t="s">
        <v>3869</v>
      </c>
      <c r="G217" s="658" t="s">
        <v>3868</v>
      </c>
      <c r="H217" s="696">
        <v>45526.0</v>
      </c>
    </row>
    <row r="218">
      <c r="A218" s="658">
        <v>8.0</v>
      </c>
      <c r="B218" s="658" t="s">
        <v>1983</v>
      </c>
      <c r="C218" s="658">
        <v>1.0</v>
      </c>
      <c r="D218" s="678">
        <v>18.58</v>
      </c>
      <c r="E218" s="676">
        <v>1.0</v>
      </c>
      <c r="F218" s="658" t="s">
        <v>3870</v>
      </c>
      <c r="G218" s="658" t="s">
        <v>3868</v>
      </c>
      <c r="H218" s="696">
        <v>45526.0</v>
      </c>
    </row>
    <row r="219">
      <c r="A219" s="658">
        <v>9.0</v>
      </c>
      <c r="B219" s="662" t="s">
        <v>1652</v>
      </c>
      <c r="C219" s="662">
        <v>1.0</v>
      </c>
      <c r="D219" s="673">
        <v>3.2</v>
      </c>
      <c r="E219" s="665">
        <v>1.0</v>
      </c>
      <c r="F219" s="662" t="s">
        <v>3871</v>
      </c>
      <c r="G219" s="662" t="s">
        <v>3868</v>
      </c>
      <c r="H219" s="662" t="s">
        <v>3872</v>
      </c>
    </row>
    <row r="220">
      <c r="A220" s="658"/>
      <c r="B220" s="658" t="s">
        <v>3873</v>
      </c>
      <c r="C220" s="658">
        <v>1.0</v>
      </c>
      <c r="D220" s="678">
        <v>10.1</v>
      </c>
      <c r="E220" s="676">
        <v>1.0</v>
      </c>
      <c r="F220" s="658" t="s">
        <v>3874</v>
      </c>
      <c r="G220" s="658" t="s">
        <v>3868</v>
      </c>
      <c r="H220" s="679">
        <v>45924.0</v>
      </c>
    </row>
    <row r="221">
      <c r="A221" s="697" t="s">
        <v>1562</v>
      </c>
      <c r="B221" s="3"/>
      <c r="C221" s="658">
        <f>sum(C212:C219)</f>
        <v>9</v>
      </c>
      <c r="D221" s="678">
        <f t="shared" ref="D221:E221" si="10">sum(D212:D220)</f>
        <v>203.28</v>
      </c>
      <c r="E221" s="676">
        <f t="shared" si="10"/>
        <v>7</v>
      </c>
      <c r="F221" s="658"/>
      <c r="G221" s="679"/>
      <c r="H221" s="679"/>
    </row>
    <row r="222">
      <c r="A222" s="689"/>
      <c r="B222" s="689"/>
      <c r="C222" s="689"/>
      <c r="D222" s="689"/>
      <c r="E222" s="689"/>
      <c r="F222" s="689"/>
      <c r="G222" s="689"/>
      <c r="H222" s="689"/>
    </row>
    <row r="223">
      <c r="A223" s="689"/>
      <c r="B223" s="689"/>
      <c r="C223" s="689"/>
      <c r="D223" s="689"/>
      <c r="E223" s="689"/>
      <c r="F223" s="689"/>
      <c r="G223" s="689"/>
      <c r="H223" s="689"/>
    </row>
    <row r="224">
      <c r="A224" s="649" t="s">
        <v>3875</v>
      </c>
      <c r="B224" s="2"/>
      <c r="C224" s="2"/>
      <c r="D224" s="2"/>
      <c r="E224" s="2"/>
      <c r="F224" s="2"/>
      <c r="G224" s="2"/>
      <c r="H224" s="3"/>
    </row>
    <row r="225">
      <c r="A225" s="691" t="s">
        <v>1435</v>
      </c>
      <c r="B225" s="692" t="s">
        <v>1436</v>
      </c>
      <c r="C225" s="691" t="s">
        <v>1843</v>
      </c>
      <c r="D225" s="693" t="s">
        <v>1438</v>
      </c>
      <c r="E225" s="694" t="s">
        <v>1564</v>
      </c>
      <c r="F225" s="691" t="s">
        <v>1440</v>
      </c>
      <c r="G225" s="691" t="s">
        <v>1565</v>
      </c>
      <c r="H225" s="695" t="s">
        <v>1441</v>
      </c>
    </row>
    <row r="226">
      <c r="A226" s="658">
        <v>1.0</v>
      </c>
      <c r="B226" s="658" t="s">
        <v>1443</v>
      </c>
      <c r="C226" s="658">
        <v>1.0</v>
      </c>
      <c r="D226" s="678">
        <v>150.0</v>
      </c>
      <c r="E226" s="676"/>
      <c r="F226" s="658"/>
      <c r="G226" s="658" t="s">
        <v>1554</v>
      </c>
      <c r="H226" s="679">
        <v>45141.0</v>
      </c>
    </row>
    <row r="227">
      <c r="A227" s="658">
        <v>2.0</v>
      </c>
      <c r="B227" s="658" t="s">
        <v>1444</v>
      </c>
      <c r="C227" s="658">
        <v>2.0</v>
      </c>
      <c r="D227" s="678">
        <v>3.2</v>
      </c>
      <c r="E227" s="676"/>
      <c r="F227" s="658"/>
      <c r="G227" s="658" t="s">
        <v>1554</v>
      </c>
      <c r="H227" s="679">
        <v>45141.0</v>
      </c>
    </row>
    <row r="228">
      <c r="A228" s="658">
        <v>3.0</v>
      </c>
      <c r="B228" s="658" t="s">
        <v>3673</v>
      </c>
      <c r="C228" s="658">
        <v>1.0</v>
      </c>
      <c r="D228" s="678">
        <v>5.0</v>
      </c>
      <c r="E228" s="676">
        <v>1.0</v>
      </c>
      <c r="F228" s="658"/>
      <c r="G228" s="658" t="s">
        <v>1554</v>
      </c>
      <c r="H228" s="679">
        <v>45141.0</v>
      </c>
    </row>
    <row r="229">
      <c r="A229" s="658">
        <v>4.0</v>
      </c>
      <c r="B229" s="658" t="s">
        <v>3876</v>
      </c>
      <c r="C229" s="658">
        <v>1.0</v>
      </c>
      <c r="D229" s="678">
        <v>5.2</v>
      </c>
      <c r="E229" s="676">
        <v>2.0</v>
      </c>
      <c r="F229" s="658" t="s">
        <v>3877</v>
      </c>
      <c r="G229" s="658" t="s">
        <v>1554</v>
      </c>
      <c r="H229" s="679">
        <v>45366.0</v>
      </c>
    </row>
    <row r="230">
      <c r="A230" s="658">
        <v>5.0</v>
      </c>
      <c r="B230" s="658" t="s">
        <v>3876</v>
      </c>
      <c r="C230" s="658">
        <v>1.0</v>
      </c>
      <c r="D230" s="678">
        <v>5.2</v>
      </c>
      <c r="E230" s="676">
        <v>2.0</v>
      </c>
      <c r="F230" s="658" t="s">
        <v>3878</v>
      </c>
      <c r="G230" s="658" t="s">
        <v>1554</v>
      </c>
      <c r="H230" s="679">
        <v>45366.0</v>
      </c>
    </row>
    <row r="231">
      <c r="A231" s="658">
        <v>6.0</v>
      </c>
      <c r="B231" s="658" t="s">
        <v>3876</v>
      </c>
      <c r="C231" s="658">
        <v>1.0</v>
      </c>
      <c r="D231" s="678">
        <v>5.2</v>
      </c>
      <c r="E231" s="676">
        <v>2.0</v>
      </c>
      <c r="F231" s="658" t="s">
        <v>3879</v>
      </c>
      <c r="G231" s="658" t="s">
        <v>1554</v>
      </c>
      <c r="H231" s="679">
        <v>45366.0</v>
      </c>
    </row>
    <row r="232">
      <c r="A232" s="658">
        <v>7.0</v>
      </c>
      <c r="B232" s="658" t="s">
        <v>3876</v>
      </c>
      <c r="C232" s="658">
        <v>1.0</v>
      </c>
      <c r="D232" s="678">
        <v>5.2</v>
      </c>
      <c r="E232" s="676">
        <v>2.0</v>
      </c>
      <c r="F232" s="658" t="s">
        <v>3880</v>
      </c>
      <c r="G232" s="658" t="s">
        <v>1554</v>
      </c>
      <c r="H232" s="679">
        <v>45366.0</v>
      </c>
    </row>
    <row r="233">
      <c r="A233" s="658">
        <v>8.0</v>
      </c>
      <c r="B233" s="658" t="s">
        <v>3876</v>
      </c>
      <c r="C233" s="658">
        <v>1.0</v>
      </c>
      <c r="D233" s="678">
        <v>5.2</v>
      </c>
      <c r="E233" s="676">
        <v>2.0</v>
      </c>
      <c r="F233" s="658" t="s">
        <v>3881</v>
      </c>
      <c r="G233" s="658" t="s">
        <v>1554</v>
      </c>
      <c r="H233" s="679">
        <v>45366.0</v>
      </c>
    </row>
    <row r="234">
      <c r="A234" s="658">
        <v>9.0</v>
      </c>
      <c r="B234" s="658" t="s">
        <v>1717</v>
      </c>
      <c r="C234" s="658">
        <v>1.0</v>
      </c>
      <c r="D234" s="678">
        <v>1.0</v>
      </c>
      <c r="E234" s="676">
        <v>1.0</v>
      </c>
      <c r="F234" s="658" t="s">
        <v>3882</v>
      </c>
      <c r="G234" s="658" t="s">
        <v>1554</v>
      </c>
      <c r="H234" s="679">
        <v>45366.0</v>
      </c>
    </row>
    <row r="235">
      <c r="A235" s="658">
        <v>10.0</v>
      </c>
      <c r="B235" s="655" t="s">
        <v>3883</v>
      </c>
      <c r="C235" s="658">
        <v>1.0</v>
      </c>
      <c r="D235" s="678">
        <v>5.2</v>
      </c>
      <c r="E235" s="676">
        <v>2.0</v>
      </c>
      <c r="F235" s="655" t="s">
        <v>3884</v>
      </c>
      <c r="G235" s="658" t="s">
        <v>1554</v>
      </c>
      <c r="H235" s="696">
        <v>45567.0</v>
      </c>
    </row>
    <row r="236">
      <c r="A236" s="658">
        <v>11.0</v>
      </c>
      <c r="B236" s="655" t="s">
        <v>3885</v>
      </c>
      <c r="C236" s="658">
        <v>1.0</v>
      </c>
      <c r="D236" s="678">
        <v>5.2</v>
      </c>
      <c r="E236" s="676">
        <v>2.0</v>
      </c>
      <c r="F236" s="655" t="s">
        <v>3886</v>
      </c>
      <c r="G236" s="658" t="s">
        <v>1554</v>
      </c>
      <c r="H236" s="696">
        <v>45567.0</v>
      </c>
    </row>
    <row r="237">
      <c r="A237" s="658">
        <v>12.0</v>
      </c>
      <c r="B237" s="658" t="s">
        <v>3885</v>
      </c>
      <c r="C237" s="658">
        <v>1.0</v>
      </c>
      <c r="D237" s="678">
        <v>5.2</v>
      </c>
      <c r="E237" s="676">
        <v>2.0</v>
      </c>
      <c r="F237" s="658" t="s">
        <v>3887</v>
      </c>
      <c r="G237" s="658" t="s">
        <v>1554</v>
      </c>
      <c r="H237" s="679">
        <v>45567.0</v>
      </c>
    </row>
    <row r="238">
      <c r="A238" s="655">
        <v>13.0</v>
      </c>
      <c r="B238" s="655" t="s">
        <v>3888</v>
      </c>
      <c r="C238" s="655">
        <v>1.0</v>
      </c>
      <c r="D238" s="656">
        <v>4.7</v>
      </c>
      <c r="E238" s="657">
        <v>2.0</v>
      </c>
      <c r="F238" s="655" t="s">
        <v>3889</v>
      </c>
      <c r="G238" s="655" t="s">
        <v>1554</v>
      </c>
      <c r="H238" s="659">
        <v>45754.0</v>
      </c>
    </row>
    <row r="239">
      <c r="A239" s="662">
        <v>14.0</v>
      </c>
      <c r="B239" s="662" t="s">
        <v>3888</v>
      </c>
      <c r="C239" s="662">
        <v>1.0</v>
      </c>
      <c r="D239" s="673">
        <v>4.7</v>
      </c>
      <c r="E239" s="665">
        <v>2.0</v>
      </c>
      <c r="F239" s="662" t="s">
        <v>3890</v>
      </c>
      <c r="G239" s="662" t="s">
        <v>3891</v>
      </c>
      <c r="H239" s="681">
        <v>45754.0</v>
      </c>
    </row>
    <row r="240">
      <c r="A240" s="655">
        <v>15.0</v>
      </c>
      <c r="B240" s="655" t="s">
        <v>3888</v>
      </c>
      <c r="C240" s="655">
        <v>1.0</v>
      </c>
      <c r="D240" s="656">
        <v>4.7</v>
      </c>
      <c r="E240" s="657">
        <v>2.0</v>
      </c>
      <c r="F240" s="655" t="s">
        <v>3892</v>
      </c>
      <c r="G240" s="655" t="s">
        <v>1554</v>
      </c>
      <c r="H240" s="659">
        <v>45754.0</v>
      </c>
    </row>
    <row r="241">
      <c r="A241" s="655">
        <v>16.0</v>
      </c>
      <c r="B241" s="655" t="s">
        <v>3893</v>
      </c>
      <c r="C241" s="655">
        <v>1.0</v>
      </c>
      <c r="D241" s="656">
        <v>5.2</v>
      </c>
      <c r="E241" s="657">
        <v>1.0</v>
      </c>
      <c r="F241" s="655" t="s">
        <v>3894</v>
      </c>
      <c r="G241" s="655" t="s">
        <v>1554</v>
      </c>
      <c r="H241" s="659">
        <v>45897.0</v>
      </c>
    </row>
    <row r="242">
      <c r="A242" s="658">
        <v>17.0</v>
      </c>
      <c r="B242" s="658" t="s">
        <v>3893</v>
      </c>
      <c r="C242" s="658">
        <v>1.0</v>
      </c>
      <c r="D242" s="656">
        <v>5.2</v>
      </c>
      <c r="E242" s="676">
        <v>1.0</v>
      </c>
      <c r="F242" s="658" t="s">
        <v>3895</v>
      </c>
      <c r="G242" s="658" t="s">
        <v>1554</v>
      </c>
      <c r="H242" s="679">
        <v>45897.0</v>
      </c>
    </row>
    <row r="243">
      <c r="A243" s="655">
        <v>18.0</v>
      </c>
      <c r="B243" s="655" t="s">
        <v>3896</v>
      </c>
      <c r="C243" s="655">
        <v>1.0</v>
      </c>
      <c r="D243" s="656"/>
      <c r="E243" s="657">
        <v>2.0</v>
      </c>
      <c r="F243" s="655" t="s">
        <v>3897</v>
      </c>
      <c r="G243" s="658" t="s">
        <v>1554</v>
      </c>
      <c r="H243" s="659">
        <v>45936.0</v>
      </c>
    </row>
    <row r="244">
      <c r="A244" s="655">
        <v>19.0</v>
      </c>
      <c r="B244" s="655" t="s">
        <v>3896</v>
      </c>
      <c r="C244" s="655">
        <v>1.0</v>
      </c>
      <c r="D244" s="656"/>
      <c r="E244" s="657">
        <v>2.0</v>
      </c>
      <c r="F244" s="655" t="s">
        <v>3898</v>
      </c>
      <c r="G244" s="655" t="s">
        <v>1554</v>
      </c>
      <c r="H244" s="659">
        <v>45964.0</v>
      </c>
    </row>
    <row r="245">
      <c r="A245" s="187">
        <v>20.0</v>
      </c>
      <c r="B245" s="187" t="s">
        <v>3899</v>
      </c>
      <c r="C245" s="187">
        <v>1.0</v>
      </c>
      <c r="D245" s="188">
        <v>5.2</v>
      </c>
      <c r="E245" s="189">
        <v>2.0</v>
      </c>
      <c r="F245" s="187" t="s">
        <v>3900</v>
      </c>
      <c r="G245" s="187" t="s">
        <v>1554</v>
      </c>
      <c r="H245" s="679">
        <v>46069.0</v>
      </c>
    </row>
    <row r="246">
      <c r="A246" s="697" t="s">
        <v>1562</v>
      </c>
      <c r="B246" s="3"/>
      <c r="C246" s="658">
        <f t="shared" ref="C246:E246" si="11">sum(C226:C237)</f>
        <v>13</v>
      </c>
      <c r="D246" s="678">
        <f t="shared" si="11"/>
        <v>200.8</v>
      </c>
      <c r="E246" s="676">
        <f t="shared" si="11"/>
        <v>18</v>
      </c>
      <c r="F246" s="658"/>
      <c r="G246" s="679"/>
      <c r="H246" s="679"/>
    </row>
    <row r="247">
      <c r="A247" s="689"/>
      <c r="B247" s="689"/>
      <c r="C247" s="689"/>
      <c r="D247" s="689"/>
      <c r="E247" s="689"/>
      <c r="F247" s="689"/>
      <c r="G247" s="689"/>
      <c r="H247" s="689"/>
    </row>
    <row r="248">
      <c r="A248" s="689"/>
      <c r="B248" s="689"/>
      <c r="C248" s="689"/>
      <c r="D248" s="689"/>
      <c r="E248" s="689"/>
      <c r="F248" s="689"/>
      <c r="G248" s="689"/>
      <c r="H248" s="689"/>
    </row>
    <row r="249">
      <c r="A249" s="649" t="s">
        <v>3901</v>
      </c>
      <c r="B249" s="2"/>
      <c r="C249" s="2"/>
      <c r="D249" s="2"/>
      <c r="E249" s="2"/>
      <c r="F249" s="2"/>
      <c r="G249" s="2"/>
      <c r="H249" s="3"/>
    </row>
    <row r="250">
      <c r="A250" s="691" t="s">
        <v>1435</v>
      </c>
      <c r="B250" s="692" t="s">
        <v>1436</v>
      </c>
      <c r="C250" s="691" t="s">
        <v>1843</v>
      </c>
      <c r="D250" s="693" t="s">
        <v>1438</v>
      </c>
      <c r="E250" s="694" t="s">
        <v>1564</v>
      </c>
      <c r="F250" s="691" t="s">
        <v>1440</v>
      </c>
      <c r="G250" s="691" t="s">
        <v>1844</v>
      </c>
      <c r="H250" s="695" t="s">
        <v>1441</v>
      </c>
    </row>
    <row r="251">
      <c r="A251" s="658">
        <v>1.0</v>
      </c>
      <c r="B251" s="658" t="s">
        <v>1443</v>
      </c>
      <c r="C251" s="658">
        <v>1.0</v>
      </c>
      <c r="D251" s="678">
        <v>150.0</v>
      </c>
      <c r="E251" s="676"/>
      <c r="F251" s="658"/>
      <c r="G251" s="658" t="s">
        <v>1554</v>
      </c>
      <c r="H251" s="679">
        <v>45141.0</v>
      </c>
    </row>
    <row r="252">
      <c r="A252" s="658">
        <v>2.0</v>
      </c>
      <c r="B252" s="658" t="s">
        <v>3902</v>
      </c>
      <c r="C252" s="658">
        <v>2.0</v>
      </c>
      <c r="D252" s="678">
        <v>3.2</v>
      </c>
      <c r="E252" s="676"/>
      <c r="F252" s="658"/>
      <c r="G252" s="658" t="s">
        <v>1554</v>
      </c>
      <c r="H252" s="679">
        <v>45141.0</v>
      </c>
    </row>
    <row r="253">
      <c r="A253" s="658">
        <v>3.0</v>
      </c>
      <c r="B253" s="658" t="s">
        <v>3673</v>
      </c>
      <c r="C253" s="658">
        <v>1.0</v>
      </c>
      <c r="D253" s="678">
        <v>5.0</v>
      </c>
      <c r="E253" s="676">
        <v>1.0</v>
      </c>
      <c r="F253" s="658" t="s">
        <v>1518</v>
      </c>
      <c r="G253" s="658" t="s">
        <v>1554</v>
      </c>
      <c r="H253" s="679">
        <v>45141.0</v>
      </c>
    </row>
    <row r="254">
      <c r="A254" s="658">
        <v>4.0</v>
      </c>
      <c r="B254" s="655" t="s">
        <v>1776</v>
      </c>
      <c r="C254" s="655">
        <v>1.0</v>
      </c>
      <c r="D254" s="656">
        <v>20.7</v>
      </c>
      <c r="E254" s="657">
        <v>2.0</v>
      </c>
      <c r="F254" s="655">
        <v>7.06849111008E11</v>
      </c>
      <c r="G254" s="658" t="s">
        <v>1554</v>
      </c>
      <c r="H254" s="659">
        <v>44796.0</v>
      </c>
    </row>
    <row r="255">
      <c r="A255" s="658">
        <v>5.0</v>
      </c>
      <c r="B255" s="655" t="s">
        <v>1776</v>
      </c>
      <c r="C255" s="655">
        <v>1.0</v>
      </c>
      <c r="D255" s="656">
        <v>20.7</v>
      </c>
      <c r="E255" s="657">
        <v>2.0</v>
      </c>
      <c r="F255" s="655">
        <v>7.06849111009E11</v>
      </c>
      <c r="G255" s="658" t="s">
        <v>1554</v>
      </c>
      <c r="H255" s="659">
        <v>44796.0</v>
      </c>
    </row>
    <row r="256">
      <c r="A256" s="658">
        <v>6.0</v>
      </c>
      <c r="B256" s="658" t="s">
        <v>2995</v>
      </c>
      <c r="C256" s="658">
        <v>1.0</v>
      </c>
      <c r="D256" s="678">
        <v>11.2</v>
      </c>
      <c r="E256" s="676">
        <v>1.0</v>
      </c>
      <c r="F256" s="658">
        <v>1.02367536863E11</v>
      </c>
      <c r="G256" s="658" t="s">
        <v>1554</v>
      </c>
      <c r="H256" s="679">
        <v>45169.0</v>
      </c>
    </row>
    <row r="257">
      <c r="A257" s="658">
        <v>7.0</v>
      </c>
      <c r="B257" s="658" t="s">
        <v>2995</v>
      </c>
      <c r="C257" s="658">
        <v>1.0</v>
      </c>
      <c r="D257" s="678">
        <v>11.2</v>
      </c>
      <c r="E257" s="676">
        <v>1.0</v>
      </c>
      <c r="F257" s="658">
        <v>1.02375425994E11</v>
      </c>
      <c r="G257" s="658" t="s">
        <v>1554</v>
      </c>
      <c r="H257" s="679">
        <v>45169.0</v>
      </c>
    </row>
    <row r="258">
      <c r="A258" s="658">
        <v>8.0</v>
      </c>
      <c r="B258" s="714" t="s">
        <v>1802</v>
      </c>
      <c r="C258" s="714">
        <v>1.0</v>
      </c>
      <c r="D258" s="717">
        <v>26.7</v>
      </c>
      <c r="E258" s="676">
        <v>2.0</v>
      </c>
      <c r="F258" s="714" t="s">
        <v>1803</v>
      </c>
      <c r="G258" s="658" t="s">
        <v>1554</v>
      </c>
      <c r="H258" s="729">
        <v>45053.0</v>
      </c>
    </row>
    <row r="259">
      <c r="A259" s="658">
        <v>9.0</v>
      </c>
      <c r="B259" s="714" t="s">
        <v>1802</v>
      </c>
      <c r="C259" s="714">
        <v>1.0</v>
      </c>
      <c r="D259" s="717">
        <v>26.7</v>
      </c>
      <c r="E259" s="676">
        <v>2.0</v>
      </c>
      <c r="F259" s="714" t="s">
        <v>1804</v>
      </c>
      <c r="G259" s="658" t="s">
        <v>1554</v>
      </c>
      <c r="H259" s="729">
        <v>45053.0</v>
      </c>
    </row>
    <row r="260">
      <c r="A260" s="658">
        <v>10.0</v>
      </c>
      <c r="B260" s="714" t="s">
        <v>1802</v>
      </c>
      <c r="C260" s="714">
        <v>1.0</v>
      </c>
      <c r="D260" s="717">
        <v>26.7</v>
      </c>
      <c r="E260" s="676">
        <v>2.0</v>
      </c>
      <c r="F260" s="714" t="s">
        <v>3903</v>
      </c>
      <c r="G260" s="658" t="s">
        <v>1554</v>
      </c>
      <c r="H260" s="696">
        <v>45183.0</v>
      </c>
    </row>
    <row r="261">
      <c r="A261" s="658">
        <v>11.0</v>
      </c>
      <c r="B261" s="714" t="s">
        <v>1802</v>
      </c>
      <c r="C261" s="714">
        <v>1.0</v>
      </c>
      <c r="D261" s="717">
        <v>26.7</v>
      </c>
      <c r="E261" s="676">
        <v>2.0</v>
      </c>
      <c r="F261" s="714" t="s">
        <v>3904</v>
      </c>
      <c r="G261" s="658" t="s">
        <v>1554</v>
      </c>
      <c r="H261" s="696">
        <v>45183.0</v>
      </c>
    </row>
    <row r="262">
      <c r="A262" s="658">
        <v>12.0</v>
      </c>
      <c r="B262" s="714" t="s">
        <v>1802</v>
      </c>
      <c r="C262" s="714">
        <v>1.0</v>
      </c>
      <c r="D262" s="717">
        <v>26.7</v>
      </c>
      <c r="E262" s="676">
        <v>2.0</v>
      </c>
      <c r="F262" s="714" t="s">
        <v>3905</v>
      </c>
      <c r="G262" s="658" t="s">
        <v>1554</v>
      </c>
      <c r="H262" s="696">
        <v>45183.0</v>
      </c>
    </row>
    <row r="263">
      <c r="A263" s="658">
        <v>13.0</v>
      </c>
      <c r="B263" s="714" t="s">
        <v>1802</v>
      </c>
      <c r="C263" s="714">
        <v>1.0</v>
      </c>
      <c r="D263" s="717">
        <v>26.7</v>
      </c>
      <c r="E263" s="676">
        <v>2.0</v>
      </c>
      <c r="F263" s="714" t="s">
        <v>3906</v>
      </c>
      <c r="G263" s="658" t="s">
        <v>1554</v>
      </c>
      <c r="H263" s="696">
        <v>45183.0</v>
      </c>
    </row>
    <row r="264">
      <c r="A264" s="658">
        <v>14.0</v>
      </c>
      <c r="B264" s="714" t="s">
        <v>1802</v>
      </c>
      <c r="C264" s="714">
        <v>1.0</v>
      </c>
      <c r="D264" s="717">
        <v>26.7</v>
      </c>
      <c r="E264" s="676">
        <v>2.0</v>
      </c>
      <c r="F264" s="714" t="s">
        <v>3907</v>
      </c>
      <c r="G264" s="658" t="s">
        <v>1554</v>
      </c>
      <c r="H264" s="696">
        <v>45183.0</v>
      </c>
    </row>
    <row r="265">
      <c r="A265" s="658">
        <v>15.0</v>
      </c>
      <c r="B265" s="714" t="s">
        <v>1802</v>
      </c>
      <c r="C265" s="714">
        <v>1.0</v>
      </c>
      <c r="D265" s="717">
        <v>26.7</v>
      </c>
      <c r="E265" s="676">
        <v>2.0</v>
      </c>
      <c r="F265" s="714" t="s">
        <v>3908</v>
      </c>
      <c r="G265" s="658" t="s">
        <v>1554</v>
      </c>
      <c r="H265" s="696">
        <v>45183.0</v>
      </c>
    </row>
    <row r="266">
      <c r="A266" s="658">
        <v>16.0</v>
      </c>
      <c r="B266" s="655" t="s">
        <v>3909</v>
      </c>
      <c r="C266" s="658">
        <v>1.0</v>
      </c>
      <c r="D266" s="678">
        <v>5.9</v>
      </c>
      <c r="E266" s="676">
        <v>1.0</v>
      </c>
      <c r="F266" s="655"/>
      <c r="G266" s="658" t="s">
        <v>1554</v>
      </c>
      <c r="H266" s="696">
        <v>45183.0</v>
      </c>
    </row>
    <row r="267">
      <c r="A267" s="658">
        <v>17.0</v>
      </c>
      <c r="B267" s="655" t="s">
        <v>3910</v>
      </c>
      <c r="C267" s="658">
        <v>1.0</v>
      </c>
      <c r="D267" s="678">
        <v>21.8</v>
      </c>
      <c r="E267" s="676">
        <v>2.0</v>
      </c>
      <c r="F267" s="655" t="s">
        <v>3911</v>
      </c>
      <c r="G267" s="658" t="s">
        <v>1554</v>
      </c>
      <c r="H267" s="696">
        <v>45349.0</v>
      </c>
    </row>
    <row r="268">
      <c r="A268" s="658">
        <v>18.0</v>
      </c>
      <c r="B268" s="658" t="s">
        <v>2513</v>
      </c>
      <c r="C268" s="658">
        <v>1.0</v>
      </c>
      <c r="D268" s="678">
        <v>15.0</v>
      </c>
      <c r="E268" s="676">
        <v>1.0</v>
      </c>
      <c r="F268" s="658" t="s">
        <v>3912</v>
      </c>
      <c r="G268" s="658" t="s">
        <v>1554</v>
      </c>
      <c r="H268" s="679">
        <v>45567.0</v>
      </c>
    </row>
    <row r="269">
      <c r="A269" s="658">
        <v>19.0</v>
      </c>
      <c r="B269" s="658" t="s">
        <v>2513</v>
      </c>
      <c r="C269" s="658">
        <v>1.0</v>
      </c>
      <c r="D269" s="678">
        <v>15.0</v>
      </c>
      <c r="E269" s="676">
        <v>1.0</v>
      </c>
      <c r="F269" s="658" t="s">
        <v>3913</v>
      </c>
      <c r="G269" s="658" t="s">
        <v>1554</v>
      </c>
      <c r="H269" s="679">
        <v>45567.0</v>
      </c>
    </row>
    <row r="270">
      <c r="A270" s="658">
        <v>20.0</v>
      </c>
      <c r="B270" s="658" t="s">
        <v>2513</v>
      </c>
      <c r="C270" s="658">
        <v>1.0</v>
      </c>
      <c r="D270" s="678">
        <v>15.0</v>
      </c>
      <c r="E270" s="676">
        <v>1.0</v>
      </c>
      <c r="F270" s="658" t="s">
        <v>3914</v>
      </c>
      <c r="G270" s="658" t="s">
        <v>1554</v>
      </c>
      <c r="H270" s="679">
        <v>45567.0</v>
      </c>
    </row>
    <row r="271">
      <c r="A271" s="697" t="s">
        <v>1562</v>
      </c>
      <c r="B271" s="3"/>
      <c r="C271" s="658">
        <f t="shared" ref="C271:E271" si="12">sum(C251:C270)</f>
        <v>21</v>
      </c>
      <c r="D271" s="678">
        <f t="shared" si="12"/>
        <v>508.3</v>
      </c>
      <c r="E271" s="676">
        <f t="shared" si="12"/>
        <v>29</v>
      </c>
      <c r="F271" s="658"/>
      <c r="G271" s="679"/>
      <c r="H271" s="679"/>
    </row>
    <row r="272">
      <c r="A272" s="689"/>
      <c r="B272" s="689"/>
      <c r="C272" s="689"/>
      <c r="D272" s="689"/>
      <c r="E272" s="689"/>
      <c r="F272" s="689"/>
      <c r="G272" s="689"/>
      <c r="H272" s="689"/>
    </row>
    <row r="273">
      <c r="A273" s="689"/>
      <c r="B273" s="689"/>
      <c r="C273" s="689"/>
      <c r="D273" s="689"/>
      <c r="E273" s="689"/>
      <c r="F273" s="689"/>
      <c r="G273" s="689"/>
      <c r="H273" s="689"/>
    </row>
    <row r="274">
      <c r="A274" s="649" t="s">
        <v>3915</v>
      </c>
      <c r="B274" s="2"/>
      <c r="C274" s="2"/>
      <c r="D274" s="2"/>
      <c r="E274" s="2"/>
      <c r="F274" s="2"/>
      <c r="G274" s="2"/>
      <c r="H274" s="3"/>
    </row>
    <row r="275">
      <c r="A275" s="691" t="s">
        <v>1435</v>
      </c>
      <c r="B275" s="692" t="s">
        <v>1436</v>
      </c>
      <c r="C275" s="691" t="s">
        <v>1843</v>
      </c>
      <c r="D275" s="693" t="s">
        <v>1438</v>
      </c>
      <c r="E275" s="694" t="s">
        <v>1564</v>
      </c>
      <c r="F275" s="691" t="s">
        <v>1440</v>
      </c>
      <c r="G275" s="691" t="s">
        <v>1565</v>
      </c>
      <c r="H275" s="695" t="s">
        <v>1441</v>
      </c>
    </row>
    <row r="276">
      <c r="A276" s="658">
        <v>1.0</v>
      </c>
      <c r="B276" s="658" t="s">
        <v>1443</v>
      </c>
      <c r="C276" s="658">
        <v>1.0</v>
      </c>
      <c r="D276" s="678">
        <v>150.0</v>
      </c>
      <c r="E276" s="676"/>
      <c r="F276" s="658"/>
      <c r="G276" s="658" t="s">
        <v>1554</v>
      </c>
      <c r="H276" s="679">
        <v>45141.0</v>
      </c>
    </row>
    <row r="277">
      <c r="A277" s="658">
        <v>2.0</v>
      </c>
      <c r="B277" s="658" t="s">
        <v>3916</v>
      </c>
      <c r="C277" s="658">
        <v>2.0</v>
      </c>
      <c r="D277" s="678">
        <v>3.2</v>
      </c>
      <c r="E277" s="676"/>
      <c r="F277" s="658"/>
      <c r="G277" s="658" t="s">
        <v>1554</v>
      </c>
      <c r="H277" s="679">
        <v>45141.0</v>
      </c>
    </row>
    <row r="278">
      <c r="A278" s="658">
        <v>3.0</v>
      </c>
      <c r="B278" s="658" t="s">
        <v>3673</v>
      </c>
      <c r="C278" s="658">
        <v>1.0</v>
      </c>
      <c r="D278" s="678">
        <v>5.0</v>
      </c>
      <c r="E278" s="676">
        <v>1.0</v>
      </c>
      <c r="F278" s="658" t="s">
        <v>1518</v>
      </c>
      <c r="G278" s="658" t="s">
        <v>1554</v>
      </c>
      <c r="H278" s="679">
        <v>45141.0</v>
      </c>
    </row>
    <row r="279">
      <c r="A279" s="658">
        <v>4.0</v>
      </c>
      <c r="B279" s="658" t="s">
        <v>1690</v>
      </c>
      <c r="C279" s="658">
        <v>8.0</v>
      </c>
      <c r="D279" s="678">
        <v>208.0</v>
      </c>
      <c r="E279" s="676">
        <v>16.0</v>
      </c>
      <c r="F279" s="658"/>
      <c r="G279" s="658" t="s">
        <v>1554</v>
      </c>
      <c r="H279" s="659">
        <v>44594.0</v>
      </c>
    </row>
    <row r="280">
      <c r="A280" s="658">
        <v>5.0</v>
      </c>
      <c r="B280" s="655" t="s">
        <v>1688</v>
      </c>
      <c r="C280" s="655">
        <v>1.0</v>
      </c>
      <c r="D280" s="656">
        <v>16.0</v>
      </c>
      <c r="E280" s="657">
        <v>1.0</v>
      </c>
      <c r="F280" s="658"/>
      <c r="G280" s="658" t="s">
        <v>1554</v>
      </c>
      <c r="H280" s="659">
        <v>44594.0</v>
      </c>
    </row>
    <row r="281">
      <c r="A281" s="662">
        <v>6.0</v>
      </c>
      <c r="B281" s="662" t="s">
        <v>3917</v>
      </c>
      <c r="C281" s="662"/>
      <c r="D281" s="662"/>
      <c r="E281" s="665"/>
      <c r="F281" s="662" t="s">
        <v>3918</v>
      </c>
      <c r="G281" s="662" t="s">
        <v>3919</v>
      </c>
      <c r="H281" s="698">
        <v>45293.0</v>
      </c>
    </row>
    <row r="282">
      <c r="A282" s="658">
        <v>7.0</v>
      </c>
      <c r="B282" s="714" t="s">
        <v>3920</v>
      </c>
      <c r="C282" s="714">
        <v>1.0</v>
      </c>
      <c r="D282" s="717">
        <v>26.0</v>
      </c>
      <c r="E282" s="715">
        <v>2.0</v>
      </c>
      <c r="F282" s="714" t="s">
        <v>3921</v>
      </c>
      <c r="G282" s="714" t="s">
        <v>3922</v>
      </c>
      <c r="H282" s="729">
        <v>45404.0</v>
      </c>
    </row>
    <row r="283">
      <c r="A283" s="658">
        <v>8.0</v>
      </c>
      <c r="B283" s="714" t="s">
        <v>3920</v>
      </c>
      <c r="C283" s="714">
        <v>1.0</v>
      </c>
      <c r="D283" s="717">
        <v>26.0</v>
      </c>
      <c r="E283" s="715">
        <v>2.0</v>
      </c>
      <c r="F283" s="714" t="s">
        <v>3923</v>
      </c>
      <c r="G283" s="714" t="s">
        <v>3922</v>
      </c>
      <c r="H283" s="729">
        <v>45404.0</v>
      </c>
    </row>
    <row r="284">
      <c r="A284" s="658">
        <v>9.0</v>
      </c>
      <c r="B284" s="714" t="s">
        <v>3920</v>
      </c>
      <c r="C284" s="714">
        <v>1.0</v>
      </c>
      <c r="D284" s="717">
        <v>26.0</v>
      </c>
      <c r="E284" s="715">
        <v>2.0</v>
      </c>
      <c r="F284" s="714" t="s">
        <v>3924</v>
      </c>
      <c r="G284" s="714" t="s">
        <v>3922</v>
      </c>
      <c r="H284" s="729">
        <v>45404.0</v>
      </c>
    </row>
    <row r="285">
      <c r="A285" s="658">
        <v>10.0</v>
      </c>
      <c r="B285" s="714" t="s">
        <v>3920</v>
      </c>
      <c r="C285" s="714">
        <v>1.0</v>
      </c>
      <c r="D285" s="717">
        <v>26.0</v>
      </c>
      <c r="E285" s="715">
        <v>2.0</v>
      </c>
      <c r="F285" s="714" t="s">
        <v>3925</v>
      </c>
      <c r="G285" s="714" t="s">
        <v>3922</v>
      </c>
      <c r="H285" s="729">
        <v>45404.0</v>
      </c>
    </row>
    <row r="286">
      <c r="A286" s="658">
        <v>11.0</v>
      </c>
      <c r="B286" s="714" t="s">
        <v>3920</v>
      </c>
      <c r="C286" s="714">
        <v>1.0</v>
      </c>
      <c r="D286" s="717">
        <v>26.0</v>
      </c>
      <c r="E286" s="715">
        <v>2.0</v>
      </c>
      <c r="F286" s="714" t="s">
        <v>3926</v>
      </c>
      <c r="G286" s="714" t="s">
        <v>3922</v>
      </c>
      <c r="H286" s="729">
        <v>45404.0</v>
      </c>
    </row>
    <row r="287">
      <c r="A287" s="658">
        <v>12.0</v>
      </c>
      <c r="B287" s="714" t="s">
        <v>3920</v>
      </c>
      <c r="C287" s="714">
        <v>1.0</v>
      </c>
      <c r="D287" s="717">
        <v>26.0</v>
      </c>
      <c r="E287" s="715">
        <v>2.0</v>
      </c>
      <c r="F287" s="714" t="s">
        <v>3927</v>
      </c>
      <c r="G287" s="714" t="s">
        <v>3922</v>
      </c>
      <c r="H287" s="729">
        <v>45404.0</v>
      </c>
    </row>
    <row r="288">
      <c r="A288" s="658">
        <v>13.0</v>
      </c>
      <c r="B288" s="655"/>
      <c r="C288" s="658"/>
      <c r="D288" s="678"/>
      <c r="E288" s="676"/>
      <c r="F288" s="655"/>
      <c r="G288" s="655"/>
      <c r="H288" s="696"/>
    </row>
    <row r="289">
      <c r="A289" s="658">
        <v>14.0</v>
      </c>
      <c r="B289" s="655"/>
      <c r="C289" s="658"/>
      <c r="D289" s="678"/>
      <c r="E289" s="676"/>
      <c r="F289" s="655"/>
      <c r="G289" s="655"/>
      <c r="H289" s="696"/>
    </row>
    <row r="290">
      <c r="A290" s="658">
        <v>15.0</v>
      </c>
      <c r="B290" s="655"/>
      <c r="C290" s="658"/>
      <c r="D290" s="678"/>
      <c r="E290" s="676"/>
      <c r="F290" s="655"/>
      <c r="G290" s="655"/>
      <c r="H290" s="696"/>
    </row>
    <row r="291">
      <c r="A291" s="697" t="s">
        <v>1562</v>
      </c>
      <c r="B291" s="3"/>
      <c r="C291" s="658">
        <f t="shared" ref="C291:E291" si="13">sum(C276:C289)</f>
        <v>19</v>
      </c>
      <c r="D291" s="678">
        <f t="shared" si="13"/>
        <v>538.2</v>
      </c>
      <c r="E291" s="676">
        <f t="shared" si="13"/>
        <v>30</v>
      </c>
      <c r="F291" s="658"/>
      <c r="G291" s="679"/>
      <c r="H291" s="679"/>
    </row>
    <row r="292">
      <c r="A292" s="689"/>
      <c r="B292" s="689"/>
      <c r="C292" s="689"/>
      <c r="D292" s="689"/>
      <c r="E292" s="689"/>
      <c r="F292" s="689"/>
      <c r="G292" s="689"/>
      <c r="H292" s="689"/>
    </row>
    <row r="293">
      <c r="A293" s="689"/>
      <c r="B293" s="689"/>
      <c r="C293" s="689"/>
      <c r="D293" s="689"/>
      <c r="E293" s="689"/>
      <c r="F293" s="689"/>
      <c r="G293" s="689"/>
      <c r="H293" s="689"/>
    </row>
    <row r="294">
      <c r="A294" s="649" t="s">
        <v>3928</v>
      </c>
      <c r="B294" s="2"/>
      <c r="C294" s="2"/>
      <c r="D294" s="2"/>
      <c r="E294" s="2"/>
      <c r="F294" s="2"/>
      <c r="G294" s="2"/>
      <c r="H294" s="3"/>
    </row>
    <row r="295">
      <c r="A295" s="691" t="s">
        <v>1435</v>
      </c>
      <c r="B295" s="692" t="s">
        <v>1436</v>
      </c>
      <c r="C295" s="691" t="s">
        <v>1843</v>
      </c>
      <c r="D295" s="693" t="s">
        <v>1438</v>
      </c>
      <c r="E295" s="694" t="s">
        <v>1564</v>
      </c>
      <c r="F295" s="691" t="s">
        <v>1440</v>
      </c>
      <c r="G295" s="691" t="s">
        <v>1844</v>
      </c>
      <c r="H295" s="695" t="s">
        <v>1441</v>
      </c>
    </row>
    <row r="296">
      <c r="A296" s="658">
        <v>1.0</v>
      </c>
      <c r="B296" s="658" t="s">
        <v>1443</v>
      </c>
      <c r="C296" s="658">
        <v>1.0</v>
      </c>
      <c r="D296" s="678">
        <v>150.0</v>
      </c>
      <c r="E296" s="676"/>
      <c r="F296" s="658"/>
      <c r="G296" s="658" t="s">
        <v>1554</v>
      </c>
      <c r="H296" s="679"/>
    </row>
    <row r="297">
      <c r="A297" s="658">
        <v>2.0</v>
      </c>
      <c r="B297" s="658" t="s">
        <v>3916</v>
      </c>
      <c r="C297" s="658">
        <v>2.0</v>
      </c>
      <c r="D297" s="678">
        <v>3.2</v>
      </c>
      <c r="E297" s="676"/>
      <c r="F297" s="658"/>
      <c r="G297" s="658" t="s">
        <v>1554</v>
      </c>
      <c r="H297" s="679"/>
    </row>
    <row r="298">
      <c r="A298" s="658">
        <v>3.0</v>
      </c>
      <c r="B298" s="658" t="s">
        <v>3673</v>
      </c>
      <c r="C298" s="658">
        <v>1.0</v>
      </c>
      <c r="D298" s="678">
        <v>5.0</v>
      </c>
      <c r="E298" s="676">
        <v>1.0</v>
      </c>
      <c r="F298" s="658" t="s">
        <v>1837</v>
      </c>
      <c r="G298" s="658" t="s">
        <v>1554</v>
      </c>
      <c r="H298" s="679">
        <v>45141.0</v>
      </c>
    </row>
    <row r="299">
      <c r="A299" s="658">
        <v>4.0</v>
      </c>
      <c r="B299" s="658" t="s">
        <v>3929</v>
      </c>
      <c r="C299" s="658">
        <v>1.0</v>
      </c>
      <c r="D299" s="678">
        <v>32.0</v>
      </c>
      <c r="E299" s="676">
        <v>2.0</v>
      </c>
      <c r="F299" s="658" t="s">
        <v>3930</v>
      </c>
      <c r="G299" s="658" t="s">
        <v>1554</v>
      </c>
      <c r="H299" s="679">
        <v>45560.0</v>
      </c>
    </row>
    <row r="300">
      <c r="A300" s="658">
        <v>5.0</v>
      </c>
      <c r="B300" s="658" t="s">
        <v>3929</v>
      </c>
      <c r="C300" s="658">
        <v>1.0</v>
      </c>
      <c r="D300" s="678">
        <v>32.0</v>
      </c>
      <c r="E300" s="676">
        <v>2.0</v>
      </c>
      <c r="F300" s="658" t="s">
        <v>3931</v>
      </c>
      <c r="G300" s="658" t="s">
        <v>1554</v>
      </c>
      <c r="H300" s="679">
        <v>45560.0</v>
      </c>
    </row>
    <row r="301">
      <c r="A301" s="658">
        <v>6.0</v>
      </c>
      <c r="B301" s="655" t="s">
        <v>3932</v>
      </c>
      <c r="C301" s="658">
        <v>1.0</v>
      </c>
      <c r="D301" s="678">
        <v>15.0</v>
      </c>
      <c r="E301" s="676">
        <v>1.0</v>
      </c>
      <c r="F301" s="658">
        <v>6040183.0</v>
      </c>
      <c r="G301" s="658" t="s">
        <v>1554</v>
      </c>
      <c r="H301" s="679">
        <v>45560.0</v>
      </c>
    </row>
    <row r="302">
      <c r="A302" s="658">
        <v>7.0</v>
      </c>
      <c r="B302" s="655"/>
      <c r="C302" s="658"/>
      <c r="D302" s="689"/>
      <c r="E302" s="676"/>
      <c r="F302" s="655"/>
      <c r="G302" s="658"/>
      <c r="H302" s="696"/>
    </row>
    <row r="303">
      <c r="A303" s="658">
        <v>8.0</v>
      </c>
      <c r="B303" s="655"/>
      <c r="C303" s="658"/>
      <c r="D303" s="689"/>
      <c r="E303" s="676"/>
      <c r="F303" s="655"/>
      <c r="G303" s="658"/>
      <c r="H303" s="696"/>
    </row>
    <row r="304">
      <c r="A304" s="658">
        <v>9.0</v>
      </c>
      <c r="B304" s="655"/>
      <c r="C304" s="658"/>
      <c r="D304" s="678"/>
      <c r="E304" s="676"/>
      <c r="F304" s="655"/>
      <c r="G304" s="658"/>
      <c r="H304" s="696"/>
    </row>
    <row r="305">
      <c r="A305" s="658">
        <v>10.0</v>
      </c>
      <c r="B305" s="655"/>
      <c r="C305" s="658"/>
      <c r="D305" s="678"/>
      <c r="E305" s="676"/>
      <c r="F305" s="655"/>
      <c r="G305" s="658"/>
      <c r="H305" s="696"/>
    </row>
    <row r="306">
      <c r="A306" s="658">
        <v>11.0</v>
      </c>
      <c r="B306" s="655"/>
      <c r="C306" s="658"/>
      <c r="D306" s="678"/>
      <c r="E306" s="676"/>
      <c r="F306" s="655"/>
      <c r="G306" s="658"/>
      <c r="H306" s="696"/>
    </row>
    <row r="307">
      <c r="A307" s="697" t="s">
        <v>1562</v>
      </c>
      <c r="B307" s="3"/>
      <c r="C307" s="658">
        <f t="shared" ref="C307:D307" si="14">sum(C296:C306)</f>
        <v>7</v>
      </c>
      <c r="D307" s="678">
        <f t="shared" si="14"/>
        <v>237.2</v>
      </c>
      <c r="E307" s="676">
        <f>sum(E298:E306)</f>
        <v>6</v>
      </c>
      <c r="F307" s="658"/>
      <c r="G307" s="679"/>
      <c r="H307" s="679"/>
    </row>
    <row r="308">
      <c r="A308" s="689"/>
      <c r="B308" s="689"/>
      <c r="C308" s="689"/>
      <c r="D308" s="689"/>
      <c r="E308" s="689"/>
      <c r="F308" s="689"/>
      <c r="G308" s="689"/>
      <c r="H308" s="689"/>
    </row>
    <row r="309">
      <c r="A309" s="689"/>
      <c r="B309" s="689"/>
      <c r="C309" s="689"/>
      <c r="D309" s="689"/>
      <c r="E309" s="689"/>
      <c r="F309" s="689"/>
      <c r="G309" s="689"/>
      <c r="H309" s="689"/>
    </row>
    <row r="310">
      <c r="A310" s="649" t="s">
        <v>3933</v>
      </c>
      <c r="B310" s="2"/>
      <c r="C310" s="2"/>
      <c r="D310" s="2"/>
      <c r="E310" s="2"/>
      <c r="F310" s="2"/>
      <c r="G310" s="2"/>
      <c r="H310" s="3"/>
    </row>
    <row r="311">
      <c r="A311" s="690" t="s">
        <v>1435</v>
      </c>
      <c r="B311" s="690" t="s">
        <v>1436</v>
      </c>
      <c r="C311" s="690" t="s">
        <v>1843</v>
      </c>
      <c r="D311" s="693" t="s">
        <v>1438</v>
      </c>
      <c r="E311" s="694" t="s">
        <v>1564</v>
      </c>
      <c r="F311" s="690" t="s">
        <v>1440</v>
      </c>
      <c r="G311" s="690" t="s">
        <v>1844</v>
      </c>
      <c r="H311" s="695" t="s">
        <v>1441</v>
      </c>
    </row>
    <row r="312">
      <c r="A312" s="658">
        <v>1.0</v>
      </c>
      <c r="B312" s="658" t="s">
        <v>1443</v>
      </c>
      <c r="C312" s="658">
        <v>1.0</v>
      </c>
      <c r="D312" s="678">
        <v>150.0</v>
      </c>
      <c r="E312" s="730"/>
      <c r="F312" s="730"/>
      <c r="G312" s="658" t="s">
        <v>1554</v>
      </c>
      <c r="H312" s="730"/>
    </row>
    <row r="313">
      <c r="A313" s="658">
        <v>2.0</v>
      </c>
      <c r="B313" s="658" t="s">
        <v>3916</v>
      </c>
      <c r="C313" s="658">
        <v>2.0</v>
      </c>
      <c r="D313" s="678">
        <v>3.2</v>
      </c>
      <c r="E313" s="730"/>
      <c r="F313" s="730"/>
      <c r="G313" s="658" t="s">
        <v>1554</v>
      </c>
      <c r="H313" s="730"/>
    </row>
    <row r="314">
      <c r="A314" s="658">
        <v>3.0</v>
      </c>
      <c r="B314" s="658" t="s">
        <v>3673</v>
      </c>
      <c r="C314" s="689">
        <v>1.0</v>
      </c>
      <c r="D314" s="721">
        <v>5.0</v>
      </c>
      <c r="E314" s="669">
        <v>1.0</v>
      </c>
      <c r="F314" s="689" t="s">
        <v>1518</v>
      </c>
      <c r="G314" s="658" t="s">
        <v>1554</v>
      </c>
      <c r="H314" s="731">
        <v>45141.0</v>
      </c>
    </row>
    <row r="315">
      <c r="A315" s="658">
        <v>4.0</v>
      </c>
      <c r="B315" s="658" t="s">
        <v>3934</v>
      </c>
      <c r="C315" s="658">
        <v>1.0</v>
      </c>
      <c r="D315" s="678">
        <v>2.0</v>
      </c>
      <c r="E315" s="676">
        <v>1.0</v>
      </c>
      <c r="F315" s="655" t="s">
        <v>3935</v>
      </c>
      <c r="G315" s="658" t="s">
        <v>1554</v>
      </c>
      <c r="H315" s="679">
        <v>45195.0</v>
      </c>
    </row>
    <row r="316">
      <c r="A316" s="658">
        <v>5.0</v>
      </c>
      <c r="B316" s="655" t="s">
        <v>3936</v>
      </c>
      <c r="C316" s="658">
        <v>1.0</v>
      </c>
      <c r="D316" s="678">
        <v>20.0</v>
      </c>
      <c r="E316" s="676">
        <v>2.0</v>
      </c>
      <c r="F316" s="655" t="s">
        <v>3937</v>
      </c>
      <c r="G316" s="658" t="s">
        <v>3938</v>
      </c>
      <c r="H316" s="679">
        <v>45201.0</v>
      </c>
    </row>
    <row r="317">
      <c r="A317" s="658">
        <v>6.0</v>
      </c>
      <c r="B317" s="655" t="s">
        <v>3939</v>
      </c>
      <c r="C317" s="658">
        <v>1.0</v>
      </c>
      <c r="D317" s="658">
        <v>16.0</v>
      </c>
      <c r="E317" s="676">
        <v>1.0</v>
      </c>
      <c r="F317" s="655" t="s">
        <v>3940</v>
      </c>
      <c r="G317" s="658" t="s">
        <v>3938</v>
      </c>
      <c r="H317" s="679">
        <v>45201.0</v>
      </c>
    </row>
    <row r="318">
      <c r="A318" s="658">
        <v>7.0</v>
      </c>
      <c r="B318" s="655" t="s">
        <v>3941</v>
      </c>
      <c r="C318" s="658">
        <v>1.0</v>
      </c>
      <c r="D318" s="658">
        <v>2.85</v>
      </c>
      <c r="E318" s="676">
        <v>1.0</v>
      </c>
      <c r="F318" s="655" t="s">
        <v>3942</v>
      </c>
      <c r="G318" s="658" t="s">
        <v>3938</v>
      </c>
      <c r="H318" s="679">
        <v>45201.0</v>
      </c>
    </row>
    <row r="319">
      <c r="A319" s="658">
        <v>8.0</v>
      </c>
      <c r="B319" s="730"/>
      <c r="C319" s="689"/>
      <c r="D319" s="689"/>
      <c r="E319" s="669"/>
      <c r="F319" s="730"/>
      <c r="G319" s="689"/>
      <c r="H319" s="670"/>
    </row>
    <row r="320">
      <c r="A320" s="658">
        <v>9.0</v>
      </c>
      <c r="B320" s="730"/>
      <c r="C320" s="689"/>
      <c r="D320" s="721"/>
      <c r="E320" s="669"/>
      <c r="F320" s="730"/>
      <c r="G320" s="689"/>
      <c r="H320" s="670"/>
    </row>
    <row r="321">
      <c r="A321" s="658">
        <v>10.0</v>
      </c>
      <c r="B321" s="730"/>
      <c r="C321" s="689"/>
      <c r="D321" s="721"/>
      <c r="E321" s="669"/>
      <c r="F321" s="730"/>
      <c r="G321" s="689"/>
      <c r="H321" s="670"/>
    </row>
    <row r="322">
      <c r="A322" s="658">
        <v>11.0</v>
      </c>
      <c r="B322" s="730"/>
      <c r="C322" s="689"/>
      <c r="D322" s="721"/>
      <c r="E322" s="669"/>
      <c r="F322" s="730"/>
      <c r="G322" s="689"/>
      <c r="H322" s="670"/>
    </row>
    <row r="323">
      <c r="A323" s="732" t="s">
        <v>1562</v>
      </c>
      <c r="B323" s="3"/>
      <c r="C323" s="689">
        <f t="shared" ref="C323:E323" si="15">sum(C312:C322)</f>
        <v>8</v>
      </c>
      <c r="D323" s="721">
        <f t="shared" si="15"/>
        <v>199.05</v>
      </c>
      <c r="E323" s="669">
        <f t="shared" si="15"/>
        <v>6</v>
      </c>
      <c r="F323" s="689"/>
      <c r="G323" s="731"/>
      <c r="H323" s="731"/>
    </row>
    <row r="324">
      <c r="A324" s="689"/>
      <c r="B324" s="689"/>
      <c r="C324" s="689"/>
      <c r="D324" s="689"/>
      <c r="E324" s="689"/>
      <c r="F324" s="689"/>
      <c r="G324" s="689"/>
      <c r="H324" s="689"/>
    </row>
    <row r="325">
      <c r="A325" s="689"/>
      <c r="B325" s="689"/>
      <c r="C325" s="689"/>
      <c r="D325" s="689"/>
      <c r="E325" s="689"/>
      <c r="F325" s="689"/>
      <c r="G325" s="689"/>
      <c r="H325" s="689"/>
    </row>
    <row r="326">
      <c r="A326" s="649" t="s">
        <v>3943</v>
      </c>
      <c r="B326" s="2"/>
      <c r="C326" s="2"/>
      <c r="D326" s="2"/>
      <c r="E326" s="2"/>
      <c r="F326" s="2"/>
      <c r="G326" s="2"/>
      <c r="H326" s="3"/>
    </row>
    <row r="327">
      <c r="A327" s="690" t="s">
        <v>1435</v>
      </c>
      <c r="B327" s="690" t="s">
        <v>1436</v>
      </c>
      <c r="C327" s="690" t="s">
        <v>1843</v>
      </c>
      <c r="D327" s="693" t="s">
        <v>1438</v>
      </c>
      <c r="E327" s="694" t="s">
        <v>1564</v>
      </c>
      <c r="F327" s="690" t="s">
        <v>1440</v>
      </c>
      <c r="G327" s="690" t="s">
        <v>1844</v>
      </c>
      <c r="H327" s="695" t="s">
        <v>1441</v>
      </c>
    </row>
    <row r="328">
      <c r="A328" s="658">
        <v>1.0</v>
      </c>
      <c r="B328" s="658" t="s">
        <v>1443</v>
      </c>
      <c r="C328" s="658">
        <v>1.0</v>
      </c>
      <c r="D328" s="678">
        <v>150.0</v>
      </c>
      <c r="E328" s="669"/>
      <c r="F328" s="689"/>
      <c r="G328" s="658" t="s">
        <v>1554</v>
      </c>
      <c r="H328" s="731"/>
    </row>
    <row r="329">
      <c r="A329" s="658">
        <v>2.0</v>
      </c>
      <c r="B329" s="658" t="s">
        <v>3916</v>
      </c>
      <c r="C329" s="658">
        <v>2.0</v>
      </c>
      <c r="D329" s="678">
        <v>3.2</v>
      </c>
      <c r="E329" s="669"/>
      <c r="F329" s="689"/>
      <c r="G329" s="658" t="s">
        <v>1554</v>
      </c>
      <c r="H329" s="731"/>
    </row>
    <row r="330">
      <c r="A330" s="658">
        <v>3.0</v>
      </c>
      <c r="B330" s="689" t="s">
        <v>3673</v>
      </c>
      <c r="C330" s="689">
        <v>1.0</v>
      </c>
      <c r="D330" s="721">
        <v>5.0</v>
      </c>
      <c r="E330" s="669">
        <v>1.0</v>
      </c>
      <c r="F330" s="689" t="s">
        <v>1518</v>
      </c>
      <c r="G330" s="658" t="s">
        <v>1554</v>
      </c>
      <c r="H330" s="731">
        <v>45141.0</v>
      </c>
    </row>
    <row r="331">
      <c r="A331" s="658">
        <v>4.0</v>
      </c>
      <c r="B331" s="689" t="s">
        <v>1620</v>
      </c>
      <c r="C331" s="689">
        <v>1.0</v>
      </c>
      <c r="D331" s="721">
        <v>2.0</v>
      </c>
      <c r="E331" s="669">
        <v>1.0</v>
      </c>
      <c r="F331" s="730" t="s">
        <v>3944</v>
      </c>
      <c r="G331" s="689" t="s">
        <v>1554</v>
      </c>
      <c r="H331" s="731">
        <v>45184.0</v>
      </c>
    </row>
    <row r="332">
      <c r="A332" s="658">
        <v>5.0</v>
      </c>
      <c r="B332" s="655" t="s">
        <v>3945</v>
      </c>
      <c r="C332" s="658">
        <v>1.0</v>
      </c>
      <c r="D332" s="678">
        <v>8.5</v>
      </c>
      <c r="E332" s="669">
        <v>1.0</v>
      </c>
      <c r="F332" s="655" t="s">
        <v>3946</v>
      </c>
      <c r="G332" s="689" t="s">
        <v>1554</v>
      </c>
      <c r="H332" s="679">
        <v>45190.0</v>
      </c>
    </row>
    <row r="333">
      <c r="A333" s="658">
        <v>6.0</v>
      </c>
      <c r="B333" s="655" t="s">
        <v>3947</v>
      </c>
      <c r="C333" s="658">
        <v>1.0</v>
      </c>
      <c r="D333" s="678">
        <v>3.1</v>
      </c>
      <c r="E333" s="676">
        <v>3.0</v>
      </c>
      <c r="F333" s="655" t="s">
        <v>3948</v>
      </c>
      <c r="G333" s="689" t="s">
        <v>1554</v>
      </c>
      <c r="H333" s="679">
        <v>45190.0</v>
      </c>
    </row>
    <row r="334">
      <c r="A334" s="658">
        <v>7.0</v>
      </c>
      <c r="B334" s="655" t="s">
        <v>3941</v>
      </c>
      <c r="C334" s="655">
        <v>1.0</v>
      </c>
      <c r="D334" s="656">
        <v>12.9</v>
      </c>
      <c r="E334" s="676">
        <v>2.0</v>
      </c>
      <c r="F334" s="655" t="s">
        <v>3949</v>
      </c>
      <c r="G334" s="689" t="s">
        <v>1554</v>
      </c>
      <c r="H334" s="696">
        <v>45209.0</v>
      </c>
    </row>
    <row r="335">
      <c r="A335" s="658">
        <v>8.0</v>
      </c>
      <c r="B335" s="655" t="s">
        <v>3950</v>
      </c>
      <c r="C335" s="655">
        <v>1.0</v>
      </c>
      <c r="D335" s="656">
        <v>26.5</v>
      </c>
      <c r="E335" s="676">
        <v>2.0</v>
      </c>
      <c r="F335" s="655" t="s">
        <v>3951</v>
      </c>
      <c r="G335" s="689" t="s">
        <v>1554</v>
      </c>
      <c r="H335" s="696">
        <v>45209.0</v>
      </c>
    </row>
    <row r="336">
      <c r="A336" s="658">
        <v>9.0</v>
      </c>
      <c r="B336" s="655" t="s">
        <v>3952</v>
      </c>
      <c r="C336" s="655">
        <v>1.0</v>
      </c>
      <c r="D336" s="656">
        <v>18.0</v>
      </c>
      <c r="E336" s="676">
        <v>1.0</v>
      </c>
      <c r="F336" s="655">
        <v>2.0830186515E10</v>
      </c>
      <c r="G336" s="658" t="s">
        <v>1554</v>
      </c>
      <c r="H336" s="696">
        <v>45265.0</v>
      </c>
    </row>
    <row r="337">
      <c r="A337" s="658">
        <v>10.0</v>
      </c>
      <c r="B337" s="730"/>
      <c r="C337" s="689"/>
      <c r="D337" s="721"/>
      <c r="E337" s="669"/>
      <c r="F337" s="730"/>
      <c r="G337" s="689"/>
      <c r="H337" s="670"/>
    </row>
    <row r="338">
      <c r="A338" s="658">
        <v>11.0</v>
      </c>
      <c r="B338" s="730"/>
      <c r="C338" s="689"/>
      <c r="D338" s="721"/>
      <c r="E338" s="669"/>
      <c r="F338" s="730"/>
      <c r="G338" s="689"/>
      <c r="H338" s="670"/>
    </row>
    <row r="339">
      <c r="A339" s="732" t="s">
        <v>1562</v>
      </c>
      <c r="B339" s="3"/>
      <c r="C339" s="689">
        <f t="shared" ref="C339:E339" si="16">sum(C328:C338)</f>
        <v>10</v>
      </c>
      <c r="D339" s="721">
        <f t="shared" si="16"/>
        <v>229.2</v>
      </c>
      <c r="E339" s="669">
        <f t="shared" si="16"/>
        <v>11</v>
      </c>
      <c r="F339" s="689"/>
      <c r="G339" s="731"/>
      <c r="H339" s="731"/>
    </row>
    <row r="340">
      <c r="A340" s="689"/>
      <c r="B340" s="689"/>
      <c r="C340" s="689"/>
      <c r="D340" s="689"/>
      <c r="E340" s="689"/>
      <c r="F340" s="689"/>
      <c r="G340" s="689"/>
      <c r="H340" s="689"/>
    </row>
    <row r="341">
      <c r="A341" s="689"/>
      <c r="B341" s="689"/>
      <c r="C341" s="689"/>
      <c r="D341" s="689"/>
      <c r="E341" s="689"/>
      <c r="F341" s="689"/>
      <c r="G341" s="689"/>
      <c r="H341" s="689"/>
    </row>
    <row r="342">
      <c r="A342" s="649" t="s">
        <v>3953</v>
      </c>
      <c r="B342" s="2"/>
      <c r="C342" s="2"/>
      <c r="D342" s="2"/>
      <c r="E342" s="2"/>
      <c r="F342" s="2"/>
      <c r="G342" s="2"/>
      <c r="H342" s="3"/>
    </row>
    <row r="343">
      <c r="A343" s="690" t="s">
        <v>1435</v>
      </c>
      <c r="B343" s="690" t="s">
        <v>1436</v>
      </c>
      <c r="C343" s="690" t="s">
        <v>1843</v>
      </c>
      <c r="D343" s="693" t="s">
        <v>1438</v>
      </c>
      <c r="E343" s="694" t="s">
        <v>1564</v>
      </c>
      <c r="F343" s="690" t="s">
        <v>1440</v>
      </c>
      <c r="G343" s="690" t="s">
        <v>1844</v>
      </c>
      <c r="H343" s="695" t="s">
        <v>1441</v>
      </c>
    </row>
    <row r="344">
      <c r="A344" s="689">
        <v>1.0</v>
      </c>
      <c r="B344" s="658" t="s">
        <v>1443</v>
      </c>
      <c r="C344" s="658">
        <v>1.0</v>
      </c>
      <c r="D344" s="678">
        <v>150.0</v>
      </c>
      <c r="E344" s="669"/>
      <c r="F344" s="689"/>
      <c r="G344" s="658" t="s">
        <v>1554</v>
      </c>
      <c r="H344" s="731"/>
    </row>
    <row r="345">
      <c r="A345" s="658">
        <v>2.0</v>
      </c>
      <c r="B345" s="658" t="s">
        <v>1444</v>
      </c>
      <c r="C345" s="658">
        <v>1.0</v>
      </c>
      <c r="D345" s="678">
        <v>3.2</v>
      </c>
      <c r="E345" s="669"/>
      <c r="F345" s="689"/>
      <c r="G345" s="658" t="s">
        <v>1554</v>
      </c>
      <c r="H345" s="731"/>
    </row>
    <row r="346">
      <c r="A346" s="689">
        <v>2.0</v>
      </c>
      <c r="B346" s="689" t="s">
        <v>3673</v>
      </c>
      <c r="C346" s="689">
        <v>1.0</v>
      </c>
      <c r="D346" s="721">
        <v>5.0</v>
      </c>
      <c r="E346" s="669">
        <v>1.0</v>
      </c>
      <c r="F346" s="689" t="s">
        <v>1518</v>
      </c>
      <c r="G346" s="658" t="s">
        <v>1554</v>
      </c>
      <c r="H346" s="731">
        <v>45141.0</v>
      </c>
    </row>
    <row r="347">
      <c r="A347" s="689">
        <v>3.0</v>
      </c>
      <c r="B347" s="658" t="s">
        <v>3954</v>
      </c>
      <c r="C347" s="658">
        <v>1.0</v>
      </c>
      <c r="D347" s="678">
        <v>2.0</v>
      </c>
      <c r="E347" s="676">
        <v>1.0</v>
      </c>
      <c r="F347" s="658" t="s">
        <v>3955</v>
      </c>
      <c r="G347" s="658" t="s">
        <v>1554</v>
      </c>
      <c r="H347" s="679">
        <v>45212.0</v>
      </c>
    </row>
    <row r="348">
      <c r="A348" s="662">
        <v>4.0</v>
      </c>
      <c r="B348" s="662" t="s">
        <v>3956</v>
      </c>
      <c r="C348" s="662"/>
      <c r="D348" s="673"/>
      <c r="E348" s="665"/>
      <c r="F348" s="662" t="s">
        <v>3957</v>
      </c>
      <c r="G348" s="662" t="s">
        <v>155</v>
      </c>
      <c r="H348" s="681">
        <v>45212.0</v>
      </c>
    </row>
    <row r="349">
      <c r="A349" s="722">
        <v>5.0</v>
      </c>
      <c r="B349" s="662" t="s">
        <v>3958</v>
      </c>
      <c r="C349" s="662"/>
      <c r="D349" s="673"/>
      <c r="E349" s="665"/>
      <c r="F349" s="662">
        <v>2.2006806000103E13</v>
      </c>
      <c r="G349" s="662" t="s">
        <v>155</v>
      </c>
      <c r="H349" s="681">
        <v>45215.0</v>
      </c>
    </row>
    <row r="350">
      <c r="A350" s="689">
        <v>6.0</v>
      </c>
      <c r="B350" s="655" t="s">
        <v>3959</v>
      </c>
      <c r="C350" s="658">
        <v>1.0</v>
      </c>
      <c r="D350" s="678">
        <v>7.4</v>
      </c>
      <c r="E350" s="676">
        <v>1.0</v>
      </c>
      <c r="F350" s="730"/>
      <c r="G350" s="658" t="s">
        <v>1554</v>
      </c>
      <c r="H350" s="696">
        <v>45293.0</v>
      </c>
    </row>
    <row r="351">
      <c r="A351" s="722">
        <v>7.0</v>
      </c>
      <c r="B351" s="662" t="s">
        <v>3960</v>
      </c>
      <c r="C351" s="662"/>
      <c r="D351" s="664"/>
      <c r="E351" s="665"/>
      <c r="F351" s="662" t="s">
        <v>3961</v>
      </c>
      <c r="G351" s="662" t="s">
        <v>155</v>
      </c>
      <c r="H351" s="662" t="s">
        <v>3962</v>
      </c>
    </row>
    <row r="352">
      <c r="A352" s="689">
        <v>8.0</v>
      </c>
      <c r="B352" s="655" t="s">
        <v>3963</v>
      </c>
      <c r="C352" s="658">
        <v>1.0</v>
      </c>
      <c r="D352" s="678">
        <v>9.8</v>
      </c>
      <c r="E352" s="676">
        <v>1.0</v>
      </c>
      <c r="F352" s="655" t="s">
        <v>3964</v>
      </c>
      <c r="G352" s="658" t="s">
        <v>1554</v>
      </c>
      <c r="H352" s="696">
        <v>45734.0</v>
      </c>
    </row>
    <row r="353">
      <c r="A353" s="689">
        <v>9.0</v>
      </c>
      <c r="B353" s="655" t="s">
        <v>3965</v>
      </c>
      <c r="C353" s="658">
        <v>1.0</v>
      </c>
      <c r="D353" s="678">
        <v>2.0</v>
      </c>
      <c r="E353" s="676">
        <v>1.0</v>
      </c>
      <c r="F353" s="655" t="s">
        <v>3966</v>
      </c>
      <c r="G353" s="658" t="s">
        <v>1554</v>
      </c>
      <c r="H353" s="696">
        <v>45769.0</v>
      </c>
    </row>
    <row r="354">
      <c r="A354" s="658">
        <v>10.0</v>
      </c>
      <c r="B354" s="658" t="s">
        <v>1862</v>
      </c>
      <c r="C354" s="658">
        <v>1.0</v>
      </c>
      <c r="D354" s="678">
        <v>17.5</v>
      </c>
      <c r="E354" s="676">
        <v>1.0</v>
      </c>
      <c r="F354" s="689"/>
      <c r="G354" s="658" t="s">
        <v>1554</v>
      </c>
      <c r="H354" s="679">
        <v>45961.0</v>
      </c>
    </row>
    <row r="355">
      <c r="A355" s="732" t="s">
        <v>1562</v>
      </c>
      <c r="B355" s="3"/>
      <c r="C355" s="689">
        <f t="shared" ref="C355:E355" si="17">sum(C344:C354)</f>
        <v>8</v>
      </c>
      <c r="D355" s="721">
        <f t="shared" si="17"/>
        <v>196.9</v>
      </c>
      <c r="E355" s="669">
        <f t="shared" si="17"/>
        <v>6</v>
      </c>
      <c r="F355" s="689"/>
      <c r="G355" s="731"/>
      <c r="H355" s="731"/>
    </row>
    <row r="356">
      <c r="A356" s="689"/>
      <c r="B356" s="689"/>
      <c r="C356" s="689"/>
      <c r="D356" s="689"/>
      <c r="E356" s="689"/>
      <c r="F356" s="689"/>
      <c r="G356" s="689"/>
      <c r="H356" s="689"/>
    </row>
    <row r="357">
      <c r="A357" s="689"/>
      <c r="B357" s="689"/>
      <c r="C357" s="689"/>
      <c r="D357" s="689"/>
      <c r="E357" s="689"/>
      <c r="F357" s="689"/>
      <c r="G357" s="689"/>
      <c r="H357" s="689"/>
    </row>
    <row r="358">
      <c r="A358" s="649" t="s">
        <v>3967</v>
      </c>
      <c r="B358" s="2"/>
      <c r="C358" s="2"/>
      <c r="D358" s="2"/>
      <c r="E358" s="2"/>
      <c r="F358" s="2"/>
      <c r="G358" s="2"/>
      <c r="H358" s="3"/>
    </row>
    <row r="359">
      <c r="A359" s="690" t="s">
        <v>1435</v>
      </c>
      <c r="B359" s="690" t="s">
        <v>1436</v>
      </c>
      <c r="C359" s="690" t="s">
        <v>1843</v>
      </c>
      <c r="D359" s="693" t="s">
        <v>1438</v>
      </c>
      <c r="E359" s="694" t="s">
        <v>1564</v>
      </c>
      <c r="F359" s="690" t="s">
        <v>1440</v>
      </c>
      <c r="G359" s="690" t="s">
        <v>1844</v>
      </c>
      <c r="H359" s="695" t="s">
        <v>1441</v>
      </c>
    </row>
    <row r="360">
      <c r="A360" s="689">
        <v>1.0</v>
      </c>
      <c r="B360" s="658" t="s">
        <v>1443</v>
      </c>
      <c r="C360" s="658">
        <v>1.0</v>
      </c>
      <c r="D360" s="678">
        <v>150.0</v>
      </c>
      <c r="E360" s="669"/>
      <c r="F360" s="689"/>
      <c r="G360" s="658" t="s">
        <v>1554</v>
      </c>
      <c r="H360" s="731"/>
    </row>
    <row r="361">
      <c r="A361" s="689">
        <v>2.0</v>
      </c>
      <c r="B361" s="689" t="s">
        <v>3673</v>
      </c>
      <c r="C361" s="689">
        <v>1.0</v>
      </c>
      <c r="D361" s="721">
        <v>5.0</v>
      </c>
      <c r="E361" s="669">
        <v>1.0</v>
      </c>
      <c r="F361" s="689" t="s">
        <v>1518</v>
      </c>
      <c r="G361" s="689" t="s">
        <v>1554</v>
      </c>
      <c r="H361" s="731">
        <v>45141.0</v>
      </c>
    </row>
    <row r="362">
      <c r="A362" s="689">
        <v>3.0</v>
      </c>
      <c r="B362" s="689" t="s">
        <v>3916</v>
      </c>
      <c r="C362" s="689">
        <v>2.0</v>
      </c>
      <c r="D362" s="678">
        <v>3.2</v>
      </c>
      <c r="E362" s="669"/>
      <c r="F362" s="689"/>
      <c r="G362" s="689" t="s">
        <v>1554</v>
      </c>
      <c r="H362" s="679">
        <v>45141.0</v>
      </c>
    </row>
    <row r="363">
      <c r="A363" s="689">
        <v>4.0</v>
      </c>
      <c r="B363" s="658" t="s">
        <v>1526</v>
      </c>
      <c r="C363" s="658">
        <v>1.0</v>
      </c>
      <c r="D363" s="678">
        <v>10.1</v>
      </c>
      <c r="E363" s="669">
        <v>1.0</v>
      </c>
      <c r="F363" s="658" t="s">
        <v>3968</v>
      </c>
      <c r="G363" s="658" t="s">
        <v>1554</v>
      </c>
      <c r="H363" s="679">
        <v>45258.0</v>
      </c>
    </row>
    <row r="364">
      <c r="A364" s="689">
        <v>5.0</v>
      </c>
      <c r="B364" s="655" t="s">
        <v>2811</v>
      </c>
      <c r="C364" s="658">
        <v>1.0</v>
      </c>
      <c r="D364" s="721">
        <v>21.3</v>
      </c>
      <c r="E364" s="676">
        <v>2.0</v>
      </c>
      <c r="F364" s="655" t="s">
        <v>3969</v>
      </c>
      <c r="G364" s="658" t="s">
        <v>1554</v>
      </c>
      <c r="H364" s="679">
        <v>45258.0</v>
      </c>
    </row>
    <row r="365">
      <c r="A365" s="689">
        <v>6.0</v>
      </c>
      <c r="B365" s="655" t="s">
        <v>2811</v>
      </c>
      <c r="C365" s="658">
        <v>1.0</v>
      </c>
      <c r="D365" s="721">
        <v>21.3</v>
      </c>
      <c r="E365" s="676">
        <v>2.0</v>
      </c>
      <c r="F365" s="655" t="s">
        <v>3970</v>
      </c>
      <c r="G365" s="658" t="s">
        <v>1554</v>
      </c>
      <c r="H365" s="679">
        <v>45258.0</v>
      </c>
    </row>
    <row r="366">
      <c r="A366" s="689">
        <v>7.0</v>
      </c>
      <c r="B366" s="655" t="s">
        <v>2811</v>
      </c>
      <c r="C366" s="658">
        <v>1.0</v>
      </c>
      <c r="D366" s="721">
        <v>21.3</v>
      </c>
      <c r="E366" s="676">
        <v>2.0</v>
      </c>
      <c r="F366" s="655" t="s">
        <v>3971</v>
      </c>
      <c r="G366" s="658" t="s">
        <v>1554</v>
      </c>
      <c r="H366" s="679">
        <v>45258.0</v>
      </c>
    </row>
    <row r="367">
      <c r="A367" s="689">
        <v>8.0</v>
      </c>
      <c r="B367" s="655" t="s">
        <v>3972</v>
      </c>
      <c r="C367" s="658">
        <v>1.0</v>
      </c>
      <c r="D367" s="721">
        <v>9.1</v>
      </c>
      <c r="E367" s="676">
        <v>1.0</v>
      </c>
      <c r="F367" s="655" t="s">
        <v>3973</v>
      </c>
      <c r="G367" s="658" t="s">
        <v>1554</v>
      </c>
      <c r="H367" s="679">
        <v>45258.0</v>
      </c>
    </row>
    <row r="368">
      <c r="A368" s="689">
        <v>9.0</v>
      </c>
      <c r="B368" s="730" t="s">
        <v>3974</v>
      </c>
      <c r="C368" s="668">
        <v>1.0</v>
      </c>
      <c r="D368" s="721">
        <v>5.1</v>
      </c>
      <c r="E368" s="669">
        <v>1.0</v>
      </c>
      <c r="F368" s="667" t="s">
        <v>3975</v>
      </c>
      <c r="G368" s="668" t="s">
        <v>1554</v>
      </c>
      <c r="H368" s="731">
        <v>45258.0</v>
      </c>
    </row>
    <row r="369">
      <c r="A369" s="722">
        <v>10.0</v>
      </c>
      <c r="B369" s="722" t="s">
        <v>3974</v>
      </c>
      <c r="C369" s="663"/>
      <c r="D369" s="664"/>
      <c r="E369" s="723"/>
      <c r="F369" s="662" t="s">
        <v>3976</v>
      </c>
      <c r="G369" s="662" t="s">
        <v>3977</v>
      </c>
      <c r="H369" s="724">
        <v>45258.0</v>
      </c>
    </row>
    <row r="370">
      <c r="A370" s="689">
        <v>11.0</v>
      </c>
      <c r="B370" s="730" t="s">
        <v>3978</v>
      </c>
      <c r="C370" s="668">
        <v>1.0</v>
      </c>
      <c r="D370" s="721">
        <v>8.9</v>
      </c>
      <c r="E370" s="669">
        <v>1.0</v>
      </c>
      <c r="F370" s="667" t="s">
        <v>3979</v>
      </c>
      <c r="G370" s="668" t="s">
        <v>3980</v>
      </c>
      <c r="H370" s="731">
        <v>45258.0</v>
      </c>
    </row>
    <row r="371">
      <c r="A371" s="689">
        <v>12.0</v>
      </c>
      <c r="B371" s="655" t="s">
        <v>2632</v>
      </c>
      <c r="C371" s="658">
        <v>1.0</v>
      </c>
      <c r="D371" s="678">
        <v>2.0</v>
      </c>
      <c r="E371" s="676">
        <v>1.0</v>
      </c>
      <c r="F371" s="655" t="s">
        <v>3981</v>
      </c>
      <c r="G371" s="668" t="s">
        <v>1554</v>
      </c>
      <c r="H371" s="679">
        <v>45271.0</v>
      </c>
    </row>
    <row r="372">
      <c r="A372" s="689">
        <v>13.0</v>
      </c>
      <c r="B372" s="655" t="s">
        <v>3982</v>
      </c>
      <c r="C372" s="658">
        <v>1.0</v>
      </c>
      <c r="D372" s="678">
        <v>7.7</v>
      </c>
      <c r="E372" s="676">
        <v>1.0</v>
      </c>
      <c r="F372" s="655" t="s">
        <v>3983</v>
      </c>
      <c r="G372" s="658" t="s">
        <v>1554</v>
      </c>
      <c r="H372" s="679">
        <v>45271.0</v>
      </c>
    </row>
    <row r="373">
      <c r="A373" s="722">
        <v>14.0</v>
      </c>
      <c r="B373" s="662" t="s">
        <v>2016</v>
      </c>
      <c r="C373" s="662">
        <v>1.0</v>
      </c>
      <c r="D373" s="673">
        <v>17.5</v>
      </c>
      <c r="E373" s="665">
        <v>1.0</v>
      </c>
      <c r="F373" s="662" t="s">
        <v>3984</v>
      </c>
      <c r="G373" s="662" t="s">
        <v>3985</v>
      </c>
      <c r="H373" s="681">
        <v>45280.0</v>
      </c>
    </row>
    <row r="374">
      <c r="A374" s="658">
        <v>15.0</v>
      </c>
      <c r="B374" s="655" t="s">
        <v>3986</v>
      </c>
      <c r="C374" s="658">
        <v>1.0</v>
      </c>
      <c r="D374" s="678">
        <v>4.5</v>
      </c>
      <c r="E374" s="676">
        <v>1.0</v>
      </c>
      <c r="F374" s="655" t="s">
        <v>3987</v>
      </c>
      <c r="G374" s="658" t="s">
        <v>1554</v>
      </c>
      <c r="H374" s="679">
        <v>45326.0</v>
      </c>
    </row>
    <row r="375">
      <c r="A375" s="662">
        <v>16.0</v>
      </c>
      <c r="B375" s="662" t="s">
        <v>1635</v>
      </c>
      <c r="C375" s="662">
        <v>1.0</v>
      </c>
      <c r="D375" s="673">
        <v>17.5</v>
      </c>
      <c r="E375" s="665">
        <v>1.0</v>
      </c>
      <c r="F375" s="662" t="s">
        <v>3988</v>
      </c>
      <c r="G375" s="662" t="s">
        <v>3985</v>
      </c>
      <c r="H375" s="681">
        <v>45326.0</v>
      </c>
    </row>
    <row r="376">
      <c r="A376" s="658">
        <v>17.0</v>
      </c>
      <c r="B376" s="655" t="s">
        <v>1635</v>
      </c>
      <c r="C376" s="658">
        <v>1.0</v>
      </c>
      <c r="D376" s="678">
        <v>17.5</v>
      </c>
      <c r="E376" s="676">
        <v>1.0</v>
      </c>
      <c r="F376" s="655" t="s">
        <v>3989</v>
      </c>
      <c r="G376" s="658" t="s">
        <v>1554</v>
      </c>
      <c r="H376" s="679">
        <v>45513.0</v>
      </c>
    </row>
    <row r="377">
      <c r="A377" s="658">
        <v>18.0</v>
      </c>
      <c r="B377" s="655" t="s">
        <v>1635</v>
      </c>
      <c r="C377" s="658">
        <v>1.0</v>
      </c>
      <c r="D377" s="678">
        <v>17.5</v>
      </c>
      <c r="E377" s="676">
        <v>1.0</v>
      </c>
      <c r="F377" s="658" t="s">
        <v>3990</v>
      </c>
      <c r="G377" s="658" t="s">
        <v>1554</v>
      </c>
      <c r="H377" s="679">
        <v>45514.0</v>
      </c>
    </row>
    <row r="378">
      <c r="A378" s="662">
        <v>19.0</v>
      </c>
      <c r="B378" s="662" t="s">
        <v>1635</v>
      </c>
      <c r="C378" s="662">
        <v>1.0</v>
      </c>
      <c r="D378" s="673">
        <v>17.5</v>
      </c>
      <c r="E378" s="665">
        <v>1.0</v>
      </c>
      <c r="F378" s="662" t="s">
        <v>3991</v>
      </c>
      <c r="G378" s="662" t="s">
        <v>3985</v>
      </c>
      <c r="H378" s="681">
        <v>45820.0</v>
      </c>
    </row>
    <row r="379">
      <c r="A379" s="187">
        <v>20.0</v>
      </c>
      <c r="B379" s="733" t="s">
        <v>1872</v>
      </c>
      <c r="C379" s="187">
        <v>1.0</v>
      </c>
      <c r="D379" s="188">
        <v>7.7</v>
      </c>
      <c r="E379" s="189">
        <v>1.0</v>
      </c>
      <c r="F379" s="734" t="s">
        <v>3992</v>
      </c>
      <c r="G379" s="187" t="s">
        <v>158</v>
      </c>
      <c r="H379" s="735">
        <v>46012.0</v>
      </c>
    </row>
    <row r="380">
      <c r="A380" s="187">
        <v>21.0</v>
      </c>
      <c r="B380" s="733" t="s">
        <v>3993</v>
      </c>
      <c r="C380" s="187">
        <v>1.0</v>
      </c>
      <c r="D380" s="188">
        <v>6.8</v>
      </c>
      <c r="E380" s="189">
        <v>1.0</v>
      </c>
      <c r="F380" s="734" t="s">
        <v>3994</v>
      </c>
      <c r="G380" s="187" t="s">
        <v>158</v>
      </c>
      <c r="H380" s="735">
        <v>46012.0</v>
      </c>
    </row>
    <row r="381">
      <c r="A381" s="732" t="s">
        <v>1562</v>
      </c>
      <c r="B381" s="3"/>
      <c r="C381" s="689">
        <f t="shared" ref="C381:E381" si="18">sum(C360:C378)</f>
        <v>19</v>
      </c>
      <c r="D381" s="721">
        <f t="shared" si="18"/>
        <v>357</v>
      </c>
      <c r="E381" s="669">
        <f t="shared" si="18"/>
        <v>19</v>
      </c>
      <c r="F381" s="689"/>
      <c r="G381" s="731"/>
      <c r="H381" s="731"/>
    </row>
    <row r="382">
      <c r="A382" s="689"/>
      <c r="B382" s="689"/>
      <c r="C382" s="689"/>
      <c r="D382" s="689"/>
      <c r="E382" s="689"/>
      <c r="F382" s="689"/>
      <c r="G382" s="689"/>
      <c r="H382" s="689"/>
    </row>
    <row r="383">
      <c r="A383" s="689"/>
      <c r="B383" s="689"/>
      <c r="C383" s="689"/>
      <c r="D383" s="689"/>
      <c r="E383" s="689"/>
      <c r="F383" s="689"/>
      <c r="G383" s="689"/>
      <c r="H383" s="689"/>
    </row>
    <row r="384">
      <c r="A384" s="649" t="s">
        <v>3995</v>
      </c>
      <c r="B384" s="2"/>
      <c r="C384" s="2"/>
      <c r="D384" s="2"/>
      <c r="E384" s="2"/>
      <c r="F384" s="2"/>
      <c r="G384" s="2"/>
      <c r="H384" s="3"/>
    </row>
    <row r="385">
      <c r="A385" s="690" t="s">
        <v>1435</v>
      </c>
      <c r="B385" s="690" t="s">
        <v>1436</v>
      </c>
      <c r="C385" s="690" t="s">
        <v>1843</v>
      </c>
      <c r="D385" s="693" t="s">
        <v>1438</v>
      </c>
      <c r="E385" s="694" t="s">
        <v>1564</v>
      </c>
      <c r="F385" s="690" t="s">
        <v>1440</v>
      </c>
      <c r="G385" s="690" t="s">
        <v>1844</v>
      </c>
      <c r="H385" s="695" t="s">
        <v>1441</v>
      </c>
    </row>
    <row r="386">
      <c r="A386" s="658">
        <v>1.0</v>
      </c>
      <c r="B386" s="658" t="s">
        <v>1443</v>
      </c>
      <c r="C386" s="658">
        <v>1.0</v>
      </c>
      <c r="D386" s="678">
        <v>150.0</v>
      </c>
      <c r="E386" s="669"/>
      <c r="F386" s="689"/>
      <c r="G386" s="658" t="s">
        <v>1554</v>
      </c>
      <c r="H386" s="731"/>
    </row>
    <row r="387">
      <c r="A387" s="658">
        <v>2.0</v>
      </c>
      <c r="B387" s="689" t="s">
        <v>3673</v>
      </c>
      <c r="C387" s="689">
        <v>1.0</v>
      </c>
      <c r="D387" s="721">
        <v>5.0</v>
      </c>
      <c r="E387" s="669">
        <v>1.0</v>
      </c>
      <c r="F387" s="689" t="s">
        <v>1518</v>
      </c>
      <c r="G387" s="658" t="s">
        <v>1554</v>
      </c>
      <c r="H387" s="731">
        <v>45141.0</v>
      </c>
    </row>
    <row r="388">
      <c r="A388" s="658">
        <v>3.0</v>
      </c>
      <c r="B388" s="658" t="s">
        <v>3996</v>
      </c>
      <c r="C388" s="658">
        <v>1.0</v>
      </c>
      <c r="D388" s="678">
        <v>8.2</v>
      </c>
      <c r="E388" s="676">
        <v>2.0</v>
      </c>
      <c r="F388" s="689"/>
      <c r="G388" s="658" t="s">
        <v>1554</v>
      </c>
      <c r="H388" s="679">
        <v>45274.0</v>
      </c>
    </row>
    <row r="389">
      <c r="A389" s="658">
        <v>4.0</v>
      </c>
      <c r="B389" s="658" t="s">
        <v>1523</v>
      </c>
      <c r="C389" s="658">
        <v>1.0</v>
      </c>
      <c r="D389" s="678">
        <v>2.0</v>
      </c>
      <c r="E389" s="676">
        <v>1.0</v>
      </c>
      <c r="F389" s="658" t="s">
        <v>3997</v>
      </c>
      <c r="G389" s="658" t="s">
        <v>2904</v>
      </c>
      <c r="H389" s="679">
        <v>45274.0</v>
      </c>
    </row>
    <row r="390">
      <c r="A390" s="658">
        <v>5.0</v>
      </c>
      <c r="B390" s="658" t="s">
        <v>1523</v>
      </c>
      <c r="C390" s="658">
        <v>1.0</v>
      </c>
      <c r="D390" s="678">
        <v>2.0</v>
      </c>
      <c r="E390" s="676">
        <v>1.0</v>
      </c>
      <c r="F390" s="658" t="s">
        <v>3998</v>
      </c>
      <c r="G390" s="658" t="s">
        <v>2904</v>
      </c>
      <c r="H390" s="696">
        <v>45274.0</v>
      </c>
    </row>
    <row r="391">
      <c r="A391" s="658">
        <v>6.0</v>
      </c>
      <c r="B391" s="736" t="s">
        <v>3999</v>
      </c>
      <c r="C391" s="658">
        <v>1.0</v>
      </c>
      <c r="D391" s="678">
        <v>7.6</v>
      </c>
      <c r="E391" s="676">
        <v>1.0</v>
      </c>
      <c r="F391" s="658"/>
      <c r="G391" s="658" t="s">
        <v>2904</v>
      </c>
      <c r="H391" s="696">
        <v>45275.0</v>
      </c>
    </row>
    <row r="392">
      <c r="A392" s="658">
        <v>7.0</v>
      </c>
      <c r="B392" s="658" t="s">
        <v>4000</v>
      </c>
      <c r="C392" s="658">
        <v>1.0</v>
      </c>
      <c r="D392" s="678">
        <v>4.35</v>
      </c>
      <c r="E392" s="676">
        <v>1.0</v>
      </c>
      <c r="F392" s="658"/>
      <c r="G392" s="658" t="s">
        <v>2904</v>
      </c>
      <c r="H392" s="696">
        <v>45275.0</v>
      </c>
    </row>
    <row r="393">
      <c r="A393" s="658">
        <v>8.0</v>
      </c>
      <c r="B393" s="658" t="s">
        <v>4001</v>
      </c>
      <c r="C393" s="658">
        <v>1.0</v>
      </c>
      <c r="D393" s="678">
        <v>9.14</v>
      </c>
      <c r="E393" s="676">
        <v>1.0</v>
      </c>
      <c r="F393" s="658"/>
      <c r="G393" s="658" t="s">
        <v>2904</v>
      </c>
      <c r="H393" s="696">
        <v>45275.0</v>
      </c>
    </row>
    <row r="394">
      <c r="A394" s="658">
        <v>9.0</v>
      </c>
      <c r="B394" s="658" t="s">
        <v>4001</v>
      </c>
      <c r="C394" s="658">
        <v>1.0</v>
      </c>
      <c r="D394" s="678">
        <v>9.14</v>
      </c>
      <c r="E394" s="676">
        <v>1.0</v>
      </c>
      <c r="F394" s="658"/>
      <c r="G394" s="658" t="s">
        <v>2904</v>
      </c>
      <c r="H394" s="696">
        <v>45275.0</v>
      </c>
    </row>
    <row r="395">
      <c r="A395" s="658">
        <v>10.0</v>
      </c>
      <c r="B395" s="658" t="s">
        <v>4002</v>
      </c>
      <c r="C395" s="658">
        <v>1.0</v>
      </c>
      <c r="D395" s="678">
        <v>10.15</v>
      </c>
      <c r="E395" s="676">
        <v>1.0</v>
      </c>
      <c r="F395" s="658"/>
      <c r="G395" s="658" t="s">
        <v>2904</v>
      </c>
      <c r="H395" s="696">
        <v>45275.0</v>
      </c>
    </row>
    <row r="396">
      <c r="A396" s="658">
        <v>11.0</v>
      </c>
      <c r="B396" s="658" t="s">
        <v>4002</v>
      </c>
      <c r="C396" s="658">
        <v>1.0</v>
      </c>
      <c r="D396" s="678">
        <v>10.15</v>
      </c>
      <c r="E396" s="676">
        <v>1.0</v>
      </c>
      <c r="F396" s="658"/>
      <c r="G396" s="658" t="s">
        <v>2904</v>
      </c>
      <c r="H396" s="696">
        <v>45275.0</v>
      </c>
    </row>
    <row r="397">
      <c r="A397" s="658">
        <v>12.0</v>
      </c>
      <c r="B397" s="658" t="s">
        <v>4003</v>
      </c>
      <c r="C397" s="658">
        <v>1.0</v>
      </c>
      <c r="D397" s="678">
        <v>5.75</v>
      </c>
      <c r="E397" s="676">
        <v>1.0</v>
      </c>
      <c r="F397" s="658"/>
      <c r="G397" s="658" t="s">
        <v>2904</v>
      </c>
      <c r="H397" s="696">
        <v>45275.0</v>
      </c>
    </row>
    <row r="398">
      <c r="A398" s="658">
        <v>13.0</v>
      </c>
      <c r="B398" s="658" t="s">
        <v>4003</v>
      </c>
      <c r="C398" s="658">
        <v>1.0</v>
      </c>
      <c r="D398" s="678">
        <v>5.75</v>
      </c>
      <c r="E398" s="676">
        <v>1.0</v>
      </c>
      <c r="F398" s="658"/>
      <c r="G398" s="658" t="s">
        <v>2904</v>
      </c>
      <c r="H398" s="696">
        <v>45275.0</v>
      </c>
    </row>
    <row r="399">
      <c r="A399" s="662">
        <v>14.0</v>
      </c>
      <c r="B399" s="662" t="s">
        <v>4004</v>
      </c>
      <c r="C399" s="662"/>
      <c r="D399" s="673"/>
      <c r="E399" s="665"/>
      <c r="F399" s="662" t="s">
        <v>4005</v>
      </c>
      <c r="G399" s="662" t="s">
        <v>2904</v>
      </c>
      <c r="H399" s="698">
        <v>45275.0</v>
      </c>
    </row>
    <row r="400">
      <c r="A400" s="662">
        <v>15.0</v>
      </c>
      <c r="B400" s="662" t="s">
        <v>4004</v>
      </c>
      <c r="C400" s="662"/>
      <c r="D400" s="673"/>
      <c r="E400" s="665"/>
      <c r="F400" s="662" t="s">
        <v>4006</v>
      </c>
      <c r="G400" s="662" t="s">
        <v>2904</v>
      </c>
      <c r="H400" s="698">
        <v>45275.0</v>
      </c>
    </row>
    <row r="401">
      <c r="A401" s="662">
        <v>16.0</v>
      </c>
      <c r="B401" s="662" t="s">
        <v>4004</v>
      </c>
      <c r="C401" s="662"/>
      <c r="D401" s="673"/>
      <c r="E401" s="665"/>
      <c r="F401" s="662" t="s">
        <v>4007</v>
      </c>
      <c r="G401" s="662" t="s">
        <v>2904</v>
      </c>
      <c r="H401" s="698">
        <v>45275.0</v>
      </c>
    </row>
    <row r="402">
      <c r="A402" s="658">
        <v>17.0</v>
      </c>
      <c r="B402" s="658" t="s">
        <v>4008</v>
      </c>
      <c r="C402" s="658">
        <v>1.0</v>
      </c>
      <c r="D402" s="678">
        <v>10.0</v>
      </c>
      <c r="E402" s="676">
        <v>1.0</v>
      </c>
      <c r="F402" s="689"/>
      <c r="G402" s="658" t="s">
        <v>2904</v>
      </c>
      <c r="H402" s="696">
        <v>45275.0</v>
      </c>
    </row>
    <row r="403">
      <c r="A403" s="658">
        <v>18.0</v>
      </c>
      <c r="B403" s="658" t="s">
        <v>4009</v>
      </c>
      <c r="C403" s="658">
        <v>1.0</v>
      </c>
      <c r="D403" s="678">
        <v>8.6</v>
      </c>
      <c r="E403" s="676">
        <v>1.0</v>
      </c>
      <c r="F403" s="689"/>
      <c r="G403" s="658" t="s">
        <v>2904</v>
      </c>
      <c r="H403" s="696">
        <v>45275.0</v>
      </c>
    </row>
    <row r="404">
      <c r="A404" s="658">
        <v>19.0</v>
      </c>
      <c r="B404" s="658" t="s">
        <v>4010</v>
      </c>
      <c r="C404" s="658">
        <v>1.0</v>
      </c>
      <c r="D404" s="678">
        <v>7.8</v>
      </c>
      <c r="E404" s="676">
        <v>1.0</v>
      </c>
      <c r="F404" s="689"/>
      <c r="G404" s="658" t="s">
        <v>2904</v>
      </c>
      <c r="H404" s="696">
        <v>45275.0</v>
      </c>
    </row>
    <row r="405">
      <c r="A405" s="658">
        <v>20.0</v>
      </c>
      <c r="B405" s="658" t="s">
        <v>2563</v>
      </c>
      <c r="C405" s="658">
        <v>1.0</v>
      </c>
      <c r="D405" s="678">
        <v>28.6</v>
      </c>
      <c r="E405" s="676">
        <v>2.0</v>
      </c>
      <c r="F405" s="689"/>
      <c r="G405" s="658" t="s">
        <v>2904</v>
      </c>
      <c r="H405" s="696">
        <v>45275.0</v>
      </c>
    </row>
    <row r="406">
      <c r="A406" s="658">
        <v>21.0</v>
      </c>
      <c r="B406" s="658" t="s">
        <v>2563</v>
      </c>
      <c r="C406" s="658">
        <v>1.0</v>
      </c>
      <c r="D406" s="678">
        <v>28.6</v>
      </c>
      <c r="E406" s="676">
        <v>2.0</v>
      </c>
      <c r="F406" s="689"/>
      <c r="G406" s="658" t="s">
        <v>2904</v>
      </c>
      <c r="H406" s="696">
        <v>45275.0</v>
      </c>
    </row>
    <row r="407">
      <c r="A407" s="658">
        <v>22.0</v>
      </c>
      <c r="B407" s="658" t="s">
        <v>2563</v>
      </c>
      <c r="C407" s="658">
        <v>1.0</v>
      </c>
      <c r="D407" s="678">
        <v>28.6</v>
      </c>
      <c r="E407" s="676">
        <v>2.0</v>
      </c>
      <c r="F407" s="689"/>
      <c r="G407" s="658" t="s">
        <v>2904</v>
      </c>
      <c r="H407" s="696">
        <v>45275.0</v>
      </c>
    </row>
    <row r="408">
      <c r="A408" s="658">
        <v>23.0</v>
      </c>
      <c r="B408" s="658" t="s">
        <v>2563</v>
      </c>
      <c r="C408" s="658">
        <v>1.0</v>
      </c>
      <c r="D408" s="678">
        <v>28.6</v>
      </c>
      <c r="E408" s="676">
        <v>2.0</v>
      </c>
      <c r="F408" s="658"/>
      <c r="G408" s="658" t="s">
        <v>2904</v>
      </c>
      <c r="H408" s="696">
        <v>45275.0</v>
      </c>
    </row>
    <row r="409">
      <c r="A409" s="658">
        <v>24.0</v>
      </c>
      <c r="B409" s="658" t="s">
        <v>2563</v>
      </c>
      <c r="C409" s="658">
        <v>1.0</v>
      </c>
      <c r="D409" s="678">
        <v>28.6</v>
      </c>
      <c r="E409" s="676">
        <v>2.0</v>
      </c>
      <c r="F409" s="689"/>
      <c r="G409" s="658" t="s">
        <v>2904</v>
      </c>
      <c r="H409" s="696">
        <v>45275.0</v>
      </c>
    </row>
    <row r="410">
      <c r="A410" s="658">
        <v>25.0</v>
      </c>
      <c r="B410" s="658" t="s">
        <v>2563</v>
      </c>
      <c r="C410" s="658">
        <v>1.0</v>
      </c>
      <c r="D410" s="678">
        <v>28.6</v>
      </c>
      <c r="E410" s="676">
        <v>2.0</v>
      </c>
      <c r="F410" s="689"/>
      <c r="G410" s="658" t="s">
        <v>2904</v>
      </c>
      <c r="H410" s="696">
        <v>45275.0</v>
      </c>
    </row>
    <row r="411">
      <c r="A411" s="662">
        <v>26.0</v>
      </c>
      <c r="B411" s="662" t="s">
        <v>4011</v>
      </c>
      <c r="C411" s="662"/>
      <c r="D411" s="673"/>
      <c r="E411" s="665"/>
      <c r="F411" s="662" t="s">
        <v>4012</v>
      </c>
      <c r="G411" s="662" t="s">
        <v>4013</v>
      </c>
      <c r="H411" s="681">
        <v>45516.0</v>
      </c>
    </row>
    <row r="412">
      <c r="A412" s="662">
        <v>27.0</v>
      </c>
      <c r="B412" s="662" t="s">
        <v>4011</v>
      </c>
      <c r="C412" s="662"/>
      <c r="D412" s="673"/>
      <c r="E412" s="665"/>
      <c r="F412" s="662" t="s">
        <v>4014</v>
      </c>
      <c r="G412" s="662" t="s">
        <v>4013</v>
      </c>
      <c r="H412" s="681">
        <v>45516.0</v>
      </c>
    </row>
    <row r="413">
      <c r="A413" s="655">
        <v>28.0</v>
      </c>
      <c r="B413" s="655" t="s">
        <v>1853</v>
      </c>
      <c r="C413" s="655">
        <v>1.0</v>
      </c>
      <c r="D413" s="656">
        <v>5.0</v>
      </c>
      <c r="E413" s="657">
        <v>1.0</v>
      </c>
      <c r="F413" s="655"/>
      <c r="G413" s="655" t="s">
        <v>1554</v>
      </c>
      <c r="H413" s="659">
        <v>46022.0</v>
      </c>
    </row>
    <row r="414">
      <c r="A414" s="732" t="s">
        <v>1562</v>
      </c>
      <c r="B414" s="3"/>
      <c r="C414" s="689">
        <f>sum(C386:C413)</f>
        <v>23</v>
      </c>
      <c r="D414" s="721">
        <f>sum(D386:D410)</f>
        <v>427.23</v>
      </c>
      <c r="E414" s="669">
        <f>sum(E387:E413)</f>
        <v>29</v>
      </c>
      <c r="F414" s="689"/>
      <c r="G414" s="731"/>
      <c r="H414" s="731"/>
    </row>
    <row r="415">
      <c r="A415" s="689"/>
      <c r="B415" s="689"/>
      <c r="C415" s="689"/>
      <c r="D415" s="689"/>
      <c r="E415" s="689"/>
      <c r="F415" s="689"/>
      <c r="G415" s="689"/>
      <c r="H415" s="689"/>
    </row>
    <row r="416">
      <c r="A416" s="689"/>
      <c r="B416" s="689"/>
      <c r="C416" s="689"/>
      <c r="D416" s="689"/>
      <c r="E416" s="689"/>
      <c r="F416" s="689"/>
      <c r="G416" s="689"/>
      <c r="H416" s="689"/>
    </row>
    <row r="417">
      <c r="A417" s="649" t="s">
        <v>4015</v>
      </c>
      <c r="B417" s="2"/>
      <c r="C417" s="2"/>
      <c r="D417" s="2"/>
      <c r="E417" s="2"/>
      <c r="F417" s="2"/>
      <c r="G417" s="2"/>
      <c r="H417" s="3"/>
    </row>
    <row r="418">
      <c r="A418" s="690" t="s">
        <v>1435</v>
      </c>
      <c r="B418" s="690" t="s">
        <v>1436</v>
      </c>
      <c r="C418" s="690" t="s">
        <v>1843</v>
      </c>
      <c r="D418" s="693" t="s">
        <v>1438</v>
      </c>
      <c r="E418" s="694" t="s">
        <v>1564</v>
      </c>
      <c r="F418" s="690" t="s">
        <v>1440</v>
      </c>
      <c r="G418" s="690" t="s">
        <v>1844</v>
      </c>
      <c r="H418" s="695" t="s">
        <v>1441</v>
      </c>
    </row>
    <row r="419">
      <c r="A419" s="658">
        <v>1.0</v>
      </c>
      <c r="B419" s="658" t="s">
        <v>1443</v>
      </c>
      <c r="C419" s="658">
        <v>1.0</v>
      </c>
      <c r="D419" s="678">
        <v>150.0</v>
      </c>
      <c r="E419" s="669"/>
      <c r="F419" s="689"/>
      <c r="G419" s="658" t="s">
        <v>1554</v>
      </c>
      <c r="H419" s="731"/>
    </row>
    <row r="420">
      <c r="A420" s="658">
        <v>2.0</v>
      </c>
      <c r="B420" s="689" t="s">
        <v>3673</v>
      </c>
      <c r="C420" s="689">
        <v>1.0</v>
      </c>
      <c r="D420" s="721">
        <v>5.0</v>
      </c>
      <c r="E420" s="669">
        <v>1.0</v>
      </c>
      <c r="F420" s="689" t="s">
        <v>1518</v>
      </c>
      <c r="G420" s="658" t="s">
        <v>1554</v>
      </c>
      <c r="H420" s="731">
        <v>45141.0</v>
      </c>
    </row>
    <row r="421">
      <c r="A421" s="658">
        <v>3.0</v>
      </c>
      <c r="B421" s="658" t="s">
        <v>3996</v>
      </c>
      <c r="C421" s="658">
        <v>2.0</v>
      </c>
      <c r="D421" s="678">
        <v>8.2</v>
      </c>
      <c r="E421" s="676">
        <v>2.0</v>
      </c>
      <c r="F421" s="689"/>
      <c r="G421" s="658" t="s">
        <v>1554</v>
      </c>
      <c r="H421" s="696">
        <v>45275.0</v>
      </c>
    </row>
    <row r="422">
      <c r="A422" s="658">
        <v>4.0</v>
      </c>
      <c r="B422" s="658" t="s">
        <v>4016</v>
      </c>
      <c r="C422" s="658">
        <v>1.0</v>
      </c>
      <c r="D422" s="678">
        <v>21.2</v>
      </c>
      <c r="E422" s="676">
        <v>1.0</v>
      </c>
      <c r="F422" s="689"/>
      <c r="G422" s="658" t="s">
        <v>1554</v>
      </c>
      <c r="H422" s="696">
        <v>45275.0</v>
      </c>
    </row>
    <row r="423">
      <c r="A423" s="658">
        <v>5.0</v>
      </c>
      <c r="B423" s="658" t="s">
        <v>4016</v>
      </c>
      <c r="C423" s="658">
        <v>1.0</v>
      </c>
      <c r="D423" s="678">
        <v>21.2</v>
      </c>
      <c r="E423" s="676">
        <v>1.0</v>
      </c>
      <c r="F423" s="689"/>
      <c r="G423" s="658" t="s">
        <v>1554</v>
      </c>
      <c r="H423" s="696">
        <v>45275.0</v>
      </c>
    </row>
    <row r="424">
      <c r="A424" s="658">
        <v>6.0</v>
      </c>
      <c r="B424" s="658" t="s">
        <v>4016</v>
      </c>
      <c r="C424" s="658">
        <v>1.0</v>
      </c>
      <c r="D424" s="678">
        <v>21.2</v>
      </c>
      <c r="E424" s="676">
        <v>1.0</v>
      </c>
      <c r="F424" s="689"/>
      <c r="G424" s="658" t="s">
        <v>1554</v>
      </c>
      <c r="H424" s="696">
        <v>45275.0</v>
      </c>
    </row>
    <row r="425">
      <c r="A425" s="658">
        <v>7.0</v>
      </c>
      <c r="B425" s="658" t="s">
        <v>4016</v>
      </c>
      <c r="C425" s="658">
        <v>1.0</v>
      </c>
      <c r="D425" s="678">
        <v>21.2</v>
      </c>
      <c r="E425" s="676">
        <v>1.0</v>
      </c>
      <c r="F425" s="689"/>
      <c r="G425" s="658" t="s">
        <v>1554</v>
      </c>
      <c r="H425" s="696">
        <v>45275.0</v>
      </c>
    </row>
    <row r="426">
      <c r="A426" s="658">
        <v>8.0</v>
      </c>
      <c r="B426" s="658" t="s">
        <v>4016</v>
      </c>
      <c r="C426" s="658">
        <v>1.0</v>
      </c>
      <c r="D426" s="678">
        <v>21.2</v>
      </c>
      <c r="E426" s="676">
        <v>1.0</v>
      </c>
      <c r="F426" s="689"/>
      <c r="G426" s="658" t="s">
        <v>1554</v>
      </c>
      <c r="H426" s="696">
        <v>45275.0</v>
      </c>
    </row>
    <row r="427">
      <c r="A427" s="658">
        <v>9.0</v>
      </c>
      <c r="B427" s="658" t="s">
        <v>4016</v>
      </c>
      <c r="C427" s="658">
        <v>1.0</v>
      </c>
      <c r="D427" s="678">
        <v>21.2</v>
      </c>
      <c r="E427" s="676">
        <v>1.0</v>
      </c>
      <c r="F427" s="689"/>
      <c r="G427" s="658" t="s">
        <v>1554</v>
      </c>
      <c r="H427" s="696">
        <v>45275.0</v>
      </c>
    </row>
    <row r="428">
      <c r="A428" s="658">
        <v>10.0</v>
      </c>
      <c r="B428" s="658" t="s">
        <v>4017</v>
      </c>
      <c r="C428" s="658">
        <v>1.0</v>
      </c>
      <c r="D428" s="678">
        <v>45.0</v>
      </c>
      <c r="E428" s="676">
        <v>3.0</v>
      </c>
      <c r="F428" s="689"/>
      <c r="G428" s="658" t="s">
        <v>1554</v>
      </c>
      <c r="H428" s="696">
        <v>45275.0</v>
      </c>
    </row>
    <row r="429">
      <c r="A429" s="658">
        <v>11.0</v>
      </c>
      <c r="B429" s="658" t="s">
        <v>4018</v>
      </c>
      <c r="C429" s="658">
        <v>1.0</v>
      </c>
      <c r="D429" s="678">
        <v>81.0</v>
      </c>
      <c r="E429" s="676">
        <v>4.0</v>
      </c>
      <c r="F429" s="689"/>
      <c r="G429" s="658" t="s">
        <v>1554</v>
      </c>
      <c r="H429" s="696">
        <v>45275.0</v>
      </c>
    </row>
    <row r="430">
      <c r="A430" s="658">
        <v>12.0</v>
      </c>
      <c r="B430" s="658" t="s">
        <v>4018</v>
      </c>
      <c r="C430" s="658">
        <v>1.0</v>
      </c>
      <c r="D430" s="678">
        <v>81.0</v>
      </c>
      <c r="E430" s="676">
        <v>4.0</v>
      </c>
      <c r="F430" s="730"/>
      <c r="G430" s="658" t="s">
        <v>1554</v>
      </c>
      <c r="H430" s="696">
        <v>45275.0</v>
      </c>
    </row>
    <row r="431">
      <c r="A431" s="658">
        <v>13.0</v>
      </c>
      <c r="B431" s="658" t="s">
        <v>4018</v>
      </c>
      <c r="C431" s="658">
        <v>1.0</v>
      </c>
      <c r="D431" s="678">
        <v>81.0</v>
      </c>
      <c r="E431" s="676">
        <v>4.0</v>
      </c>
      <c r="F431" s="730"/>
      <c r="G431" s="658" t="s">
        <v>1554</v>
      </c>
      <c r="H431" s="696">
        <v>45275.0</v>
      </c>
    </row>
    <row r="432">
      <c r="A432" s="658">
        <v>14.0</v>
      </c>
      <c r="B432" s="658" t="s">
        <v>4018</v>
      </c>
      <c r="C432" s="658">
        <v>1.0</v>
      </c>
      <c r="D432" s="678">
        <v>81.0</v>
      </c>
      <c r="E432" s="676">
        <v>4.0</v>
      </c>
      <c r="F432" s="730"/>
      <c r="G432" s="658" t="s">
        <v>1554</v>
      </c>
      <c r="H432" s="696">
        <v>45275.0</v>
      </c>
    </row>
    <row r="433">
      <c r="A433" s="689"/>
      <c r="B433" s="689"/>
      <c r="C433" s="689"/>
      <c r="D433" s="721"/>
      <c r="E433" s="669"/>
      <c r="F433" s="689"/>
      <c r="G433" s="731"/>
      <c r="H433" s="731"/>
    </row>
    <row r="434">
      <c r="A434" s="732" t="s">
        <v>1562</v>
      </c>
      <c r="B434" s="3"/>
      <c r="C434" s="689">
        <f t="shared" ref="C434:D434" si="19">sum(C419:C432)</f>
        <v>15</v>
      </c>
      <c r="D434" s="721">
        <f t="shared" si="19"/>
        <v>659.4</v>
      </c>
      <c r="E434" s="669">
        <f>SUM(E419:E432)</f>
        <v>28</v>
      </c>
      <c r="F434" s="689"/>
      <c r="G434" s="731"/>
      <c r="H434" s="731"/>
    </row>
    <row r="435">
      <c r="A435" s="689"/>
      <c r="B435" s="689"/>
      <c r="C435" s="689"/>
      <c r="D435" s="689"/>
      <c r="E435" s="689"/>
      <c r="F435" s="689"/>
      <c r="G435" s="689"/>
      <c r="H435" s="689"/>
    </row>
    <row r="436">
      <c r="A436" s="689"/>
      <c r="B436" s="689"/>
      <c r="C436" s="689"/>
      <c r="D436" s="689"/>
      <c r="E436" s="689"/>
      <c r="F436" s="689"/>
      <c r="G436" s="689"/>
      <c r="H436" s="689"/>
    </row>
    <row r="437">
      <c r="A437" s="649" t="s">
        <v>4019</v>
      </c>
      <c r="B437" s="2"/>
      <c r="C437" s="2"/>
      <c r="D437" s="2"/>
      <c r="E437" s="2"/>
      <c r="F437" s="2"/>
      <c r="G437" s="2"/>
      <c r="H437" s="3"/>
    </row>
    <row r="438">
      <c r="A438" s="690" t="s">
        <v>1435</v>
      </c>
      <c r="B438" s="690" t="s">
        <v>1436</v>
      </c>
      <c r="C438" s="690" t="s">
        <v>1843</v>
      </c>
      <c r="D438" s="693" t="s">
        <v>1438</v>
      </c>
      <c r="E438" s="694" t="s">
        <v>1564</v>
      </c>
      <c r="F438" s="690" t="s">
        <v>1440</v>
      </c>
      <c r="G438" s="690" t="s">
        <v>1844</v>
      </c>
      <c r="H438" s="695" t="s">
        <v>1441</v>
      </c>
    </row>
    <row r="439">
      <c r="A439" s="658">
        <v>1.0</v>
      </c>
      <c r="B439" s="658" t="s">
        <v>1443</v>
      </c>
      <c r="C439" s="658">
        <v>1.0</v>
      </c>
      <c r="D439" s="678">
        <v>150.0</v>
      </c>
      <c r="E439" s="669"/>
      <c r="F439" s="689"/>
      <c r="G439" s="658" t="s">
        <v>1554</v>
      </c>
      <c r="H439" s="731"/>
    </row>
    <row r="440">
      <c r="A440" s="658">
        <v>2.0</v>
      </c>
      <c r="B440" s="689" t="s">
        <v>3673</v>
      </c>
      <c r="C440" s="689">
        <v>1.0</v>
      </c>
      <c r="D440" s="721">
        <v>5.0</v>
      </c>
      <c r="E440" s="669">
        <v>1.0</v>
      </c>
      <c r="F440" s="689" t="s">
        <v>1518</v>
      </c>
      <c r="G440" s="658" t="s">
        <v>1554</v>
      </c>
      <c r="H440" s="731">
        <v>45141.0</v>
      </c>
    </row>
    <row r="441">
      <c r="A441" s="658">
        <v>3.0</v>
      </c>
      <c r="B441" s="658" t="s">
        <v>3996</v>
      </c>
      <c r="C441" s="658">
        <v>2.0</v>
      </c>
      <c r="D441" s="678">
        <v>8.2</v>
      </c>
      <c r="E441" s="669"/>
      <c r="F441" s="689"/>
      <c r="G441" s="658" t="s">
        <v>1554</v>
      </c>
      <c r="H441" s="731"/>
    </row>
    <row r="442">
      <c r="A442" s="655">
        <v>4.0</v>
      </c>
      <c r="B442" s="655" t="s">
        <v>4020</v>
      </c>
      <c r="C442" s="655">
        <v>1.0</v>
      </c>
      <c r="D442" s="656">
        <v>4.35</v>
      </c>
      <c r="E442" s="657">
        <v>1.0</v>
      </c>
      <c r="F442" s="655" t="s">
        <v>4021</v>
      </c>
      <c r="G442" s="655" t="s">
        <v>1554</v>
      </c>
      <c r="H442" s="659">
        <v>45582.0</v>
      </c>
    </row>
    <row r="443">
      <c r="A443" s="658">
        <v>5.0</v>
      </c>
      <c r="B443" s="658" t="s">
        <v>4022</v>
      </c>
      <c r="C443" s="658">
        <v>1.0</v>
      </c>
      <c r="D443" s="656">
        <v>10.8</v>
      </c>
      <c r="E443" s="676">
        <v>1.0</v>
      </c>
      <c r="F443" s="655" t="s">
        <v>4023</v>
      </c>
      <c r="G443" s="658" t="s">
        <v>1554</v>
      </c>
      <c r="H443" s="696">
        <v>45582.0</v>
      </c>
    </row>
    <row r="444">
      <c r="A444" s="655">
        <v>6.0</v>
      </c>
      <c r="B444" s="542" t="s">
        <v>4024</v>
      </c>
      <c r="C444" s="655">
        <v>1.0</v>
      </c>
      <c r="D444" s="656"/>
      <c r="E444" s="657">
        <v>1.0</v>
      </c>
      <c r="F444" s="542" t="s">
        <v>4025</v>
      </c>
      <c r="G444" s="658" t="s">
        <v>1554</v>
      </c>
      <c r="H444" s="661">
        <v>45642.0</v>
      </c>
    </row>
    <row r="445">
      <c r="A445" s="655">
        <v>7.0</v>
      </c>
      <c r="B445" s="542" t="s">
        <v>4026</v>
      </c>
      <c r="C445" s="655">
        <v>1.0</v>
      </c>
      <c r="D445" s="656">
        <v>33.1</v>
      </c>
      <c r="E445" s="657">
        <v>1.0</v>
      </c>
      <c r="F445" s="542" t="s">
        <v>4027</v>
      </c>
      <c r="G445" s="658" t="s">
        <v>1554</v>
      </c>
      <c r="H445" s="661">
        <v>45642.0</v>
      </c>
    </row>
    <row r="446">
      <c r="A446" s="655">
        <v>8.0</v>
      </c>
      <c r="B446" s="655" t="s">
        <v>4026</v>
      </c>
      <c r="C446" s="655">
        <v>1.0</v>
      </c>
      <c r="D446" s="656">
        <v>33.1</v>
      </c>
      <c r="E446" s="657">
        <v>1.0</v>
      </c>
      <c r="F446" s="542" t="s">
        <v>4028</v>
      </c>
      <c r="G446" s="658" t="s">
        <v>1554</v>
      </c>
      <c r="H446" s="661">
        <v>45642.0</v>
      </c>
    </row>
    <row r="447">
      <c r="A447" s="655">
        <v>9.0</v>
      </c>
      <c r="B447" s="655" t="s">
        <v>4026</v>
      </c>
      <c r="C447" s="655">
        <v>1.0</v>
      </c>
      <c r="D447" s="656">
        <v>33.1</v>
      </c>
      <c r="E447" s="657">
        <v>1.0</v>
      </c>
      <c r="F447" s="542" t="s">
        <v>4029</v>
      </c>
      <c r="G447" s="658" t="s">
        <v>1554</v>
      </c>
      <c r="H447" s="661">
        <v>45642.0</v>
      </c>
    </row>
    <row r="448">
      <c r="A448" s="655">
        <v>11.0</v>
      </c>
      <c r="B448" s="655" t="s">
        <v>4026</v>
      </c>
      <c r="C448" s="655">
        <v>1.0</v>
      </c>
      <c r="D448" s="656">
        <v>33.1</v>
      </c>
      <c r="E448" s="657">
        <v>1.0</v>
      </c>
      <c r="F448" s="542" t="s">
        <v>4030</v>
      </c>
      <c r="G448" s="658" t="s">
        <v>1554</v>
      </c>
      <c r="H448" s="661">
        <v>45642.0</v>
      </c>
    </row>
    <row r="449">
      <c r="A449" s="655">
        <v>12.0</v>
      </c>
      <c r="B449" s="542" t="s">
        <v>4031</v>
      </c>
      <c r="C449" s="655">
        <v>1.0</v>
      </c>
      <c r="D449" s="656">
        <v>5.6</v>
      </c>
      <c r="E449" s="657">
        <v>1.0</v>
      </c>
      <c r="F449" s="542" t="s">
        <v>4030</v>
      </c>
      <c r="G449" s="658" t="s">
        <v>1554</v>
      </c>
      <c r="H449" s="661">
        <v>45642.0</v>
      </c>
    </row>
    <row r="450">
      <c r="A450" s="689"/>
      <c r="B450" s="689"/>
      <c r="C450" s="689"/>
      <c r="D450" s="721"/>
      <c r="E450" s="669"/>
      <c r="F450" s="689"/>
      <c r="G450" s="731"/>
      <c r="H450" s="658" t="s">
        <v>4032</v>
      </c>
    </row>
    <row r="451">
      <c r="A451" s="689"/>
      <c r="B451" s="689"/>
      <c r="C451" s="689"/>
      <c r="D451" s="721"/>
      <c r="E451" s="669"/>
      <c r="F451" s="689"/>
      <c r="G451" s="731"/>
      <c r="H451" s="731"/>
    </row>
    <row r="452">
      <c r="A452" s="732" t="s">
        <v>1562</v>
      </c>
      <c r="B452" s="3"/>
      <c r="C452" s="689">
        <f t="shared" ref="C452:D452" si="20">sum(C439:C449)</f>
        <v>12</v>
      </c>
      <c r="D452" s="721">
        <f t="shared" si="20"/>
        <v>316.35</v>
      </c>
      <c r="E452" s="669">
        <f>sum(E440:E449)</f>
        <v>9</v>
      </c>
      <c r="F452" s="689"/>
      <c r="G452" s="731"/>
      <c r="H452" s="731"/>
    </row>
    <row r="453">
      <c r="A453" s="689"/>
      <c r="B453" s="689"/>
      <c r="C453" s="689"/>
      <c r="D453" s="689"/>
      <c r="E453" s="689"/>
      <c r="F453" s="689"/>
      <c r="G453" s="689"/>
      <c r="H453" s="689"/>
    </row>
    <row r="454">
      <c r="A454" s="689"/>
      <c r="B454" s="689"/>
      <c r="C454" s="689"/>
      <c r="D454" s="689"/>
      <c r="E454" s="689"/>
      <c r="F454" s="689"/>
      <c r="G454" s="689"/>
      <c r="H454" s="689"/>
    </row>
    <row r="455">
      <c r="A455" s="728" t="s">
        <v>4033</v>
      </c>
      <c r="B455" s="2"/>
      <c r="C455" s="2"/>
      <c r="D455" s="2"/>
      <c r="E455" s="2"/>
      <c r="F455" s="2"/>
      <c r="G455" s="2"/>
      <c r="H455" s="3"/>
    </row>
    <row r="456">
      <c r="A456" s="722" t="s">
        <v>1435</v>
      </c>
      <c r="B456" s="722" t="s">
        <v>1436</v>
      </c>
      <c r="C456" s="722" t="s">
        <v>1843</v>
      </c>
      <c r="D456" s="664" t="s">
        <v>1438</v>
      </c>
      <c r="E456" s="723" t="s">
        <v>1564</v>
      </c>
      <c r="F456" s="722" t="s">
        <v>1440</v>
      </c>
      <c r="G456" s="722" t="s">
        <v>1844</v>
      </c>
      <c r="H456" s="724" t="s">
        <v>1441</v>
      </c>
    </row>
    <row r="457">
      <c r="A457" s="662">
        <v>1.0</v>
      </c>
      <c r="B457" s="722" t="s">
        <v>1443</v>
      </c>
      <c r="C457" s="722">
        <v>1.0</v>
      </c>
      <c r="D457" s="673">
        <v>150.0</v>
      </c>
      <c r="E457" s="723"/>
      <c r="F457" s="722"/>
      <c r="G457" s="662" t="s">
        <v>1554</v>
      </c>
      <c r="H457" s="724"/>
    </row>
    <row r="458">
      <c r="A458" s="662">
        <v>2.0</v>
      </c>
      <c r="B458" s="722" t="s">
        <v>3673</v>
      </c>
      <c r="C458" s="722">
        <v>1.0</v>
      </c>
      <c r="D458" s="664">
        <v>5.0</v>
      </c>
      <c r="E458" s="723">
        <v>1.0</v>
      </c>
      <c r="F458" s="722" t="s">
        <v>1518</v>
      </c>
      <c r="G458" s="662" t="s">
        <v>1554</v>
      </c>
      <c r="H458" s="724">
        <v>45141.0</v>
      </c>
    </row>
    <row r="459">
      <c r="A459" s="662"/>
      <c r="B459" s="662" t="s">
        <v>1444</v>
      </c>
      <c r="C459" s="662" t="s">
        <v>4034</v>
      </c>
      <c r="D459" s="673">
        <v>3.2</v>
      </c>
      <c r="E459" s="665"/>
      <c r="F459" s="662"/>
      <c r="G459" s="662" t="s">
        <v>1554</v>
      </c>
      <c r="H459" s="681"/>
    </row>
    <row r="460">
      <c r="A460" s="662">
        <v>3.0</v>
      </c>
      <c r="B460" s="662" t="s">
        <v>4035</v>
      </c>
      <c r="C460" s="722">
        <v>1.0</v>
      </c>
      <c r="D460" s="673">
        <v>19.8</v>
      </c>
      <c r="E460" s="665">
        <v>1.0</v>
      </c>
      <c r="F460" s="662" t="s">
        <v>4036</v>
      </c>
      <c r="G460" s="662" t="s">
        <v>1554</v>
      </c>
      <c r="H460" s="662" t="s">
        <v>4037</v>
      </c>
    </row>
    <row r="461">
      <c r="A461" s="662">
        <v>4.0</v>
      </c>
      <c r="B461" s="662" t="s">
        <v>4038</v>
      </c>
      <c r="C461" s="662">
        <v>1.0</v>
      </c>
      <c r="D461" s="673">
        <v>14.5</v>
      </c>
      <c r="E461" s="665">
        <v>1.0</v>
      </c>
      <c r="F461" s="662" t="s">
        <v>4039</v>
      </c>
      <c r="G461" s="662" t="s">
        <v>1554</v>
      </c>
      <c r="H461" s="662" t="s">
        <v>4040</v>
      </c>
    </row>
    <row r="462">
      <c r="A462" s="662">
        <v>5.0</v>
      </c>
      <c r="B462" s="662" t="s">
        <v>4041</v>
      </c>
      <c r="C462" s="662"/>
      <c r="D462" s="673">
        <v>3.7</v>
      </c>
      <c r="E462" s="665">
        <v>1.0</v>
      </c>
      <c r="F462" s="662" t="s">
        <v>4042</v>
      </c>
      <c r="G462" s="662" t="s">
        <v>4043</v>
      </c>
      <c r="H462" s="662" t="s">
        <v>4044</v>
      </c>
    </row>
    <row r="463">
      <c r="A463" s="662">
        <v>6.0</v>
      </c>
      <c r="B463" s="662" t="s">
        <v>4045</v>
      </c>
      <c r="C463" s="662">
        <v>1.0</v>
      </c>
      <c r="D463" s="673">
        <v>1.9</v>
      </c>
      <c r="E463" s="665">
        <v>1.0</v>
      </c>
      <c r="F463" s="662" t="s">
        <v>4046</v>
      </c>
      <c r="G463" s="662" t="s">
        <v>1554</v>
      </c>
      <c r="H463" s="662" t="s">
        <v>4044</v>
      </c>
    </row>
    <row r="464">
      <c r="A464" s="662">
        <v>7.0</v>
      </c>
      <c r="B464" s="662" t="s">
        <v>1472</v>
      </c>
      <c r="C464" s="662">
        <v>1.0</v>
      </c>
      <c r="D464" s="673">
        <v>2.8</v>
      </c>
      <c r="E464" s="665">
        <v>1.0</v>
      </c>
      <c r="F464" s="722"/>
      <c r="G464" s="662" t="s">
        <v>425</v>
      </c>
      <c r="H464" s="662" t="s">
        <v>4047</v>
      </c>
    </row>
    <row r="465">
      <c r="A465" s="662">
        <v>8.0</v>
      </c>
      <c r="B465" s="722"/>
      <c r="C465" s="722"/>
      <c r="D465" s="673"/>
      <c r="E465" s="723"/>
      <c r="F465" s="722"/>
      <c r="G465" s="722"/>
      <c r="H465" s="666"/>
    </row>
    <row r="466">
      <c r="A466" s="662">
        <v>9.0</v>
      </c>
      <c r="B466" s="722"/>
      <c r="C466" s="722"/>
      <c r="D466" s="673"/>
      <c r="E466" s="723"/>
      <c r="F466" s="722"/>
      <c r="G466" s="722"/>
      <c r="H466" s="666"/>
    </row>
    <row r="467">
      <c r="A467" s="662">
        <v>10.0</v>
      </c>
      <c r="B467" s="722"/>
      <c r="C467" s="722"/>
      <c r="D467" s="673"/>
      <c r="E467" s="723"/>
      <c r="F467" s="722"/>
      <c r="G467" s="722"/>
      <c r="H467" s="666"/>
    </row>
    <row r="468">
      <c r="A468" s="737" t="s">
        <v>1562</v>
      </c>
      <c r="B468" s="3"/>
      <c r="C468" s="722">
        <f t="shared" ref="C468:D468" si="21">sum(C457:C467)</f>
        <v>6</v>
      </c>
      <c r="D468" s="664">
        <f t="shared" si="21"/>
        <v>200.9</v>
      </c>
      <c r="E468" s="723">
        <f>sum(E458:E467)</f>
        <v>6</v>
      </c>
      <c r="F468" s="722"/>
      <c r="G468" s="724"/>
      <c r="H468" s="724"/>
    </row>
    <row r="469">
      <c r="A469" s="689"/>
      <c r="B469" s="689"/>
      <c r="C469" s="689"/>
      <c r="D469" s="689"/>
      <c r="E469" s="689"/>
      <c r="F469" s="689"/>
      <c r="G469" s="689"/>
      <c r="H469" s="689"/>
    </row>
    <row r="470">
      <c r="A470" s="689"/>
      <c r="B470" s="689"/>
      <c r="C470" s="689"/>
      <c r="D470" s="689"/>
      <c r="E470" s="689"/>
      <c r="F470" s="689"/>
      <c r="G470" s="689"/>
      <c r="H470" s="689"/>
    </row>
    <row r="471">
      <c r="A471" s="699" t="s">
        <v>4048</v>
      </c>
      <c r="B471" s="2"/>
      <c r="C471" s="2"/>
      <c r="D471" s="2"/>
      <c r="E471" s="2"/>
      <c r="F471" s="2"/>
      <c r="G471" s="2"/>
      <c r="H471" s="3"/>
    </row>
    <row r="472">
      <c r="A472" s="738" t="s">
        <v>1435</v>
      </c>
      <c r="B472" s="738" t="s">
        <v>1436</v>
      </c>
      <c r="C472" s="738" t="s">
        <v>1843</v>
      </c>
      <c r="D472" s="702" t="s">
        <v>1438</v>
      </c>
      <c r="E472" s="703" t="s">
        <v>1564</v>
      </c>
      <c r="F472" s="738" t="s">
        <v>1440</v>
      </c>
      <c r="G472" s="738" t="s">
        <v>1844</v>
      </c>
      <c r="H472" s="704" t="s">
        <v>1441</v>
      </c>
    </row>
    <row r="473">
      <c r="A473" s="739">
        <v>1.0</v>
      </c>
      <c r="B473" s="739" t="s">
        <v>1443</v>
      </c>
      <c r="C473" s="739">
        <v>1.0</v>
      </c>
      <c r="D473" s="740">
        <v>150.0</v>
      </c>
      <c r="E473" s="709"/>
      <c r="F473" s="739" t="s">
        <v>1518</v>
      </c>
      <c r="G473" s="87" t="s">
        <v>1446</v>
      </c>
      <c r="H473" s="741"/>
    </row>
    <row r="474">
      <c r="A474" s="739">
        <v>2.0</v>
      </c>
      <c r="B474" s="739" t="s">
        <v>3673</v>
      </c>
      <c r="C474" s="739">
        <v>1.0</v>
      </c>
      <c r="D474" s="740">
        <v>5.0</v>
      </c>
      <c r="E474" s="709">
        <v>1.0</v>
      </c>
      <c r="F474" s="739" t="s">
        <v>1518</v>
      </c>
      <c r="G474" s="87" t="s">
        <v>1446</v>
      </c>
      <c r="H474" s="741">
        <v>45141.0</v>
      </c>
    </row>
    <row r="475">
      <c r="A475" s="739">
        <v>3.0</v>
      </c>
      <c r="B475" s="739" t="s">
        <v>1444</v>
      </c>
      <c r="C475" s="739">
        <v>2.0</v>
      </c>
      <c r="D475" s="740">
        <f>C475*3.2</f>
        <v>6.4</v>
      </c>
      <c r="E475" s="709"/>
      <c r="F475" s="739"/>
      <c r="G475" s="87" t="s">
        <v>1446</v>
      </c>
      <c r="H475" s="741">
        <v>45141.0</v>
      </c>
    </row>
    <row r="476">
      <c r="A476" s="97">
        <v>4.0</v>
      </c>
      <c r="B476" s="97" t="s">
        <v>4049</v>
      </c>
      <c r="C476" s="97">
        <v>1.0</v>
      </c>
      <c r="D476" s="742">
        <v>10.5</v>
      </c>
      <c r="E476" s="743">
        <v>1.0</v>
      </c>
      <c r="F476" s="97" t="s">
        <v>4050</v>
      </c>
      <c r="G476" s="87" t="s">
        <v>1446</v>
      </c>
      <c r="H476" s="708">
        <v>45705.0</v>
      </c>
    </row>
    <row r="477">
      <c r="A477" s="86">
        <v>5.0</v>
      </c>
      <c r="B477" s="86" t="s">
        <v>4051</v>
      </c>
      <c r="C477" s="86"/>
      <c r="D477" s="438"/>
      <c r="E477" s="83"/>
      <c r="F477" s="86" t="s">
        <v>1556</v>
      </c>
      <c r="G477" s="86" t="s">
        <v>4052</v>
      </c>
      <c r="H477" s="744">
        <v>45742.0</v>
      </c>
    </row>
    <row r="478">
      <c r="A478" s="87">
        <v>6.0</v>
      </c>
      <c r="B478" s="87" t="s">
        <v>4053</v>
      </c>
      <c r="C478" s="87">
        <v>1.0</v>
      </c>
      <c r="D478" s="705">
        <v>19.5</v>
      </c>
      <c r="E478" s="706">
        <v>2.0</v>
      </c>
      <c r="F478" s="87" t="s">
        <v>4054</v>
      </c>
      <c r="G478" s="87" t="s">
        <v>1446</v>
      </c>
      <c r="H478" s="707">
        <v>45742.0</v>
      </c>
    </row>
    <row r="479">
      <c r="A479" s="87">
        <v>7.0</v>
      </c>
      <c r="B479" s="87" t="s">
        <v>2393</v>
      </c>
      <c r="C479" s="87">
        <v>1.0</v>
      </c>
      <c r="D479" s="705">
        <v>14.4</v>
      </c>
      <c r="E479" s="706">
        <v>1.0</v>
      </c>
      <c r="F479" s="87" t="s">
        <v>4055</v>
      </c>
      <c r="G479" s="87" t="s">
        <v>1446</v>
      </c>
      <c r="H479" s="707">
        <v>45825.0</v>
      </c>
    </row>
    <row r="480">
      <c r="A480" s="87">
        <v>8.0</v>
      </c>
      <c r="B480" s="87" t="s">
        <v>2393</v>
      </c>
      <c r="C480" s="87">
        <v>1.0</v>
      </c>
      <c r="D480" s="705">
        <v>14.4</v>
      </c>
      <c r="E480" s="706">
        <v>1.0</v>
      </c>
      <c r="F480" s="745">
        <v>1.818926903E10</v>
      </c>
      <c r="G480" s="87" t="s">
        <v>1446</v>
      </c>
      <c r="H480" s="707">
        <v>45859.0</v>
      </c>
    </row>
    <row r="481">
      <c r="A481" s="87">
        <v>9.0</v>
      </c>
      <c r="B481" s="87" t="s">
        <v>4056</v>
      </c>
      <c r="C481" s="87">
        <v>1.0</v>
      </c>
      <c r="D481" s="705">
        <v>2.0</v>
      </c>
      <c r="E481" s="706">
        <v>1.0</v>
      </c>
      <c r="F481" s="745" t="s">
        <v>4057</v>
      </c>
      <c r="G481" s="87" t="s">
        <v>4058</v>
      </c>
      <c r="H481" s="707">
        <v>45859.0</v>
      </c>
    </row>
    <row r="482">
      <c r="A482" s="87">
        <v>10.0</v>
      </c>
      <c r="B482" s="745" t="s">
        <v>4059</v>
      </c>
      <c r="C482" s="87">
        <v>1.0</v>
      </c>
      <c r="D482" s="705">
        <v>2.0</v>
      </c>
      <c r="E482" s="706">
        <v>1.0</v>
      </c>
      <c r="F482" s="745" t="s">
        <v>4060</v>
      </c>
      <c r="G482" s="87" t="s">
        <v>4061</v>
      </c>
      <c r="H482" s="707">
        <v>45877.0</v>
      </c>
    </row>
    <row r="483">
      <c r="A483" s="86">
        <v>11.0</v>
      </c>
      <c r="B483" s="86" t="s">
        <v>4062</v>
      </c>
      <c r="C483" s="86"/>
      <c r="D483" s="438"/>
      <c r="E483" s="83"/>
      <c r="F483" s="746" t="s">
        <v>4063</v>
      </c>
      <c r="G483" s="86" t="s">
        <v>4064</v>
      </c>
      <c r="H483" s="747">
        <v>45889.0</v>
      </c>
    </row>
    <row r="484">
      <c r="A484" s="87">
        <v>12.0</v>
      </c>
      <c r="B484" s="437" t="s">
        <v>4065</v>
      </c>
      <c r="C484" s="87">
        <v>1.0</v>
      </c>
      <c r="D484" s="705">
        <v>14.0</v>
      </c>
      <c r="E484" s="706">
        <v>1.0</v>
      </c>
      <c r="F484" s="437" t="s">
        <v>4066</v>
      </c>
      <c r="G484" s="87" t="s">
        <v>1446</v>
      </c>
      <c r="H484" s="707">
        <v>45894.0</v>
      </c>
    </row>
    <row r="485">
      <c r="A485" s="87">
        <v>13.0</v>
      </c>
      <c r="B485" s="437" t="s">
        <v>2115</v>
      </c>
      <c r="C485" s="87">
        <v>1.0</v>
      </c>
      <c r="D485" s="705">
        <v>2.0</v>
      </c>
      <c r="E485" s="706">
        <v>1.0</v>
      </c>
      <c r="F485" s="437" t="s">
        <v>4067</v>
      </c>
      <c r="G485" s="87" t="s">
        <v>1446</v>
      </c>
      <c r="H485" s="707">
        <v>45941.0</v>
      </c>
    </row>
    <row r="486">
      <c r="A486" s="97">
        <v>14.0</v>
      </c>
      <c r="B486" s="97" t="s">
        <v>2113</v>
      </c>
      <c r="C486" s="97">
        <v>1.0</v>
      </c>
      <c r="D486" s="742">
        <v>17.4</v>
      </c>
      <c r="E486" s="748">
        <v>1.0</v>
      </c>
      <c r="F486" s="437" t="s">
        <v>4068</v>
      </c>
      <c r="G486" s="87" t="s">
        <v>1446</v>
      </c>
      <c r="H486" s="708">
        <v>45964.0</v>
      </c>
    </row>
    <row r="487">
      <c r="A487" s="97">
        <v>15.0</v>
      </c>
      <c r="B487" s="97" t="s">
        <v>2113</v>
      </c>
      <c r="C487" s="97">
        <v>1.0</v>
      </c>
      <c r="D487" s="742">
        <v>17.4</v>
      </c>
      <c r="E487" s="748">
        <v>1.0</v>
      </c>
      <c r="F487" s="437" t="s">
        <v>4069</v>
      </c>
      <c r="G487" s="87" t="s">
        <v>1446</v>
      </c>
      <c r="H487" s="708">
        <v>45964.0</v>
      </c>
    </row>
    <row r="488">
      <c r="A488" s="97">
        <v>16.0</v>
      </c>
      <c r="B488" s="97" t="s">
        <v>2113</v>
      </c>
      <c r="C488" s="97">
        <v>1.0</v>
      </c>
      <c r="D488" s="742">
        <v>17.4</v>
      </c>
      <c r="E488" s="748">
        <v>1.0</v>
      </c>
      <c r="F488" s="437" t="s">
        <v>4070</v>
      </c>
      <c r="G488" s="87" t="s">
        <v>1446</v>
      </c>
      <c r="H488" s="708">
        <v>45964.0</v>
      </c>
    </row>
    <row r="489">
      <c r="A489" s="97">
        <v>17.0</v>
      </c>
      <c r="B489" s="97" t="s">
        <v>2113</v>
      </c>
      <c r="C489" s="97">
        <v>1.0</v>
      </c>
      <c r="D489" s="742">
        <v>17.4</v>
      </c>
      <c r="E489" s="748">
        <v>1.0</v>
      </c>
      <c r="F489" s="437" t="s">
        <v>4071</v>
      </c>
      <c r="G489" s="87" t="s">
        <v>1446</v>
      </c>
      <c r="H489" s="708">
        <v>45964.0</v>
      </c>
    </row>
    <row r="490">
      <c r="A490" s="97">
        <v>18.0</v>
      </c>
      <c r="B490" s="97" t="s">
        <v>2192</v>
      </c>
      <c r="C490" s="97">
        <v>1.0</v>
      </c>
      <c r="D490" s="742">
        <v>17.5</v>
      </c>
      <c r="E490" s="748">
        <v>1.0</v>
      </c>
      <c r="F490" s="437"/>
      <c r="G490" s="87" t="s">
        <v>1446</v>
      </c>
      <c r="H490" s="708">
        <v>45974.0</v>
      </c>
    </row>
    <row r="491">
      <c r="A491" s="97">
        <v>19.0</v>
      </c>
      <c r="B491" s="97" t="s">
        <v>3574</v>
      </c>
      <c r="C491" s="97">
        <v>1.0</v>
      </c>
      <c r="D491" s="742">
        <v>8.7</v>
      </c>
      <c r="E491" s="748">
        <v>1.0</v>
      </c>
      <c r="F491" s="36" t="s">
        <v>4072</v>
      </c>
      <c r="G491" s="87" t="s">
        <v>1446</v>
      </c>
      <c r="H491" s="708">
        <v>45975.0</v>
      </c>
    </row>
    <row r="492">
      <c r="A492" s="97">
        <v>20.0</v>
      </c>
      <c r="B492" s="97" t="s">
        <v>4073</v>
      </c>
      <c r="C492" s="97">
        <v>1.0</v>
      </c>
      <c r="D492" s="742">
        <v>10.0</v>
      </c>
      <c r="E492" s="748">
        <v>1.0</v>
      </c>
      <c r="F492" s="36" t="s">
        <v>4074</v>
      </c>
      <c r="G492" s="87" t="s">
        <v>1446</v>
      </c>
      <c r="H492" s="708">
        <v>45994.0</v>
      </c>
    </row>
    <row r="493">
      <c r="A493" s="87">
        <v>21.0</v>
      </c>
      <c r="B493" s="545" t="s">
        <v>2113</v>
      </c>
      <c r="C493" s="87">
        <v>1.0</v>
      </c>
      <c r="D493" s="705">
        <v>17.4</v>
      </c>
      <c r="E493" s="706">
        <v>1.0</v>
      </c>
      <c r="F493" s="87" t="s">
        <v>4075</v>
      </c>
      <c r="G493" s="87" t="s">
        <v>1446</v>
      </c>
      <c r="H493" s="707">
        <v>46000.0</v>
      </c>
    </row>
    <row r="494">
      <c r="A494" s="87">
        <v>22.0</v>
      </c>
      <c r="B494" s="87" t="s">
        <v>2756</v>
      </c>
      <c r="C494" s="87">
        <v>1.0</v>
      </c>
      <c r="D494" s="705">
        <v>10.0</v>
      </c>
      <c r="E494" s="706">
        <v>1.0</v>
      </c>
      <c r="F494" s="87" t="s">
        <v>4076</v>
      </c>
      <c r="G494" s="87" t="s">
        <v>1446</v>
      </c>
      <c r="H494" s="707">
        <v>46030.0</v>
      </c>
    </row>
    <row r="495">
      <c r="A495" s="87">
        <v>23.0</v>
      </c>
      <c r="B495" s="87" t="s">
        <v>2756</v>
      </c>
      <c r="C495" s="87">
        <v>1.0</v>
      </c>
      <c r="D495" s="705">
        <v>10.0</v>
      </c>
      <c r="E495" s="706">
        <v>1.0</v>
      </c>
      <c r="F495" s="87" t="s">
        <v>4077</v>
      </c>
      <c r="G495" s="87" t="s">
        <v>1446</v>
      </c>
      <c r="H495" s="707">
        <v>46030.0</v>
      </c>
    </row>
    <row r="496">
      <c r="A496" s="97">
        <v>24.0</v>
      </c>
      <c r="B496" s="87" t="s">
        <v>4078</v>
      </c>
      <c r="C496" s="87">
        <v>1.0</v>
      </c>
      <c r="D496" s="705">
        <v>2.2</v>
      </c>
      <c r="E496" s="706">
        <v>1.0</v>
      </c>
      <c r="F496" s="87" t="s">
        <v>4079</v>
      </c>
      <c r="G496" s="87" t="s">
        <v>1446</v>
      </c>
      <c r="H496" s="707">
        <v>46030.0</v>
      </c>
    </row>
    <row r="497">
      <c r="A497" s="97">
        <v>25.0</v>
      </c>
      <c r="B497" s="87" t="s">
        <v>4078</v>
      </c>
      <c r="C497" s="87">
        <v>1.0</v>
      </c>
      <c r="D497" s="705">
        <v>2.2</v>
      </c>
      <c r="E497" s="706">
        <v>1.0</v>
      </c>
      <c r="F497" s="87" t="s">
        <v>4080</v>
      </c>
      <c r="G497" s="87" t="s">
        <v>1446</v>
      </c>
      <c r="H497" s="707">
        <v>46030.0</v>
      </c>
    </row>
    <row r="498">
      <c r="A498" s="68">
        <v>26.0</v>
      </c>
      <c r="B498" s="68" t="s">
        <v>1548</v>
      </c>
      <c r="C498" s="68">
        <v>1.0</v>
      </c>
      <c r="D498" s="69">
        <v>17.4</v>
      </c>
      <c r="E498" s="70">
        <v>1.0</v>
      </c>
      <c r="F498" s="749" t="s">
        <v>4081</v>
      </c>
      <c r="G498" s="87" t="s">
        <v>1446</v>
      </c>
      <c r="H498" s="72">
        <v>46030.0</v>
      </c>
    </row>
    <row r="499">
      <c r="A499" s="68">
        <v>27.0</v>
      </c>
      <c r="B499" s="68" t="s">
        <v>1548</v>
      </c>
      <c r="C499" s="68">
        <v>1.0</v>
      </c>
      <c r="D499" s="69">
        <v>17.4</v>
      </c>
      <c r="E499" s="70">
        <v>1.0</v>
      </c>
      <c r="F499" s="749" t="s">
        <v>4082</v>
      </c>
      <c r="G499" s="87" t="s">
        <v>1446</v>
      </c>
      <c r="H499" s="72">
        <v>46030.0</v>
      </c>
    </row>
    <row r="500">
      <c r="A500" s="68">
        <v>28.0</v>
      </c>
      <c r="B500" s="68" t="s">
        <v>4083</v>
      </c>
      <c r="C500" s="68">
        <v>1.0</v>
      </c>
      <c r="D500" s="69">
        <v>6.9</v>
      </c>
      <c r="E500" s="70">
        <v>1.0</v>
      </c>
      <c r="F500" s="749" t="s">
        <v>4084</v>
      </c>
      <c r="G500" s="87" t="s">
        <v>1554</v>
      </c>
      <c r="H500" s="72">
        <v>46037.0</v>
      </c>
    </row>
    <row r="501">
      <c r="A501" s="750" t="s">
        <v>1562</v>
      </c>
      <c r="B501" s="3"/>
      <c r="C501" s="739">
        <f t="shared" ref="C501:E501" si="22">sum(C473:C497)</f>
        <v>24</v>
      </c>
      <c r="D501" s="740">
        <f t="shared" si="22"/>
        <v>387.8</v>
      </c>
      <c r="E501" s="709">
        <f t="shared" si="22"/>
        <v>22</v>
      </c>
      <c r="F501" s="739"/>
      <c r="G501" s="87"/>
      <c r="H501" s="741"/>
    </row>
    <row r="502">
      <c r="A502" s="712"/>
      <c r="B502" s="712"/>
      <c r="C502" s="712"/>
      <c r="D502" s="712"/>
      <c r="E502" s="712"/>
      <c r="F502" s="712"/>
      <c r="G502" s="712"/>
      <c r="H502" s="712"/>
    </row>
    <row r="503">
      <c r="A503" s="712"/>
      <c r="B503" s="712"/>
      <c r="C503" s="712"/>
      <c r="D503" s="712"/>
      <c r="E503" s="712"/>
      <c r="F503" s="712"/>
      <c r="G503" s="712"/>
      <c r="H503" s="712"/>
    </row>
    <row r="504">
      <c r="A504" s="649" t="s">
        <v>4085</v>
      </c>
      <c r="B504" s="2"/>
      <c r="C504" s="2"/>
      <c r="D504" s="2"/>
      <c r="E504" s="2"/>
      <c r="F504" s="2"/>
      <c r="G504" s="2"/>
      <c r="H504" s="3"/>
    </row>
    <row r="505">
      <c r="A505" s="690" t="s">
        <v>1435</v>
      </c>
      <c r="B505" s="690" t="s">
        <v>1436</v>
      </c>
      <c r="C505" s="690" t="s">
        <v>1843</v>
      </c>
      <c r="D505" s="693" t="s">
        <v>1438</v>
      </c>
      <c r="E505" s="694" t="s">
        <v>1564</v>
      </c>
      <c r="F505" s="690" t="s">
        <v>1440</v>
      </c>
      <c r="G505" s="690" t="s">
        <v>1844</v>
      </c>
      <c r="H505" s="695" t="s">
        <v>1441</v>
      </c>
    </row>
    <row r="506">
      <c r="A506" s="689">
        <v>1.0</v>
      </c>
      <c r="B506" s="689" t="s">
        <v>1443</v>
      </c>
      <c r="C506" s="689">
        <v>1.0</v>
      </c>
      <c r="D506" s="678">
        <v>150.0</v>
      </c>
      <c r="E506" s="669">
        <v>1.0</v>
      </c>
      <c r="F506" s="689" t="s">
        <v>1518</v>
      </c>
      <c r="G506" s="658" t="s">
        <v>1554</v>
      </c>
      <c r="H506" s="731"/>
    </row>
    <row r="507">
      <c r="A507" s="689">
        <v>2.0</v>
      </c>
      <c r="B507" s="689" t="s">
        <v>3673</v>
      </c>
      <c r="C507" s="689">
        <v>1.0</v>
      </c>
      <c r="D507" s="721">
        <v>5.0</v>
      </c>
      <c r="E507" s="669">
        <v>1.0</v>
      </c>
      <c r="F507" s="689" t="s">
        <v>1518</v>
      </c>
      <c r="G507" s="658" t="s">
        <v>1554</v>
      </c>
      <c r="H507" s="731">
        <v>45141.0</v>
      </c>
    </row>
    <row r="508">
      <c r="A508" s="689">
        <v>3.0</v>
      </c>
      <c r="B508" s="658" t="s">
        <v>1444</v>
      </c>
      <c r="C508" s="658">
        <v>2.0</v>
      </c>
      <c r="D508" s="678">
        <f>C508*3.2</f>
        <v>6.4</v>
      </c>
      <c r="E508" s="669"/>
      <c r="F508" s="689"/>
      <c r="G508" s="689"/>
      <c r="H508" s="731"/>
    </row>
    <row r="509">
      <c r="A509" s="722">
        <v>4.0</v>
      </c>
      <c r="B509" s="662" t="s">
        <v>4086</v>
      </c>
      <c r="C509" s="662"/>
      <c r="D509" s="673"/>
      <c r="E509" s="665"/>
      <c r="F509" s="662"/>
      <c r="G509" s="662" t="s">
        <v>4087</v>
      </c>
      <c r="H509" s="698">
        <v>45387.0</v>
      </c>
    </row>
    <row r="510">
      <c r="A510" s="722">
        <v>5.0</v>
      </c>
      <c r="B510" s="662" t="s">
        <v>4088</v>
      </c>
      <c r="C510" s="662"/>
      <c r="D510" s="673"/>
      <c r="E510" s="665"/>
      <c r="F510" s="662"/>
      <c r="G510" s="662" t="s">
        <v>4087</v>
      </c>
      <c r="H510" s="698">
        <v>45387.0</v>
      </c>
    </row>
    <row r="511">
      <c r="A511" s="722">
        <v>6.0</v>
      </c>
      <c r="B511" s="662" t="s">
        <v>4089</v>
      </c>
      <c r="C511" s="662"/>
      <c r="D511" s="673"/>
      <c r="E511" s="665"/>
      <c r="F511" s="662"/>
      <c r="G511" s="662" t="s">
        <v>4087</v>
      </c>
      <c r="H511" s="698">
        <v>45387.0</v>
      </c>
    </row>
    <row r="512">
      <c r="A512" s="722">
        <v>7.0</v>
      </c>
      <c r="B512" s="662" t="s">
        <v>4090</v>
      </c>
      <c r="C512" s="662"/>
      <c r="D512" s="673"/>
      <c r="E512" s="665"/>
      <c r="F512" s="662"/>
      <c r="G512" s="662" t="s">
        <v>4087</v>
      </c>
      <c r="H512" s="698">
        <v>45387.0</v>
      </c>
    </row>
    <row r="513">
      <c r="A513" s="722">
        <v>8.0</v>
      </c>
      <c r="B513" s="662" t="s">
        <v>4091</v>
      </c>
      <c r="C513" s="662"/>
      <c r="D513" s="673"/>
      <c r="E513" s="665"/>
      <c r="F513" s="662"/>
      <c r="G513" s="662" t="s">
        <v>4087</v>
      </c>
      <c r="H513" s="698">
        <v>45387.0</v>
      </c>
    </row>
    <row r="514">
      <c r="A514" s="722">
        <v>9.0</v>
      </c>
      <c r="B514" s="662" t="s">
        <v>4092</v>
      </c>
      <c r="C514" s="662"/>
      <c r="D514" s="673"/>
      <c r="E514" s="665"/>
      <c r="F514" s="662"/>
      <c r="G514" s="662" t="s">
        <v>4087</v>
      </c>
      <c r="H514" s="698">
        <v>45387.0</v>
      </c>
    </row>
    <row r="515">
      <c r="A515" s="722">
        <v>10.0</v>
      </c>
      <c r="B515" s="662" t="s">
        <v>4093</v>
      </c>
      <c r="C515" s="662"/>
      <c r="D515" s="673"/>
      <c r="E515" s="665"/>
      <c r="F515" s="662"/>
      <c r="G515" s="662" t="s">
        <v>4087</v>
      </c>
      <c r="H515" s="698">
        <v>45387.0</v>
      </c>
    </row>
    <row r="516">
      <c r="A516" s="722">
        <v>11.0</v>
      </c>
      <c r="B516" s="662" t="s">
        <v>4093</v>
      </c>
      <c r="C516" s="662"/>
      <c r="D516" s="673"/>
      <c r="E516" s="665"/>
      <c r="F516" s="662"/>
      <c r="G516" s="662" t="s">
        <v>4087</v>
      </c>
      <c r="H516" s="698">
        <v>45387.0</v>
      </c>
    </row>
    <row r="517">
      <c r="A517" s="722">
        <v>12.0</v>
      </c>
      <c r="B517" s="662" t="s">
        <v>4094</v>
      </c>
      <c r="C517" s="662"/>
      <c r="D517" s="673"/>
      <c r="E517" s="665"/>
      <c r="F517" s="662"/>
      <c r="G517" s="662" t="s">
        <v>4087</v>
      </c>
      <c r="H517" s="698">
        <v>45387.0</v>
      </c>
    </row>
    <row r="518">
      <c r="A518" s="722">
        <v>13.0</v>
      </c>
      <c r="B518" s="663" t="s">
        <v>4094</v>
      </c>
      <c r="C518" s="662"/>
      <c r="D518" s="664"/>
      <c r="E518" s="665"/>
      <c r="F518" s="662"/>
      <c r="G518" s="662" t="s">
        <v>4087</v>
      </c>
      <c r="H518" s="698">
        <v>45387.0</v>
      </c>
    </row>
    <row r="519">
      <c r="A519" s="722">
        <v>14.0</v>
      </c>
      <c r="B519" s="662" t="s">
        <v>4094</v>
      </c>
      <c r="C519" s="662"/>
      <c r="D519" s="673"/>
      <c r="E519" s="665"/>
      <c r="F519" s="662"/>
      <c r="G519" s="662" t="s">
        <v>4087</v>
      </c>
      <c r="H519" s="698">
        <v>45387.0</v>
      </c>
    </row>
    <row r="520">
      <c r="A520" s="722">
        <v>15.0</v>
      </c>
      <c r="B520" s="663" t="s">
        <v>4094</v>
      </c>
      <c r="C520" s="662"/>
      <c r="D520" s="664"/>
      <c r="E520" s="665"/>
      <c r="F520" s="662"/>
      <c r="G520" s="662" t="s">
        <v>4087</v>
      </c>
      <c r="H520" s="698">
        <v>45387.0</v>
      </c>
    </row>
    <row r="521">
      <c r="A521" s="722">
        <v>16.0</v>
      </c>
      <c r="B521" s="662" t="s">
        <v>4094</v>
      </c>
      <c r="C521" s="662"/>
      <c r="D521" s="673"/>
      <c r="E521" s="665"/>
      <c r="F521" s="662"/>
      <c r="G521" s="662" t="s">
        <v>4087</v>
      </c>
      <c r="H521" s="698">
        <v>45387.0</v>
      </c>
    </row>
    <row r="522">
      <c r="A522" s="722">
        <v>17.0</v>
      </c>
      <c r="B522" s="663" t="s">
        <v>4094</v>
      </c>
      <c r="C522" s="662"/>
      <c r="D522" s="664"/>
      <c r="E522" s="665"/>
      <c r="F522" s="662"/>
      <c r="G522" s="662" t="s">
        <v>4087</v>
      </c>
      <c r="H522" s="698">
        <v>45387.0</v>
      </c>
    </row>
    <row r="523">
      <c r="A523" s="722">
        <v>18.0</v>
      </c>
      <c r="B523" s="662" t="s">
        <v>4094</v>
      </c>
      <c r="C523" s="662"/>
      <c r="D523" s="673"/>
      <c r="E523" s="665"/>
      <c r="F523" s="662"/>
      <c r="G523" s="662" t="s">
        <v>4087</v>
      </c>
      <c r="H523" s="698">
        <v>45387.0</v>
      </c>
    </row>
    <row r="524">
      <c r="A524" s="722">
        <v>19.0</v>
      </c>
      <c r="B524" s="663" t="s">
        <v>4094</v>
      </c>
      <c r="C524" s="662"/>
      <c r="D524" s="664"/>
      <c r="E524" s="665"/>
      <c r="F524" s="662"/>
      <c r="G524" s="662" t="s">
        <v>4087</v>
      </c>
      <c r="H524" s="698">
        <v>45387.0</v>
      </c>
    </row>
    <row r="525">
      <c r="A525" s="722">
        <v>20.0</v>
      </c>
      <c r="B525" s="662" t="s">
        <v>4094</v>
      </c>
      <c r="C525" s="662"/>
      <c r="D525" s="673"/>
      <c r="E525" s="665"/>
      <c r="F525" s="662"/>
      <c r="G525" s="662" t="s">
        <v>4087</v>
      </c>
      <c r="H525" s="698">
        <v>45387.0</v>
      </c>
    </row>
    <row r="526">
      <c r="A526" s="722">
        <v>21.0</v>
      </c>
      <c r="B526" s="663" t="s">
        <v>4094</v>
      </c>
      <c r="C526" s="662"/>
      <c r="D526" s="664"/>
      <c r="E526" s="665"/>
      <c r="F526" s="662"/>
      <c r="G526" s="662" t="s">
        <v>4087</v>
      </c>
      <c r="H526" s="698">
        <v>45387.0</v>
      </c>
    </row>
    <row r="527">
      <c r="A527" s="722">
        <v>22.0</v>
      </c>
      <c r="B527" s="662" t="s">
        <v>4094</v>
      </c>
      <c r="C527" s="662"/>
      <c r="D527" s="673"/>
      <c r="E527" s="665"/>
      <c r="F527" s="662"/>
      <c r="G527" s="662" t="s">
        <v>4087</v>
      </c>
      <c r="H527" s="698">
        <v>45387.0</v>
      </c>
    </row>
    <row r="528">
      <c r="A528" s="722">
        <v>23.0</v>
      </c>
      <c r="B528" s="663" t="s">
        <v>4094</v>
      </c>
      <c r="C528" s="662"/>
      <c r="D528" s="664"/>
      <c r="E528" s="665"/>
      <c r="F528" s="662"/>
      <c r="G528" s="662" t="s">
        <v>4087</v>
      </c>
      <c r="H528" s="698">
        <v>45387.0</v>
      </c>
    </row>
    <row r="529">
      <c r="A529" s="722">
        <v>24.0</v>
      </c>
      <c r="B529" s="662" t="s">
        <v>4094</v>
      </c>
      <c r="C529" s="662"/>
      <c r="D529" s="673"/>
      <c r="E529" s="665"/>
      <c r="F529" s="662"/>
      <c r="G529" s="662" t="s">
        <v>4087</v>
      </c>
      <c r="H529" s="698">
        <v>45387.0</v>
      </c>
    </row>
    <row r="530">
      <c r="A530" s="722">
        <v>25.0</v>
      </c>
      <c r="B530" s="663" t="s">
        <v>4094</v>
      </c>
      <c r="C530" s="662"/>
      <c r="D530" s="664"/>
      <c r="E530" s="665"/>
      <c r="F530" s="662"/>
      <c r="G530" s="662" t="s">
        <v>4087</v>
      </c>
      <c r="H530" s="698">
        <v>45387.0</v>
      </c>
    </row>
    <row r="531">
      <c r="A531" s="722">
        <v>26.0</v>
      </c>
      <c r="B531" s="662" t="s">
        <v>4094</v>
      </c>
      <c r="C531" s="662"/>
      <c r="D531" s="673"/>
      <c r="E531" s="665"/>
      <c r="F531" s="662"/>
      <c r="G531" s="662" t="s">
        <v>4087</v>
      </c>
      <c r="H531" s="698">
        <v>45387.0</v>
      </c>
    </row>
    <row r="532">
      <c r="A532" s="658">
        <v>27.0</v>
      </c>
      <c r="B532" s="655" t="s">
        <v>4095</v>
      </c>
      <c r="C532" s="658">
        <v>1.0</v>
      </c>
      <c r="D532" s="678">
        <v>11.8</v>
      </c>
      <c r="E532" s="676">
        <v>1.0</v>
      </c>
      <c r="F532" s="655" t="s">
        <v>4096</v>
      </c>
      <c r="G532" s="658" t="s">
        <v>2904</v>
      </c>
      <c r="H532" s="696">
        <v>45581.0</v>
      </c>
    </row>
    <row r="533">
      <c r="A533" s="658">
        <v>28.0</v>
      </c>
      <c r="B533" s="655" t="s">
        <v>1944</v>
      </c>
      <c r="C533" s="658">
        <v>1.0</v>
      </c>
      <c r="D533" s="678">
        <v>26.0</v>
      </c>
      <c r="E533" s="676">
        <v>2.0</v>
      </c>
      <c r="F533" s="655" t="s">
        <v>4097</v>
      </c>
      <c r="G533" s="658" t="s">
        <v>2904</v>
      </c>
      <c r="H533" s="696">
        <v>45581.0</v>
      </c>
    </row>
    <row r="534">
      <c r="A534" s="655">
        <v>29.0</v>
      </c>
      <c r="B534" s="655" t="s">
        <v>4098</v>
      </c>
      <c r="C534" s="655">
        <v>1.0</v>
      </c>
      <c r="D534" s="656">
        <v>4.1</v>
      </c>
      <c r="E534" s="657">
        <v>1.0</v>
      </c>
      <c r="F534" s="655" t="s">
        <v>4099</v>
      </c>
      <c r="G534" s="655" t="s">
        <v>2904</v>
      </c>
      <c r="H534" s="659">
        <v>45629.0</v>
      </c>
    </row>
    <row r="535">
      <c r="A535" s="658">
        <v>30.0</v>
      </c>
      <c r="B535" s="658" t="s">
        <v>2192</v>
      </c>
      <c r="C535" s="658">
        <v>1.0</v>
      </c>
      <c r="D535" s="678">
        <v>15.2</v>
      </c>
      <c r="E535" s="676">
        <v>1.0</v>
      </c>
      <c r="F535" s="658" t="s">
        <v>4100</v>
      </c>
      <c r="G535" s="655" t="s">
        <v>2904</v>
      </c>
      <c r="H535" s="679">
        <v>45672.0</v>
      </c>
    </row>
    <row r="536">
      <c r="A536" s="658">
        <v>31.0</v>
      </c>
      <c r="B536" s="658" t="s">
        <v>2192</v>
      </c>
      <c r="C536" s="658">
        <v>1.0</v>
      </c>
      <c r="D536" s="678">
        <v>15.2</v>
      </c>
      <c r="E536" s="676">
        <v>1.0</v>
      </c>
      <c r="F536" s="658" t="s">
        <v>4101</v>
      </c>
      <c r="G536" s="655" t="s">
        <v>2904</v>
      </c>
      <c r="H536" s="679">
        <v>45672.0</v>
      </c>
    </row>
    <row r="537">
      <c r="A537" s="658">
        <v>32.0</v>
      </c>
      <c r="B537" s="658" t="s">
        <v>2192</v>
      </c>
      <c r="C537" s="658">
        <v>1.0</v>
      </c>
      <c r="D537" s="678">
        <v>15.2</v>
      </c>
      <c r="E537" s="676">
        <v>1.0</v>
      </c>
      <c r="F537" s="658" t="s">
        <v>4102</v>
      </c>
      <c r="G537" s="655" t="s">
        <v>2904</v>
      </c>
      <c r="H537" s="679">
        <v>45672.0</v>
      </c>
    </row>
    <row r="538">
      <c r="A538" s="658">
        <v>33.0</v>
      </c>
      <c r="B538" s="658" t="s">
        <v>4103</v>
      </c>
      <c r="C538" s="658">
        <v>1.0</v>
      </c>
      <c r="D538" s="678">
        <v>9.5</v>
      </c>
      <c r="E538" s="676">
        <v>1.0</v>
      </c>
      <c r="F538" s="658" t="s">
        <v>4104</v>
      </c>
      <c r="G538" s="655" t="s">
        <v>2904</v>
      </c>
      <c r="H538" s="679">
        <v>45811.0</v>
      </c>
    </row>
    <row r="539">
      <c r="A539" s="658">
        <v>34.0</v>
      </c>
      <c r="B539" s="658" t="s">
        <v>3533</v>
      </c>
      <c r="C539" s="658">
        <v>1.0</v>
      </c>
      <c r="D539" s="678">
        <v>15.9</v>
      </c>
      <c r="E539" s="676">
        <v>1.0</v>
      </c>
      <c r="F539" s="658" t="s">
        <v>4105</v>
      </c>
      <c r="G539" s="658" t="s">
        <v>2904</v>
      </c>
      <c r="H539" s="679">
        <v>45817.0</v>
      </c>
    </row>
    <row r="540">
      <c r="A540" s="662">
        <v>35.0</v>
      </c>
      <c r="B540" s="662" t="s">
        <v>4106</v>
      </c>
      <c r="C540" s="662">
        <v>1.0</v>
      </c>
      <c r="D540" s="673">
        <v>2.4</v>
      </c>
      <c r="E540" s="665">
        <v>1.0</v>
      </c>
      <c r="F540" s="662" t="s">
        <v>4107</v>
      </c>
      <c r="G540" s="662" t="s">
        <v>2904</v>
      </c>
      <c r="H540" s="662" t="s">
        <v>4108</v>
      </c>
    </row>
    <row r="541">
      <c r="A541" s="751">
        <v>36.0</v>
      </c>
      <c r="B541" s="751" t="s">
        <v>4109</v>
      </c>
      <c r="C541" s="751">
        <v>1.0</v>
      </c>
      <c r="D541" s="752">
        <v>11.0</v>
      </c>
      <c r="E541" s="753">
        <v>1.0</v>
      </c>
      <c r="F541" s="751" t="s">
        <v>4110</v>
      </c>
      <c r="G541" s="751" t="s">
        <v>158</v>
      </c>
      <c r="H541" s="754">
        <v>45853.0</v>
      </c>
    </row>
    <row r="542">
      <c r="A542" s="732" t="s">
        <v>1562</v>
      </c>
      <c r="B542" s="3"/>
      <c r="C542" s="689">
        <f t="shared" ref="C542:E542" si="23">sum(C506:C534)</f>
        <v>7</v>
      </c>
      <c r="D542" s="721">
        <f t="shared" si="23"/>
        <v>203.3</v>
      </c>
      <c r="E542" s="669">
        <f t="shared" si="23"/>
        <v>6</v>
      </c>
      <c r="F542" s="689"/>
      <c r="G542" s="731"/>
      <c r="H542" s="731"/>
    </row>
    <row r="543">
      <c r="A543" s="689"/>
      <c r="B543" s="689"/>
      <c r="C543" s="689"/>
      <c r="D543" s="689"/>
      <c r="E543" s="689"/>
      <c r="F543" s="689"/>
      <c r="G543" s="689"/>
      <c r="H543" s="689"/>
    </row>
    <row r="544">
      <c r="A544" s="689"/>
      <c r="B544" s="689"/>
      <c r="C544" s="689"/>
      <c r="D544" s="689"/>
      <c r="E544" s="689"/>
      <c r="F544" s="689"/>
      <c r="G544" s="689"/>
      <c r="H544" s="689"/>
    </row>
    <row r="545">
      <c r="A545" s="649" t="s">
        <v>4111</v>
      </c>
      <c r="B545" s="2"/>
      <c r="C545" s="2"/>
      <c r="D545" s="2"/>
      <c r="E545" s="2"/>
      <c r="F545" s="2"/>
      <c r="G545" s="2"/>
      <c r="H545" s="3"/>
    </row>
    <row r="546">
      <c r="A546" s="690" t="s">
        <v>1435</v>
      </c>
      <c r="B546" s="690" t="s">
        <v>1436</v>
      </c>
      <c r="C546" s="690" t="s">
        <v>1843</v>
      </c>
      <c r="D546" s="693" t="s">
        <v>1438</v>
      </c>
      <c r="E546" s="694" t="s">
        <v>1564</v>
      </c>
      <c r="F546" s="690" t="s">
        <v>1440</v>
      </c>
      <c r="G546" s="690" t="s">
        <v>1844</v>
      </c>
      <c r="H546" s="695" t="s">
        <v>1441</v>
      </c>
    </row>
    <row r="547">
      <c r="A547" s="689">
        <v>1.0</v>
      </c>
      <c r="B547" s="689" t="s">
        <v>1443</v>
      </c>
      <c r="C547" s="689">
        <v>1.0</v>
      </c>
      <c r="D547" s="678">
        <v>150.0</v>
      </c>
      <c r="E547" s="669"/>
      <c r="F547" s="689" t="s">
        <v>1518</v>
      </c>
      <c r="G547" s="658" t="s">
        <v>1554</v>
      </c>
      <c r="H547" s="731"/>
    </row>
    <row r="548">
      <c r="A548" s="689">
        <v>2.0</v>
      </c>
      <c r="B548" s="689" t="s">
        <v>3673</v>
      </c>
      <c r="C548" s="689">
        <v>1.0</v>
      </c>
      <c r="D548" s="721">
        <v>5.0</v>
      </c>
      <c r="E548" s="669">
        <v>1.0</v>
      </c>
      <c r="F548" s="689" t="s">
        <v>1518</v>
      </c>
      <c r="G548" s="658" t="s">
        <v>1446</v>
      </c>
      <c r="H548" s="731">
        <v>45141.0</v>
      </c>
    </row>
    <row r="549">
      <c r="A549" s="689">
        <v>3.0</v>
      </c>
      <c r="B549" s="658" t="s">
        <v>1444</v>
      </c>
      <c r="C549" s="658">
        <v>2.0</v>
      </c>
      <c r="D549" s="678">
        <f>C549*3.2</f>
        <v>6.4</v>
      </c>
      <c r="E549" s="669"/>
      <c r="F549" s="689"/>
      <c r="G549" s="658" t="s">
        <v>1446</v>
      </c>
      <c r="H549" s="679">
        <v>45141.0</v>
      </c>
    </row>
    <row r="550">
      <c r="A550" s="689">
        <v>4.0</v>
      </c>
      <c r="B550" s="655" t="s">
        <v>4112</v>
      </c>
      <c r="C550" s="658">
        <v>1.0</v>
      </c>
      <c r="D550" s="678">
        <v>29.5</v>
      </c>
      <c r="E550" s="676">
        <v>1.0</v>
      </c>
      <c r="F550" s="730"/>
      <c r="G550" s="658" t="s">
        <v>1446</v>
      </c>
      <c r="H550" s="696">
        <v>45546.0</v>
      </c>
    </row>
    <row r="551">
      <c r="A551" s="689">
        <v>5.0</v>
      </c>
      <c r="B551" s="655" t="s">
        <v>4112</v>
      </c>
      <c r="C551" s="658">
        <v>1.0</v>
      </c>
      <c r="D551" s="678">
        <v>29.5</v>
      </c>
      <c r="E551" s="676">
        <v>1.0</v>
      </c>
      <c r="F551" s="730"/>
      <c r="G551" s="658" t="s">
        <v>1446</v>
      </c>
      <c r="H551" s="696">
        <v>45546.0</v>
      </c>
    </row>
    <row r="552">
      <c r="A552" s="689">
        <v>6.0</v>
      </c>
      <c r="B552" s="655" t="s">
        <v>4112</v>
      </c>
      <c r="C552" s="658">
        <v>1.0</v>
      </c>
      <c r="D552" s="678">
        <v>29.5</v>
      </c>
      <c r="E552" s="676">
        <v>1.0</v>
      </c>
      <c r="F552" s="730"/>
      <c r="G552" s="658" t="s">
        <v>1446</v>
      </c>
      <c r="H552" s="696">
        <v>45546.0</v>
      </c>
    </row>
    <row r="553">
      <c r="A553" s="689">
        <v>7.0</v>
      </c>
      <c r="B553" s="655" t="s">
        <v>4113</v>
      </c>
      <c r="C553" s="658">
        <v>1.0</v>
      </c>
      <c r="D553" s="678">
        <v>12.2</v>
      </c>
      <c r="E553" s="676">
        <v>1.0</v>
      </c>
      <c r="F553" s="730"/>
      <c r="G553" s="658" t="s">
        <v>1446</v>
      </c>
      <c r="H553" s="696">
        <v>45546.0</v>
      </c>
    </row>
    <row r="554">
      <c r="A554" s="689">
        <v>8.0</v>
      </c>
      <c r="B554" s="655" t="s">
        <v>4113</v>
      </c>
      <c r="C554" s="658">
        <v>1.0</v>
      </c>
      <c r="D554" s="678">
        <v>12.2</v>
      </c>
      <c r="E554" s="676">
        <v>1.0</v>
      </c>
      <c r="F554" s="730"/>
      <c r="G554" s="658" t="s">
        <v>1446</v>
      </c>
      <c r="H554" s="696">
        <v>45546.0</v>
      </c>
    </row>
    <row r="555">
      <c r="A555" s="689">
        <v>9.0</v>
      </c>
      <c r="B555" s="655" t="s">
        <v>4114</v>
      </c>
      <c r="C555" s="658">
        <v>1.0</v>
      </c>
      <c r="D555" s="678">
        <v>10.9</v>
      </c>
      <c r="E555" s="676">
        <v>1.0</v>
      </c>
      <c r="F555" s="730"/>
      <c r="G555" s="658" t="s">
        <v>1446</v>
      </c>
      <c r="H555" s="696">
        <v>45546.0</v>
      </c>
    </row>
    <row r="556">
      <c r="A556" s="689">
        <v>10.0</v>
      </c>
      <c r="B556" s="658" t="s">
        <v>4115</v>
      </c>
      <c r="C556" s="658">
        <v>1.0</v>
      </c>
      <c r="D556" s="678">
        <v>29.5</v>
      </c>
      <c r="E556" s="676" t="s">
        <v>2077</v>
      </c>
      <c r="F556" s="658"/>
      <c r="G556" s="658" t="s">
        <v>1446</v>
      </c>
      <c r="H556" s="696">
        <v>45699.0</v>
      </c>
    </row>
    <row r="557">
      <c r="A557" s="689">
        <v>11.0</v>
      </c>
      <c r="B557" s="655" t="s">
        <v>4116</v>
      </c>
      <c r="C557" s="658">
        <v>1.0</v>
      </c>
      <c r="D557" s="721"/>
      <c r="E557" s="676">
        <v>1.0</v>
      </c>
      <c r="F557" s="658" t="s">
        <v>4117</v>
      </c>
      <c r="G557" s="658" t="s">
        <v>1554</v>
      </c>
      <c r="H557" s="696">
        <v>45757.0</v>
      </c>
    </row>
    <row r="558">
      <c r="A558" s="722">
        <v>12.0</v>
      </c>
      <c r="B558" s="662" t="s">
        <v>4118</v>
      </c>
      <c r="C558" s="662"/>
      <c r="D558" s="673"/>
      <c r="E558" s="665"/>
      <c r="F558" s="662" t="s">
        <v>4119</v>
      </c>
      <c r="G558" s="662" t="s">
        <v>4120</v>
      </c>
      <c r="H558" s="698">
        <v>45798.0</v>
      </c>
    </row>
    <row r="559">
      <c r="A559" s="658">
        <v>13.0</v>
      </c>
      <c r="B559" s="755" t="s">
        <v>2194</v>
      </c>
      <c r="C559" s="755">
        <v>1.0</v>
      </c>
      <c r="D559" s="752">
        <v>41.4</v>
      </c>
      <c r="E559" s="753">
        <v>2.0</v>
      </c>
      <c r="F559" s="755" t="s">
        <v>1707</v>
      </c>
      <c r="G559" s="340" t="s">
        <v>1554</v>
      </c>
      <c r="H559" s="756">
        <v>45866.0</v>
      </c>
    </row>
    <row r="560">
      <c r="A560" s="658">
        <v>14.0</v>
      </c>
      <c r="B560" s="345" t="s">
        <v>4121</v>
      </c>
      <c r="C560" s="345">
        <v>1.0</v>
      </c>
      <c r="D560" s="757">
        <v>12.7</v>
      </c>
      <c r="E560" s="347">
        <v>1.0</v>
      </c>
      <c r="F560" s="758"/>
      <c r="G560" s="338"/>
      <c r="H560" s="759">
        <v>45937.0</v>
      </c>
    </row>
    <row r="561">
      <c r="A561" s="658">
        <v>15.0</v>
      </c>
      <c r="B561" s="345" t="s">
        <v>4122</v>
      </c>
      <c r="C561" s="345">
        <v>1.0</v>
      </c>
      <c r="D561" s="757">
        <v>16.5</v>
      </c>
      <c r="E561" s="347">
        <v>1.0</v>
      </c>
      <c r="F561" s="758"/>
      <c r="G561" s="338"/>
      <c r="H561" s="759">
        <v>45937.0</v>
      </c>
    </row>
    <row r="562">
      <c r="A562" s="658">
        <v>16.0</v>
      </c>
      <c r="B562" s="345" t="s">
        <v>4122</v>
      </c>
      <c r="C562" s="345">
        <v>1.0</v>
      </c>
      <c r="D562" s="757">
        <v>16.5</v>
      </c>
      <c r="E562" s="347">
        <v>1.0</v>
      </c>
      <c r="F562" s="758"/>
      <c r="G562" s="338"/>
      <c r="H562" s="759">
        <v>45937.0</v>
      </c>
    </row>
    <row r="563">
      <c r="A563" s="658">
        <v>17.0</v>
      </c>
      <c r="B563" s="345" t="s">
        <v>4122</v>
      </c>
      <c r="C563" s="345">
        <v>1.0</v>
      </c>
      <c r="D563" s="757">
        <v>16.5</v>
      </c>
      <c r="E563" s="347">
        <v>1.0</v>
      </c>
      <c r="F563" s="758"/>
      <c r="G563" s="338"/>
      <c r="H563" s="759">
        <v>45937.0</v>
      </c>
    </row>
    <row r="564">
      <c r="A564" s="658">
        <v>18.0</v>
      </c>
      <c r="B564" s="345" t="s">
        <v>4122</v>
      </c>
      <c r="C564" s="345">
        <v>1.0</v>
      </c>
      <c r="D564" s="757">
        <v>16.5</v>
      </c>
      <c r="E564" s="347">
        <v>1.0</v>
      </c>
      <c r="F564" s="758"/>
      <c r="G564" s="338"/>
      <c r="H564" s="759">
        <v>45937.0</v>
      </c>
    </row>
    <row r="565">
      <c r="A565" s="732" t="s">
        <v>1562</v>
      </c>
      <c r="B565" s="3"/>
      <c r="C565" s="689">
        <f t="shared" ref="C565:E565" si="24">sum(C547:C558)</f>
        <v>12</v>
      </c>
      <c r="D565" s="721">
        <f t="shared" si="24"/>
        <v>314.7</v>
      </c>
      <c r="E565" s="669">
        <f t="shared" si="24"/>
        <v>8</v>
      </c>
      <c r="F565" s="689"/>
      <c r="G565" s="731"/>
      <c r="H565" s="731"/>
    </row>
    <row r="566">
      <c r="A566" s="689"/>
      <c r="B566" s="689"/>
      <c r="C566" s="689"/>
      <c r="D566" s="689"/>
      <c r="E566" s="689"/>
      <c r="F566" s="689"/>
      <c r="G566" s="689"/>
      <c r="H566" s="689"/>
    </row>
    <row r="567">
      <c r="A567" s="689"/>
      <c r="B567" s="689"/>
      <c r="C567" s="689"/>
      <c r="D567" s="689"/>
      <c r="E567" s="689"/>
      <c r="F567" s="689"/>
      <c r="G567" s="689"/>
      <c r="H567" s="689"/>
    </row>
    <row r="568">
      <c r="A568" s="649" t="s">
        <v>4123</v>
      </c>
      <c r="B568" s="2"/>
      <c r="C568" s="2"/>
      <c r="D568" s="2"/>
      <c r="E568" s="2"/>
      <c r="F568" s="2"/>
      <c r="G568" s="2"/>
      <c r="H568" s="3"/>
    </row>
    <row r="569">
      <c r="A569" s="690" t="s">
        <v>1435</v>
      </c>
      <c r="B569" s="690" t="s">
        <v>1436</v>
      </c>
      <c r="C569" s="690" t="s">
        <v>1843</v>
      </c>
      <c r="D569" s="693" t="s">
        <v>1438</v>
      </c>
      <c r="E569" s="694" t="s">
        <v>1564</v>
      </c>
      <c r="F569" s="690" t="s">
        <v>1440</v>
      </c>
      <c r="G569" s="690" t="s">
        <v>1844</v>
      </c>
      <c r="H569" s="695" t="s">
        <v>1441</v>
      </c>
    </row>
    <row r="570">
      <c r="A570" s="689">
        <v>1.0</v>
      </c>
      <c r="B570" s="689" t="s">
        <v>1443</v>
      </c>
      <c r="C570" s="689">
        <v>1.0</v>
      </c>
      <c r="D570" s="678">
        <v>150.0</v>
      </c>
      <c r="E570" s="669"/>
      <c r="F570" s="689"/>
      <c r="G570" s="658" t="s">
        <v>1554</v>
      </c>
      <c r="H570" s="731"/>
    </row>
    <row r="571">
      <c r="A571" s="689">
        <v>2.0</v>
      </c>
      <c r="B571" s="689" t="s">
        <v>3673</v>
      </c>
      <c r="C571" s="689">
        <v>1.0</v>
      </c>
      <c r="D571" s="721">
        <v>5.0</v>
      </c>
      <c r="E571" s="669">
        <v>1.0</v>
      </c>
      <c r="F571" s="689" t="s">
        <v>1518</v>
      </c>
      <c r="G571" s="658" t="s">
        <v>1446</v>
      </c>
      <c r="H571" s="731">
        <v>45141.0</v>
      </c>
    </row>
    <row r="572">
      <c r="A572" s="689">
        <v>3.0</v>
      </c>
      <c r="B572" s="658" t="s">
        <v>1444</v>
      </c>
      <c r="C572" s="658">
        <v>2.0</v>
      </c>
      <c r="D572" s="678">
        <f>C572*3.2</f>
        <v>6.4</v>
      </c>
      <c r="E572" s="669"/>
      <c r="F572" s="689"/>
      <c r="G572" s="658" t="s">
        <v>1446</v>
      </c>
      <c r="H572" s="731"/>
    </row>
    <row r="573">
      <c r="A573" s="722">
        <v>4.0</v>
      </c>
      <c r="B573" s="662" t="s">
        <v>3920</v>
      </c>
      <c r="C573" s="662"/>
      <c r="D573" s="673"/>
      <c r="E573" s="665"/>
      <c r="F573" s="662" t="s">
        <v>3921</v>
      </c>
      <c r="G573" s="662" t="s">
        <v>4124</v>
      </c>
      <c r="H573" s="698">
        <v>45404.0</v>
      </c>
    </row>
    <row r="574">
      <c r="A574" s="722">
        <v>5.0</v>
      </c>
      <c r="B574" s="662" t="s">
        <v>3920</v>
      </c>
      <c r="C574" s="662"/>
      <c r="D574" s="673"/>
      <c r="E574" s="665"/>
      <c r="F574" s="662" t="s">
        <v>3923</v>
      </c>
      <c r="G574" s="662" t="s">
        <v>4124</v>
      </c>
      <c r="H574" s="698">
        <v>45404.0</v>
      </c>
    </row>
    <row r="575">
      <c r="A575" s="722">
        <v>6.0</v>
      </c>
      <c r="B575" s="662" t="s">
        <v>3920</v>
      </c>
      <c r="C575" s="662"/>
      <c r="D575" s="673"/>
      <c r="E575" s="665"/>
      <c r="F575" s="662" t="s">
        <v>3924</v>
      </c>
      <c r="G575" s="662" t="s">
        <v>4124</v>
      </c>
      <c r="H575" s="698">
        <v>45404.0</v>
      </c>
    </row>
    <row r="576">
      <c r="A576" s="722">
        <v>7.0</v>
      </c>
      <c r="B576" s="662" t="s">
        <v>3920</v>
      </c>
      <c r="C576" s="662"/>
      <c r="D576" s="673"/>
      <c r="E576" s="665"/>
      <c r="F576" s="662" t="s">
        <v>3925</v>
      </c>
      <c r="G576" s="662" t="s">
        <v>4124</v>
      </c>
      <c r="H576" s="698">
        <v>45404.0</v>
      </c>
    </row>
    <row r="577">
      <c r="A577" s="722">
        <v>8.0</v>
      </c>
      <c r="B577" s="662" t="s">
        <v>3920</v>
      </c>
      <c r="C577" s="662"/>
      <c r="D577" s="673"/>
      <c r="E577" s="665"/>
      <c r="F577" s="662" t="s">
        <v>3926</v>
      </c>
      <c r="G577" s="662" t="s">
        <v>4124</v>
      </c>
      <c r="H577" s="698">
        <v>45404.0</v>
      </c>
    </row>
    <row r="578">
      <c r="A578" s="722">
        <v>9.0</v>
      </c>
      <c r="B578" s="662" t="s">
        <v>3920</v>
      </c>
      <c r="C578" s="662"/>
      <c r="D578" s="673"/>
      <c r="E578" s="665"/>
      <c r="F578" s="662" t="s">
        <v>3927</v>
      </c>
      <c r="G578" s="662" t="s">
        <v>4124</v>
      </c>
      <c r="H578" s="698">
        <v>45404.0</v>
      </c>
    </row>
    <row r="579">
      <c r="A579" s="658">
        <v>10.0</v>
      </c>
      <c r="B579" s="658" t="s">
        <v>4086</v>
      </c>
      <c r="C579" s="658">
        <v>1.0</v>
      </c>
      <c r="D579" s="678">
        <v>20.3</v>
      </c>
      <c r="E579" s="676">
        <v>1.0</v>
      </c>
      <c r="F579" s="689"/>
      <c r="G579" s="658" t="s">
        <v>1446</v>
      </c>
      <c r="H579" s="679">
        <v>45573.0</v>
      </c>
    </row>
    <row r="580">
      <c r="A580" s="658">
        <v>11.0</v>
      </c>
      <c r="B580" s="658" t="s">
        <v>4088</v>
      </c>
      <c r="C580" s="658">
        <v>1.0</v>
      </c>
      <c r="D580" s="678">
        <v>27.5</v>
      </c>
      <c r="E580" s="676">
        <v>1.0</v>
      </c>
      <c r="F580" s="689"/>
      <c r="G580" s="658" t="s">
        <v>1446</v>
      </c>
      <c r="H580" s="679">
        <v>45573.0</v>
      </c>
    </row>
    <row r="581">
      <c r="A581" s="658">
        <v>12.0</v>
      </c>
      <c r="B581" s="658" t="s">
        <v>4089</v>
      </c>
      <c r="C581" s="658">
        <v>1.0</v>
      </c>
      <c r="D581" s="678">
        <v>16.4</v>
      </c>
      <c r="E581" s="676">
        <v>1.0</v>
      </c>
      <c r="F581" s="689"/>
      <c r="G581" s="658" t="s">
        <v>1446</v>
      </c>
      <c r="H581" s="679">
        <v>45573.0</v>
      </c>
    </row>
    <row r="582">
      <c r="A582" s="658">
        <v>13.0</v>
      </c>
      <c r="B582" s="658" t="s">
        <v>4090</v>
      </c>
      <c r="C582" s="658">
        <v>1.0</v>
      </c>
      <c r="D582" s="678">
        <v>8.4</v>
      </c>
      <c r="E582" s="676">
        <v>1.0</v>
      </c>
      <c r="F582" s="689"/>
      <c r="G582" s="658" t="s">
        <v>1446</v>
      </c>
      <c r="H582" s="679">
        <v>45573.0</v>
      </c>
    </row>
    <row r="583">
      <c r="A583" s="658">
        <v>14.0</v>
      </c>
      <c r="B583" s="658" t="s">
        <v>4091</v>
      </c>
      <c r="C583" s="658">
        <v>1.0</v>
      </c>
      <c r="D583" s="678">
        <v>10.8</v>
      </c>
      <c r="E583" s="676">
        <v>1.0</v>
      </c>
      <c r="F583" s="689"/>
      <c r="G583" s="658" t="s">
        <v>1446</v>
      </c>
      <c r="H583" s="679">
        <v>45573.0</v>
      </c>
    </row>
    <row r="584">
      <c r="A584" s="658">
        <v>15.0</v>
      </c>
      <c r="B584" s="658" t="s">
        <v>4092</v>
      </c>
      <c r="C584" s="658">
        <v>1.0</v>
      </c>
      <c r="D584" s="678">
        <v>6.6</v>
      </c>
      <c r="E584" s="676">
        <v>1.0</v>
      </c>
      <c r="F584" s="689"/>
      <c r="G584" s="658" t="s">
        <v>1446</v>
      </c>
      <c r="H584" s="679">
        <v>45573.0</v>
      </c>
    </row>
    <row r="585">
      <c r="A585" s="658">
        <v>16.0</v>
      </c>
      <c r="B585" s="658" t="s">
        <v>4093</v>
      </c>
      <c r="C585" s="658">
        <v>1.0</v>
      </c>
      <c r="D585" s="678">
        <v>6.8</v>
      </c>
      <c r="E585" s="676">
        <v>1.0</v>
      </c>
      <c r="F585" s="689"/>
      <c r="G585" s="658" t="s">
        <v>1446</v>
      </c>
      <c r="H585" s="679">
        <v>45573.0</v>
      </c>
    </row>
    <row r="586">
      <c r="A586" s="658">
        <v>17.0</v>
      </c>
      <c r="B586" s="658" t="s">
        <v>4093</v>
      </c>
      <c r="C586" s="658">
        <v>1.0</v>
      </c>
      <c r="D586" s="678">
        <v>6.8</v>
      </c>
      <c r="E586" s="676">
        <v>1.0</v>
      </c>
      <c r="F586" s="689"/>
      <c r="G586" s="658" t="s">
        <v>1446</v>
      </c>
      <c r="H586" s="679">
        <v>45573.0</v>
      </c>
    </row>
    <row r="587">
      <c r="A587" s="658">
        <v>18.0</v>
      </c>
      <c r="B587" s="658" t="s">
        <v>4094</v>
      </c>
      <c r="C587" s="658">
        <v>1.0</v>
      </c>
      <c r="D587" s="678">
        <v>16.2</v>
      </c>
      <c r="E587" s="676">
        <v>1.0</v>
      </c>
      <c r="F587" s="689"/>
      <c r="G587" s="658" t="s">
        <v>1446</v>
      </c>
      <c r="H587" s="679">
        <v>45573.0</v>
      </c>
    </row>
    <row r="588">
      <c r="A588" s="658">
        <v>19.0</v>
      </c>
      <c r="B588" s="668" t="s">
        <v>4094</v>
      </c>
      <c r="C588" s="658">
        <v>1.0</v>
      </c>
      <c r="D588" s="721">
        <v>16.2</v>
      </c>
      <c r="E588" s="676">
        <v>1.0</v>
      </c>
      <c r="F588" s="689"/>
      <c r="G588" s="658" t="s">
        <v>1446</v>
      </c>
      <c r="H588" s="679">
        <v>45573.0</v>
      </c>
    </row>
    <row r="589">
      <c r="A589" s="658">
        <v>20.0</v>
      </c>
      <c r="B589" s="658" t="s">
        <v>4094</v>
      </c>
      <c r="C589" s="658">
        <v>1.0</v>
      </c>
      <c r="D589" s="678">
        <v>16.2</v>
      </c>
      <c r="E589" s="676">
        <v>1.0</v>
      </c>
      <c r="F589" s="689"/>
      <c r="G589" s="658" t="s">
        <v>1446</v>
      </c>
      <c r="H589" s="679">
        <v>45573.0</v>
      </c>
    </row>
    <row r="590">
      <c r="A590" s="658">
        <v>21.0</v>
      </c>
      <c r="B590" s="668" t="s">
        <v>4094</v>
      </c>
      <c r="C590" s="658">
        <v>1.0</v>
      </c>
      <c r="D590" s="721">
        <v>16.2</v>
      </c>
      <c r="E590" s="676">
        <v>1.0</v>
      </c>
      <c r="F590" s="689"/>
      <c r="G590" s="658" t="s">
        <v>1446</v>
      </c>
      <c r="H590" s="679">
        <v>45573.0</v>
      </c>
    </row>
    <row r="591">
      <c r="A591" s="658">
        <v>22.0</v>
      </c>
      <c r="B591" s="658" t="s">
        <v>4094</v>
      </c>
      <c r="C591" s="658">
        <v>1.0</v>
      </c>
      <c r="D591" s="678">
        <v>16.2</v>
      </c>
      <c r="E591" s="676">
        <v>1.0</v>
      </c>
      <c r="F591" s="689"/>
      <c r="G591" s="658" t="s">
        <v>1446</v>
      </c>
      <c r="H591" s="679">
        <v>45573.0</v>
      </c>
    </row>
    <row r="592">
      <c r="A592" s="658">
        <v>23.0</v>
      </c>
      <c r="B592" s="668" t="s">
        <v>4094</v>
      </c>
      <c r="C592" s="658">
        <v>1.0</v>
      </c>
      <c r="D592" s="721">
        <v>16.2</v>
      </c>
      <c r="E592" s="676">
        <v>1.0</v>
      </c>
      <c r="F592" s="689"/>
      <c r="G592" s="658" t="s">
        <v>1446</v>
      </c>
      <c r="H592" s="679">
        <v>45573.0</v>
      </c>
    </row>
    <row r="593">
      <c r="A593" s="658">
        <v>24.0</v>
      </c>
      <c r="B593" s="658" t="s">
        <v>4094</v>
      </c>
      <c r="C593" s="658">
        <v>1.0</v>
      </c>
      <c r="D593" s="678">
        <v>16.2</v>
      </c>
      <c r="E593" s="676">
        <v>1.0</v>
      </c>
      <c r="F593" s="689"/>
      <c r="G593" s="658" t="s">
        <v>1446</v>
      </c>
      <c r="H593" s="679">
        <v>45573.0</v>
      </c>
    </row>
    <row r="594">
      <c r="A594" s="658">
        <v>25.0</v>
      </c>
      <c r="B594" s="668" t="s">
        <v>4094</v>
      </c>
      <c r="C594" s="658">
        <v>1.0</v>
      </c>
      <c r="D594" s="721">
        <v>16.2</v>
      </c>
      <c r="E594" s="676">
        <v>1.0</v>
      </c>
      <c r="F594" s="689"/>
      <c r="G594" s="658" t="s">
        <v>1446</v>
      </c>
      <c r="H594" s="679">
        <v>45573.0</v>
      </c>
    </row>
    <row r="595">
      <c r="A595" s="658">
        <v>26.0</v>
      </c>
      <c r="B595" s="658" t="s">
        <v>4094</v>
      </c>
      <c r="C595" s="658">
        <v>1.0</v>
      </c>
      <c r="D595" s="678">
        <v>16.2</v>
      </c>
      <c r="E595" s="676">
        <v>1.0</v>
      </c>
      <c r="F595" s="689"/>
      <c r="G595" s="658" t="s">
        <v>1446</v>
      </c>
      <c r="H595" s="679">
        <v>45573.0</v>
      </c>
    </row>
    <row r="596">
      <c r="A596" s="658">
        <v>27.0</v>
      </c>
      <c r="B596" s="668" t="s">
        <v>4094</v>
      </c>
      <c r="C596" s="658">
        <v>1.0</v>
      </c>
      <c r="D596" s="721">
        <v>16.2</v>
      </c>
      <c r="E596" s="676">
        <v>1.0</v>
      </c>
      <c r="F596" s="689"/>
      <c r="G596" s="658" t="s">
        <v>1446</v>
      </c>
      <c r="H596" s="679">
        <v>45573.0</v>
      </c>
    </row>
    <row r="597">
      <c r="A597" s="658">
        <v>28.0</v>
      </c>
      <c r="B597" s="658" t="s">
        <v>4094</v>
      </c>
      <c r="C597" s="658">
        <v>1.0</v>
      </c>
      <c r="D597" s="678">
        <v>16.2</v>
      </c>
      <c r="E597" s="676">
        <v>1.0</v>
      </c>
      <c r="F597" s="689"/>
      <c r="G597" s="658" t="s">
        <v>1446</v>
      </c>
      <c r="H597" s="679">
        <v>45573.0</v>
      </c>
    </row>
    <row r="598">
      <c r="A598" s="658">
        <v>29.0</v>
      </c>
      <c r="B598" s="668" t="s">
        <v>4094</v>
      </c>
      <c r="C598" s="658">
        <v>1.0</v>
      </c>
      <c r="D598" s="721">
        <v>16.2</v>
      </c>
      <c r="E598" s="676">
        <v>1.0</v>
      </c>
      <c r="F598" s="689"/>
      <c r="G598" s="658" t="s">
        <v>1446</v>
      </c>
      <c r="H598" s="679">
        <v>45573.0</v>
      </c>
    </row>
    <row r="599">
      <c r="A599" s="658">
        <v>30.0</v>
      </c>
      <c r="B599" s="658" t="s">
        <v>4094</v>
      </c>
      <c r="C599" s="658">
        <v>1.0</v>
      </c>
      <c r="D599" s="678">
        <v>16.2</v>
      </c>
      <c r="E599" s="676">
        <v>1.0</v>
      </c>
      <c r="F599" s="689"/>
      <c r="G599" s="658" t="s">
        <v>1446</v>
      </c>
      <c r="H599" s="679">
        <v>45573.0</v>
      </c>
    </row>
    <row r="600">
      <c r="A600" s="658">
        <v>31.0</v>
      </c>
      <c r="B600" s="668" t="s">
        <v>4094</v>
      </c>
      <c r="C600" s="658">
        <v>1.0</v>
      </c>
      <c r="D600" s="721">
        <v>16.2</v>
      </c>
      <c r="E600" s="676">
        <v>1.0</v>
      </c>
      <c r="F600" s="689"/>
      <c r="G600" s="658" t="s">
        <v>1446</v>
      </c>
      <c r="H600" s="679">
        <v>45573.0</v>
      </c>
    </row>
    <row r="601">
      <c r="A601" s="658">
        <v>32.0</v>
      </c>
      <c r="B601" s="658" t="s">
        <v>4094</v>
      </c>
      <c r="C601" s="658">
        <v>1.0</v>
      </c>
      <c r="D601" s="678">
        <v>16.2</v>
      </c>
      <c r="E601" s="676">
        <v>1.0</v>
      </c>
      <c r="F601" s="689"/>
      <c r="G601" s="658" t="s">
        <v>1446</v>
      </c>
      <c r="H601" s="679">
        <v>45573.0</v>
      </c>
    </row>
    <row r="602">
      <c r="A602" s="732" t="s">
        <v>1562</v>
      </c>
      <c r="B602" s="3"/>
      <c r="C602" s="689">
        <f t="shared" ref="C602:E602" si="25">sum(C570:C601)</f>
        <v>27</v>
      </c>
      <c r="D602" s="721">
        <f t="shared" si="25"/>
        <v>508</v>
      </c>
      <c r="E602" s="669">
        <f t="shared" si="25"/>
        <v>24</v>
      </c>
      <c r="F602" s="689"/>
      <c r="G602" s="731"/>
      <c r="H602" s="731"/>
    </row>
    <row r="603">
      <c r="A603" s="689"/>
      <c r="B603" s="689"/>
      <c r="C603" s="689"/>
      <c r="D603" s="689"/>
      <c r="E603" s="689"/>
      <c r="F603" s="689"/>
      <c r="G603" s="689"/>
      <c r="H603" s="689"/>
    </row>
    <row r="604">
      <c r="A604" s="760" t="s">
        <v>4125</v>
      </c>
      <c r="B604" s="2"/>
      <c r="C604" s="2"/>
      <c r="D604" s="2"/>
      <c r="E604" s="2"/>
      <c r="F604" s="2"/>
      <c r="G604" s="2"/>
      <c r="H604" s="3"/>
    </row>
    <row r="605">
      <c r="A605" s="658"/>
      <c r="B605" s="658"/>
      <c r="C605" s="658"/>
      <c r="D605" s="658"/>
      <c r="E605" s="658"/>
      <c r="F605" s="658"/>
      <c r="G605" s="658"/>
      <c r="H605" s="658"/>
    </row>
    <row r="606">
      <c r="A606" s="761" t="s">
        <v>4126</v>
      </c>
      <c r="B606" s="2"/>
      <c r="C606" s="2"/>
      <c r="D606" s="2"/>
      <c r="E606" s="2"/>
      <c r="F606" s="2"/>
      <c r="G606" s="2"/>
      <c r="H606" s="3"/>
    </row>
    <row r="607">
      <c r="A607" s="762" t="s">
        <v>1435</v>
      </c>
      <c r="B607" s="762" t="s">
        <v>1436</v>
      </c>
      <c r="C607" s="762" t="s">
        <v>1843</v>
      </c>
      <c r="D607" s="763" t="s">
        <v>1438</v>
      </c>
      <c r="E607" s="764" t="s">
        <v>1564</v>
      </c>
      <c r="F607" s="762" t="s">
        <v>1440</v>
      </c>
      <c r="G607" s="762" t="s">
        <v>1844</v>
      </c>
      <c r="H607" s="765" t="s">
        <v>1441</v>
      </c>
    </row>
    <row r="608">
      <c r="A608" s="525">
        <v>1.0</v>
      </c>
      <c r="B608" s="525" t="s">
        <v>1443</v>
      </c>
      <c r="C608" s="525">
        <v>1.0</v>
      </c>
      <c r="D608" s="526">
        <v>150.0</v>
      </c>
      <c r="E608" s="766"/>
      <c r="F608" s="766"/>
      <c r="G608" s="525" t="s">
        <v>1554</v>
      </c>
      <c r="H608" s="766"/>
    </row>
    <row r="609">
      <c r="A609" s="525">
        <v>2.0</v>
      </c>
      <c r="B609" s="525" t="s">
        <v>3916</v>
      </c>
      <c r="C609" s="525">
        <v>2.0</v>
      </c>
      <c r="D609" s="526">
        <v>3.2</v>
      </c>
      <c r="E609" s="766"/>
      <c r="F609" s="766"/>
      <c r="G609" s="525" t="s">
        <v>1554</v>
      </c>
      <c r="H609" s="766"/>
    </row>
    <row r="610">
      <c r="A610" s="525">
        <v>3.0</v>
      </c>
      <c r="B610" s="579" t="s">
        <v>3673</v>
      </c>
      <c r="C610" s="579">
        <v>1.0</v>
      </c>
      <c r="D610" s="582">
        <v>5.0</v>
      </c>
      <c r="E610" s="580">
        <v>1.0</v>
      </c>
      <c r="F610" s="579" t="s">
        <v>1518</v>
      </c>
      <c r="G610" s="525" t="s">
        <v>1554</v>
      </c>
      <c r="H610" s="581">
        <v>45141.0</v>
      </c>
    </row>
    <row r="611">
      <c r="A611" s="525">
        <v>4.0</v>
      </c>
      <c r="B611" s="542" t="s">
        <v>4045</v>
      </c>
      <c r="C611" s="525">
        <v>1.0</v>
      </c>
      <c r="D611" s="526">
        <v>1.9</v>
      </c>
      <c r="E611" s="527">
        <v>1.0</v>
      </c>
      <c r="F611" s="525" t="s">
        <v>4127</v>
      </c>
      <c r="G611" s="525" t="s">
        <v>1554</v>
      </c>
      <c r="H611" s="528">
        <v>45280.0</v>
      </c>
    </row>
    <row r="612">
      <c r="A612" s="525">
        <v>5.0</v>
      </c>
      <c r="B612" s="525" t="s">
        <v>4128</v>
      </c>
      <c r="C612" s="579">
        <v>1.0</v>
      </c>
      <c r="D612" s="526">
        <v>21.5</v>
      </c>
      <c r="E612" s="527">
        <v>2.0</v>
      </c>
      <c r="F612" s="525" t="s">
        <v>4129</v>
      </c>
      <c r="G612" s="525" t="s">
        <v>1554</v>
      </c>
      <c r="H612" s="528">
        <v>45280.0</v>
      </c>
    </row>
    <row r="613">
      <c r="A613" s="259">
        <v>6.0</v>
      </c>
      <c r="B613" s="259" t="s">
        <v>4130</v>
      </c>
      <c r="C613" s="583">
        <v>1.0</v>
      </c>
      <c r="D613" s="530">
        <v>23.6</v>
      </c>
      <c r="E613" s="531">
        <v>2.0</v>
      </c>
      <c r="F613" s="259" t="s">
        <v>4131</v>
      </c>
      <c r="G613" s="259" t="s">
        <v>1554</v>
      </c>
      <c r="H613" s="259" t="s">
        <v>4132</v>
      </c>
    </row>
    <row r="614">
      <c r="A614" s="525">
        <v>7.0</v>
      </c>
      <c r="B614" s="542" t="s">
        <v>4133</v>
      </c>
      <c r="C614" s="525">
        <v>1.0</v>
      </c>
      <c r="D614" s="526">
        <v>94.6</v>
      </c>
      <c r="E614" s="527">
        <v>10.0</v>
      </c>
      <c r="F614" s="542" t="s">
        <v>4134</v>
      </c>
      <c r="G614" s="525" t="s">
        <v>1554</v>
      </c>
      <c r="H614" s="767">
        <v>45287.0</v>
      </c>
    </row>
    <row r="615">
      <c r="A615" s="525">
        <v>8.0</v>
      </c>
      <c r="B615" s="542" t="s">
        <v>4135</v>
      </c>
      <c r="C615" s="525">
        <v>1.0</v>
      </c>
      <c r="D615" s="526">
        <v>6.2</v>
      </c>
      <c r="E615" s="527">
        <v>1.0</v>
      </c>
      <c r="F615" s="542" t="s">
        <v>4136</v>
      </c>
      <c r="G615" s="525" t="s">
        <v>1554</v>
      </c>
      <c r="H615" s="767">
        <v>45287.0</v>
      </c>
    </row>
    <row r="616">
      <c r="A616" s="259">
        <v>9.0</v>
      </c>
      <c r="B616" s="259" t="s">
        <v>4135</v>
      </c>
      <c r="C616" s="259"/>
      <c r="D616" s="530"/>
      <c r="E616" s="531"/>
      <c r="F616" s="259" t="s">
        <v>4137</v>
      </c>
      <c r="G616" s="259" t="s">
        <v>4138</v>
      </c>
      <c r="H616" s="768">
        <v>45287.0</v>
      </c>
    </row>
    <row r="617">
      <c r="A617" s="259">
        <v>10.0</v>
      </c>
      <c r="B617" s="259" t="s">
        <v>4135</v>
      </c>
      <c r="C617" s="259"/>
      <c r="D617" s="530"/>
      <c r="E617" s="531"/>
      <c r="F617" s="259" t="s">
        <v>4139</v>
      </c>
      <c r="G617" s="259" t="s">
        <v>4138</v>
      </c>
      <c r="H617" s="768">
        <v>45287.0</v>
      </c>
    </row>
    <row r="618">
      <c r="A618" s="259">
        <v>11.0</v>
      </c>
      <c r="B618" s="259" t="s">
        <v>4135</v>
      </c>
      <c r="C618" s="259"/>
      <c r="D618" s="530"/>
      <c r="E618" s="531"/>
      <c r="F618" s="259" t="s">
        <v>4140</v>
      </c>
      <c r="G618" s="259" t="s">
        <v>4138</v>
      </c>
      <c r="H618" s="768">
        <v>45287.0</v>
      </c>
    </row>
    <row r="619">
      <c r="A619" s="259">
        <v>12.0</v>
      </c>
      <c r="B619" s="259" t="s">
        <v>4141</v>
      </c>
      <c r="C619" s="259"/>
      <c r="D619" s="530"/>
      <c r="E619" s="531"/>
      <c r="F619" s="259" t="s">
        <v>4142</v>
      </c>
      <c r="G619" s="259" t="s">
        <v>1554</v>
      </c>
      <c r="H619" s="259" t="s">
        <v>4143</v>
      </c>
    </row>
    <row r="620">
      <c r="A620" s="259">
        <v>13.0</v>
      </c>
      <c r="B620" s="259" t="s">
        <v>4133</v>
      </c>
      <c r="C620" s="259"/>
      <c r="D620" s="530"/>
      <c r="E620" s="531"/>
      <c r="F620" s="259" t="s">
        <v>4144</v>
      </c>
      <c r="G620" s="259" t="s">
        <v>1554</v>
      </c>
      <c r="H620" s="259" t="s">
        <v>4145</v>
      </c>
    </row>
    <row r="621">
      <c r="A621" s="259">
        <v>14.0</v>
      </c>
      <c r="B621" s="259" t="s">
        <v>4146</v>
      </c>
      <c r="C621" s="259"/>
      <c r="D621" s="530"/>
      <c r="E621" s="531"/>
      <c r="F621" s="259" t="s">
        <v>4147</v>
      </c>
      <c r="G621" s="259" t="s">
        <v>1554</v>
      </c>
      <c r="H621" s="259" t="s">
        <v>4145</v>
      </c>
    </row>
    <row r="622">
      <c r="A622" s="525">
        <v>15.0</v>
      </c>
      <c r="B622" s="525" t="s">
        <v>4148</v>
      </c>
      <c r="C622" s="525">
        <v>1.0</v>
      </c>
      <c r="D622" s="526">
        <v>12.8</v>
      </c>
      <c r="E622" s="527">
        <v>2.0</v>
      </c>
      <c r="F622" s="525" t="s">
        <v>4149</v>
      </c>
      <c r="G622" s="525" t="s">
        <v>1554</v>
      </c>
      <c r="H622" s="767">
        <v>45288.0</v>
      </c>
    </row>
    <row r="623">
      <c r="A623" s="525">
        <v>16.0</v>
      </c>
      <c r="B623" s="542" t="s">
        <v>4150</v>
      </c>
      <c r="C623" s="525">
        <v>1.0</v>
      </c>
      <c r="D623" s="526">
        <v>6.2</v>
      </c>
      <c r="E623" s="527">
        <v>1.0</v>
      </c>
      <c r="F623" s="525" t="s">
        <v>4151</v>
      </c>
      <c r="G623" s="525" t="s">
        <v>1554</v>
      </c>
      <c r="H623" s="767">
        <v>45353.0</v>
      </c>
    </row>
    <row r="624">
      <c r="A624" s="525">
        <v>17.0</v>
      </c>
      <c r="B624" s="525" t="s">
        <v>4152</v>
      </c>
      <c r="C624" s="525">
        <v>1.0</v>
      </c>
      <c r="D624" s="526">
        <v>20.3</v>
      </c>
      <c r="E624" s="527">
        <v>2.0</v>
      </c>
      <c r="F624" s="525" t="s">
        <v>4153</v>
      </c>
      <c r="G624" s="525" t="s">
        <v>1554</v>
      </c>
      <c r="H624" s="767">
        <v>45520.0</v>
      </c>
    </row>
    <row r="625">
      <c r="A625" s="525">
        <v>18.0</v>
      </c>
      <c r="B625" s="525" t="s">
        <v>4154</v>
      </c>
      <c r="C625" s="525">
        <v>1.0</v>
      </c>
      <c r="D625" s="526">
        <v>13.0</v>
      </c>
      <c r="E625" s="527" t="s">
        <v>2077</v>
      </c>
      <c r="F625" s="525" t="s">
        <v>4155</v>
      </c>
      <c r="G625" s="525" t="s">
        <v>1554</v>
      </c>
      <c r="H625" s="767">
        <v>45565.0</v>
      </c>
    </row>
    <row r="626">
      <c r="A626" s="525">
        <v>19.0</v>
      </c>
      <c r="B626" s="542" t="s">
        <v>2426</v>
      </c>
      <c r="C626" s="542">
        <v>1.0</v>
      </c>
      <c r="D626" s="543">
        <v>23.6</v>
      </c>
      <c r="E626" s="544" t="s">
        <v>4156</v>
      </c>
      <c r="F626" s="542" t="s">
        <v>4131</v>
      </c>
      <c r="G626" s="542" t="s">
        <v>1554</v>
      </c>
      <c r="H626" s="769">
        <v>45700.0</v>
      </c>
    </row>
    <row r="627">
      <c r="A627" s="525">
        <v>20.0</v>
      </c>
      <c r="B627" s="525" t="s">
        <v>4157</v>
      </c>
      <c r="C627" s="525">
        <v>1.0</v>
      </c>
      <c r="D627" s="526">
        <v>17.5</v>
      </c>
      <c r="E627" s="527">
        <v>2.0</v>
      </c>
      <c r="F627" s="525" t="s">
        <v>4158</v>
      </c>
      <c r="G627" s="525" t="s">
        <v>1554</v>
      </c>
      <c r="H627" s="528">
        <v>45740.0</v>
      </c>
    </row>
    <row r="628">
      <c r="A628" s="542">
        <v>21.0</v>
      </c>
      <c r="B628" s="542" t="s">
        <v>4159</v>
      </c>
      <c r="C628" s="542">
        <v>1.0</v>
      </c>
      <c r="D628" s="543">
        <v>21.6</v>
      </c>
      <c r="E628" s="544">
        <v>2.0</v>
      </c>
      <c r="F628" s="542" t="s">
        <v>4160</v>
      </c>
      <c r="G628" s="542" t="s">
        <v>1446</v>
      </c>
      <c r="H628" s="546">
        <v>45759.0</v>
      </c>
    </row>
    <row r="629">
      <c r="A629" s="525">
        <v>22.0</v>
      </c>
      <c r="B629" s="525" t="s">
        <v>2393</v>
      </c>
      <c r="C629" s="525">
        <v>1.0</v>
      </c>
      <c r="D629" s="526">
        <v>17.4</v>
      </c>
      <c r="E629" s="527">
        <v>1.0</v>
      </c>
      <c r="F629" s="770" t="s">
        <v>4161</v>
      </c>
      <c r="G629" s="525" t="s">
        <v>4162</v>
      </c>
      <c r="H629" s="528">
        <v>45971.0</v>
      </c>
    </row>
    <row r="630">
      <c r="A630" s="525">
        <v>23.0</v>
      </c>
      <c r="B630" s="525" t="s">
        <v>3412</v>
      </c>
      <c r="C630" s="525">
        <v>1.0</v>
      </c>
      <c r="D630" s="526">
        <v>17.8</v>
      </c>
      <c r="E630" s="527">
        <v>1.0</v>
      </c>
      <c r="F630" s="770"/>
      <c r="G630" s="525"/>
      <c r="H630" s="528"/>
    </row>
    <row r="631">
      <c r="A631" s="585" t="s">
        <v>1562</v>
      </c>
      <c r="B631" s="3"/>
      <c r="C631" s="579">
        <f t="shared" ref="C631:D631" si="26">sum(C608:C630)</f>
        <v>18</v>
      </c>
      <c r="D631" s="582">
        <f t="shared" si="26"/>
        <v>456.2</v>
      </c>
      <c r="E631" s="580">
        <f>sum(E610:E630)</f>
        <v>28</v>
      </c>
      <c r="F631" s="579"/>
      <c r="G631" s="581"/>
      <c r="H631" s="581"/>
    </row>
    <row r="632">
      <c r="A632" s="689"/>
      <c r="B632" s="689"/>
      <c r="C632" s="689"/>
      <c r="D632" s="689"/>
      <c r="E632" s="689"/>
      <c r="F632" s="689"/>
      <c r="G632" s="689"/>
      <c r="H632" s="689"/>
    </row>
    <row r="633">
      <c r="A633" s="689"/>
      <c r="B633" s="689"/>
      <c r="C633" s="689"/>
      <c r="D633" s="689"/>
      <c r="E633" s="689"/>
      <c r="F633" s="689"/>
      <c r="G633" s="689"/>
      <c r="H633" s="689"/>
    </row>
    <row r="634">
      <c r="A634" s="771" t="s">
        <v>4163</v>
      </c>
      <c r="B634" s="2"/>
      <c r="C634" s="2"/>
      <c r="D634" s="2"/>
      <c r="E634" s="2"/>
      <c r="F634" s="2"/>
      <c r="G634" s="2"/>
      <c r="H634" s="3"/>
    </row>
    <row r="635">
      <c r="A635" s="772" t="s">
        <v>1435</v>
      </c>
      <c r="B635" s="772" t="s">
        <v>1436</v>
      </c>
      <c r="C635" s="772" t="s">
        <v>1843</v>
      </c>
      <c r="D635" s="773" t="s">
        <v>1438</v>
      </c>
      <c r="E635" s="774" t="s">
        <v>1564</v>
      </c>
      <c r="F635" s="772" t="s">
        <v>1440</v>
      </c>
      <c r="G635" s="772" t="s">
        <v>1844</v>
      </c>
      <c r="H635" s="775" t="s">
        <v>1441</v>
      </c>
    </row>
    <row r="636">
      <c r="A636" s="68">
        <v>1.0</v>
      </c>
      <c r="B636" s="68" t="s">
        <v>1443</v>
      </c>
      <c r="C636" s="68">
        <v>1.0</v>
      </c>
      <c r="D636" s="69">
        <v>150.0</v>
      </c>
      <c r="E636" s="776"/>
      <c r="F636" s="71"/>
      <c r="G636" s="68" t="s">
        <v>1554</v>
      </c>
      <c r="H636" s="77"/>
    </row>
    <row r="637">
      <c r="A637" s="68">
        <v>2.0</v>
      </c>
      <c r="B637" s="68" t="s">
        <v>1444</v>
      </c>
      <c r="C637" s="68">
        <v>2.0</v>
      </c>
      <c r="D637" s="69">
        <v>3.2</v>
      </c>
      <c r="E637" s="776"/>
      <c r="F637" s="71"/>
      <c r="G637" s="68" t="s">
        <v>1554</v>
      </c>
      <c r="H637" s="77"/>
    </row>
    <row r="638">
      <c r="A638" s="68">
        <v>3.0</v>
      </c>
      <c r="B638" s="71" t="s">
        <v>3673</v>
      </c>
      <c r="C638" s="71">
        <v>1.0</v>
      </c>
      <c r="D638" s="777">
        <v>5.0</v>
      </c>
      <c r="E638" s="776">
        <v>1.0</v>
      </c>
      <c r="F638" s="71" t="s">
        <v>1518</v>
      </c>
      <c r="G638" s="68" t="s">
        <v>1554</v>
      </c>
      <c r="H638" s="77">
        <v>45141.0</v>
      </c>
    </row>
    <row r="639">
      <c r="A639" s="78">
        <v>4.0</v>
      </c>
      <c r="B639" s="78" t="s">
        <v>3487</v>
      </c>
      <c r="C639" s="78"/>
      <c r="D639" s="79"/>
      <c r="E639" s="80"/>
      <c r="F639" s="78" t="s">
        <v>4164</v>
      </c>
      <c r="G639" s="78" t="s">
        <v>4165</v>
      </c>
      <c r="H639" s="81">
        <v>45311.0</v>
      </c>
    </row>
    <row r="640" ht="16.5" customHeight="1">
      <c r="A640" s="78">
        <v>5.0</v>
      </c>
      <c r="B640" s="78" t="s">
        <v>3487</v>
      </c>
      <c r="C640" s="78"/>
      <c r="D640" s="79"/>
      <c r="E640" s="80"/>
      <c r="F640" s="78" t="s">
        <v>4166</v>
      </c>
      <c r="G640" s="78" t="s">
        <v>4165</v>
      </c>
      <c r="H640" s="81">
        <v>45311.0</v>
      </c>
    </row>
    <row r="641">
      <c r="A641" s="78">
        <v>6.0</v>
      </c>
      <c r="B641" s="78" t="s">
        <v>3487</v>
      </c>
      <c r="C641" s="78"/>
      <c r="D641" s="79"/>
      <c r="E641" s="80"/>
      <c r="F641" s="78" t="s">
        <v>4167</v>
      </c>
      <c r="G641" s="78" t="s">
        <v>4165</v>
      </c>
      <c r="H641" s="778">
        <v>45311.0</v>
      </c>
    </row>
    <row r="642">
      <c r="A642" s="78">
        <v>7.0</v>
      </c>
      <c r="B642" s="78" t="s">
        <v>3487</v>
      </c>
      <c r="C642" s="78"/>
      <c r="D642" s="79"/>
      <c r="E642" s="80"/>
      <c r="F642" s="78" t="s">
        <v>4168</v>
      </c>
      <c r="G642" s="78" t="s">
        <v>4165</v>
      </c>
      <c r="H642" s="81">
        <v>45311.0</v>
      </c>
    </row>
    <row r="643">
      <c r="A643" s="78">
        <v>8.0</v>
      </c>
      <c r="B643" s="78" t="s">
        <v>3487</v>
      </c>
      <c r="C643" s="78"/>
      <c r="D643" s="79"/>
      <c r="E643" s="80"/>
      <c r="F643" s="78" t="s">
        <v>4169</v>
      </c>
      <c r="G643" s="78" t="s">
        <v>4170</v>
      </c>
      <c r="H643" s="81">
        <v>45311.0</v>
      </c>
    </row>
    <row r="644">
      <c r="A644" s="78">
        <v>9.0</v>
      </c>
      <c r="B644" s="78" t="s">
        <v>4171</v>
      </c>
      <c r="C644" s="78"/>
      <c r="D644" s="79"/>
      <c r="E644" s="80"/>
      <c r="F644" s="78" t="s">
        <v>4172</v>
      </c>
      <c r="G644" s="78" t="s">
        <v>4173</v>
      </c>
      <c r="H644" s="81">
        <v>45311.0</v>
      </c>
    </row>
    <row r="645">
      <c r="A645" s="78">
        <v>10.0</v>
      </c>
      <c r="B645" s="78" t="s">
        <v>2534</v>
      </c>
      <c r="C645" s="78"/>
      <c r="D645" s="79"/>
      <c r="E645" s="80"/>
      <c r="F645" s="78" t="s">
        <v>4174</v>
      </c>
      <c r="G645" s="78" t="s">
        <v>4175</v>
      </c>
      <c r="H645" s="81">
        <v>45311.0</v>
      </c>
    </row>
    <row r="646">
      <c r="A646" s="78">
        <v>11.0</v>
      </c>
      <c r="B646" s="78" t="s">
        <v>2534</v>
      </c>
      <c r="C646" s="78"/>
      <c r="D646" s="79"/>
      <c r="E646" s="80"/>
      <c r="F646" s="78" t="s">
        <v>4176</v>
      </c>
      <c r="G646" s="78" t="s">
        <v>4175</v>
      </c>
      <c r="H646" s="81">
        <v>45311.0</v>
      </c>
    </row>
    <row r="647">
      <c r="A647" s="78">
        <v>12.0</v>
      </c>
      <c r="B647" s="78" t="s">
        <v>2016</v>
      </c>
      <c r="C647" s="78"/>
      <c r="D647" s="79"/>
      <c r="E647" s="80"/>
      <c r="F647" s="78" t="s">
        <v>4177</v>
      </c>
      <c r="G647" s="78" t="s">
        <v>4175</v>
      </c>
      <c r="H647" s="81">
        <v>45311.0</v>
      </c>
    </row>
    <row r="648">
      <c r="A648" s="78">
        <v>13.0</v>
      </c>
      <c r="B648" s="78" t="s">
        <v>1944</v>
      </c>
      <c r="C648" s="78"/>
      <c r="D648" s="79"/>
      <c r="E648" s="80"/>
      <c r="F648" s="78" t="s">
        <v>4178</v>
      </c>
      <c r="G648" s="78" t="s">
        <v>4173</v>
      </c>
      <c r="H648" s="81"/>
    </row>
    <row r="649">
      <c r="A649" s="78">
        <v>14.0</v>
      </c>
      <c r="B649" s="78" t="s">
        <v>4179</v>
      </c>
      <c r="C649" s="78"/>
      <c r="D649" s="79"/>
      <c r="E649" s="80"/>
      <c r="F649" s="78" t="s">
        <v>4180</v>
      </c>
      <c r="G649" s="78" t="s">
        <v>4173</v>
      </c>
      <c r="H649" s="81">
        <v>45311.0</v>
      </c>
    </row>
    <row r="650">
      <c r="A650" s="78">
        <v>15.0</v>
      </c>
      <c r="B650" s="78" t="s">
        <v>4181</v>
      </c>
      <c r="C650" s="78"/>
      <c r="D650" s="79"/>
      <c r="E650" s="80"/>
      <c r="F650" s="78" t="s">
        <v>4182</v>
      </c>
      <c r="G650" s="78" t="s">
        <v>4175</v>
      </c>
      <c r="H650" s="81">
        <v>45311.0</v>
      </c>
    </row>
    <row r="651">
      <c r="A651" s="78">
        <v>16.0</v>
      </c>
      <c r="B651" s="78" t="s">
        <v>4181</v>
      </c>
      <c r="C651" s="78"/>
      <c r="D651" s="79"/>
      <c r="E651" s="80"/>
      <c r="F651" s="78" t="s">
        <v>4183</v>
      </c>
      <c r="G651" s="78" t="s">
        <v>4184</v>
      </c>
      <c r="H651" s="81">
        <v>45311.0</v>
      </c>
    </row>
    <row r="652">
      <c r="A652" s="78">
        <v>17.0</v>
      </c>
      <c r="B652" s="78" t="s">
        <v>4185</v>
      </c>
      <c r="C652" s="78"/>
      <c r="D652" s="79"/>
      <c r="E652" s="80"/>
      <c r="F652" s="78" t="s">
        <v>4186</v>
      </c>
      <c r="G652" s="78" t="s">
        <v>4173</v>
      </c>
      <c r="H652" s="81">
        <v>45311.0</v>
      </c>
    </row>
    <row r="653">
      <c r="A653" s="78">
        <v>18.0</v>
      </c>
      <c r="B653" s="78" t="s">
        <v>4187</v>
      </c>
      <c r="C653" s="78"/>
      <c r="D653" s="79"/>
      <c r="E653" s="80"/>
      <c r="F653" s="78" t="s">
        <v>4188</v>
      </c>
      <c r="G653" s="78" t="s">
        <v>4173</v>
      </c>
      <c r="H653" s="81">
        <v>45311.0</v>
      </c>
    </row>
    <row r="654">
      <c r="A654" s="78">
        <v>19.0</v>
      </c>
      <c r="B654" s="78" t="s">
        <v>4187</v>
      </c>
      <c r="C654" s="78"/>
      <c r="D654" s="79"/>
      <c r="E654" s="80"/>
      <c r="F654" s="78" t="s">
        <v>4189</v>
      </c>
      <c r="G654" s="78" t="s">
        <v>4175</v>
      </c>
      <c r="H654" s="81">
        <v>45311.0</v>
      </c>
    </row>
    <row r="655">
      <c r="A655" s="78">
        <v>20.0</v>
      </c>
      <c r="B655" s="78" t="s">
        <v>4190</v>
      </c>
      <c r="C655" s="78"/>
      <c r="D655" s="79"/>
      <c r="E655" s="80"/>
      <c r="F655" s="78" t="s">
        <v>4191</v>
      </c>
      <c r="G655" s="78" t="s">
        <v>4173</v>
      </c>
      <c r="H655" s="81">
        <v>45458.0</v>
      </c>
    </row>
    <row r="656">
      <c r="A656" s="779">
        <v>21.0</v>
      </c>
      <c r="B656" s="779" t="s">
        <v>4192</v>
      </c>
      <c r="C656" s="779"/>
      <c r="D656" s="780"/>
      <c r="E656" s="781"/>
      <c r="F656" s="779" t="s">
        <v>4193</v>
      </c>
      <c r="G656" s="779" t="s">
        <v>4175</v>
      </c>
      <c r="H656" s="782">
        <v>45705.0</v>
      </c>
    </row>
    <row r="657">
      <c r="A657" s="78">
        <v>22.0</v>
      </c>
      <c r="B657" s="78" t="s">
        <v>4194</v>
      </c>
      <c r="C657" s="78"/>
      <c r="D657" s="79"/>
      <c r="E657" s="80"/>
      <c r="F657" s="78" t="s">
        <v>4195</v>
      </c>
      <c r="G657" s="78" t="s">
        <v>4196</v>
      </c>
      <c r="H657" s="81">
        <v>45917.0</v>
      </c>
    </row>
    <row r="658">
      <c r="A658" s="78">
        <v>23.0</v>
      </c>
      <c r="B658" s="78" t="s">
        <v>4197</v>
      </c>
      <c r="C658" s="78"/>
      <c r="D658" s="79"/>
      <c r="E658" s="80"/>
      <c r="F658" s="78" t="s">
        <v>4198</v>
      </c>
      <c r="G658" s="78" t="s">
        <v>4170</v>
      </c>
      <c r="H658" s="81">
        <v>45929.0</v>
      </c>
    </row>
    <row r="659">
      <c r="A659" s="78">
        <v>24.0</v>
      </c>
      <c r="B659" s="78" t="s">
        <v>1548</v>
      </c>
      <c r="C659" s="78"/>
      <c r="D659" s="783"/>
      <c r="E659" s="80"/>
      <c r="F659" s="99" t="s">
        <v>4199</v>
      </c>
      <c r="G659" s="78" t="s">
        <v>155</v>
      </c>
      <c r="H659" s="81">
        <v>46031.0</v>
      </c>
    </row>
    <row r="660">
      <c r="A660" s="71"/>
      <c r="B660" s="71"/>
      <c r="C660" s="71"/>
      <c r="D660" s="777"/>
      <c r="E660" s="776"/>
      <c r="F660" s="784"/>
      <c r="G660" s="77"/>
      <c r="H660" s="77"/>
    </row>
    <row r="661">
      <c r="A661" s="785" t="s">
        <v>1562</v>
      </c>
      <c r="B661" s="3"/>
      <c r="C661" s="71">
        <f>sum(C636:C659)</f>
        <v>4</v>
      </c>
      <c r="D661" s="777">
        <f>sum(D636:D658)</f>
        <v>158.2</v>
      </c>
      <c r="E661" s="776">
        <f>sum(E636:E659)</f>
        <v>1</v>
      </c>
      <c r="F661" s="71"/>
      <c r="G661" s="77"/>
      <c r="H661" s="77"/>
    </row>
    <row r="662">
      <c r="A662" s="712"/>
      <c r="B662" s="712"/>
      <c r="C662" s="712"/>
      <c r="D662" s="712"/>
      <c r="E662" s="712"/>
      <c r="F662" s="712"/>
      <c r="G662" s="712"/>
      <c r="H662" s="712"/>
    </row>
    <row r="663">
      <c r="A663" s="712"/>
      <c r="B663" s="712"/>
      <c r="C663" s="712"/>
      <c r="D663" s="712"/>
      <c r="E663" s="712"/>
      <c r="F663" s="712"/>
      <c r="G663" s="712"/>
      <c r="H663" s="712"/>
    </row>
    <row r="664">
      <c r="A664" s="649" t="s">
        <v>4200</v>
      </c>
      <c r="B664" s="2"/>
      <c r="C664" s="2"/>
      <c r="D664" s="2"/>
      <c r="E664" s="2"/>
      <c r="F664" s="2"/>
      <c r="G664" s="2"/>
      <c r="H664" s="3"/>
    </row>
    <row r="665">
      <c r="A665" s="786" t="s">
        <v>1435</v>
      </c>
      <c r="B665" s="786" t="s">
        <v>1436</v>
      </c>
      <c r="C665" s="786" t="s">
        <v>1843</v>
      </c>
      <c r="D665" s="787" t="s">
        <v>1438</v>
      </c>
      <c r="E665" s="788" t="s">
        <v>1564</v>
      </c>
      <c r="F665" s="786" t="s">
        <v>1440</v>
      </c>
      <c r="G665" s="786" t="s">
        <v>1844</v>
      </c>
      <c r="H665" s="789" t="s">
        <v>1441</v>
      </c>
    </row>
    <row r="666">
      <c r="A666" s="658">
        <v>1.0</v>
      </c>
      <c r="B666" s="658" t="s">
        <v>1443</v>
      </c>
      <c r="C666" s="658">
        <v>1.0</v>
      </c>
      <c r="D666" s="678">
        <v>150.0</v>
      </c>
      <c r="E666" s="669"/>
      <c r="F666" s="689"/>
      <c r="G666" s="658" t="s">
        <v>1554</v>
      </c>
      <c r="H666" s="731"/>
    </row>
    <row r="667">
      <c r="A667" s="658">
        <v>2.0</v>
      </c>
      <c r="B667" s="658" t="s">
        <v>1444</v>
      </c>
      <c r="C667" s="658">
        <v>1.0</v>
      </c>
      <c r="D667" s="678">
        <v>3.2</v>
      </c>
      <c r="E667" s="669"/>
      <c r="F667" s="689"/>
      <c r="G667" s="658" t="s">
        <v>1554</v>
      </c>
      <c r="H667" s="731"/>
    </row>
    <row r="668">
      <c r="A668" s="658">
        <v>3.0</v>
      </c>
      <c r="B668" s="689" t="s">
        <v>3673</v>
      </c>
      <c r="C668" s="689">
        <v>1.0</v>
      </c>
      <c r="D668" s="721">
        <v>5.0</v>
      </c>
      <c r="E668" s="669">
        <v>1.0</v>
      </c>
      <c r="F668" s="689" t="s">
        <v>1518</v>
      </c>
      <c r="G668" s="658" t="s">
        <v>1554</v>
      </c>
      <c r="H668" s="731">
        <v>45141.0</v>
      </c>
    </row>
    <row r="669">
      <c r="A669" s="663">
        <v>4.0</v>
      </c>
      <c r="B669" s="663" t="s">
        <v>3849</v>
      </c>
      <c r="C669" s="662"/>
      <c r="D669" s="664"/>
      <c r="E669" s="723"/>
      <c r="F669" s="663" t="s">
        <v>3850</v>
      </c>
      <c r="G669" s="663" t="s">
        <v>1554</v>
      </c>
      <c r="H669" s="662" t="s">
        <v>4201</v>
      </c>
    </row>
    <row r="670">
      <c r="A670" s="668">
        <v>5.0</v>
      </c>
      <c r="B670" s="668" t="s">
        <v>1635</v>
      </c>
      <c r="C670" s="668">
        <v>1.0</v>
      </c>
      <c r="D670" s="678">
        <v>17.4</v>
      </c>
      <c r="E670" s="669">
        <v>1.0</v>
      </c>
      <c r="F670" s="790" t="s">
        <v>3123</v>
      </c>
      <c r="G670" s="668" t="s">
        <v>3851</v>
      </c>
      <c r="H670" s="791">
        <v>45188.0</v>
      </c>
    </row>
    <row r="671">
      <c r="A671" s="663">
        <v>6.0</v>
      </c>
      <c r="B671" s="722" t="s">
        <v>1635</v>
      </c>
      <c r="C671" s="722"/>
      <c r="D671" s="664"/>
      <c r="E671" s="723"/>
      <c r="F671" s="722" t="s">
        <v>3852</v>
      </c>
      <c r="G671" s="722" t="s">
        <v>3853</v>
      </c>
      <c r="H671" s="792">
        <v>45188.0</v>
      </c>
    </row>
    <row r="672">
      <c r="A672" s="668">
        <v>7.0</v>
      </c>
      <c r="B672" s="689" t="s">
        <v>1635</v>
      </c>
      <c r="C672" s="689">
        <v>1.0</v>
      </c>
      <c r="D672" s="678">
        <v>17.4</v>
      </c>
      <c r="E672" s="669">
        <v>1.0</v>
      </c>
      <c r="F672" s="689" t="s">
        <v>3854</v>
      </c>
      <c r="G672" s="689" t="s">
        <v>1554</v>
      </c>
      <c r="H672" s="791">
        <v>45199.0</v>
      </c>
    </row>
    <row r="673">
      <c r="A673" s="668">
        <v>8.0</v>
      </c>
      <c r="B673" s="689" t="s">
        <v>1635</v>
      </c>
      <c r="C673" s="689">
        <v>1.0</v>
      </c>
      <c r="D673" s="678">
        <v>17.4</v>
      </c>
      <c r="E673" s="669">
        <v>1.0</v>
      </c>
      <c r="F673" s="689" t="s">
        <v>3855</v>
      </c>
      <c r="G673" s="689" t="s">
        <v>1554</v>
      </c>
      <c r="H673" s="791">
        <v>45199.0</v>
      </c>
    </row>
    <row r="674">
      <c r="A674" s="663">
        <v>9.0</v>
      </c>
      <c r="B674" s="722" t="s">
        <v>2879</v>
      </c>
      <c r="C674" s="722"/>
      <c r="D674" s="664"/>
      <c r="E674" s="723"/>
      <c r="F674" s="722" t="s">
        <v>3856</v>
      </c>
      <c r="G674" s="722" t="s">
        <v>3857</v>
      </c>
      <c r="H674" s="792">
        <v>45271.0</v>
      </c>
    </row>
    <row r="675">
      <c r="A675" s="668">
        <v>10.0</v>
      </c>
      <c r="B675" s="689" t="s">
        <v>3858</v>
      </c>
      <c r="C675" s="689">
        <v>1.0</v>
      </c>
      <c r="D675" s="678">
        <v>17.4</v>
      </c>
      <c r="E675" s="669">
        <v>1.0</v>
      </c>
      <c r="F675" s="689" t="s">
        <v>3859</v>
      </c>
      <c r="G675" s="689" t="s">
        <v>1554</v>
      </c>
      <c r="H675" s="791">
        <v>45279.0</v>
      </c>
    </row>
    <row r="676">
      <c r="A676" s="667">
        <v>11.0</v>
      </c>
      <c r="B676" s="689" t="s">
        <v>3849</v>
      </c>
      <c r="C676" s="689">
        <v>1.0</v>
      </c>
      <c r="D676" s="721">
        <v>2.8</v>
      </c>
      <c r="E676" s="669">
        <v>1.0</v>
      </c>
      <c r="F676" s="689" t="s">
        <v>3860</v>
      </c>
      <c r="G676" s="689" t="s">
        <v>1554</v>
      </c>
      <c r="H676" s="791">
        <v>45380.0</v>
      </c>
    </row>
    <row r="677">
      <c r="A677" s="722">
        <v>12.0</v>
      </c>
      <c r="B677" s="722" t="s">
        <v>3858</v>
      </c>
      <c r="C677" s="722"/>
      <c r="D677" s="793"/>
      <c r="E677" s="723"/>
      <c r="F677" s="722" t="s">
        <v>3861</v>
      </c>
      <c r="G677" s="724" t="s">
        <v>1554</v>
      </c>
      <c r="H677" s="662" t="s">
        <v>4202</v>
      </c>
    </row>
    <row r="678">
      <c r="A678" s="689">
        <v>13.0</v>
      </c>
      <c r="B678" s="689" t="s">
        <v>2553</v>
      </c>
      <c r="C678" s="689">
        <v>1.0</v>
      </c>
      <c r="D678" s="794">
        <v>2.0</v>
      </c>
      <c r="E678" s="669">
        <v>1.0</v>
      </c>
      <c r="F678" s="689"/>
      <c r="G678" s="689" t="s">
        <v>1554</v>
      </c>
      <c r="H678" s="791">
        <v>45380.0</v>
      </c>
    </row>
    <row r="679">
      <c r="A679" s="689">
        <v>14.0</v>
      </c>
      <c r="B679" s="689" t="s">
        <v>1635</v>
      </c>
      <c r="C679" s="689">
        <v>1.0</v>
      </c>
      <c r="D679" s="678">
        <v>17.4</v>
      </c>
      <c r="E679" s="669">
        <v>1.0</v>
      </c>
      <c r="F679" s="689"/>
      <c r="G679" s="689" t="s">
        <v>1554</v>
      </c>
      <c r="H679" s="791">
        <v>45478.0</v>
      </c>
    </row>
    <row r="680">
      <c r="A680" s="722">
        <v>15.0</v>
      </c>
      <c r="B680" s="722" t="s">
        <v>1635</v>
      </c>
      <c r="C680" s="722"/>
      <c r="D680" s="673"/>
      <c r="E680" s="723"/>
      <c r="F680" s="723" t="s">
        <v>3862</v>
      </c>
      <c r="G680" s="662" t="s">
        <v>4203</v>
      </c>
      <c r="H680" s="724">
        <v>45573.0</v>
      </c>
    </row>
    <row r="681">
      <c r="A681" s="662">
        <v>16.0</v>
      </c>
      <c r="B681" s="662" t="s">
        <v>3144</v>
      </c>
      <c r="C681" s="662"/>
      <c r="D681" s="673"/>
      <c r="E681" s="665"/>
      <c r="F681" s="665" t="s">
        <v>4204</v>
      </c>
      <c r="G681" s="662" t="s">
        <v>4203</v>
      </c>
      <c r="H681" s="681">
        <v>45702.0</v>
      </c>
    </row>
    <row r="682">
      <c r="A682" s="655">
        <v>17.0</v>
      </c>
      <c r="B682" s="655"/>
      <c r="C682" s="655">
        <v>1.0</v>
      </c>
      <c r="D682" s="656">
        <v>20.0</v>
      </c>
      <c r="E682" s="657">
        <v>1.0</v>
      </c>
      <c r="F682" s="795" t="s">
        <v>4205</v>
      </c>
      <c r="G682" s="655" t="s">
        <v>1554</v>
      </c>
      <c r="H682" s="659">
        <v>45801.0</v>
      </c>
    </row>
    <row r="683">
      <c r="A683" s="655">
        <v>18.0</v>
      </c>
      <c r="B683" s="655" t="s">
        <v>4206</v>
      </c>
      <c r="C683" s="655">
        <v>1.0</v>
      </c>
      <c r="D683" s="656">
        <v>15.0</v>
      </c>
      <c r="E683" s="657">
        <v>1.0</v>
      </c>
      <c r="F683" s="657" t="s">
        <v>4207</v>
      </c>
      <c r="G683" s="655" t="s">
        <v>1554</v>
      </c>
      <c r="H683" s="659">
        <v>45840.0</v>
      </c>
    </row>
    <row r="684">
      <c r="A684" s="658">
        <v>19.0</v>
      </c>
      <c r="B684" s="658" t="s">
        <v>3250</v>
      </c>
      <c r="C684" s="658">
        <v>1.0</v>
      </c>
      <c r="D684" s="678">
        <v>6.0</v>
      </c>
      <c r="E684" s="676">
        <v>1.0</v>
      </c>
      <c r="F684" s="689"/>
      <c r="G684" s="658" t="s">
        <v>1554</v>
      </c>
      <c r="H684" s="679">
        <v>45846.0</v>
      </c>
    </row>
    <row r="685">
      <c r="A685" s="655">
        <v>20.0</v>
      </c>
      <c r="B685" s="655" t="s">
        <v>1445</v>
      </c>
      <c r="C685" s="655">
        <v>1.0</v>
      </c>
      <c r="D685" s="656">
        <v>5.0</v>
      </c>
      <c r="E685" s="657">
        <v>1.0</v>
      </c>
      <c r="F685" s="730"/>
      <c r="G685" s="655" t="s">
        <v>1554</v>
      </c>
      <c r="H685" s="659">
        <v>45950.0</v>
      </c>
    </row>
    <row r="686">
      <c r="A686" s="655">
        <v>21.0</v>
      </c>
      <c r="B686" s="658" t="s">
        <v>3250</v>
      </c>
      <c r="C686" s="655">
        <v>1.0</v>
      </c>
      <c r="D686" s="656">
        <v>5.2</v>
      </c>
      <c r="E686" s="657" t="s">
        <v>4156</v>
      </c>
      <c r="F686" s="730"/>
      <c r="G686" s="655" t="s">
        <v>1554</v>
      </c>
      <c r="H686" s="659">
        <v>46039.0</v>
      </c>
    </row>
    <row r="687">
      <c r="A687" s="655">
        <v>22.0</v>
      </c>
      <c r="B687" s="658" t="s">
        <v>1872</v>
      </c>
      <c r="C687" s="655">
        <v>1.0</v>
      </c>
      <c r="D687" s="656"/>
      <c r="E687" s="657">
        <v>1.0</v>
      </c>
      <c r="F687" s="655" t="s">
        <v>4208</v>
      </c>
      <c r="G687" s="655" t="s">
        <v>1554</v>
      </c>
      <c r="H687" s="659">
        <v>46065.0</v>
      </c>
    </row>
    <row r="688">
      <c r="A688" s="655">
        <v>23.0</v>
      </c>
      <c r="B688" s="658" t="s">
        <v>3320</v>
      </c>
      <c r="C688" s="655">
        <v>1.0</v>
      </c>
      <c r="D688" s="656"/>
      <c r="E688" s="657">
        <v>1.0</v>
      </c>
      <c r="F688" s="655" t="s">
        <v>4209</v>
      </c>
      <c r="G688" s="655" t="s">
        <v>1554</v>
      </c>
      <c r="H688" s="659">
        <v>46065.0</v>
      </c>
    </row>
    <row r="689">
      <c r="A689" s="655">
        <v>24.0</v>
      </c>
      <c r="B689" s="658" t="s">
        <v>1872</v>
      </c>
      <c r="C689" s="655">
        <v>1.0</v>
      </c>
      <c r="D689" s="656">
        <v>15.2</v>
      </c>
      <c r="E689" s="657">
        <v>1.0</v>
      </c>
      <c r="F689" s="655" t="s">
        <v>4210</v>
      </c>
      <c r="G689" s="655" t="s">
        <v>1554</v>
      </c>
      <c r="H689" s="659">
        <v>46120.0</v>
      </c>
    </row>
    <row r="690">
      <c r="A690" s="732" t="s">
        <v>1562</v>
      </c>
      <c r="B690" s="3"/>
      <c r="C690" s="689">
        <f>sum(C661:C686)</f>
        <v>19</v>
      </c>
      <c r="D690" s="721">
        <f>sum(D666:D686)</f>
        <v>301.2</v>
      </c>
      <c r="E690" s="669">
        <f>sum(E661:E686)</f>
        <v>13</v>
      </c>
      <c r="F690" s="689"/>
      <c r="G690" s="731"/>
      <c r="H690" s="731"/>
    </row>
    <row r="691">
      <c r="A691" s="712"/>
      <c r="B691" s="712"/>
      <c r="C691" s="712"/>
      <c r="D691" s="712"/>
      <c r="E691" s="712"/>
      <c r="F691" s="712"/>
      <c r="G691" s="712"/>
      <c r="H691" s="712"/>
    </row>
    <row r="692">
      <c r="A692" s="712"/>
      <c r="B692" s="712"/>
      <c r="C692" s="712"/>
      <c r="D692" s="712"/>
      <c r="E692" s="712"/>
      <c r="F692" s="712"/>
      <c r="G692" s="712"/>
      <c r="H692" s="712"/>
    </row>
    <row r="693">
      <c r="A693" s="712"/>
      <c r="B693" s="712"/>
      <c r="C693" s="712"/>
      <c r="D693" s="712"/>
      <c r="E693" s="712"/>
      <c r="F693" s="712"/>
      <c r="G693" s="712"/>
      <c r="H693" s="712"/>
    </row>
    <row r="694">
      <c r="A694" s="649" t="s">
        <v>4211</v>
      </c>
      <c r="B694" s="2"/>
      <c r="C694" s="2"/>
      <c r="D694" s="2"/>
      <c r="E694" s="2"/>
      <c r="F694" s="2"/>
      <c r="G694" s="2"/>
      <c r="H694" s="3"/>
    </row>
    <row r="695">
      <c r="A695" s="690" t="s">
        <v>1435</v>
      </c>
      <c r="B695" s="690" t="s">
        <v>1436</v>
      </c>
      <c r="C695" s="690" t="s">
        <v>1843</v>
      </c>
      <c r="D695" s="693" t="s">
        <v>1438</v>
      </c>
      <c r="E695" s="694" t="s">
        <v>1564</v>
      </c>
      <c r="F695" s="690" t="s">
        <v>1440</v>
      </c>
      <c r="G695" s="690" t="s">
        <v>1844</v>
      </c>
      <c r="H695" s="695" t="s">
        <v>1441</v>
      </c>
    </row>
    <row r="696">
      <c r="A696" s="658">
        <v>1.0</v>
      </c>
      <c r="B696" s="658" t="s">
        <v>1443</v>
      </c>
      <c r="C696" s="658">
        <v>1.0</v>
      </c>
      <c r="D696" s="678">
        <v>150.0</v>
      </c>
      <c r="E696" s="669"/>
      <c r="F696" s="689"/>
      <c r="G696" s="658" t="s">
        <v>1554</v>
      </c>
      <c r="H696" s="731"/>
    </row>
    <row r="697">
      <c r="A697" s="658">
        <v>2.0</v>
      </c>
      <c r="B697" s="658" t="s">
        <v>1444</v>
      </c>
      <c r="C697" s="658">
        <v>1.0</v>
      </c>
      <c r="D697" s="678">
        <v>3.2</v>
      </c>
      <c r="E697" s="669"/>
      <c r="F697" s="689"/>
      <c r="G697" s="658" t="s">
        <v>1554</v>
      </c>
      <c r="H697" s="731"/>
    </row>
    <row r="698">
      <c r="A698" s="658">
        <v>3.0</v>
      </c>
      <c r="B698" s="689" t="s">
        <v>3673</v>
      </c>
      <c r="C698" s="689">
        <v>1.0</v>
      </c>
      <c r="D698" s="721">
        <v>5.0</v>
      </c>
      <c r="E698" s="669">
        <v>1.0</v>
      </c>
      <c r="F698" s="689" t="s">
        <v>1518</v>
      </c>
      <c r="G698" s="658" t="s">
        <v>1554</v>
      </c>
      <c r="H698" s="731">
        <v>45141.0</v>
      </c>
    </row>
    <row r="699">
      <c r="A699" s="658">
        <v>4.0</v>
      </c>
      <c r="B699" s="658" t="s">
        <v>4212</v>
      </c>
      <c r="C699" s="658">
        <v>1.0</v>
      </c>
      <c r="D699" s="721"/>
      <c r="E699" s="669"/>
      <c r="F699" s="658" t="s">
        <v>4213</v>
      </c>
      <c r="G699" s="658" t="s">
        <v>2483</v>
      </c>
      <c r="H699" s="679">
        <v>45352.0</v>
      </c>
    </row>
    <row r="700">
      <c r="A700" s="658">
        <v>5.0</v>
      </c>
      <c r="B700" s="658" t="s">
        <v>4214</v>
      </c>
      <c r="C700" s="658">
        <v>1.0</v>
      </c>
      <c r="D700" s="678">
        <v>2.0</v>
      </c>
      <c r="E700" s="676">
        <v>1.0</v>
      </c>
      <c r="F700" s="658" t="s">
        <v>4215</v>
      </c>
      <c r="G700" s="658" t="s">
        <v>2483</v>
      </c>
      <c r="H700" s="679">
        <v>45352.0</v>
      </c>
    </row>
    <row r="701">
      <c r="A701" s="658">
        <v>6.0</v>
      </c>
      <c r="B701" s="655" t="s">
        <v>2366</v>
      </c>
      <c r="C701" s="658">
        <v>1.0</v>
      </c>
      <c r="D701" s="678">
        <v>2.0</v>
      </c>
      <c r="E701" s="676">
        <v>1.0</v>
      </c>
      <c r="F701" s="655" t="s">
        <v>4216</v>
      </c>
      <c r="G701" s="658" t="s">
        <v>2483</v>
      </c>
      <c r="H701" s="679">
        <v>45352.0</v>
      </c>
    </row>
    <row r="702">
      <c r="A702" s="658">
        <v>7.0</v>
      </c>
      <c r="B702" s="655" t="s">
        <v>2016</v>
      </c>
      <c r="C702" s="658">
        <v>1.0</v>
      </c>
      <c r="D702" s="678">
        <v>17.4</v>
      </c>
      <c r="E702" s="676">
        <v>1.0</v>
      </c>
      <c r="F702" s="655" t="s">
        <v>4217</v>
      </c>
      <c r="G702" s="658" t="s">
        <v>1554</v>
      </c>
      <c r="H702" s="696">
        <v>45735.0</v>
      </c>
    </row>
    <row r="703">
      <c r="A703" s="658">
        <v>8.0</v>
      </c>
      <c r="B703" s="655" t="s">
        <v>4218</v>
      </c>
      <c r="C703" s="658">
        <v>1.0</v>
      </c>
      <c r="D703" s="678">
        <v>17.8</v>
      </c>
      <c r="E703" s="676">
        <v>1.0</v>
      </c>
      <c r="F703" s="340" t="s">
        <v>4219</v>
      </c>
      <c r="G703" s="658" t="s">
        <v>1554</v>
      </c>
      <c r="H703" s="696">
        <v>45735.0</v>
      </c>
    </row>
    <row r="704">
      <c r="A704" s="658">
        <v>9.0</v>
      </c>
      <c r="B704" s="730"/>
      <c r="C704" s="689"/>
      <c r="D704" s="721"/>
      <c r="E704" s="669"/>
      <c r="F704" s="730"/>
      <c r="G704" s="689"/>
      <c r="H704" s="670"/>
    </row>
    <row r="705">
      <c r="A705" s="658">
        <v>10.0</v>
      </c>
      <c r="B705" s="730"/>
      <c r="C705" s="689"/>
      <c r="D705" s="721"/>
      <c r="E705" s="669"/>
      <c r="F705" s="730"/>
      <c r="G705" s="689"/>
      <c r="H705" s="670"/>
    </row>
    <row r="706">
      <c r="A706" s="682">
        <v>11.0</v>
      </c>
      <c r="B706" s="796"/>
      <c r="C706" s="797"/>
      <c r="D706" s="798"/>
      <c r="E706" s="799"/>
      <c r="F706" s="796"/>
      <c r="G706" s="797"/>
      <c r="H706" s="800"/>
    </row>
    <row r="707">
      <c r="A707" s="732" t="s">
        <v>1562</v>
      </c>
      <c r="B707" s="3"/>
      <c r="C707" s="689">
        <f>sum(C698:C706)</f>
        <v>6</v>
      </c>
      <c r="D707" s="721">
        <f>sum(D696:D706)</f>
        <v>197.4</v>
      </c>
      <c r="E707" s="669">
        <f>sum(E698:E706)</f>
        <v>5</v>
      </c>
      <c r="F707" s="689"/>
      <c r="G707" s="731"/>
      <c r="H707" s="731"/>
    </row>
    <row r="708">
      <c r="A708" s="801"/>
      <c r="B708" s="801"/>
      <c r="C708" s="801"/>
      <c r="D708" s="801"/>
      <c r="E708" s="801"/>
      <c r="F708" s="801"/>
      <c r="G708" s="801"/>
      <c r="H708" s="801"/>
    </row>
    <row r="709">
      <c r="A709" s="802"/>
      <c r="B709" s="802"/>
      <c r="C709" s="802"/>
      <c r="D709" s="802"/>
      <c r="E709" s="802"/>
      <c r="F709" s="802"/>
      <c r="G709" s="802"/>
      <c r="H709" s="802"/>
    </row>
    <row r="710">
      <c r="A710" s="649" t="s">
        <v>4220</v>
      </c>
      <c r="B710" s="2"/>
      <c r="C710" s="2"/>
      <c r="D710" s="2"/>
      <c r="E710" s="2"/>
      <c r="F710" s="2"/>
      <c r="G710" s="2"/>
      <c r="H710" s="3"/>
    </row>
    <row r="711">
      <c r="A711" s="690" t="s">
        <v>1435</v>
      </c>
      <c r="B711" s="690" t="s">
        <v>1436</v>
      </c>
      <c r="C711" s="690" t="s">
        <v>1843</v>
      </c>
      <c r="D711" s="693" t="s">
        <v>1438</v>
      </c>
      <c r="E711" s="694" t="s">
        <v>1564</v>
      </c>
      <c r="F711" s="690" t="s">
        <v>1440</v>
      </c>
      <c r="G711" s="690" t="s">
        <v>1844</v>
      </c>
      <c r="H711" s="695" t="s">
        <v>1441</v>
      </c>
    </row>
    <row r="712">
      <c r="A712" s="658">
        <v>1.0</v>
      </c>
      <c r="B712" s="658" t="s">
        <v>1443</v>
      </c>
      <c r="C712" s="658">
        <v>1.0</v>
      </c>
      <c r="D712" s="678">
        <v>150.0</v>
      </c>
      <c r="E712" s="730"/>
      <c r="F712" s="730"/>
      <c r="G712" s="658" t="s">
        <v>1554</v>
      </c>
      <c r="H712" s="730"/>
    </row>
    <row r="713">
      <c r="A713" s="658">
        <v>2.0</v>
      </c>
      <c r="B713" s="658" t="s">
        <v>3916</v>
      </c>
      <c r="C713" s="658">
        <v>2.0</v>
      </c>
      <c r="D713" s="678">
        <v>3.2</v>
      </c>
      <c r="E713" s="730"/>
      <c r="F713" s="730"/>
      <c r="G713" s="658" t="s">
        <v>1554</v>
      </c>
      <c r="H713" s="730"/>
    </row>
    <row r="714">
      <c r="A714" s="658">
        <v>3.0</v>
      </c>
      <c r="B714" s="689" t="s">
        <v>3673</v>
      </c>
      <c r="C714" s="689">
        <v>1.0</v>
      </c>
      <c r="D714" s="721">
        <v>5.0</v>
      </c>
      <c r="E714" s="669">
        <v>1.0</v>
      </c>
      <c r="F714" s="689" t="s">
        <v>1518</v>
      </c>
      <c r="G714" s="658" t="s">
        <v>1554</v>
      </c>
      <c r="H714" s="731">
        <v>45141.0</v>
      </c>
    </row>
    <row r="715">
      <c r="A715" s="689">
        <v>4.0</v>
      </c>
      <c r="B715" s="655" t="s">
        <v>4221</v>
      </c>
      <c r="C715" s="658">
        <v>1.0</v>
      </c>
      <c r="D715" s="678">
        <v>30.3</v>
      </c>
      <c r="E715" s="676"/>
      <c r="F715" s="655" t="s">
        <v>4222</v>
      </c>
      <c r="G715" s="658" t="s">
        <v>1554</v>
      </c>
      <c r="H715" s="696">
        <v>45370.0</v>
      </c>
    </row>
    <row r="716">
      <c r="A716" s="689">
        <v>5.0</v>
      </c>
      <c r="B716" s="655" t="s">
        <v>4223</v>
      </c>
      <c r="C716" s="658">
        <v>1.0</v>
      </c>
      <c r="D716" s="678">
        <v>12.7</v>
      </c>
      <c r="E716" s="676">
        <v>1.0</v>
      </c>
      <c r="F716" s="655" t="s">
        <v>4224</v>
      </c>
      <c r="G716" s="658" t="s">
        <v>1554</v>
      </c>
      <c r="H716" s="696">
        <v>45370.0</v>
      </c>
    </row>
    <row r="717">
      <c r="A717" s="689">
        <v>6.0</v>
      </c>
      <c r="B717" s="655" t="s">
        <v>2274</v>
      </c>
      <c r="C717" s="658">
        <v>1.0</v>
      </c>
      <c r="D717" s="678">
        <v>15.0</v>
      </c>
      <c r="E717" s="676">
        <v>1.0</v>
      </c>
      <c r="F717" s="655" t="s">
        <v>4225</v>
      </c>
      <c r="G717" s="658" t="s">
        <v>1554</v>
      </c>
      <c r="H717" s="696">
        <v>45370.0</v>
      </c>
    </row>
    <row r="718">
      <c r="A718" s="722">
        <v>7.0</v>
      </c>
      <c r="B718" s="662" t="s">
        <v>4226</v>
      </c>
      <c r="C718" s="662"/>
      <c r="D718" s="673"/>
      <c r="E718" s="665"/>
      <c r="F718" s="662" t="s">
        <v>4227</v>
      </c>
      <c r="G718" s="662" t="s">
        <v>4228</v>
      </c>
      <c r="H718" s="698">
        <v>45370.0</v>
      </c>
    </row>
    <row r="719">
      <c r="A719" s="689">
        <v>8.0</v>
      </c>
      <c r="B719" s="655" t="s">
        <v>2274</v>
      </c>
      <c r="C719" s="658">
        <v>1.0</v>
      </c>
      <c r="D719" s="678">
        <v>15.0</v>
      </c>
      <c r="E719" s="676">
        <v>1.0</v>
      </c>
      <c r="F719" s="655" t="s">
        <v>4229</v>
      </c>
      <c r="G719" s="658" t="s">
        <v>1554</v>
      </c>
      <c r="H719" s="696">
        <v>45370.0</v>
      </c>
    </row>
    <row r="720">
      <c r="A720" s="797">
        <v>9.0</v>
      </c>
      <c r="B720" s="803" t="s">
        <v>4226</v>
      </c>
      <c r="C720" s="682">
        <v>1.0</v>
      </c>
      <c r="D720" s="684">
        <v>15.0</v>
      </c>
      <c r="E720" s="685">
        <v>1.0</v>
      </c>
      <c r="F720" s="803" t="s">
        <v>4230</v>
      </c>
      <c r="G720" s="682" t="s">
        <v>1554</v>
      </c>
      <c r="H720" s="686">
        <v>45370.0</v>
      </c>
    </row>
    <row r="721">
      <c r="A721" s="682">
        <v>10.0</v>
      </c>
      <c r="B721" s="803" t="s">
        <v>4231</v>
      </c>
      <c r="C721" s="682">
        <v>1.0</v>
      </c>
      <c r="D721" s="684"/>
      <c r="E721" s="685"/>
      <c r="F721" s="803" t="s">
        <v>4232</v>
      </c>
      <c r="G721" s="682" t="s">
        <v>1554</v>
      </c>
      <c r="H721" s="686">
        <v>45868.0</v>
      </c>
    </row>
    <row r="722">
      <c r="A722" s="732" t="s">
        <v>1562</v>
      </c>
      <c r="B722" s="3"/>
      <c r="C722" s="689">
        <f>sum(C712:C721)</f>
        <v>10</v>
      </c>
      <c r="D722" s="721">
        <f t="shared" ref="D722:E722" si="27">sum(D712:D720)</f>
        <v>246.2</v>
      </c>
      <c r="E722" s="669">
        <f t="shared" si="27"/>
        <v>5</v>
      </c>
      <c r="F722" s="689"/>
      <c r="G722" s="731"/>
      <c r="H722" s="731"/>
    </row>
    <row r="723">
      <c r="A723" s="801"/>
      <c r="B723" s="801"/>
      <c r="C723" s="801"/>
      <c r="D723" s="801"/>
      <c r="E723" s="801"/>
      <c r="F723" s="801"/>
      <c r="G723" s="801"/>
      <c r="H723" s="801"/>
    </row>
    <row r="724">
      <c r="A724" s="802"/>
      <c r="B724" s="802"/>
      <c r="C724" s="802"/>
      <c r="D724" s="802"/>
      <c r="E724" s="802"/>
      <c r="F724" s="802"/>
      <c r="G724" s="802"/>
      <c r="H724" s="802"/>
    </row>
    <row r="725">
      <c r="A725" s="649" t="s">
        <v>4233</v>
      </c>
      <c r="B725" s="2"/>
      <c r="C725" s="2"/>
      <c r="D725" s="2"/>
      <c r="E725" s="2"/>
      <c r="F725" s="2"/>
      <c r="G725" s="2"/>
      <c r="H725" s="3"/>
    </row>
    <row r="726">
      <c r="A726" s="690" t="s">
        <v>1435</v>
      </c>
      <c r="B726" s="690" t="s">
        <v>1436</v>
      </c>
      <c r="C726" s="690" t="s">
        <v>1843</v>
      </c>
      <c r="D726" s="693" t="s">
        <v>1438</v>
      </c>
      <c r="E726" s="694" t="s">
        <v>1564</v>
      </c>
      <c r="F726" s="690" t="s">
        <v>1440</v>
      </c>
      <c r="G726" s="690" t="s">
        <v>1844</v>
      </c>
      <c r="H726" s="695" t="s">
        <v>1441</v>
      </c>
    </row>
    <row r="727">
      <c r="A727" s="658">
        <v>1.0</v>
      </c>
      <c r="B727" s="658" t="s">
        <v>1443</v>
      </c>
      <c r="C727" s="658">
        <v>1.0</v>
      </c>
      <c r="D727" s="678">
        <v>150.0</v>
      </c>
      <c r="E727" s="730"/>
      <c r="F727" s="730"/>
      <c r="G727" s="658" t="s">
        <v>1554</v>
      </c>
      <c r="H727" s="730"/>
    </row>
    <row r="728">
      <c r="A728" s="658">
        <v>2.0</v>
      </c>
      <c r="B728" s="658" t="s">
        <v>3916</v>
      </c>
      <c r="C728" s="658">
        <v>2.0</v>
      </c>
      <c r="D728" s="678">
        <v>3.2</v>
      </c>
      <c r="E728" s="730"/>
      <c r="F728" s="730"/>
      <c r="G728" s="658" t="s">
        <v>1554</v>
      </c>
      <c r="H728" s="730"/>
    </row>
    <row r="729">
      <c r="A729" s="658">
        <v>3.0</v>
      </c>
      <c r="B729" s="689" t="s">
        <v>3673</v>
      </c>
      <c r="C729" s="689">
        <v>1.0</v>
      </c>
      <c r="D729" s="721">
        <v>5.0</v>
      </c>
      <c r="E729" s="669">
        <v>1.0</v>
      </c>
      <c r="F729" s="689" t="s">
        <v>1518</v>
      </c>
      <c r="G729" s="658" t="s">
        <v>1554</v>
      </c>
      <c r="H729" s="731">
        <v>45141.0</v>
      </c>
    </row>
    <row r="730">
      <c r="A730" s="689">
        <v>2.0</v>
      </c>
      <c r="B730" s="658" t="s">
        <v>4234</v>
      </c>
      <c r="C730" s="658">
        <v>1.0</v>
      </c>
      <c r="D730" s="678">
        <v>4.8</v>
      </c>
      <c r="E730" s="676">
        <v>1.0</v>
      </c>
      <c r="F730" s="658" t="s">
        <v>4235</v>
      </c>
      <c r="G730" s="658" t="s">
        <v>1554</v>
      </c>
      <c r="H730" s="696">
        <v>45356.0</v>
      </c>
    </row>
    <row r="731">
      <c r="A731" s="689">
        <v>7.0</v>
      </c>
      <c r="B731" s="655" t="s">
        <v>1635</v>
      </c>
      <c r="C731" s="658">
        <v>1.0</v>
      </c>
      <c r="D731" s="678">
        <v>15.4</v>
      </c>
      <c r="E731" s="676">
        <v>1.0</v>
      </c>
      <c r="F731" s="655" t="s">
        <v>4236</v>
      </c>
      <c r="G731" s="658" t="s">
        <v>1554</v>
      </c>
      <c r="H731" s="696">
        <v>45485.0</v>
      </c>
    </row>
    <row r="732">
      <c r="A732" s="689">
        <v>8.0</v>
      </c>
      <c r="B732" s="655" t="s">
        <v>3347</v>
      </c>
      <c r="C732" s="658">
        <v>1.0</v>
      </c>
      <c r="D732" s="678">
        <v>2.0</v>
      </c>
      <c r="E732" s="676">
        <v>1.0</v>
      </c>
      <c r="F732" s="655" t="s">
        <v>4237</v>
      </c>
      <c r="G732" s="658" t="s">
        <v>1554</v>
      </c>
      <c r="H732" s="696">
        <v>45582.0</v>
      </c>
    </row>
    <row r="733">
      <c r="A733" s="662">
        <v>10.0</v>
      </c>
      <c r="B733" s="662" t="s">
        <v>1696</v>
      </c>
      <c r="C733" s="662">
        <v>1.0</v>
      </c>
      <c r="D733" s="673">
        <v>10.5</v>
      </c>
      <c r="E733" s="665">
        <v>1.0</v>
      </c>
      <c r="F733" s="662" t="s">
        <v>4238</v>
      </c>
      <c r="G733" s="662" t="s">
        <v>4239</v>
      </c>
      <c r="H733" s="698">
        <v>45716.0</v>
      </c>
    </row>
    <row r="734">
      <c r="A734" s="732" t="s">
        <v>1562</v>
      </c>
      <c r="B734" s="3"/>
      <c r="C734" s="689">
        <f t="shared" ref="C734:E734" si="28">sum(C727:C733)</f>
        <v>8</v>
      </c>
      <c r="D734" s="721">
        <f t="shared" si="28"/>
        <v>190.9</v>
      </c>
      <c r="E734" s="669">
        <f t="shared" si="28"/>
        <v>5</v>
      </c>
      <c r="F734" s="689"/>
      <c r="G734" s="731"/>
      <c r="H734" s="731"/>
    </row>
    <row r="735">
      <c r="A735" s="689"/>
      <c r="B735" s="689"/>
      <c r="C735" s="689"/>
      <c r="D735" s="689"/>
      <c r="E735" s="689"/>
      <c r="F735" s="689"/>
      <c r="G735" s="689"/>
      <c r="H735" s="689"/>
    </row>
    <row r="736">
      <c r="A736" s="689"/>
      <c r="B736" s="689"/>
      <c r="C736" s="689"/>
      <c r="D736" s="689"/>
      <c r="E736" s="689"/>
      <c r="F736" s="689"/>
      <c r="G736" s="689"/>
      <c r="H736" s="689"/>
    </row>
    <row r="737">
      <c r="A737" s="649" t="s">
        <v>4240</v>
      </c>
      <c r="B737" s="2"/>
      <c r="C737" s="2"/>
      <c r="D737" s="2"/>
      <c r="E737" s="2"/>
      <c r="F737" s="2"/>
      <c r="G737" s="2"/>
      <c r="H737" s="3"/>
    </row>
    <row r="738">
      <c r="A738" s="690" t="s">
        <v>1435</v>
      </c>
      <c r="B738" s="690" t="s">
        <v>1436</v>
      </c>
      <c r="C738" s="690" t="s">
        <v>1843</v>
      </c>
      <c r="D738" s="693" t="s">
        <v>1438</v>
      </c>
      <c r="E738" s="694" t="s">
        <v>1564</v>
      </c>
      <c r="F738" s="690" t="s">
        <v>1440</v>
      </c>
      <c r="G738" s="690" t="s">
        <v>1844</v>
      </c>
      <c r="H738" s="695" t="s">
        <v>1441</v>
      </c>
    </row>
    <row r="739">
      <c r="A739" s="689">
        <v>1.0</v>
      </c>
      <c r="B739" s="689" t="s">
        <v>3673</v>
      </c>
      <c r="C739" s="658">
        <v>1.0</v>
      </c>
      <c r="D739" s="678">
        <v>5.0</v>
      </c>
      <c r="E739" s="669">
        <v>1.0</v>
      </c>
      <c r="F739" s="689" t="s">
        <v>1518</v>
      </c>
      <c r="G739" s="658" t="s">
        <v>1554</v>
      </c>
      <c r="H739" s="731">
        <v>45141.0</v>
      </c>
    </row>
    <row r="740">
      <c r="A740" s="658">
        <v>2.0</v>
      </c>
      <c r="B740" s="689" t="s">
        <v>1443</v>
      </c>
      <c r="C740" s="689">
        <v>1.0</v>
      </c>
      <c r="D740" s="678">
        <v>150.0</v>
      </c>
      <c r="E740" s="669"/>
      <c r="F740" s="689"/>
      <c r="G740" s="658" t="s">
        <v>1554</v>
      </c>
      <c r="H740" s="731"/>
    </row>
    <row r="741">
      <c r="A741" s="658">
        <v>3.0</v>
      </c>
      <c r="B741" s="689" t="s">
        <v>1444</v>
      </c>
      <c r="C741" s="689">
        <v>2.0</v>
      </c>
      <c r="D741" s="678">
        <f>C741*3.2</f>
        <v>6.4</v>
      </c>
      <c r="E741" s="669"/>
      <c r="F741" s="689"/>
      <c r="G741" s="658" t="s">
        <v>1554</v>
      </c>
      <c r="H741" s="731"/>
    </row>
    <row r="742">
      <c r="A742" s="689">
        <v>4.0</v>
      </c>
      <c r="B742" s="658" t="s">
        <v>4241</v>
      </c>
      <c r="C742" s="658">
        <v>1.0</v>
      </c>
      <c r="D742" s="678">
        <v>2.0</v>
      </c>
      <c r="E742" s="669">
        <v>1.0</v>
      </c>
      <c r="F742" s="658" t="s">
        <v>4242</v>
      </c>
      <c r="G742" s="658" t="s">
        <v>1554</v>
      </c>
      <c r="H742" s="679">
        <v>45368.0</v>
      </c>
    </row>
    <row r="743">
      <c r="A743" s="658">
        <v>5.0</v>
      </c>
      <c r="B743" s="655" t="s">
        <v>3562</v>
      </c>
      <c r="C743" s="658">
        <v>1.0</v>
      </c>
      <c r="D743" s="678">
        <v>8.5</v>
      </c>
      <c r="E743" s="669">
        <v>1.0</v>
      </c>
      <c r="F743" s="655" t="s">
        <v>4243</v>
      </c>
      <c r="G743" s="658" t="s">
        <v>1554</v>
      </c>
      <c r="H743" s="679">
        <v>45368.0</v>
      </c>
    </row>
    <row r="744">
      <c r="A744" s="662">
        <v>6.0</v>
      </c>
      <c r="B744" s="662" t="s">
        <v>4244</v>
      </c>
      <c r="C744" s="662"/>
      <c r="D744" s="673"/>
      <c r="E744" s="723"/>
      <c r="F744" s="662" t="s">
        <v>4245</v>
      </c>
      <c r="G744" s="662" t="s">
        <v>1554</v>
      </c>
      <c r="H744" s="662" t="s">
        <v>4246</v>
      </c>
    </row>
    <row r="745">
      <c r="A745" s="689">
        <v>7.0</v>
      </c>
      <c r="B745" s="655" t="s">
        <v>4247</v>
      </c>
      <c r="C745" s="658">
        <v>1.0</v>
      </c>
      <c r="D745" s="678">
        <v>18.5</v>
      </c>
      <c r="E745" s="676" t="s">
        <v>2077</v>
      </c>
      <c r="F745" s="655" t="s">
        <v>4248</v>
      </c>
      <c r="G745" s="658" t="s">
        <v>1554</v>
      </c>
      <c r="H745" s="696">
        <v>45369.0</v>
      </c>
    </row>
    <row r="746">
      <c r="A746" s="662">
        <v>8.0</v>
      </c>
      <c r="B746" s="662" t="s">
        <v>1633</v>
      </c>
      <c r="C746" s="662"/>
      <c r="D746" s="673"/>
      <c r="E746" s="665"/>
      <c r="F746" s="662" t="s">
        <v>4249</v>
      </c>
      <c r="G746" s="662" t="s">
        <v>1554</v>
      </c>
      <c r="H746" s="662" t="s">
        <v>4250</v>
      </c>
    </row>
    <row r="747">
      <c r="A747" s="662">
        <v>9.0</v>
      </c>
      <c r="B747" s="662" t="s">
        <v>2358</v>
      </c>
      <c r="C747" s="662"/>
      <c r="D747" s="673"/>
      <c r="E747" s="665"/>
      <c r="F747" s="662" t="s">
        <v>4251</v>
      </c>
      <c r="G747" s="662" t="s">
        <v>1554</v>
      </c>
      <c r="H747" s="662" t="s">
        <v>4252</v>
      </c>
    </row>
    <row r="748">
      <c r="A748" s="689">
        <v>10.0</v>
      </c>
      <c r="B748" s="655" t="s">
        <v>4253</v>
      </c>
      <c r="C748" s="658">
        <v>1.0</v>
      </c>
      <c r="D748" s="678">
        <v>3.8</v>
      </c>
      <c r="E748" s="676" t="s">
        <v>2077</v>
      </c>
      <c r="F748" s="655" t="s">
        <v>4254</v>
      </c>
      <c r="G748" s="658" t="s">
        <v>1554</v>
      </c>
      <c r="H748" s="696">
        <v>45369.0</v>
      </c>
    </row>
    <row r="749">
      <c r="A749" s="658">
        <v>11.0</v>
      </c>
      <c r="B749" s="658" t="s">
        <v>2016</v>
      </c>
      <c r="C749" s="658">
        <v>1.0</v>
      </c>
      <c r="D749" s="678">
        <v>17.5</v>
      </c>
      <c r="E749" s="676">
        <v>1.0</v>
      </c>
      <c r="F749" s="658" t="s">
        <v>4255</v>
      </c>
      <c r="G749" s="658" t="s">
        <v>3541</v>
      </c>
      <c r="H749" s="804">
        <v>44860.0</v>
      </c>
    </row>
    <row r="750">
      <c r="A750" s="689"/>
      <c r="B750" s="689"/>
      <c r="C750" s="689"/>
      <c r="D750" s="721"/>
      <c r="E750" s="669"/>
      <c r="F750" s="689"/>
      <c r="G750" s="731"/>
      <c r="H750" s="731"/>
    </row>
    <row r="751">
      <c r="A751" s="699" t="s">
        <v>4256</v>
      </c>
      <c r="B751" s="2"/>
      <c r="C751" s="2"/>
      <c r="D751" s="2"/>
      <c r="E751" s="2"/>
      <c r="F751" s="2"/>
      <c r="G751" s="2"/>
      <c r="H751" s="3"/>
    </row>
    <row r="752">
      <c r="A752" s="738" t="s">
        <v>1435</v>
      </c>
      <c r="B752" s="738" t="s">
        <v>1436</v>
      </c>
      <c r="C752" s="738" t="s">
        <v>1843</v>
      </c>
      <c r="D752" s="702" t="s">
        <v>1438</v>
      </c>
      <c r="E752" s="703" t="s">
        <v>1564</v>
      </c>
      <c r="F752" s="738" t="s">
        <v>1440</v>
      </c>
      <c r="G752" s="738" t="s">
        <v>1844</v>
      </c>
      <c r="H752" s="704" t="s">
        <v>1441</v>
      </c>
    </row>
    <row r="753">
      <c r="A753" s="739">
        <v>1.0</v>
      </c>
      <c r="B753" s="87" t="s">
        <v>2756</v>
      </c>
      <c r="C753" s="87">
        <v>1.0</v>
      </c>
      <c r="D753" s="705">
        <v>10.5</v>
      </c>
      <c r="E753" s="706">
        <v>1.0</v>
      </c>
      <c r="F753" s="87" t="s">
        <v>4257</v>
      </c>
      <c r="G753" s="87" t="s">
        <v>1446</v>
      </c>
      <c r="H753" s="707">
        <v>45703.0</v>
      </c>
    </row>
    <row r="754">
      <c r="A754" s="86">
        <v>2.0</v>
      </c>
      <c r="B754" s="86" t="s">
        <v>4258</v>
      </c>
      <c r="C754" s="86"/>
      <c r="D754" s="438"/>
      <c r="E754" s="83"/>
      <c r="F754" s="86" t="s">
        <v>4259</v>
      </c>
      <c r="G754" s="86" t="s">
        <v>4260</v>
      </c>
      <c r="H754" s="805">
        <v>45703.0</v>
      </c>
    </row>
    <row r="755">
      <c r="A755" s="87">
        <v>3.0</v>
      </c>
      <c r="B755" s="87" t="s">
        <v>2113</v>
      </c>
      <c r="C755" s="87">
        <v>1.0</v>
      </c>
      <c r="D755" s="705">
        <v>17.4</v>
      </c>
      <c r="E755" s="706">
        <v>1.0</v>
      </c>
      <c r="F755" s="87" t="s">
        <v>4261</v>
      </c>
      <c r="G755" s="87" t="s">
        <v>1446</v>
      </c>
      <c r="H755" s="707">
        <v>45703.0</v>
      </c>
    </row>
    <row r="756">
      <c r="A756" s="87">
        <v>4.0</v>
      </c>
      <c r="B756" s="97" t="s">
        <v>4262</v>
      </c>
      <c r="C756" s="87">
        <v>1.0</v>
      </c>
      <c r="D756" s="705">
        <v>17.4</v>
      </c>
      <c r="E756" s="706">
        <v>1.0</v>
      </c>
      <c r="F756" s="87" t="s">
        <v>4263</v>
      </c>
      <c r="G756" s="87" t="s">
        <v>4264</v>
      </c>
      <c r="H756" s="707">
        <v>45833.0</v>
      </c>
    </row>
    <row r="757">
      <c r="A757" s="87">
        <v>5.0</v>
      </c>
      <c r="B757" s="87" t="s">
        <v>4265</v>
      </c>
      <c r="C757" s="87">
        <v>1.0</v>
      </c>
      <c r="D757" s="705">
        <v>1.2</v>
      </c>
      <c r="E757" s="706">
        <v>1.0</v>
      </c>
      <c r="F757" s="87"/>
      <c r="G757" s="87" t="s">
        <v>4264</v>
      </c>
      <c r="H757" s="707">
        <v>45833.0</v>
      </c>
    </row>
    <row r="758">
      <c r="A758" s="87">
        <v>6.0</v>
      </c>
      <c r="B758" s="806" t="s">
        <v>4266</v>
      </c>
      <c r="C758" s="87">
        <v>1.0</v>
      </c>
      <c r="D758" s="705">
        <v>10.0</v>
      </c>
      <c r="E758" s="706">
        <v>1.0</v>
      </c>
      <c r="F758" s="806" t="s">
        <v>4267</v>
      </c>
      <c r="G758" s="87" t="s">
        <v>1554</v>
      </c>
      <c r="H758" s="707">
        <v>45952.0</v>
      </c>
    </row>
    <row r="759">
      <c r="A759" s="87">
        <v>7.0</v>
      </c>
      <c r="B759" s="806" t="s">
        <v>4192</v>
      </c>
      <c r="C759" s="87">
        <v>1.0</v>
      </c>
      <c r="D759" s="705">
        <v>2.0</v>
      </c>
      <c r="E759" s="706">
        <v>1.0</v>
      </c>
      <c r="F759" s="806" t="s">
        <v>4268</v>
      </c>
      <c r="G759" s="87" t="s">
        <v>1554</v>
      </c>
      <c r="H759" s="707">
        <v>45952.0</v>
      </c>
    </row>
    <row r="760">
      <c r="A760" s="87">
        <v>8.0</v>
      </c>
      <c r="B760" s="807" t="s">
        <v>3214</v>
      </c>
      <c r="C760" s="87">
        <v>1.0</v>
      </c>
      <c r="D760" s="705">
        <v>10.0</v>
      </c>
      <c r="E760" s="706">
        <v>1.0</v>
      </c>
      <c r="F760" s="806" t="s">
        <v>4269</v>
      </c>
      <c r="G760" s="87" t="s">
        <v>158</v>
      </c>
      <c r="H760" s="707">
        <v>46081.0</v>
      </c>
    </row>
    <row r="761">
      <c r="A761" s="87"/>
      <c r="B761" s="807" t="s">
        <v>3214</v>
      </c>
      <c r="C761" s="87">
        <v>1.0</v>
      </c>
      <c r="D761" s="705">
        <v>10.0</v>
      </c>
      <c r="E761" s="706">
        <v>1.0</v>
      </c>
      <c r="F761" s="806"/>
      <c r="G761" s="87" t="s">
        <v>158</v>
      </c>
      <c r="H761" s="707">
        <v>46081.0</v>
      </c>
    </row>
    <row r="762">
      <c r="A762" s="750" t="s">
        <v>1562</v>
      </c>
      <c r="B762" s="3"/>
      <c r="C762" s="739">
        <f t="shared" ref="C762:E762" si="29">sum(C739:C757)</f>
        <v>13</v>
      </c>
      <c r="D762" s="740">
        <f t="shared" si="29"/>
        <v>258.2</v>
      </c>
      <c r="E762" s="709">
        <f t="shared" si="29"/>
        <v>8</v>
      </c>
      <c r="F762" s="87"/>
      <c r="G762" s="741"/>
      <c r="H762" s="741"/>
    </row>
    <row r="763">
      <c r="A763" s="712"/>
      <c r="B763" s="712"/>
      <c r="C763" s="712"/>
      <c r="D763" s="808"/>
      <c r="E763" s="809"/>
      <c r="F763" s="712"/>
      <c r="G763" s="810"/>
      <c r="H763" s="810"/>
    </row>
    <row r="764">
      <c r="A764" s="712"/>
      <c r="B764" s="712"/>
      <c r="C764" s="712"/>
      <c r="D764" s="808"/>
      <c r="E764" s="809"/>
      <c r="F764" s="712"/>
      <c r="G764" s="810"/>
      <c r="H764" s="810"/>
    </row>
    <row r="765">
      <c r="A765" s="811" t="s">
        <v>4270</v>
      </c>
      <c r="B765" s="293"/>
      <c r="C765" s="293"/>
      <c r="D765" s="293"/>
      <c r="E765" s="293"/>
      <c r="F765" s="293"/>
      <c r="G765" s="293"/>
      <c r="H765" s="294"/>
    </row>
    <row r="766">
      <c r="A766" s="722" t="s">
        <v>1435</v>
      </c>
      <c r="B766" s="722" t="s">
        <v>1436</v>
      </c>
      <c r="C766" s="722" t="s">
        <v>1843</v>
      </c>
      <c r="D766" s="664" t="s">
        <v>1438</v>
      </c>
      <c r="E766" s="723" t="s">
        <v>1564</v>
      </c>
      <c r="F766" s="722" t="s">
        <v>1440</v>
      </c>
      <c r="G766" s="722" t="s">
        <v>1844</v>
      </c>
      <c r="H766" s="724" t="s">
        <v>1441</v>
      </c>
    </row>
    <row r="767">
      <c r="A767" s="722">
        <v>1.0</v>
      </c>
      <c r="B767" s="722" t="s">
        <v>3673</v>
      </c>
      <c r="C767" s="662">
        <v>1.0</v>
      </c>
      <c r="D767" s="673">
        <v>5.0</v>
      </c>
      <c r="E767" s="723">
        <v>1.0</v>
      </c>
      <c r="F767" s="722" t="s">
        <v>1518</v>
      </c>
      <c r="G767" s="662" t="s">
        <v>1554</v>
      </c>
      <c r="H767" s="724">
        <v>45141.0</v>
      </c>
    </row>
    <row r="768">
      <c r="A768" s="662">
        <v>2.0</v>
      </c>
      <c r="B768" s="722" t="s">
        <v>1443</v>
      </c>
      <c r="C768" s="722">
        <v>1.0</v>
      </c>
      <c r="D768" s="673">
        <v>150.0</v>
      </c>
      <c r="E768" s="723"/>
      <c r="F768" s="722"/>
      <c r="G768" s="722"/>
      <c r="H768" s="724"/>
    </row>
    <row r="769">
      <c r="A769" s="662">
        <v>3.0</v>
      </c>
      <c r="B769" s="722" t="s">
        <v>1444</v>
      </c>
      <c r="C769" s="722">
        <v>2.0</v>
      </c>
      <c r="D769" s="673">
        <v>3.2</v>
      </c>
      <c r="E769" s="723"/>
      <c r="F769" s="722"/>
      <c r="G769" s="722"/>
      <c r="H769" s="724"/>
    </row>
    <row r="770">
      <c r="A770" s="722">
        <v>4.0</v>
      </c>
      <c r="B770" s="662" t="s">
        <v>4271</v>
      </c>
      <c r="C770" s="662">
        <v>1.0</v>
      </c>
      <c r="D770" s="673">
        <v>18.5</v>
      </c>
      <c r="E770" s="665">
        <v>2.0</v>
      </c>
      <c r="F770" s="662" t="s">
        <v>4272</v>
      </c>
      <c r="G770" s="662" t="s">
        <v>4273</v>
      </c>
      <c r="H770" s="681">
        <v>45347.0</v>
      </c>
    </row>
    <row r="771">
      <c r="A771" s="662">
        <v>5.0</v>
      </c>
      <c r="B771" s="662" t="s">
        <v>4271</v>
      </c>
      <c r="C771" s="662">
        <v>1.0</v>
      </c>
      <c r="D771" s="673">
        <v>18.5</v>
      </c>
      <c r="E771" s="665">
        <v>2.0</v>
      </c>
      <c r="F771" s="662" t="s">
        <v>4274</v>
      </c>
      <c r="G771" s="662" t="s">
        <v>4273</v>
      </c>
      <c r="H771" s="681">
        <v>45347.0</v>
      </c>
    </row>
    <row r="772">
      <c r="A772" s="662">
        <v>6.0</v>
      </c>
      <c r="B772" s="722"/>
      <c r="C772" s="722"/>
      <c r="D772" s="722"/>
      <c r="E772" s="722"/>
      <c r="F772" s="722"/>
      <c r="G772" s="722"/>
      <c r="H772" s="722"/>
    </row>
    <row r="773">
      <c r="A773" s="722"/>
      <c r="B773" s="662"/>
      <c r="C773" s="662"/>
      <c r="D773" s="673"/>
      <c r="E773" s="665"/>
      <c r="F773" s="662"/>
      <c r="G773" s="662"/>
      <c r="H773" s="698"/>
    </row>
    <row r="774">
      <c r="A774" s="722"/>
      <c r="B774" s="662"/>
      <c r="C774" s="662"/>
      <c r="D774" s="673"/>
      <c r="E774" s="665"/>
      <c r="F774" s="662"/>
      <c r="G774" s="662"/>
      <c r="H774" s="698"/>
    </row>
    <row r="775">
      <c r="A775" s="722"/>
      <c r="B775" s="662"/>
      <c r="C775" s="662"/>
      <c r="D775" s="673"/>
      <c r="E775" s="665"/>
      <c r="F775" s="662"/>
      <c r="G775" s="662"/>
      <c r="H775" s="698"/>
    </row>
    <row r="776">
      <c r="A776" s="722"/>
      <c r="B776" s="662"/>
      <c r="C776" s="662"/>
      <c r="D776" s="673"/>
      <c r="E776" s="665"/>
      <c r="F776" s="662"/>
      <c r="G776" s="662"/>
      <c r="H776" s="698"/>
    </row>
    <row r="777">
      <c r="A777" s="737" t="s">
        <v>1562</v>
      </c>
      <c r="B777" s="3"/>
      <c r="C777" s="722">
        <f t="shared" ref="C777:E777" si="30">sum(C767:C776)</f>
        <v>6</v>
      </c>
      <c r="D777" s="664">
        <f t="shared" si="30"/>
        <v>195.2</v>
      </c>
      <c r="E777" s="723">
        <f t="shared" si="30"/>
        <v>5</v>
      </c>
      <c r="F777" s="722"/>
      <c r="G777" s="724"/>
      <c r="H777" s="724"/>
    </row>
    <row r="778">
      <c r="A778" s="722"/>
      <c r="B778" s="722"/>
      <c r="C778" s="722"/>
      <c r="D778" s="722"/>
      <c r="E778" s="722"/>
      <c r="F778" s="722"/>
      <c r="G778" s="722"/>
      <c r="H778" s="722"/>
    </row>
    <row r="779">
      <c r="A779" s="655"/>
      <c r="B779" s="655"/>
      <c r="C779" s="655"/>
      <c r="D779" s="655"/>
      <c r="E779" s="655"/>
      <c r="F779" s="655"/>
      <c r="G779" s="655"/>
      <c r="H779" s="655"/>
    </row>
    <row r="780">
      <c r="A780" s="649" t="s">
        <v>4275</v>
      </c>
      <c r="B780" s="2"/>
      <c r="C780" s="2"/>
      <c r="D780" s="2"/>
      <c r="E780" s="2"/>
      <c r="F780" s="2"/>
      <c r="G780" s="2"/>
      <c r="H780" s="3"/>
    </row>
    <row r="781">
      <c r="A781" s="690" t="s">
        <v>1435</v>
      </c>
      <c r="B781" s="690" t="s">
        <v>1436</v>
      </c>
      <c r="C781" s="690" t="s">
        <v>1843</v>
      </c>
      <c r="D781" s="693" t="s">
        <v>1438</v>
      </c>
      <c r="E781" s="694" t="s">
        <v>1564</v>
      </c>
      <c r="F781" s="690" t="s">
        <v>1440</v>
      </c>
      <c r="G781" s="690" t="s">
        <v>1844</v>
      </c>
      <c r="H781" s="695" t="s">
        <v>1441</v>
      </c>
    </row>
    <row r="782">
      <c r="A782" s="658">
        <v>1.0</v>
      </c>
      <c r="B782" s="658" t="s">
        <v>1443</v>
      </c>
      <c r="C782" s="658">
        <v>1.0</v>
      </c>
      <c r="D782" s="678">
        <v>150.0</v>
      </c>
      <c r="E782" s="669"/>
      <c r="F782" s="689"/>
      <c r="G782" s="658" t="s">
        <v>1446</v>
      </c>
      <c r="H782" s="731"/>
    </row>
    <row r="783">
      <c r="A783" s="658">
        <v>2.0</v>
      </c>
      <c r="B783" s="658" t="s">
        <v>1444</v>
      </c>
      <c r="C783" s="658">
        <v>1.0</v>
      </c>
      <c r="D783" s="678">
        <v>3.2</v>
      </c>
      <c r="E783" s="669"/>
      <c r="F783" s="689"/>
      <c r="G783" s="658" t="s">
        <v>1446</v>
      </c>
      <c r="H783" s="731"/>
    </row>
    <row r="784">
      <c r="A784" s="658">
        <v>3.0</v>
      </c>
      <c r="B784" s="689" t="s">
        <v>3673</v>
      </c>
      <c r="C784" s="689">
        <v>1.0</v>
      </c>
      <c r="D784" s="721">
        <v>5.0</v>
      </c>
      <c r="E784" s="669">
        <v>1.0</v>
      </c>
      <c r="F784" s="689" t="s">
        <v>1518</v>
      </c>
      <c r="G784" s="658" t="s">
        <v>1446</v>
      </c>
      <c r="H784" s="731">
        <v>45141.0</v>
      </c>
    </row>
    <row r="785">
      <c r="A785" s="658">
        <v>4.0</v>
      </c>
      <c r="B785" s="658" t="s">
        <v>4276</v>
      </c>
      <c r="C785" s="658">
        <v>1.0</v>
      </c>
      <c r="D785" s="678" t="s">
        <v>4277</v>
      </c>
      <c r="E785" s="676">
        <v>1.0</v>
      </c>
      <c r="F785" s="658" t="s">
        <v>4278</v>
      </c>
      <c r="G785" s="658" t="s">
        <v>1446</v>
      </c>
      <c r="H785" s="679">
        <v>45390.0</v>
      </c>
    </row>
    <row r="786">
      <c r="A786" s="658">
        <v>5.0</v>
      </c>
      <c r="B786" s="658" t="s">
        <v>4279</v>
      </c>
      <c r="C786" s="658">
        <v>1.0</v>
      </c>
      <c r="D786" s="678">
        <v>2.7</v>
      </c>
      <c r="E786" s="676">
        <v>1.0</v>
      </c>
      <c r="F786" s="658" t="s">
        <v>4280</v>
      </c>
      <c r="G786" s="658" t="s">
        <v>1446</v>
      </c>
      <c r="H786" s="679">
        <v>45390.0</v>
      </c>
    </row>
    <row r="787">
      <c r="A787" s="658">
        <v>6.0</v>
      </c>
      <c r="B787" s="658" t="s">
        <v>4281</v>
      </c>
      <c r="C787" s="689">
        <v>1.0</v>
      </c>
      <c r="D787" s="678">
        <v>3.6</v>
      </c>
      <c r="E787" s="676">
        <v>1.0</v>
      </c>
      <c r="F787" s="655" t="s">
        <v>4282</v>
      </c>
      <c r="G787" s="658" t="s">
        <v>1446</v>
      </c>
      <c r="H787" s="679">
        <v>45390.0</v>
      </c>
    </row>
    <row r="788">
      <c r="A788" s="658">
        <v>7.0</v>
      </c>
      <c r="B788" s="658" t="s">
        <v>4283</v>
      </c>
      <c r="C788" s="658">
        <v>1.0</v>
      </c>
      <c r="D788" s="689"/>
      <c r="E788" s="676">
        <v>1.0</v>
      </c>
      <c r="F788" s="655">
        <v>2.2011080011527E13</v>
      </c>
      <c r="G788" s="658" t="s">
        <v>1446</v>
      </c>
      <c r="H788" s="679">
        <v>45390.0</v>
      </c>
    </row>
    <row r="789">
      <c r="A789" s="658">
        <v>8.0</v>
      </c>
      <c r="B789" s="658" t="s">
        <v>4284</v>
      </c>
      <c r="C789" s="658">
        <v>1.0</v>
      </c>
      <c r="D789" s="689"/>
      <c r="E789" s="676">
        <v>1.0</v>
      </c>
      <c r="F789" s="655" t="s">
        <v>4285</v>
      </c>
      <c r="G789" s="658" t="s">
        <v>1446</v>
      </c>
      <c r="H789" s="679">
        <v>45390.0</v>
      </c>
    </row>
    <row r="790">
      <c r="A790" s="658">
        <v>9.0</v>
      </c>
      <c r="B790" s="658" t="s">
        <v>2076</v>
      </c>
      <c r="C790" s="689">
        <v>1.0</v>
      </c>
      <c r="D790" s="678">
        <v>14.7</v>
      </c>
      <c r="E790" s="676">
        <v>1.0</v>
      </c>
      <c r="F790" s="655" t="s">
        <v>4286</v>
      </c>
      <c r="G790" s="658" t="s">
        <v>1446</v>
      </c>
      <c r="H790" s="679">
        <v>45390.0</v>
      </c>
    </row>
    <row r="791">
      <c r="A791" s="658">
        <v>10.0</v>
      </c>
      <c r="B791" s="658" t="s">
        <v>2076</v>
      </c>
      <c r="C791" s="658">
        <v>1.0</v>
      </c>
      <c r="D791" s="678">
        <v>14.7</v>
      </c>
      <c r="E791" s="676">
        <v>1.0</v>
      </c>
      <c r="F791" s="655" t="s">
        <v>4287</v>
      </c>
      <c r="G791" s="658" t="s">
        <v>1446</v>
      </c>
      <c r="H791" s="679">
        <v>45390.0</v>
      </c>
    </row>
    <row r="792">
      <c r="A792" s="658">
        <v>11.0</v>
      </c>
      <c r="B792" s="658" t="s">
        <v>4288</v>
      </c>
      <c r="C792" s="658">
        <v>1.0</v>
      </c>
      <c r="D792" s="721"/>
      <c r="E792" s="676">
        <v>1.0</v>
      </c>
      <c r="F792" s="655" t="s">
        <v>4289</v>
      </c>
      <c r="G792" s="658" t="s">
        <v>1446</v>
      </c>
      <c r="H792" s="679">
        <v>45390.0</v>
      </c>
    </row>
    <row r="793">
      <c r="A793" s="658">
        <v>12.0</v>
      </c>
      <c r="B793" s="658" t="s">
        <v>4288</v>
      </c>
      <c r="C793" s="689">
        <v>1.0</v>
      </c>
      <c r="D793" s="721"/>
      <c r="E793" s="676">
        <v>2.0</v>
      </c>
      <c r="F793" s="658" t="s">
        <v>4290</v>
      </c>
      <c r="G793" s="658" t="s">
        <v>1446</v>
      </c>
      <c r="H793" s="679">
        <v>45390.0</v>
      </c>
    </row>
    <row r="794">
      <c r="A794" s="658">
        <v>13.0</v>
      </c>
      <c r="B794" s="658" t="s">
        <v>4291</v>
      </c>
      <c r="C794" s="658">
        <v>1.0</v>
      </c>
      <c r="D794" s="721"/>
      <c r="E794" s="676">
        <v>2.0</v>
      </c>
      <c r="F794" s="658" t="s">
        <v>4292</v>
      </c>
      <c r="G794" s="658" t="s">
        <v>1446</v>
      </c>
      <c r="H794" s="679">
        <v>45390.0</v>
      </c>
    </row>
    <row r="795">
      <c r="A795" s="658">
        <v>14.0</v>
      </c>
      <c r="B795" s="658" t="s">
        <v>4293</v>
      </c>
      <c r="C795" s="658">
        <v>1.0</v>
      </c>
      <c r="D795" s="678">
        <v>43.0</v>
      </c>
      <c r="E795" s="676">
        <v>1.0</v>
      </c>
      <c r="F795" s="658" t="s">
        <v>4294</v>
      </c>
      <c r="G795" s="658" t="s">
        <v>1446</v>
      </c>
      <c r="H795" s="679">
        <v>45390.0</v>
      </c>
    </row>
    <row r="796">
      <c r="A796" s="658">
        <v>15.0</v>
      </c>
      <c r="B796" s="658" t="s">
        <v>4295</v>
      </c>
      <c r="C796" s="658">
        <v>1.0</v>
      </c>
      <c r="D796" s="678">
        <v>6.3</v>
      </c>
      <c r="E796" s="676">
        <v>1.0</v>
      </c>
      <c r="F796" s="658" t="s">
        <v>4296</v>
      </c>
      <c r="G796" s="658" t="s">
        <v>1446</v>
      </c>
      <c r="H796" s="679">
        <v>45472.0</v>
      </c>
    </row>
    <row r="797">
      <c r="A797" s="655">
        <v>16.0</v>
      </c>
      <c r="B797" s="655" t="s">
        <v>4297</v>
      </c>
      <c r="C797" s="655">
        <v>1.0</v>
      </c>
      <c r="D797" s="656">
        <v>33.5</v>
      </c>
      <c r="E797" s="656">
        <v>33.5</v>
      </c>
      <c r="F797" s="655"/>
      <c r="G797" s="655" t="s">
        <v>1447</v>
      </c>
      <c r="H797" s="659">
        <v>45541.0</v>
      </c>
    </row>
    <row r="798">
      <c r="A798" s="732" t="s">
        <v>1562</v>
      </c>
      <c r="B798" s="3"/>
      <c r="C798" s="689">
        <f>sum(C782:C792)</f>
        <v>11</v>
      </c>
      <c r="D798" s="721">
        <f>sum(D782:D796)</f>
        <v>243.2</v>
      </c>
      <c r="E798" s="669">
        <f>sum(E782:E792)</f>
        <v>9</v>
      </c>
      <c r="F798" s="689"/>
      <c r="G798" s="731"/>
      <c r="H798" s="731"/>
    </row>
    <row r="799">
      <c r="A799" s="689"/>
      <c r="B799" s="689"/>
      <c r="C799" s="689"/>
      <c r="D799" s="689"/>
      <c r="E799" s="689"/>
      <c r="F799" s="689"/>
      <c r="G799" s="689"/>
      <c r="H799" s="689"/>
    </row>
    <row r="800">
      <c r="A800" s="689"/>
      <c r="B800" s="689"/>
      <c r="C800" s="689"/>
      <c r="D800" s="689"/>
      <c r="E800" s="689"/>
      <c r="F800" s="689"/>
      <c r="G800" s="689"/>
      <c r="H800" s="689"/>
    </row>
    <row r="801">
      <c r="A801" s="649" t="s">
        <v>4298</v>
      </c>
      <c r="B801" s="2"/>
      <c r="C801" s="2"/>
      <c r="D801" s="2"/>
      <c r="E801" s="2"/>
      <c r="F801" s="2"/>
      <c r="G801" s="2"/>
      <c r="H801" s="3"/>
    </row>
    <row r="802">
      <c r="A802" s="690" t="s">
        <v>1435</v>
      </c>
      <c r="B802" s="690" t="s">
        <v>1436</v>
      </c>
      <c r="C802" s="690" t="s">
        <v>1843</v>
      </c>
      <c r="D802" s="693" t="s">
        <v>1438</v>
      </c>
      <c r="E802" s="694" t="s">
        <v>1564</v>
      </c>
      <c r="F802" s="690" t="s">
        <v>1440</v>
      </c>
      <c r="G802" s="690" t="s">
        <v>1844</v>
      </c>
      <c r="H802" s="695" t="s">
        <v>1441</v>
      </c>
    </row>
    <row r="803">
      <c r="A803" s="658">
        <v>1.0</v>
      </c>
      <c r="B803" s="658" t="s">
        <v>1443</v>
      </c>
      <c r="C803" s="658">
        <v>1.0</v>
      </c>
      <c r="D803" s="678">
        <v>150.0</v>
      </c>
      <c r="E803" s="669"/>
      <c r="F803" s="689"/>
      <c r="G803" s="658" t="s">
        <v>1554</v>
      </c>
      <c r="H803" s="731"/>
    </row>
    <row r="804">
      <c r="A804" s="658">
        <v>2.0</v>
      </c>
      <c r="B804" s="658" t="s">
        <v>1444</v>
      </c>
      <c r="C804" s="658">
        <v>1.0</v>
      </c>
      <c r="D804" s="678">
        <v>3.2</v>
      </c>
      <c r="E804" s="669"/>
      <c r="F804" s="689"/>
      <c r="G804" s="658" t="s">
        <v>1554</v>
      </c>
      <c r="H804" s="731"/>
    </row>
    <row r="805">
      <c r="A805" s="658">
        <v>3.0</v>
      </c>
      <c r="B805" s="689" t="s">
        <v>3673</v>
      </c>
      <c r="C805" s="658">
        <v>2.0</v>
      </c>
      <c r="D805" s="721">
        <v>5.0</v>
      </c>
      <c r="E805" s="669">
        <v>1.0</v>
      </c>
      <c r="F805" s="689" t="s">
        <v>1518</v>
      </c>
      <c r="G805" s="658" t="s">
        <v>1446</v>
      </c>
      <c r="H805" s="731">
        <v>45141.0</v>
      </c>
    </row>
    <row r="806">
      <c r="A806" s="658">
        <v>4.0</v>
      </c>
      <c r="B806" s="655" t="s">
        <v>4299</v>
      </c>
      <c r="C806" s="655">
        <v>1.0</v>
      </c>
      <c r="D806" s="656">
        <v>12.8</v>
      </c>
      <c r="E806" s="660">
        <v>1.0</v>
      </c>
      <c r="F806" s="655" t="s">
        <v>4300</v>
      </c>
      <c r="G806" s="655" t="s">
        <v>4301</v>
      </c>
      <c r="H806" s="659">
        <v>45424.0</v>
      </c>
    </row>
    <row r="807">
      <c r="A807" s="658">
        <v>5.0</v>
      </c>
      <c r="B807" s="662" t="s">
        <v>4302</v>
      </c>
      <c r="C807" s="662"/>
      <c r="D807" s="673"/>
      <c r="E807" s="723"/>
      <c r="F807" s="662" t="s">
        <v>4303</v>
      </c>
      <c r="G807" s="662" t="s">
        <v>4304</v>
      </c>
      <c r="H807" s="681">
        <v>45424.0</v>
      </c>
    </row>
    <row r="808">
      <c r="A808" s="658">
        <v>6.0</v>
      </c>
      <c r="B808" s="726" t="s">
        <v>2553</v>
      </c>
      <c r="C808" s="662"/>
      <c r="D808" s="673"/>
      <c r="E808" s="723"/>
      <c r="F808" s="662" t="s">
        <v>4305</v>
      </c>
      <c r="G808" s="662" t="s">
        <v>4306</v>
      </c>
      <c r="H808" s="681">
        <v>45424.0</v>
      </c>
    </row>
    <row r="809">
      <c r="A809" s="658">
        <v>7.0</v>
      </c>
      <c r="B809" s="812" t="s">
        <v>3502</v>
      </c>
      <c r="C809" s="655">
        <v>1.0</v>
      </c>
      <c r="D809" s="656">
        <v>2.4</v>
      </c>
      <c r="E809" s="660">
        <v>1.0</v>
      </c>
      <c r="F809" s="655" t="s">
        <v>4307</v>
      </c>
      <c r="G809" s="655" t="s">
        <v>4301</v>
      </c>
      <c r="H809" s="659">
        <v>45424.0</v>
      </c>
    </row>
    <row r="810">
      <c r="A810" s="658">
        <v>8.0</v>
      </c>
      <c r="B810" s="726" t="s">
        <v>2553</v>
      </c>
      <c r="C810" s="662">
        <v>1.0</v>
      </c>
      <c r="D810" s="673">
        <v>2.9</v>
      </c>
      <c r="E810" s="723">
        <v>1.0</v>
      </c>
      <c r="F810" s="662" t="s">
        <v>4308</v>
      </c>
      <c r="G810" s="662" t="s">
        <v>4309</v>
      </c>
      <c r="H810" s="698">
        <v>45442.0</v>
      </c>
    </row>
    <row r="811">
      <c r="A811" s="658">
        <v>9.0</v>
      </c>
      <c r="B811" s="658" t="s">
        <v>1635</v>
      </c>
      <c r="C811" s="658">
        <v>1.0</v>
      </c>
      <c r="D811" s="678">
        <v>17.8</v>
      </c>
      <c r="E811" s="676">
        <v>1.0</v>
      </c>
      <c r="F811" s="658" t="s">
        <v>4310</v>
      </c>
      <c r="G811" s="658" t="s">
        <v>4311</v>
      </c>
      <c r="H811" s="813">
        <v>45448.0</v>
      </c>
    </row>
    <row r="812">
      <c r="A812" s="658">
        <v>10.0</v>
      </c>
      <c r="B812" s="812" t="s">
        <v>2553</v>
      </c>
      <c r="C812" s="658">
        <v>1.0</v>
      </c>
      <c r="D812" s="656">
        <v>2.9</v>
      </c>
      <c r="E812" s="676" t="s">
        <v>2111</v>
      </c>
      <c r="F812" s="655" t="s">
        <v>4312</v>
      </c>
      <c r="G812" s="658" t="s">
        <v>1554</v>
      </c>
      <c r="H812" s="696">
        <v>45509.0</v>
      </c>
    </row>
    <row r="813">
      <c r="A813" s="658">
        <v>11.0</v>
      </c>
      <c r="B813" s="655" t="s">
        <v>4313</v>
      </c>
      <c r="C813" s="658">
        <v>1.0</v>
      </c>
      <c r="D813" s="678">
        <v>2.0</v>
      </c>
      <c r="E813" s="676">
        <v>1.0</v>
      </c>
      <c r="F813" s="655" t="s">
        <v>4314</v>
      </c>
      <c r="G813" s="658" t="s">
        <v>4315</v>
      </c>
      <c r="H813" s="696">
        <v>45509.0</v>
      </c>
    </row>
    <row r="814">
      <c r="A814" s="658">
        <v>12.0</v>
      </c>
      <c r="B814" s="658" t="s">
        <v>4316</v>
      </c>
      <c r="C814" s="658">
        <v>1.0</v>
      </c>
      <c r="D814" s="678">
        <v>8.6</v>
      </c>
      <c r="E814" s="676">
        <v>1.0</v>
      </c>
      <c r="F814" s="658" t="s">
        <v>4317</v>
      </c>
      <c r="G814" s="658" t="s">
        <v>1554</v>
      </c>
      <c r="H814" s="679">
        <v>45586.0</v>
      </c>
    </row>
    <row r="815">
      <c r="A815" s="658">
        <v>13.0</v>
      </c>
      <c r="B815" s="658" t="s">
        <v>3673</v>
      </c>
      <c r="C815" s="658">
        <v>1.0</v>
      </c>
      <c r="D815" s="678">
        <v>5.0</v>
      </c>
      <c r="E815" s="676">
        <v>1.0</v>
      </c>
      <c r="F815" s="689"/>
      <c r="G815" s="658" t="s">
        <v>1554</v>
      </c>
      <c r="H815" s="679">
        <v>45665.0</v>
      </c>
    </row>
    <row r="816">
      <c r="A816" s="658">
        <v>14.0</v>
      </c>
      <c r="B816" s="658" t="s">
        <v>1476</v>
      </c>
      <c r="C816" s="658">
        <v>1.0</v>
      </c>
      <c r="D816" s="678">
        <v>3.2</v>
      </c>
      <c r="E816" s="676">
        <v>1.0</v>
      </c>
      <c r="F816" s="658" t="s">
        <v>4318</v>
      </c>
      <c r="G816" s="658" t="s">
        <v>1554</v>
      </c>
      <c r="H816" s="681">
        <v>45677.0</v>
      </c>
    </row>
    <row r="817">
      <c r="A817" s="655">
        <v>15.0</v>
      </c>
      <c r="B817" s="655" t="s">
        <v>2016</v>
      </c>
      <c r="C817" s="655">
        <v>1.0</v>
      </c>
      <c r="D817" s="656">
        <v>19.1</v>
      </c>
      <c r="E817" s="657">
        <v>1.0</v>
      </c>
      <c r="F817" s="655" t="s">
        <v>4319</v>
      </c>
      <c r="G817" s="655" t="s">
        <v>4311</v>
      </c>
      <c r="H817" s="659">
        <v>45699.0</v>
      </c>
    </row>
    <row r="818">
      <c r="A818" s="187">
        <v>16.0</v>
      </c>
      <c r="B818" s="187" t="s">
        <v>2192</v>
      </c>
      <c r="C818" s="187">
        <v>1.0</v>
      </c>
      <c r="D818" s="188">
        <v>19.1</v>
      </c>
      <c r="E818" s="187" t="s">
        <v>2077</v>
      </c>
      <c r="F818" s="187" t="s">
        <v>4320</v>
      </c>
      <c r="G818" s="187" t="s">
        <v>1554</v>
      </c>
      <c r="H818" s="735">
        <v>46121.0</v>
      </c>
    </row>
    <row r="819">
      <c r="A819" s="689"/>
      <c r="B819" s="689"/>
      <c r="C819" s="689"/>
      <c r="D819" s="689"/>
      <c r="E819" s="689"/>
      <c r="F819" s="689"/>
      <c r="G819" s="689"/>
      <c r="H819" s="689"/>
    </row>
    <row r="820">
      <c r="A820" s="649" t="s">
        <v>4321</v>
      </c>
      <c r="B820" s="2"/>
      <c r="C820" s="2"/>
      <c r="D820" s="2"/>
      <c r="E820" s="2"/>
      <c r="F820" s="2"/>
      <c r="G820" s="2"/>
      <c r="H820" s="3"/>
    </row>
    <row r="821">
      <c r="A821" s="690" t="s">
        <v>1435</v>
      </c>
      <c r="B821" s="690" t="s">
        <v>1436</v>
      </c>
      <c r="C821" s="690" t="s">
        <v>1843</v>
      </c>
      <c r="D821" s="693" t="s">
        <v>1438</v>
      </c>
      <c r="E821" s="694" t="s">
        <v>1564</v>
      </c>
      <c r="F821" s="690" t="s">
        <v>1440</v>
      </c>
      <c r="G821" s="690" t="s">
        <v>1844</v>
      </c>
      <c r="H821" s="695" t="s">
        <v>1441</v>
      </c>
    </row>
    <row r="822">
      <c r="A822" s="658">
        <v>1.0</v>
      </c>
      <c r="B822" s="658" t="s">
        <v>1506</v>
      </c>
      <c r="C822" s="658">
        <v>1.0</v>
      </c>
      <c r="D822" s="678">
        <v>6.0</v>
      </c>
      <c r="E822" s="676">
        <v>1.0</v>
      </c>
      <c r="F822" s="658" t="s">
        <v>4322</v>
      </c>
      <c r="G822" s="658" t="s">
        <v>1446</v>
      </c>
      <c r="H822" s="679">
        <v>45719.0</v>
      </c>
    </row>
    <row r="823">
      <c r="A823" s="658">
        <v>2.0</v>
      </c>
      <c r="B823" s="658" t="s">
        <v>4323</v>
      </c>
      <c r="C823" s="658">
        <v>1.0</v>
      </c>
      <c r="D823" s="678">
        <v>4.6</v>
      </c>
      <c r="E823" s="676">
        <v>1.0</v>
      </c>
      <c r="F823" s="658" t="s">
        <v>4324</v>
      </c>
      <c r="G823" s="658" t="s">
        <v>1446</v>
      </c>
      <c r="H823" s="679">
        <v>45719.0</v>
      </c>
    </row>
    <row r="824">
      <c r="A824" s="658">
        <v>3.0</v>
      </c>
      <c r="B824" s="658" t="s">
        <v>1652</v>
      </c>
      <c r="C824" s="658">
        <v>1.0</v>
      </c>
      <c r="D824" s="678">
        <v>3.2</v>
      </c>
      <c r="E824" s="676">
        <v>1.0</v>
      </c>
      <c r="F824" s="658" t="s">
        <v>4325</v>
      </c>
      <c r="G824" s="658" t="s">
        <v>1446</v>
      </c>
      <c r="H824" s="679">
        <v>45719.0</v>
      </c>
    </row>
    <row r="825">
      <c r="A825" s="658">
        <v>4.0</v>
      </c>
      <c r="B825" s="658" t="s">
        <v>4326</v>
      </c>
      <c r="C825" s="658">
        <v>1.0</v>
      </c>
      <c r="D825" s="678">
        <v>17.4</v>
      </c>
      <c r="E825" s="676">
        <v>1.0</v>
      </c>
      <c r="F825" s="658" t="s">
        <v>4327</v>
      </c>
      <c r="G825" s="658" t="s">
        <v>1446</v>
      </c>
      <c r="H825" s="679">
        <v>45719.0</v>
      </c>
    </row>
    <row r="826">
      <c r="A826" s="658">
        <v>5.0</v>
      </c>
      <c r="B826" s="658" t="s">
        <v>4326</v>
      </c>
      <c r="C826" s="658">
        <v>1.0</v>
      </c>
      <c r="D826" s="678">
        <v>17.4</v>
      </c>
      <c r="E826" s="676">
        <v>1.0</v>
      </c>
      <c r="F826" s="658" t="s">
        <v>4328</v>
      </c>
      <c r="G826" s="658" t="s">
        <v>1446</v>
      </c>
      <c r="H826" s="679">
        <v>45719.0</v>
      </c>
    </row>
    <row r="827">
      <c r="A827" s="658">
        <v>6.0</v>
      </c>
      <c r="B827" s="658" t="s">
        <v>4329</v>
      </c>
      <c r="C827" s="658">
        <v>1.0</v>
      </c>
      <c r="D827" s="678">
        <v>12.6</v>
      </c>
      <c r="E827" s="676">
        <v>1.0</v>
      </c>
      <c r="F827" s="658" t="s">
        <v>4330</v>
      </c>
      <c r="G827" s="658" t="s">
        <v>1446</v>
      </c>
      <c r="H827" s="679">
        <v>45719.0</v>
      </c>
    </row>
    <row r="828">
      <c r="A828" s="732" t="s">
        <v>1562</v>
      </c>
      <c r="B828" s="3"/>
      <c r="C828" s="689">
        <f t="shared" ref="C828:E828" si="31">sum(C803:C827)</f>
        <v>21</v>
      </c>
      <c r="D828" s="721">
        <f t="shared" si="31"/>
        <v>315.2</v>
      </c>
      <c r="E828" s="669">
        <f t="shared" si="31"/>
        <v>16</v>
      </c>
      <c r="F828" s="689"/>
      <c r="G828" s="731"/>
      <c r="H828" s="731"/>
    </row>
    <row r="829">
      <c r="A829" s="689"/>
      <c r="B829" s="689"/>
      <c r="C829" s="689"/>
      <c r="D829" s="689"/>
      <c r="E829" s="689"/>
      <c r="F829" s="689"/>
      <c r="G829" s="689"/>
      <c r="H829" s="689"/>
    </row>
    <row r="830">
      <c r="A830" s="689"/>
      <c r="B830" s="689"/>
      <c r="C830" s="689"/>
      <c r="D830" s="689"/>
      <c r="E830" s="689"/>
      <c r="F830" s="689"/>
      <c r="G830" s="689"/>
      <c r="H830" s="689"/>
    </row>
    <row r="831">
      <c r="A831" s="699" t="s">
        <v>4331</v>
      </c>
      <c r="B831" s="2"/>
      <c r="C831" s="2"/>
      <c r="D831" s="2"/>
      <c r="E831" s="2"/>
      <c r="F831" s="2"/>
      <c r="G831" s="2"/>
      <c r="H831" s="3"/>
    </row>
    <row r="832">
      <c r="A832" s="738" t="s">
        <v>1435</v>
      </c>
      <c r="B832" s="738" t="s">
        <v>1436</v>
      </c>
      <c r="C832" s="738" t="s">
        <v>1843</v>
      </c>
      <c r="D832" s="702" t="s">
        <v>1438</v>
      </c>
      <c r="E832" s="703" t="s">
        <v>1564</v>
      </c>
      <c r="F832" s="738" t="s">
        <v>1440</v>
      </c>
      <c r="G832" s="738" t="s">
        <v>1844</v>
      </c>
      <c r="H832" s="704" t="s">
        <v>1441</v>
      </c>
    </row>
    <row r="833">
      <c r="A833" s="87">
        <v>1.0</v>
      </c>
      <c r="B833" s="87" t="s">
        <v>1443</v>
      </c>
      <c r="C833" s="87">
        <v>1.0</v>
      </c>
      <c r="D833" s="705">
        <v>150.0</v>
      </c>
      <c r="E833" s="709"/>
      <c r="F833" s="739" t="s">
        <v>1518</v>
      </c>
      <c r="G833" s="87" t="s">
        <v>1554</v>
      </c>
      <c r="H833" s="741">
        <v>45141.0</v>
      </c>
    </row>
    <row r="834">
      <c r="A834" s="87">
        <v>2.0</v>
      </c>
      <c r="B834" s="87" t="s">
        <v>1444</v>
      </c>
      <c r="C834" s="87">
        <v>2.0</v>
      </c>
      <c r="D834" s="705">
        <f>C834*3.2</f>
        <v>6.4</v>
      </c>
      <c r="E834" s="709"/>
      <c r="F834" s="739"/>
      <c r="G834" s="739"/>
      <c r="H834" s="741"/>
    </row>
    <row r="835">
      <c r="A835" s="87">
        <v>3.0</v>
      </c>
      <c r="B835" s="739" t="s">
        <v>3673</v>
      </c>
      <c r="C835" s="739">
        <v>1.0</v>
      </c>
      <c r="D835" s="705">
        <v>9.0</v>
      </c>
      <c r="E835" s="709">
        <v>1.0</v>
      </c>
      <c r="F835" s="739"/>
      <c r="G835" s="739"/>
      <c r="H835" s="741"/>
    </row>
    <row r="836">
      <c r="A836" s="739">
        <v>4.0</v>
      </c>
      <c r="B836" s="97" t="s">
        <v>4332</v>
      </c>
      <c r="C836" s="814">
        <v>1.0</v>
      </c>
      <c r="D836" s="742">
        <v>19.3</v>
      </c>
      <c r="E836" s="748">
        <v>1.0</v>
      </c>
      <c r="F836" s="97" t="s">
        <v>4333</v>
      </c>
      <c r="G836" s="97" t="s">
        <v>4334</v>
      </c>
      <c r="H836" s="815">
        <v>45414.0</v>
      </c>
    </row>
    <row r="837">
      <c r="A837" s="739">
        <v>5.0</v>
      </c>
      <c r="B837" s="97" t="s">
        <v>3487</v>
      </c>
      <c r="C837" s="814">
        <v>1.0</v>
      </c>
      <c r="D837" s="742">
        <v>20.0</v>
      </c>
      <c r="E837" s="748">
        <v>1.0</v>
      </c>
      <c r="F837" s="97" t="s">
        <v>4335</v>
      </c>
      <c r="G837" s="97" t="s">
        <v>4334</v>
      </c>
      <c r="H837" s="815">
        <v>45414.0</v>
      </c>
    </row>
    <row r="838">
      <c r="A838" s="816">
        <v>6.0</v>
      </c>
      <c r="B838" s="86" t="s">
        <v>4336</v>
      </c>
      <c r="C838" s="86"/>
      <c r="D838" s="438"/>
      <c r="E838" s="83"/>
      <c r="F838" s="86" t="s">
        <v>4337</v>
      </c>
      <c r="G838" s="86" t="s">
        <v>4338</v>
      </c>
      <c r="H838" s="817">
        <v>45500.0</v>
      </c>
    </row>
    <row r="839">
      <c r="A839" s="816">
        <v>7.0</v>
      </c>
      <c r="B839" s="86" t="s">
        <v>4339</v>
      </c>
      <c r="C839" s="86"/>
      <c r="D839" s="438"/>
      <c r="E839" s="83"/>
      <c r="F839" s="86" t="s">
        <v>4340</v>
      </c>
      <c r="G839" s="86" t="s">
        <v>4341</v>
      </c>
      <c r="H839" s="747">
        <v>45313.0</v>
      </c>
    </row>
    <row r="840">
      <c r="A840" s="816">
        <v>8.0</v>
      </c>
      <c r="B840" s="86" t="s">
        <v>4342</v>
      </c>
      <c r="C840" s="86"/>
      <c r="D840" s="438"/>
      <c r="E840" s="83"/>
      <c r="F840" s="86" t="s">
        <v>3819</v>
      </c>
      <c r="G840" s="86" t="s">
        <v>4341</v>
      </c>
      <c r="H840" s="747">
        <v>45313.0</v>
      </c>
    </row>
    <row r="841">
      <c r="A841" s="816">
        <v>9.0</v>
      </c>
      <c r="B841" s="86" t="s">
        <v>4343</v>
      </c>
      <c r="C841" s="86"/>
      <c r="D841" s="438"/>
      <c r="E841" s="83"/>
      <c r="F841" s="86" t="s">
        <v>4344</v>
      </c>
      <c r="G841" s="86" t="s">
        <v>4341</v>
      </c>
      <c r="H841" s="747">
        <v>45313.0</v>
      </c>
    </row>
    <row r="842">
      <c r="A842" s="86">
        <v>10.0</v>
      </c>
      <c r="B842" s="86" t="s">
        <v>1506</v>
      </c>
      <c r="C842" s="86"/>
      <c r="D842" s="438"/>
      <c r="E842" s="83"/>
      <c r="F842" s="86" t="s">
        <v>4345</v>
      </c>
      <c r="G842" s="86" t="s">
        <v>4341</v>
      </c>
      <c r="H842" s="747">
        <v>45712.0</v>
      </c>
    </row>
    <row r="843">
      <c r="A843" s="86">
        <v>11.0</v>
      </c>
      <c r="B843" s="86" t="s">
        <v>1506</v>
      </c>
      <c r="C843" s="86"/>
      <c r="D843" s="438"/>
      <c r="E843" s="83"/>
      <c r="F843" s="86" t="s">
        <v>4346</v>
      </c>
      <c r="G843" s="86" t="s">
        <v>4341</v>
      </c>
      <c r="H843" s="747">
        <v>45762.0</v>
      </c>
    </row>
    <row r="844">
      <c r="A844" s="86">
        <v>12.0</v>
      </c>
      <c r="B844" s="86" t="s">
        <v>2113</v>
      </c>
      <c r="C844" s="86"/>
      <c r="D844" s="438"/>
      <c r="E844" s="83"/>
      <c r="F844" s="86" t="s">
        <v>4347</v>
      </c>
      <c r="G844" s="86" t="s">
        <v>4341</v>
      </c>
      <c r="H844" s="747">
        <v>45862.0</v>
      </c>
    </row>
    <row r="845">
      <c r="A845" s="86">
        <v>13.0</v>
      </c>
      <c r="B845" s="86" t="s">
        <v>4348</v>
      </c>
      <c r="C845" s="86"/>
      <c r="D845" s="438"/>
      <c r="E845" s="83"/>
      <c r="F845" s="818" t="s">
        <v>4349</v>
      </c>
      <c r="G845" s="86" t="s">
        <v>4341</v>
      </c>
      <c r="H845" s="747">
        <v>45879.0</v>
      </c>
    </row>
    <row r="846">
      <c r="A846" s="97">
        <v>14.0</v>
      </c>
      <c r="B846" s="97" t="s">
        <v>2016</v>
      </c>
      <c r="C846" s="97">
        <v>1.0</v>
      </c>
      <c r="D846" s="742">
        <v>17.4</v>
      </c>
      <c r="E846" s="748">
        <v>1.0</v>
      </c>
      <c r="F846" s="806"/>
      <c r="G846" s="97" t="s">
        <v>4350</v>
      </c>
      <c r="H846" s="708">
        <v>46121.0</v>
      </c>
    </row>
    <row r="847">
      <c r="A847" s="97">
        <v>15.0</v>
      </c>
      <c r="B847" s="97" t="s">
        <v>4351</v>
      </c>
      <c r="C847" s="97">
        <v>1.0</v>
      </c>
      <c r="D847" s="742">
        <v>2.27</v>
      </c>
      <c r="E847" s="748">
        <v>1.0</v>
      </c>
      <c r="F847" s="806"/>
      <c r="G847" s="97" t="s">
        <v>4350</v>
      </c>
      <c r="H847" s="708">
        <v>46121.0</v>
      </c>
    </row>
    <row r="848">
      <c r="A848" s="750" t="s">
        <v>1562</v>
      </c>
      <c r="B848" s="3"/>
      <c r="C848" s="739">
        <f t="shared" ref="C848:E848" si="32">sum(C833:C847)</f>
        <v>8</v>
      </c>
      <c r="D848" s="740">
        <f t="shared" si="32"/>
        <v>224.37</v>
      </c>
      <c r="E848" s="709">
        <f t="shared" si="32"/>
        <v>5</v>
      </c>
      <c r="F848" s="739"/>
      <c r="G848" s="741"/>
      <c r="H848" s="741"/>
    </row>
    <row r="849">
      <c r="A849" s="712"/>
      <c r="B849" s="712"/>
      <c r="C849" s="712"/>
      <c r="D849" s="819"/>
      <c r="E849" s="712"/>
      <c r="F849" s="712"/>
      <c r="G849" s="712"/>
      <c r="H849" s="712"/>
    </row>
    <row r="850">
      <c r="A850" s="712"/>
      <c r="B850" s="712"/>
      <c r="C850" s="712"/>
      <c r="D850" s="712"/>
      <c r="E850" s="712"/>
      <c r="F850" s="712"/>
      <c r="G850" s="712"/>
      <c r="H850" s="712"/>
    </row>
    <row r="851">
      <c r="A851" s="699" t="s">
        <v>4352</v>
      </c>
      <c r="B851" s="2"/>
      <c r="C851" s="2"/>
      <c r="D851" s="2"/>
      <c r="E851" s="2"/>
      <c r="F851" s="2"/>
      <c r="G851" s="2"/>
      <c r="H851" s="3"/>
    </row>
    <row r="852">
      <c r="A852" s="738" t="s">
        <v>1435</v>
      </c>
      <c r="B852" s="738" t="s">
        <v>1436</v>
      </c>
      <c r="C852" s="738" t="s">
        <v>1843</v>
      </c>
      <c r="D852" s="702" t="s">
        <v>1438</v>
      </c>
      <c r="E852" s="703" t="s">
        <v>1564</v>
      </c>
      <c r="F852" s="738" t="s">
        <v>1440</v>
      </c>
      <c r="G852" s="738" t="s">
        <v>1844</v>
      </c>
      <c r="H852" s="704" t="s">
        <v>1441</v>
      </c>
    </row>
    <row r="853">
      <c r="A853" s="87">
        <v>1.0</v>
      </c>
      <c r="B853" s="87" t="s">
        <v>1443</v>
      </c>
      <c r="C853" s="87">
        <v>1.0</v>
      </c>
      <c r="D853" s="705">
        <v>150.0</v>
      </c>
      <c r="E853" s="709"/>
      <c r="F853" s="739" t="s">
        <v>1518</v>
      </c>
      <c r="G853" s="87" t="s">
        <v>1554</v>
      </c>
      <c r="H853" s="741">
        <v>45141.0</v>
      </c>
    </row>
    <row r="854">
      <c r="A854" s="87">
        <v>2.0</v>
      </c>
      <c r="B854" s="87" t="s">
        <v>1444</v>
      </c>
      <c r="C854" s="87">
        <v>1.0</v>
      </c>
      <c r="D854" s="705">
        <v>3.2</v>
      </c>
      <c r="E854" s="709"/>
      <c r="F854" s="739"/>
      <c r="G854" s="87" t="s">
        <v>1554</v>
      </c>
      <c r="H854" s="741">
        <v>45141.0</v>
      </c>
    </row>
    <row r="855">
      <c r="A855" s="87">
        <v>3.0</v>
      </c>
      <c r="B855" s="739" t="s">
        <v>3673</v>
      </c>
      <c r="C855" s="739">
        <v>1.0</v>
      </c>
      <c r="D855" s="740">
        <v>5.0</v>
      </c>
      <c r="E855" s="709">
        <v>1.0</v>
      </c>
      <c r="F855" s="739"/>
      <c r="G855" s="87" t="s">
        <v>1554</v>
      </c>
      <c r="H855" s="741">
        <v>45141.0</v>
      </c>
    </row>
    <row r="856">
      <c r="A856" s="739">
        <v>4.0</v>
      </c>
      <c r="B856" s="87" t="s">
        <v>4353</v>
      </c>
      <c r="C856" s="87">
        <v>1.0</v>
      </c>
      <c r="D856" s="705">
        <v>6.0</v>
      </c>
      <c r="E856" s="706">
        <v>1.0</v>
      </c>
      <c r="F856" s="97" t="s">
        <v>4354</v>
      </c>
      <c r="G856" s="87" t="s">
        <v>1554</v>
      </c>
      <c r="H856" s="710">
        <v>45439.0</v>
      </c>
    </row>
    <row r="857">
      <c r="A857" s="739">
        <v>5.0</v>
      </c>
      <c r="B857" s="97" t="s">
        <v>3058</v>
      </c>
      <c r="C857" s="87">
        <v>1.0</v>
      </c>
      <c r="D857" s="705">
        <v>8.0</v>
      </c>
      <c r="E857" s="706">
        <v>1.0</v>
      </c>
      <c r="F857" s="97" t="s">
        <v>4355</v>
      </c>
      <c r="G857" s="87" t="s">
        <v>1554</v>
      </c>
      <c r="H857" s="710">
        <v>45455.0</v>
      </c>
    </row>
    <row r="858">
      <c r="A858" s="739">
        <v>6.0</v>
      </c>
      <c r="B858" s="87" t="s">
        <v>1867</v>
      </c>
      <c r="C858" s="87">
        <v>1.0</v>
      </c>
      <c r="D858" s="705">
        <v>9.2</v>
      </c>
      <c r="E858" s="706">
        <v>1.0</v>
      </c>
      <c r="F858" s="87">
        <v>9.9995751900004E13</v>
      </c>
      <c r="G858" s="87" t="s">
        <v>1554</v>
      </c>
      <c r="H858" s="710">
        <v>45538.0</v>
      </c>
    </row>
    <row r="859">
      <c r="A859" s="739">
        <v>7.0</v>
      </c>
      <c r="B859" s="87" t="s">
        <v>4356</v>
      </c>
      <c r="C859" s="87">
        <v>1.0</v>
      </c>
      <c r="D859" s="705">
        <v>5.8</v>
      </c>
      <c r="E859" s="706">
        <v>1.0</v>
      </c>
      <c r="F859" s="739"/>
      <c r="G859" s="87" t="s">
        <v>1554</v>
      </c>
      <c r="H859" s="710">
        <v>45538.0</v>
      </c>
    </row>
    <row r="860">
      <c r="A860" s="814">
        <v>8.0</v>
      </c>
      <c r="B860" s="97" t="s">
        <v>4357</v>
      </c>
      <c r="C860" s="97">
        <v>1.0</v>
      </c>
      <c r="D860" s="742">
        <v>6.0</v>
      </c>
      <c r="E860" s="748">
        <v>1.0</v>
      </c>
      <c r="F860" s="97" t="s">
        <v>4358</v>
      </c>
      <c r="G860" s="97" t="s">
        <v>1554</v>
      </c>
      <c r="H860" s="815">
        <v>45624.0</v>
      </c>
    </row>
    <row r="861">
      <c r="A861" s="87">
        <v>9.0</v>
      </c>
      <c r="B861" s="97" t="s">
        <v>4359</v>
      </c>
      <c r="C861" s="87">
        <v>1.0</v>
      </c>
      <c r="D861" s="705">
        <v>3.0</v>
      </c>
      <c r="E861" s="706">
        <v>1.0</v>
      </c>
      <c r="F861" s="97" t="s">
        <v>4360</v>
      </c>
      <c r="G861" s="87" t="s">
        <v>1554</v>
      </c>
      <c r="H861" s="707">
        <v>45663.0</v>
      </c>
    </row>
    <row r="862">
      <c r="A862" s="86">
        <v>10.0</v>
      </c>
      <c r="B862" s="86" t="s">
        <v>4361</v>
      </c>
      <c r="C862" s="86"/>
      <c r="D862" s="438"/>
      <c r="E862" s="83"/>
      <c r="F862" s="86" t="s">
        <v>4362</v>
      </c>
      <c r="G862" s="86" t="s">
        <v>1554</v>
      </c>
      <c r="H862" s="747">
        <v>45857.0</v>
      </c>
    </row>
    <row r="863">
      <c r="A863" s="87">
        <v>11.0</v>
      </c>
      <c r="B863" s="87" t="s">
        <v>1652</v>
      </c>
      <c r="C863" s="87">
        <v>1.0</v>
      </c>
      <c r="D863" s="705">
        <v>8.6</v>
      </c>
      <c r="E863" s="706">
        <v>1.0</v>
      </c>
      <c r="F863" s="87" t="s">
        <v>4363</v>
      </c>
      <c r="G863" s="87" t="s">
        <v>1554</v>
      </c>
      <c r="H863" s="707">
        <v>45928.0</v>
      </c>
    </row>
    <row r="864">
      <c r="A864" s="87">
        <v>12.0</v>
      </c>
      <c r="B864" s="87" t="s">
        <v>4364</v>
      </c>
      <c r="C864" s="87">
        <v>1.0</v>
      </c>
      <c r="D864" s="705">
        <v>22.5</v>
      </c>
      <c r="E864" s="706">
        <v>2.0</v>
      </c>
      <c r="F864" s="87" t="s">
        <v>4365</v>
      </c>
      <c r="G864" s="87" t="s">
        <v>1554</v>
      </c>
      <c r="H864" s="707">
        <v>45958.0</v>
      </c>
    </row>
    <row r="865">
      <c r="A865" s="87">
        <v>13.0</v>
      </c>
      <c r="B865" s="87" t="s">
        <v>4366</v>
      </c>
      <c r="C865" s="87">
        <v>1.0</v>
      </c>
      <c r="D865" s="705">
        <v>11.0</v>
      </c>
      <c r="E865" s="706">
        <v>1.0</v>
      </c>
      <c r="F865" s="87" t="s">
        <v>4367</v>
      </c>
      <c r="G865" s="87" t="s">
        <v>1554</v>
      </c>
      <c r="H865" s="707">
        <v>45960.0</v>
      </c>
    </row>
    <row r="866">
      <c r="A866" s="87">
        <v>14.0</v>
      </c>
      <c r="B866" s="87" t="s">
        <v>4368</v>
      </c>
      <c r="C866" s="87">
        <v>1.0</v>
      </c>
      <c r="D866" s="705">
        <v>34.5</v>
      </c>
      <c r="E866" s="706">
        <v>2.0</v>
      </c>
      <c r="F866" s="87" t="s">
        <v>4369</v>
      </c>
      <c r="G866" s="87" t="s">
        <v>1554</v>
      </c>
      <c r="H866" s="707">
        <v>45965.0</v>
      </c>
    </row>
    <row r="867">
      <c r="A867" s="87">
        <v>15.0</v>
      </c>
      <c r="B867" s="87" t="s">
        <v>4368</v>
      </c>
      <c r="C867" s="87">
        <v>1.0</v>
      </c>
      <c r="D867" s="705">
        <v>34.5</v>
      </c>
      <c r="E867" s="706">
        <v>2.0</v>
      </c>
      <c r="F867" s="87" t="s">
        <v>4370</v>
      </c>
      <c r="G867" s="87" t="s">
        <v>1554</v>
      </c>
      <c r="H867" s="707">
        <v>45965.0</v>
      </c>
    </row>
    <row r="868">
      <c r="A868" s="87">
        <v>16.0</v>
      </c>
      <c r="B868" s="820" t="s">
        <v>4371</v>
      </c>
      <c r="C868" s="87">
        <v>1.0</v>
      </c>
      <c r="D868" s="705">
        <v>12.5</v>
      </c>
      <c r="E868" s="706">
        <v>1.0</v>
      </c>
      <c r="F868" s="87" t="s">
        <v>4372</v>
      </c>
      <c r="G868" s="87" t="s">
        <v>1554</v>
      </c>
      <c r="H868" s="707">
        <v>45965.0</v>
      </c>
    </row>
    <row r="869">
      <c r="A869" s="87">
        <v>17.0</v>
      </c>
      <c r="B869" s="87" t="s">
        <v>2553</v>
      </c>
      <c r="C869" s="87">
        <v>1.0</v>
      </c>
      <c r="D869" s="705">
        <v>2.0</v>
      </c>
      <c r="E869" s="706">
        <v>1.0</v>
      </c>
      <c r="F869" s="87" t="s">
        <v>4373</v>
      </c>
      <c r="G869" s="87" t="s">
        <v>1554</v>
      </c>
      <c r="H869" s="707">
        <v>46004.0</v>
      </c>
    </row>
    <row r="870">
      <c r="A870" s="87">
        <v>18.0</v>
      </c>
      <c r="B870" s="87" t="s">
        <v>4374</v>
      </c>
      <c r="C870" s="87">
        <v>1.0</v>
      </c>
      <c r="D870" s="705">
        <v>7.2</v>
      </c>
      <c r="E870" s="706">
        <v>1.0</v>
      </c>
      <c r="F870" s="61" t="s">
        <v>4375</v>
      </c>
      <c r="G870" s="87" t="s">
        <v>4376</v>
      </c>
      <c r="H870" s="707">
        <v>46007.0</v>
      </c>
    </row>
    <row r="871">
      <c r="A871" s="87">
        <v>19.0</v>
      </c>
      <c r="B871" s="87" t="s">
        <v>2553</v>
      </c>
      <c r="C871" s="87">
        <v>1.0</v>
      </c>
      <c r="D871" s="705"/>
      <c r="E871" s="706">
        <v>1.0</v>
      </c>
      <c r="F871" s="61" t="s">
        <v>4377</v>
      </c>
      <c r="G871" s="87" t="s">
        <v>4376</v>
      </c>
      <c r="H871" s="821">
        <v>46066.0</v>
      </c>
    </row>
    <row r="872">
      <c r="A872" s="750" t="s">
        <v>1562</v>
      </c>
      <c r="B872" s="3"/>
      <c r="C872" s="739">
        <f t="shared" ref="C872:E872" si="33">sum(C853:C869)</f>
        <v>16</v>
      </c>
      <c r="D872" s="740">
        <f t="shared" si="33"/>
        <v>321.8</v>
      </c>
      <c r="E872" s="709">
        <f t="shared" si="33"/>
        <v>17</v>
      </c>
      <c r="F872" s="739"/>
      <c r="G872" s="741"/>
      <c r="H872" s="741"/>
    </row>
    <row r="873">
      <c r="A873" s="712"/>
      <c r="B873" s="712"/>
      <c r="C873" s="712"/>
      <c r="D873" s="712"/>
      <c r="E873" s="712"/>
      <c r="F873" s="712"/>
      <c r="G873" s="712"/>
      <c r="H873" s="712"/>
    </row>
    <row r="874">
      <c r="A874" s="712"/>
      <c r="B874" s="712"/>
      <c r="C874" s="712"/>
      <c r="D874" s="712"/>
      <c r="E874" s="712"/>
      <c r="F874" s="712"/>
      <c r="G874" s="712"/>
      <c r="H874" s="712"/>
    </row>
    <row r="875">
      <c r="A875" s="822" t="s">
        <v>4378</v>
      </c>
      <c r="B875" s="293"/>
      <c r="C875" s="293"/>
      <c r="D875" s="293"/>
      <c r="E875" s="293"/>
      <c r="F875" s="293"/>
      <c r="G875" s="293"/>
      <c r="H875" s="294"/>
    </row>
    <row r="876">
      <c r="A876" s="762" t="s">
        <v>1435</v>
      </c>
      <c r="B876" s="762" t="s">
        <v>1436</v>
      </c>
      <c r="C876" s="762" t="s">
        <v>1843</v>
      </c>
      <c r="D876" s="763" t="s">
        <v>1438</v>
      </c>
      <c r="E876" s="764" t="s">
        <v>1564</v>
      </c>
      <c r="F876" s="762" t="s">
        <v>1440</v>
      </c>
      <c r="G876" s="762" t="s">
        <v>1844</v>
      </c>
      <c r="H876" s="765" t="s">
        <v>1441</v>
      </c>
    </row>
    <row r="877">
      <c r="A877" s="525">
        <v>1.0</v>
      </c>
      <c r="B877" s="525" t="s">
        <v>1443</v>
      </c>
      <c r="C877" s="525">
        <v>1.0</v>
      </c>
      <c r="D877" s="526">
        <v>150.0</v>
      </c>
      <c r="E877" s="580"/>
      <c r="F877" s="579" t="s">
        <v>1518</v>
      </c>
      <c r="G877" s="525" t="s">
        <v>1554</v>
      </c>
      <c r="H877" s="581">
        <v>45141.0</v>
      </c>
    </row>
    <row r="878">
      <c r="A878" s="525">
        <v>2.0</v>
      </c>
      <c r="B878" s="525" t="s">
        <v>1444</v>
      </c>
      <c r="C878" s="525">
        <v>1.0</v>
      </c>
      <c r="D878" s="526">
        <v>3.2</v>
      </c>
      <c r="E878" s="580"/>
      <c r="F878" s="579"/>
      <c r="G878" s="579"/>
      <c r="H878" s="581"/>
    </row>
    <row r="879">
      <c r="A879" s="525">
        <v>3.0</v>
      </c>
      <c r="B879" s="579" t="s">
        <v>3673</v>
      </c>
      <c r="C879" s="579">
        <v>1.0</v>
      </c>
      <c r="D879" s="582">
        <v>5.0</v>
      </c>
      <c r="E879" s="580">
        <v>1.0</v>
      </c>
      <c r="F879" s="579"/>
      <c r="G879" s="579"/>
      <c r="H879" s="581"/>
    </row>
    <row r="880">
      <c r="A880" s="583">
        <v>4.0</v>
      </c>
      <c r="B880" s="259" t="s">
        <v>4379</v>
      </c>
      <c r="C880" s="259"/>
      <c r="D880" s="530"/>
      <c r="E880" s="531"/>
      <c r="F880" s="259" t="s">
        <v>4380</v>
      </c>
      <c r="G880" s="259" t="s">
        <v>4381</v>
      </c>
      <c r="H880" s="259" t="s">
        <v>4382</v>
      </c>
    </row>
    <row r="881">
      <c r="A881" s="579">
        <v>5.0</v>
      </c>
      <c r="B881" s="542" t="s">
        <v>1635</v>
      </c>
      <c r="C881" s="525">
        <v>1.0</v>
      </c>
      <c r="D881" s="526">
        <v>14.3</v>
      </c>
      <c r="E881" s="527">
        <v>1.0</v>
      </c>
      <c r="F881" s="542" t="s">
        <v>4383</v>
      </c>
      <c r="G881" s="525" t="s">
        <v>1554</v>
      </c>
      <c r="H881" s="767">
        <v>45419.0</v>
      </c>
    </row>
    <row r="882">
      <c r="A882" s="583">
        <v>6.0</v>
      </c>
      <c r="B882" s="259" t="s">
        <v>3231</v>
      </c>
      <c r="C882" s="259"/>
      <c r="D882" s="530"/>
      <c r="E882" s="531"/>
      <c r="F882" s="259" t="s">
        <v>4384</v>
      </c>
      <c r="G882" s="259" t="s">
        <v>4385</v>
      </c>
      <c r="H882" s="259" t="s">
        <v>4386</v>
      </c>
    </row>
    <row r="883">
      <c r="A883" s="579">
        <v>7.0</v>
      </c>
      <c r="B883" s="615" t="s">
        <v>4387</v>
      </c>
      <c r="C883" s="615">
        <v>1.0</v>
      </c>
      <c r="D883" s="823">
        <v>15.2</v>
      </c>
      <c r="E883" s="824">
        <v>1.0</v>
      </c>
      <c r="F883" s="615" t="s">
        <v>4388</v>
      </c>
      <c r="G883" s="615" t="s">
        <v>1554</v>
      </c>
      <c r="H883" s="767">
        <v>45429.0</v>
      </c>
    </row>
    <row r="884">
      <c r="A884" s="579">
        <v>8.0</v>
      </c>
      <c r="B884" s="615" t="s">
        <v>4387</v>
      </c>
      <c r="C884" s="615">
        <v>1.0</v>
      </c>
      <c r="D884" s="823">
        <v>15.2</v>
      </c>
      <c r="E884" s="824">
        <v>1.0</v>
      </c>
      <c r="F884" s="615" t="s">
        <v>4389</v>
      </c>
      <c r="G884" s="615" t="s">
        <v>1554</v>
      </c>
      <c r="H884" s="767">
        <v>45429.0</v>
      </c>
    </row>
    <row r="885">
      <c r="A885" s="579">
        <v>9.0</v>
      </c>
      <c r="B885" s="615" t="s">
        <v>4390</v>
      </c>
      <c r="C885" s="615">
        <v>1.0</v>
      </c>
      <c r="D885" s="823">
        <v>19.1</v>
      </c>
      <c r="E885" s="824">
        <v>2.0</v>
      </c>
      <c r="F885" s="615" t="s">
        <v>4391</v>
      </c>
      <c r="G885" s="615" t="s">
        <v>1554</v>
      </c>
      <c r="H885" s="767">
        <v>45429.0</v>
      </c>
    </row>
    <row r="886">
      <c r="A886" s="583">
        <v>10.0</v>
      </c>
      <c r="B886" s="259" t="s">
        <v>2644</v>
      </c>
      <c r="C886" s="259"/>
      <c r="D886" s="530"/>
      <c r="E886" s="531"/>
      <c r="F886" s="259">
        <v>7.27206263552E11</v>
      </c>
      <c r="G886" s="259" t="s">
        <v>4385</v>
      </c>
      <c r="H886" s="259" t="s">
        <v>4392</v>
      </c>
    </row>
    <row r="887">
      <c r="A887" s="579">
        <v>11.0</v>
      </c>
      <c r="B887" s="615" t="s">
        <v>1579</v>
      </c>
      <c r="C887" s="615">
        <v>1.0</v>
      </c>
      <c r="D887" s="823">
        <v>1.7</v>
      </c>
      <c r="E887" s="824">
        <v>1.0</v>
      </c>
      <c r="F887" s="615" t="s">
        <v>4393</v>
      </c>
      <c r="G887" s="615" t="s">
        <v>4385</v>
      </c>
      <c r="H887" s="767">
        <v>45429.0</v>
      </c>
    </row>
    <row r="888">
      <c r="A888" s="579">
        <v>12.0</v>
      </c>
      <c r="B888" s="615" t="s">
        <v>4394</v>
      </c>
      <c r="C888" s="615">
        <v>1.0</v>
      </c>
      <c r="D888" s="823">
        <v>17.4</v>
      </c>
      <c r="E888" s="824">
        <v>1.0</v>
      </c>
      <c r="F888" s="615" t="s">
        <v>4395</v>
      </c>
      <c r="G888" s="615" t="s">
        <v>4385</v>
      </c>
      <c r="H888" s="767">
        <v>45429.0</v>
      </c>
    </row>
    <row r="889">
      <c r="A889" s="525">
        <v>13.0</v>
      </c>
      <c r="B889" s="525" t="s">
        <v>2113</v>
      </c>
      <c r="C889" s="615">
        <v>1.0</v>
      </c>
      <c r="D889" s="823">
        <v>17.4</v>
      </c>
      <c r="E889" s="824">
        <v>1.0</v>
      </c>
      <c r="F889" s="525" t="s">
        <v>4396</v>
      </c>
      <c r="G889" s="525" t="s">
        <v>1554</v>
      </c>
      <c r="H889" s="767">
        <v>45471.0</v>
      </c>
    </row>
    <row r="890">
      <c r="A890" s="525">
        <v>14.0</v>
      </c>
      <c r="B890" s="525" t="s">
        <v>2113</v>
      </c>
      <c r="C890" s="615">
        <v>1.0</v>
      </c>
      <c r="D890" s="823">
        <v>17.4</v>
      </c>
      <c r="E890" s="824">
        <v>1.0</v>
      </c>
      <c r="F890" s="525" t="s">
        <v>4397</v>
      </c>
      <c r="G890" s="525" t="s">
        <v>1554</v>
      </c>
      <c r="H890" s="767">
        <v>45471.0</v>
      </c>
    </row>
    <row r="891">
      <c r="A891" s="259">
        <v>15.0</v>
      </c>
      <c r="B891" s="259" t="s">
        <v>2113</v>
      </c>
      <c r="C891" s="259">
        <v>1.0</v>
      </c>
      <c r="D891" s="530"/>
      <c r="E891" s="531"/>
      <c r="F891" s="259" t="s">
        <v>4398</v>
      </c>
      <c r="G891" s="259" t="s">
        <v>1554</v>
      </c>
      <c r="H891" s="768">
        <v>45471.0</v>
      </c>
    </row>
    <row r="892">
      <c r="A892" s="542">
        <v>16.0</v>
      </c>
      <c r="B892" s="542" t="s">
        <v>2113</v>
      </c>
      <c r="C892" s="542">
        <v>1.0</v>
      </c>
      <c r="D892" s="823">
        <v>17.4</v>
      </c>
      <c r="E892" s="824">
        <v>1.0</v>
      </c>
      <c r="F892" s="542"/>
      <c r="G892" s="542" t="s">
        <v>1554</v>
      </c>
      <c r="H892" s="546">
        <v>45509.0</v>
      </c>
    </row>
    <row r="893">
      <c r="A893" s="542">
        <v>18.0</v>
      </c>
      <c r="B893" s="542" t="s">
        <v>1635</v>
      </c>
      <c r="C893" s="542">
        <v>1.0</v>
      </c>
      <c r="D893" s="543">
        <v>17.4</v>
      </c>
      <c r="E893" s="544">
        <v>1.0</v>
      </c>
      <c r="F893" s="542" t="s">
        <v>4399</v>
      </c>
      <c r="G893" s="542" t="s">
        <v>1554</v>
      </c>
      <c r="H893" s="546">
        <v>45582.0</v>
      </c>
    </row>
    <row r="894">
      <c r="A894" s="542">
        <v>17.0</v>
      </c>
      <c r="B894" s="542" t="s">
        <v>4400</v>
      </c>
      <c r="C894" s="542">
        <v>1.0</v>
      </c>
      <c r="D894" s="543">
        <v>8.0</v>
      </c>
      <c r="E894" s="544">
        <v>1.0</v>
      </c>
      <c r="F894" s="542" t="s">
        <v>4401</v>
      </c>
      <c r="G894" s="542" t="s">
        <v>1554</v>
      </c>
      <c r="H894" s="546">
        <v>45582.0</v>
      </c>
    </row>
    <row r="895">
      <c r="A895" s="542">
        <v>19.0</v>
      </c>
      <c r="B895" s="542" t="s">
        <v>1635</v>
      </c>
      <c r="C895" s="542">
        <v>1.0</v>
      </c>
      <c r="D895" s="543">
        <v>17.4</v>
      </c>
      <c r="E895" s="544">
        <v>1.0</v>
      </c>
      <c r="F895" s="542" t="s">
        <v>4402</v>
      </c>
      <c r="G895" s="542" t="s">
        <v>1554</v>
      </c>
      <c r="H895" s="546">
        <v>45582.0</v>
      </c>
    </row>
    <row r="896">
      <c r="A896" s="259">
        <v>20.0</v>
      </c>
      <c r="B896" s="259" t="s">
        <v>3231</v>
      </c>
      <c r="C896" s="259"/>
      <c r="D896" s="530"/>
      <c r="E896" s="531"/>
      <c r="F896" s="542" t="s">
        <v>4402</v>
      </c>
      <c r="G896" s="259" t="s">
        <v>4385</v>
      </c>
      <c r="H896" s="259" t="s">
        <v>4403</v>
      </c>
    </row>
    <row r="897">
      <c r="A897" s="525">
        <v>21.0</v>
      </c>
      <c r="B897" s="542" t="s">
        <v>1635</v>
      </c>
      <c r="C897" s="542">
        <v>1.0</v>
      </c>
      <c r="D897" s="823">
        <v>17.4</v>
      </c>
      <c r="E897" s="824">
        <v>1.0</v>
      </c>
      <c r="F897" s="542" t="s">
        <v>4404</v>
      </c>
      <c r="G897" s="542" t="s">
        <v>1554</v>
      </c>
      <c r="H897" s="546">
        <v>45595.0</v>
      </c>
    </row>
    <row r="898">
      <c r="A898" s="525">
        <v>22.0</v>
      </c>
      <c r="B898" s="542" t="s">
        <v>1635</v>
      </c>
      <c r="C898" s="525">
        <v>1.0</v>
      </c>
      <c r="D898" s="823">
        <v>17.4</v>
      </c>
      <c r="E898" s="824">
        <v>1.0</v>
      </c>
      <c r="F898" s="542" t="s">
        <v>4405</v>
      </c>
      <c r="G898" s="542" t="s">
        <v>1554</v>
      </c>
      <c r="H898" s="528">
        <v>45671.0</v>
      </c>
    </row>
    <row r="899">
      <c r="A899" s="542">
        <v>23.0</v>
      </c>
      <c r="B899" s="542" t="s">
        <v>4406</v>
      </c>
      <c r="C899" s="525">
        <v>1.0</v>
      </c>
      <c r="D899" s="823">
        <v>21.2</v>
      </c>
      <c r="E899" s="824" t="s">
        <v>4156</v>
      </c>
      <c r="F899" s="542" t="s">
        <v>4407</v>
      </c>
      <c r="G899" s="542" t="s">
        <v>1554</v>
      </c>
      <c r="H899" s="528">
        <v>45693.0</v>
      </c>
    </row>
    <row r="900">
      <c r="A900" s="525">
        <v>24.0</v>
      </c>
      <c r="B900" s="525" t="s">
        <v>2170</v>
      </c>
      <c r="C900" s="525">
        <v>1.0</v>
      </c>
      <c r="D900" s="526">
        <v>17.4</v>
      </c>
      <c r="E900" s="527">
        <v>1.0</v>
      </c>
      <c r="F900" s="525">
        <v>3.701712521E10</v>
      </c>
      <c r="G900" s="542" t="s">
        <v>1554</v>
      </c>
      <c r="H900" s="528">
        <v>45714.0</v>
      </c>
    </row>
    <row r="901">
      <c r="A901" s="542">
        <v>25.0</v>
      </c>
      <c r="B901" s="542" t="s">
        <v>2170</v>
      </c>
      <c r="C901" s="542">
        <v>1.0</v>
      </c>
      <c r="D901" s="543">
        <v>17.4</v>
      </c>
      <c r="E901" s="544">
        <v>1.0</v>
      </c>
      <c r="F901" s="542" t="s">
        <v>4408</v>
      </c>
      <c r="G901" s="542" t="s">
        <v>1554</v>
      </c>
      <c r="H901" s="546">
        <v>45770.0</v>
      </c>
    </row>
    <row r="902">
      <c r="A902" s="542">
        <v>26.0</v>
      </c>
      <c r="B902" s="525" t="s">
        <v>4409</v>
      </c>
      <c r="C902" s="525">
        <v>1.0</v>
      </c>
      <c r="D902" s="526">
        <v>8.5</v>
      </c>
      <c r="E902" s="527">
        <v>1.0</v>
      </c>
      <c r="F902" s="525" t="s">
        <v>4410</v>
      </c>
      <c r="G902" s="542" t="s">
        <v>1554</v>
      </c>
      <c r="H902" s="528">
        <v>45833.0</v>
      </c>
    </row>
    <row r="903">
      <c r="A903" s="542">
        <v>27.0</v>
      </c>
      <c r="B903" s="525" t="s">
        <v>2016</v>
      </c>
      <c r="C903" s="525">
        <v>1.0</v>
      </c>
      <c r="D903" s="526">
        <v>17.5</v>
      </c>
      <c r="E903" s="527">
        <v>1.0</v>
      </c>
      <c r="F903" s="525">
        <v>4.546911206E9</v>
      </c>
      <c r="G903" s="542" t="s">
        <v>1554</v>
      </c>
      <c r="H903" s="528">
        <v>45847.0</v>
      </c>
    </row>
    <row r="904">
      <c r="A904" s="542">
        <v>28.0</v>
      </c>
      <c r="B904" s="525" t="s">
        <v>4411</v>
      </c>
      <c r="C904" s="525">
        <v>1.0</v>
      </c>
      <c r="D904" s="526">
        <v>12.6</v>
      </c>
      <c r="E904" s="527">
        <v>1.0</v>
      </c>
      <c r="F904" s="525" t="s">
        <v>4412</v>
      </c>
      <c r="G904" s="542" t="s">
        <v>1554</v>
      </c>
      <c r="H904" s="528">
        <v>45847.0</v>
      </c>
    </row>
    <row r="905">
      <c r="A905" s="542">
        <v>29.0</v>
      </c>
      <c r="B905" s="525" t="s">
        <v>2016</v>
      </c>
      <c r="C905" s="525">
        <v>1.0</v>
      </c>
      <c r="D905" s="526">
        <v>14.4</v>
      </c>
      <c r="E905" s="527">
        <v>1.0</v>
      </c>
      <c r="F905" s="525" t="s">
        <v>4413</v>
      </c>
      <c r="G905" s="542" t="s">
        <v>1554</v>
      </c>
      <c r="H905" s="528">
        <v>45969.0</v>
      </c>
    </row>
    <row r="906">
      <c r="A906" s="542">
        <v>30.0</v>
      </c>
      <c r="B906" s="525" t="s">
        <v>4414</v>
      </c>
      <c r="C906" s="525">
        <v>1.0</v>
      </c>
      <c r="D906" s="526">
        <v>2.36</v>
      </c>
      <c r="E906" s="527">
        <v>1.0</v>
      </c>
      <c r="F906" s="525" t="s">
        <v>4415</v>
      </c>
      <c r="G906" s="542" t="s">
        <v>1554</v>
      </c>
      <c r="H906" s="528">
        <v>46057.0</v>
      </c>
    </row>
    <row r="907">
      <c r="A907" s="585" t="s">
        <v>1562</v>
      </c>
      <c r="B907" s="3"/>
      <c r="C907" s="579">
        <f t="shared" ref="C907:E907" si="34">sum(C877:C902)</f>
        <v>22</v>
      </c>
      <c r="D907" s="582">
        <f t="shared" si="34"/>
        <v>435.4</v>
      </c>
      <c r="E907" s="580">
        <f t="shared" si="34"/>
        <v>19</v>
      </c>
      <c r="F907" s="579"/>
      <c r="G907" s="581"/>
      <c r="H907" s="581"/>
    </row>
    <row r="908">
      <c r="A908" s="689"/>
      <c r="B908" s="689"/>
      <c r="C908" s="689"/>
      <c r="D908" s="689"/>
      <c r="E908" s="689"/>
      <c r="F908" s="689"/>
      <c r="G908" s="689"/>
      <c r="H908" s="689"/>
    </row>
    <row r="909">
      <c r="A909" s="689"/>
      <c r="B909" s="689"/>
      <c r="C909" s="689"/>
      <c r="D909" s="689"/>
      <c r="E909" s="689"/>
      <c r="F909" s="689"/>
      <c r="G909" s="689"/>
      <c r="H909" s="689"/>
    </row>
    <row r="910">
      <c r="A910" s="649" t="s">
        <v>4416</v>
      </c>
      <c r="B910" s="2"/>
      <c r="C910" s="2"/>
      <c r="D910" s="2"/>
      <c r="E910" s="2"/>
      <c r="F910" s="2"/>
      <c r="G910" s="2"/>
      <c r="H910" s="3"/>
    </row>
    <row r="911">
      <c r="A911" s="690"/>
      <c r="B911" s="690" t="s">
        <v>1436</v>
      </c>
      <c r="C911" s="690" t="s">
        <v>1843</v>
      </c>
      <c r="D911" s="693" t="s">
        <v>1438</v>
      </c>
      <c r="E911" s="694" t="s">
        <v>1564</v>
      </c>
      <c r="F911" s="690" t="s">
        <v>1440</v>
      </c>
      <c r="G911" s="690" t="s">
        <v>1844</v>
      </c>
      <c r="H911" s="695" t="s">
        <v>1441</v>
      </c>
    </row>
    <row r="912">
      <c r="A912" s="658">
        <v>1.0</v>
      </c>
      <c r="B912" s="658" t="s">
        <v>1443</v>
      </c>
      <c r="C912" s="658">
        <v>1.0</v>
      </c>
      <c r="D912" s="678">
        <v>150.0</v>
      </c>
      <c r="E912" s="669"/>
      <c r="F912" s="689" t="s">
        <v>1518</v>
      </c>
      <c r="G912" s="658" t="s">
        <v>4417</v>
      </c>
      <c r="H912" s="731">
        <v>45141.0</v>
      </c>
    </row>
    <row r="913">
      <c r="A913" s="658">
        <v>2.0</v>
      </c>
      <c r="B913" s="658" t="s">
        <v>1444</v>
      </c>
      <c r="C913" s="658">
        <v>2.0</v>
      </c>
      <c r="D913" s="678">
        <v>3.2</v>
      </c>
      <c r="E913" s="669"/>
      <c r="F913" s="689"/>
      <c r="G913" s="658" t="s">
        <v>4417</v>
      </c>
      <c r="H913" s="731"/>
    </row>
    <row r="914">
      <c r="A914" s="658">
        <v>3.0</v>
      </c>
      <c r="B914" s="689" t="s">
        <v>3673</v>
      </c>
      <c r="C914" s="689">
        <v>1.0</v>
      </c>
      <c r="D914" s="721">
        <v>5.0</v>
      </c>
      <c r="E914" s="669">
        <v>1.0</v>
      </c>
      <c r="F914" s="689"/>
      <c r="G914" s="658" t="s">
        <v>4417</v>
      </c>
      <c r="H914" s="731"/>
    </row>
    <row r="915">
      <c r="A915" s="658"/>
      <c r="B915" s="658" t="s">
        <v>4418</v>
      </c>
      <c r="C915" s="658">
        <v>1.0</v>
      </c>
      <c r="D915" s="678">
        <v>8.4</v>
      </c>
      <c r="E915" s="676">
        <v>1.0</v>
      </c>
      <c r="F915" s="658" t="s">
        <v>4419</v>
      </c>
      <c r="G915" s="658" t="s">
        <v>4417</v>
      </c>
      <c r="H915" s="696">
        <v>45399.0</v>
      </c>
    </row>
    <row r="916">
      <c r="A916" s="658">
        <v>4.0</v>
      </c>
      <c r="B916" s="658" t="s">
        <v>4420</v>
      </c>
      <c r="C916" s="658">
        <v>1.0</v>
      </c>
      <c r="D916" s="678">
        <v>20.5</v>
      </c>
      <c r="E916" s="676">
        <v>2.0</v>
      </c>
      <c r="F916" s="658" t="s">
        <v>4421</v>
      </c>
      <c r="G916" s="658" t="s">
        <v>4417</v>
      </c>
      <c r="H916" s="696">
        <v>45405.0</v>
      </c>
    </row>
    <row r="917">
      <c r="A917" s="658">
        <v>5.0</v>
      </c>
      <c r="B917" s="658" t="s">
        <v>4422</v>
      </c>
      <c r="C917" s="658">
        <v>1.0</v>
      </c>
      <c r="D917" s="678">
        <v>17.4</v>
      </c>
      <c r="E917" s="676">
        <v>1.0</v>
      </c>
      <c r="F917" s="658" t="s">
        <v>4423</v>
      </c>
      <c r="G917" s="658" t="s">
        <v>4417</v>
      </c>
      <c r="H917" s="696">
        <v>45405.0</v>
      </c>
    </row>
    <row r="918">
      <c r="A918" s="662">
        <v>6.0</v>
      </c>
      <c r="B918" s="662" t="s">
        <v>4424</v>
      </c>
      <c r="C918" s="662"/>
      <c r="D918" s="673"/>
      <c r="E918" s="665"/>
      <c r="F918" s="662" t="s">
        <v>4425</v>
      </c>
      <c r="G918" s="662"/>
      <c r="H918" s="662" t="s">
        <v>4426</v>
      </c>
    </row>
    <row r="919">
      <c r="A919" s="658">
        <v>7.0</v>
      </c>
      <c r="B919" s="658" t="s">
        <v>4427</v>
      </c>
      <c r="C919" s="658">
        <v>1.0</v>
      </c>
      <c r="D919" s="678">
        <v>6.2</v>
      </c>
      <c r="E919" s="676">
        <v>1.0</v>
      </c>
      <c r="F919" s="689"/>
      <c r="G919" s="658" t="s">
        <v>4417</v>
      </c>
      <c r="H919" s="696">
        <v>45405.0</v>
      </c>
    </row>
    <row r="920">
      <c r="A920" s="662">
        <v>8.0</v>
      </c>
      <c r="B920" s="662" t="s">
        <v>4428</v>
      </c>
      <c r="C920" s="662"/>
      <c r="D920" s="673"/>
      <c r="E920" s="665"/>
      <c r="F920" s="722"/>
      <c r="G920" s="662"/>
      <c r="H920" s="698">
        <v>45405.0</v>
      </c>
    </row>
    <row r="921">
      <c r="A921" s="722">
        <v>9.0</v>
      </c>
      <c r="B921" s="662" t="s">
        <v>4429</v>
      </c>
      <c r="C921" s="662"/>
      <c r="D921" s="673"/>
      <c r="E921" s="665"/>
      <c r="F921" s="722"/>
      <c r="G921" s="662"/>
      <c r="H921" s="698">
        <v>45405.0</v>
      </c>
    </row>
    <row r="922">
      <c r="A922" s="658">
        <v>10.0</v>
      </c>
      <c r="B922" s="658" t="s">
        <v>4429</v>
      </c>
      <c r="C922" s="658">
        <v>1.0</v>
      </c>
      <c r="D922" s="678">
        <v>2.6</v>
      </c>
      <c r="E922" s="676">
        <v>1.0</v>
      </c>
      <c r="F922" s="689"/>
      <c r="G922" s="658" t="s">
        <v>4417</v>
      </c>
      <c r="H922" s="696">
        <v>45405.0</v>
      </c>
    </row>
    <row r="923">
      <c r="A923" s="689">
        <v>11.0</v>
      </c>
      <c r="B923" s="655" t="s">
        <v>4430</v>
      </c>
      <c r="C923" s="655">
        <v>1.0</v>
      </c>
      <c r="D923" s="656">
        <v>12.3</v>
      </c>
      <c r="E923" s="676">
        <v>1.0</v>
      </c>
      <c r="F923" s="658" t="s">
        <v>4431</v>
      </c>
      <c r="G923" s="658" t="s">
        <v>4417</v>
      </c>
      <c r="H923" s="696">
        <v>45488.0</v>
      </c>
    </row>
    <row r="924">
      <c r="A924" s="658">
        <v>12.0</v>
      </c>
      <c r="B924" s="655" t="s">
        <v>4432</v>
      </c>
      <c r="C924" s="655">
        <v>1.0</v>
      </c>
      <c r="D924" s="656">
        <v>2.0</v>
      </c>
      <c r="E924" s="676">
        <v>1.0</v>
      </c>
      <c r="F924" s="658" t="s">
        <v>4433</v>
      </c>
      <c r="G924" s="658" t="s">
        <v>4417</v>
      </c>
      <c r="H924" s="696">
        <v>45488.0</v>
      </c>
    </row>
    <row r="925">
      <c r="A925" s="689">
        <v>13.0</v>
      </c>
      <c r="B925" s="658" t="s">
        <v>2811</v>
      </c>
      <c r="C925" s="658">
        <v>1.0</v>
      </c>
      <c r="D925" s="678">
        <v>14.3</v>
      </c>
      <c r="E925" s="676">
        <v>1.0</v>
      </c>
      <c r="F925" s="658" t="s">
        <v>4434</v>
      </c>
      <c r="G925" s="658" t="s">
        <v>4417</v>
      </c>
      <c r="H925" s="696">
        <v>45516.0</v>
      </c>
    </row>
    <row r="926">
      <c r="A926" s="658">
        <v>14.0</v>
      </c>
      <c r="B926" s="655" t="s">
        <v>4435</v>
      </c>
      <c r="C926" s="658">
        <v>1.0</v>
      </c>
      <c r="D926" s="678">
        <v>15.7</v>
      </c>
      <c r="E926" s="676">
        <v>1.0</v>
      </c>
      <c r="F926" s="658" t="s">
        <v>4436</v>
      </c>
      <c r="G926" s="658" t="s">
        <v>4417</v>
      </c>
      <c r="H926" s="696">
        <v>45590.0</v>
      </c>
    </row>
    <row r="927">
      <c r="A927" s="658">
        <v>15.0</v>
      </c>
      <c r="B927" s="825" t="s">
        <v>4437</v>
      </c>
      <c r="C927" s="658">
        <v>1.0</v>
      </c>
      <c r="D927" s="678">
        <v>3.8</v>
      </c>
      <c r="E927" s="676">
        <v>1.0</v>
      </c>
      <c r="F927" s="825" t="s">
        <v>4438</v>
      </c>
      <c r="G927" s="658" t="s">
        <v>4417</v>
      </c>
      <c r="H927" s="679">
        <v>45611.0</v>
      </c>
    </row>
    <row r="928">
      <c r="A928" s="658">
        <v>16.0</v>
      </c>
      <c r="B928" s="825" t="s">
        <v>4439</v>
      </c>
      <c r="C928" s="658">
        <v>1.0</v>
      </c>
      <c r="D928" s="678">
        <v>15.7</v>
      </c>
      <c r="E928" s="676">
        <v>1.0</v>
      </c>
      <c r="F928" s="825" t="s">
        <v>4440</v>
      </c>
      <c r="G928" s="658" t="s">
        <v>4417</v>
      </c>
      <c r="H928" s="679">
        <v>45707.0</v>
      </c>
    </row>
    <row r="929">
      <c r="A929" s="658">
        <v>17.0</v>
      </c>
      <c r="B929" s="825" t="s">
        <v>4439</v>
      </c>
      <c r="C929" s="658">
        <v>1.0</v>
      </c>
      <c r="D929" s="678">
        <v>15.7</v>
      </c>
      <c r="E929" s="676">
        <v>1.0</v>
      </c>
      <c r="F929" s="825" t="s">
        <v>4441</v>
      </c>
      <c r="G929" s="658" t="s">
        <v>4417</v>
      </c>
      <c r="H929" s="679">
        <v>45707.0</v>
      </c>
    </row>
    <row r="930">
      <c r="A930" s="345">
        <v>18.0</v>
      </c>
      <c r="B930" s="826" t="s">
        <v>4442</v>
      </c>
      <c r="C930" s="826">
        <v>1.0</v>
      </c>
      <c r="D930" s="826" t="s">
        <v>4443</v>
      </c>
      <c r="E930" s="826" t="s">
        <v>4444</v>
      </c>
      <c r="F930" s="827">
        <v>3.2804753438E10</v>
      </c>
      <c r="G930" s="826" t="s">
        <v>4445</v>
      </c>
      <c r="H930" s="828">
        <v>45825.0</v>
      </c>
    </row>
    <row r="931">
      <c r="A931" s="649" t="s">
        <v>4446</v>
      </c>
      <c r="B931" s="2"/>
      <c r="C931" s="2"/>
      <c r="D931" s="2"/>
      <c r="E931" s="2"/>
      <c r="F931" s="2"/>
      <c r="G931" s="2"/>
      <c r="H931" s="3"/>
    </row>
    <row r="932">
      <c r="A932" s="690"/>
      <c r="B932" s="690" t="s">
        <v>1436</v>
      </c>
      <c r="C932" s="690" t="s">
        <v>1843</v>
      </c>
      <c r="D932" s="693" t="s">
        <v>1438</v>
      </c>
      <c r="E932" s="694" t="s">
        <v>1564</v>
      </c>
      <c r="F932" s="690" t="s">
        <v>1440</v>
      </c>
      <c r="G932" s="690" t="s">
        <v>1844</v>
      </c>
      <c r="H932" s="695" t="s">
        <v>1441</v>
      </c>
    </row>
    <row r="933">
      <c r="A933" s="658">
        <v>19.0</v>
      </c>
      <c r="B933" s="825" t="s">
        <v>4447</v>
      </c>
      <c r="C933" s="658">
        <v>1.0</v>
      </c>
      <c r="D933" s="678">
        <v>2.2</v>
      </c>
      <c r="E933" s="676">
        <v>1.0</v>
      </c>
      <c r="F933" s="825" t="s">
        <v>4448</v>
      </c>
      <c r="G933" s="658" t="s">
        <v>4449</v>
      </c>
      <c r="H933" s="679">
        <v>45716.0</v>
      </c>
    </row>
    <row r="934">
      <c r="A934" s="658">
        <v>20.0</v>
      </c>
      <c r="B934" s="825" t="s">
        <v>4447</v>
      </c>
      <c r="C934" s="658">
        <v>1.0</v>
      </c>
      <c r="D934" s="678">
        <v>2.2</v>
      </c>
      <c r="E934" s="676">
        <v>1.0</v>
      </c>
      <c r="F934" s="829" t="s">
        <v>4450</v>
      </c>
      <c r="G934" s="658" t="s">
        <v>4449</v>
      </c>
      <c r="H934" s="679">
        <v>45716.0</v>
      </c>
    </row>
    <row r="935">
      <c r="A935" s="658">
        <v>21.0</v>
      </c>
      <c r="B935" s="825" t="s">
        <v>4447</v>
      </c>
      <c r="C935" s="658">
        <v>1.0</v>
      </c>
      <c r="D935" s="678">
        <v>2.2</v>
      </c>
      <c r="E935" s="676">
        <v>1.0</v>
      </c>
      <c r="F935" s="825" t="s">
        <v>4451</v>
      </c>
      <c r="G935" s="658" t="s">
        <v>4449</v>
      </c>
      <c r="H935" s="679">
        <v>45716.0</v>
      </c>
    </row>
    <row r="936">
      <c r="A936" s="658">
        <v>22.0</v>
      </c>
      <c r="B936" s="825" t="s">
        <v>4452</v>
      </c>
      <c r="C936" s="658">
        <v>1.0</v>
      </c>
      <c r="D936" s="678">
        <v>9.3</v>
      </c>
      <c r="E936" s="676">
        <v>1.0</v>
      </c>
      <c r="F936" s="829" t="s">
        <v>4453</v>
      </c>
      <c r="G936" s="658" t="s">
        <v>4449</v>
      </c>
      <c r="H936" s="679">
        <v>45716.0</v>
      </c>
    </row>
    <row r="937">
      <c r="A937" s="732" t="s">
        <v>1562</v>
      </c>
      <c r="B937" s="3"/>
      <c r="C937" s="689">
        <f t="shared" ref="C937:E937" si="35">sum(C912:C936)</f>
        <v>21</v>
      </c>
      <c r="D937" s="721">
        <f t="shared" si="35"/>
        <v>308.7</v>
      </c>
      <c r="E937" s="669">
        <f t="shared" si="35"/>
        <v>18</v>
      </c>
      <c r="F937" s="689"/>
      <c r="G937" s="731"/>
      <c r="H937" s="731"/>
    </row>
    <row r="938">
      <c r="A938" s="689"/>
      <c r="B938" s="689"/>
      <c r="C938" s="689"/>
      <c r="D938" s="689"/>
      <c r="E938" s="689"/>
      <c r="F938" s="689"/>
      <c r="G938" s="689"/>
      <c r="H938" s="689"/>
    </row>
    <row r="939">
      <c r="A939" s="689"/>
      <c r="B939" s="689"/>
      <c r="C939" s="689"/>
      <c r="D939" s="689"/>
      <c r="E939" s="689"/>
      <c r="F939" s="689"/>
      <c r="G939" s="689"/>
      <c r="H939" s="689"/>
    </row>
    <row r="940">
      <c r="A940" s="761" t="s">
        <v>4454</v>
      </c>
      <c r="B940" s="2"/>
      <c r="C940" s="2"/>
      <c r="D940" s="2"/>
      <c r="E940" s="2"/>
      <c r="F940" s="2"/>
      <c r="G940" s="2"/>
      <c r="H940" s="3"/>
    </row>
    <row r="941">
      <c r="A941" s="762" t="s">
        <v>1435</v>
      </c>
      <c r="B941" s="762" t="s">
        <v>1436</v>
      </c>
      <c r="C941" s="762" t="s">
        <v>1843</v>
      </c>
      <c r="D941" s="763" t="s">
        <v>1438</v>
      </c>
      <c r="E941" s="764" t="s">
        <v>1564</v>
      </c>
      <c r="F941" s="762" t="s">
        <v>1440</v>
      </c>
      <c r="G941" s="762" t="s">
        <v>1844</v>
      </c>
      <c r="H941" s="765" t="s">
        <v>1441</v>
      </c>
    </row>
    <row r="942">
      <c r="A942" s="525">
        <v>1.0</v>
      </c>
      <c r="B942" s="525" t="s">
        <v>1443</v>
      </c>
      <c r="C942" s="525">
        <v>1.0</v>
      </c>
      <c r="D942" s="526">
        <v>150.0</v>
      </c>
      <c r="E942" s="580"/>
      <c r="F942" s="579" t="s">
        <v>1518</v>
      </c>
      <c r="G942" s="525" t="s">
        <v>1554</v>
      </c>
      <c r="H942" s="581">
        <v>45141.0</v>
      </c>
    </row>
    <row r="943">
      <c r="A943" s="525">
        <v>2.0</v>
      </c>
      <c r="B943" s="525" t="s">
        <v>1444</v>
      </c>
      <c r="C943" s="525">
        <v>2.0</v>
      </c>
      <c r="D943" s="526">
        <v>3.2</v>
      </c>
      <c r="E943" s="580"/>
      <c r="F943" s="579" t="s">
        <v>1518</v>
      </c>
      <c r="G943" s="525" t="s">
        <v>1554</v>
      </c>
      <c r="H943" s="581">
        <v>45141.0</v>
      </c>
    </row>
    <row r="944">
      <c r="A944" s="525">
        <v>3.0</v>
      </c>
      <c r="B944" s="579" t="s">
        <v>3673</v>
      </c>
      <c r="C944" s="579">
        <v>1.0</v>
      </c>
      <c r="D944" s="582">
        <v>5.0</v>
      </c>
      <c r="E944" s="580">
        <v>1.0</v>
      </c>
      <c r="F944" s="579" t="s">
        <v>1518</v>
      </c>
      <c r="G944" s="525" t="s">
        <v>1554</v>
      </c>
      <c r="H944" s="581">
        <v>45141.0</v>
      </c>
    </row>
    <row r="945">
      <c r="A945" s="579">
        <v>4.0</v>
      </c>
      <c r="B945" s="525" t="s">
        <v>2632</v>
      </c>
      <c r="C945" s="579">
        <v>1.0</v>
      </c>
      <c r="D945" s="526">
        <v>1.9</v>
      </c>
      <c r="E945" s="580">
        <v>1.0</v>
      </c>
      <c r="F945" s="525" t="s">
        <v>4455</v>
      </c>
      <c r="G945" s="525" t="s">
        <v>4456</v>
      </c>
      <c r="H945" s="528">
        <v>45454.0</v>
      </c>
    </row>
    <row r="946">
      <c r="A946" s="579">
        <v>5.0</v>
      </c>
      <c r="B946" s="525" t="s">
        <v>3460</v>
      </c>
      <c r="C946" s="579">
        <v>1.0</v>
      </c>
      <c r="D946" s="526">
        <v>1.9</v>
      </c>
      <c r="E946" s="580">
        <v>1.0</v>
      </c>
      <c r="F946" s="525" t="s">
        <v>4457</v>
      </c>
      <c r="G946" s="542" t="s">
        <v>4456</v>
      </c>
      <c r="H946" s="528">
        <v>45454.0</v>
      </c>
    </row>
    <row r="947">
      <c r="A947" s="583">
        <v>6.0</v>
      </c>
      <c r="B947" s="259" t="s">
        <v>4458</v>
      </c>
      <c r="C947" s="583"/>
      <c r="D947" s="530"/>
      <c r="E947" s="612"/>
      <c r="F947" s="259" t="s">
        <v>4459</v>
      </c>
      <c r="G947" s="259" t="s">
        <v>4460</v>
      </c>
      <c r="H947" s="532">
        <v>45454.0</v>
      </c>
    </row>
    <row r="948">
      <c r="A948" s="583">
        <v>7.0</v>
      </c>
      <c r="B948" s="259" t="s">
        <v>4461</v>
      </c>
      <c r="C948" s="583"/>
      <c r="D948" s="530"/>
      <c r="E948" s="612"/>
      <c r="F948" s="259" t="s">
        <v>4462</v>
      </c>
      <c r="G948" s="259" t="s">
        <v>4460</v>
      </c>
      <c r="H948" s="532">
        <v>45454.0</v>
      </c>
    </row>
    <row r="949">
      <c r="A949" s="583">
        <v>8.0</v>
      </c>
      <c r="B949" s="259" t="s">
        <v>2627</v>
      </c>
      <c r="C949" s="583"/>
      <c r="D949" s="530"/>
      <c r="E949" s="612"/>
      <c r="F949" s="259" t="s">
        <v>4463</v>
      </c>
      <c r="G949" s="259" t="s">
        <v>4460</v>
      </c>
      <c r="H949" s="532">
        <v>45454.0</v>
      </c>
    </row>
    <row r="950">
      <c r="A950" s="542">
        <v>9.0</v>
      </c>
      <c r="B950" s="542" t="s">
        <v>1633</v>
      </c>
      <c r="C950" s="542">
        <v>1.0</v>
      </c>
      <c r="D950" s="543">
        <v>1.9</v>
      </c>
      <c r="E950" s="580">
        <v>1.0</v>
      </c>
      <c r="F950" s="830"/>
      <c r="G950" s="542" t="s">
        <v>4464</v>
      </c>
      <c r="H950" s="546">
        <v>45506.0</v>
      </c>
    </row>
    <row r="951">
      <c r="A951" s="542">
        <v>10.0</v>
      </c>
      <c r="B951" s="542" t="s">
        <v>4458</v>
      </c>
      <c r="C951" s="542">
        <v>1.0</v>
      </c>
      <c r="D951" s="543">
        <v>14.4</v>
      </c>
      <c r="E951" s="580">
        <v>1.0</v>
      </c>
      <c r="F951" s="830"/>
      <c r="G951" s="542" t="s">
        <v>4464</v>
      </c>
      <c r="H951" s="546">
        <v>45506.0</v>
      </c>
    </row>
    <row r="952">
      <c r="A952" s="259">
        <v>11.0</v>
      </c>
      <c r="B952" s="259" t="s">
        <v>4339</v>
      </c>
      <c r="C952" s="259"/>
      <c r="D952" s="530"/>
      <c r="E952" s="531"/>
      <c r="F952" s="259" t="s">
        <v>4340</v>
      </c>
      <c r="G952" s="259" t="s">
        <v>4465</v>
      </c>
      <c r="H952" s="532">
        <v>45313.0</v>
      </c>
    </row>
    <row r="953">
      <c r="A953" s="259">
        <v>12.0</v>
      </c>
      <c r="B953" s="259" t="s">
        <v>4342</v>
      </c>
      <c r="C953" s="259"/>
      <c r="D953" s="530"/>
      <c r="E953" s="531"/>
      <c r="F953" s="259" t="s">
        <v>3819</v>
      </c>
      <c r="G953" s="259" t="s">
        <v>4465</v>
      </c>
      <c r="H953" s="532">
        <v>45313.0</v>
      </c>
    </row>
    <row r="954">
      <c r="A954" s="259">
        <v>13.0</v>
      </c>
      <c r="B954" s="259" t="s">
        <v>4343</v>
      </c>
      <c r="C954" s="259"/>
      <c r="D954" s="831"/>
      <c r="E954" s="531"/>
      <c r="F954" s="259" t="s">
        <v>4344</v>
      </c>
      <c r="G954" s="259" t="s">
        <v>4465</v>
      </c>
      <c r="H954" s="532">
        <v>45313.0</v>
      </c>
    </row>
    <row r="955">
      <c r="A955" s="542">
        <v>14.0</v>
      </c>
      <c r="B955" s="542" t="s">
        <v>4339</v>
      </c>
      <c r="C955" s="542">
        <v>1.0</v>
      </c>
      <c r="D955" s="543">
        <v>10.0</v>
      </c>
      <c r="E955" s="544">
        <v>1.0</v>
      </c>
      <c r="F955" s="542" t="s">
        <v>4466</v>
      </c>
      <c r="G955" s="542" t="s">
        <v>4464</v>
      </c>
      <c r="H955" s="546">
        <v>45709.0</v>
      </c>
    </row>
    <row r="956">
      <c r="A956" s="259">
        <v>15.0</v>
      </c>
      <c r="B956" s="259" t="s">
        <v>4467</v>
      </c>
      <c r="C956" s="259"/>
      <c r="D956" s="530"/>
      <c r="E956" s="531"/>
      <c r="F956" s="259" t="s">
        <v>4468</v>
      </c>
      <c r="G956" s="259" t="s">
        <v>4469</v>
      </c>
      <c r="H956" s="532">
        <v>45709.0</v>
      </c>
    </row>
    <row r="957">
      <c r="A957" s="259">
        <v>16.0</v>
      </c>
      <c r="B957" s="259" t="s">
        <v>4470</v>
      </c>
      <c r="C957" s="259"/>
      <c r="D957" s="530"/>
      <c r="E957" s="531"/>
      <c r="F957" s="259" t="s">
        <v>4471</v>
      </c>
      <c r="G957" s="259" t="s">
        <v>4472</v>
      </c>
      <c r="H957" s="532">
        <v>45709.0</v>
      </c>
    </row>
    <row r="958">
      <c r="A958" s="542">
        <v>32.0</v>
      </c>
      <c r="B958" s="542" t="s">
        <v>4473</v>
      </c>
      <c r="C958" s="542">
        <v>1.0</v>
      </c>
      <c r="D958" s="543">
        <v>8.7</v>
      </c>
      <c r="E958" s="544">
        <v>1.0</v>
      </c>
      <c r="F958" s="542"/>
      <c r="G958" s="542" t="s">
        <v>4464</v>
      </c>
      <c r="H958" s="546">
        <v>45804.0</v>
      </c>
    </row>
    <row r="959">
      <c r="A959" s="542">
        <v>17.0</v>
      </c>
      <c r="B959" s="525" t="s">
        <v>4474</v>
      </c>
      <c r="C959" s="542">
        <v>1.0</v>
      </c>
      <c r="D959" s="526">
        <v>2.0</v>
      </c>
      <c r="E959" s="544">
        <v>1.0</v>
      </c>
      <c r="F959" s="525" t="s">
        <v>4475</v>
      </c>
      <c r="G959" s="525" t="s">
        <v>4476</v>
      </c>
      <c r="H959" s="546">
        <v>45738.0</v>
      </c>
    </row>
    <row r="960">
      <c r="A960" s="542">
        <v>18.0</v>
      </c>
      <c r="B960" s="525" t="s">
        <v>4477</v>
      </c>
      <c r="C960" s="542">
        <v>1.0</v>
      </c>
      <c r="D960" s="526">
        <v>2.0</v>
      </c>
      <c r="E960" s="544">
        <v>1.0</v>
      </c>
      <c r="F960" s="525" t="s">
        <v>4478</v>
      </c>
      <c r="G960" s="525" t="s">
        <v>4476</v>
      </c>
      <c r="H960" s="546">
        <v>45738.0</v>
      </c>
    </row>
    <row r="961">
      <c r="A961" s="542">
        <v>19.0</v>
      </c>
      <c r="B961" s="525" t="s">
        <v>4479</v>
      </c>
      <c r="C961" s="542">
        <v>1.0</v>
      </c>
      <c r="D961" s="526">
        <v>26.1</v>
      </c>
      <c r="E961" s="527">
        <v>2.0</v>
      </c>
      <c r="F961" s="525" t="s">
        <v>4480</v>
      </c>
      <c r="G961" s="525" t="s">
        <v>4476</v>
      </c>
      <c r="H961" s="546">
        <v>45738.0</v>
      </c>
    </row>
    <row r="962">
      <c r="A962" s="542">
        <v>20.0</v>
      </c>
      <c r="B962" s="525" t="s">
        <v>4481</v>
      </c>
      <c r="C962" s="542">
        <v>1.0</v>
      </c>
      <c r="D962" s="526">
        <v>7.88</v>
      </c>
      <c r="E962" s="527">
        <v>1.0</v>
      </c>
      <c r="F962" s="525" t="s">
        <v>4482</v>
      </c>
      <c r="G962" s="525" t="s">
        <v>4476</v>
      </c>
      <c r="H962" s="546">
        <v>45738.0</v>
      </c>
    </row>
    <row r="963">
      <c r="A963" s="542">
        <v>21.0</v>
      </c>
      <c r="B963" s="525" t="s">
        <v>4483</v>
      </c>
      <c r="C963" s="542">
        <v>1.0</v>
      </c>
      <c r="D963" s="526">
        <v>16.3</v>
      </c>
      <c r="E963" s="527">
        <v>1.0</v>
      </c>
      <c r="F963" s="525" t="s">
        <v>4484</v>
      </c>
      <c r="G963" s="525" t="s">
        <v>4476</v>
      </c>
      <c r="H963" s="546">
        <v>45738.0</v>
      </c>
    </row>
    <row r="964">
      <c r="A964" s="542"/>
      <c r="B964" s="525" t="s">
        <v>4485</v>
      </c>
      <c r="C964" s="542">
        <v>1.0</v>
      </c>
      <c r="D964" s="526"/>
      <c r="E964" s="527">
        <v>1.0</v>
      </c>
      <c r="F964" s="525"/>
      <c r="G964" s="525" t="s">
        <v>4476</v>
      </c>
      <c r="H964" s="546"/>
    </row>
    <row r="965">
      <c r="A965" s="259">
        <v>22.0</v>
      </c>
      <c r="B965" s="259" t="s">
        <v>4486</v>
      </c>
      <c r="C965" s="259"/>
      <c r="D965" s="530"/>
      <c r="E965" s="531"/>
      <c r="F965" s="259">
        <v>5.271937663E9</v>
      </c>
      <c r="G965" s="259" t="s">
        <v>4487</v>
      </c>
      <c r="H965" s="259" t="s">
        <v>4488</v>
      </c>
    </row>
    <row r="966">
      <c r="A966" s="259">
        <v>23.0</v>
      </c>
      <c r="B966" s="259" t="s">
        <v>4489</v>
      </c>
      <c r="C966" s="259"/>
      <c r="D966" s="530"/>
      <c r="E966" s="531"/>
      <c r="F966" s="259">
        <v>7.2882910173E10</v>
      </c>
      <c r="G966" s="259" t="s">
        <v>4487</v>
      </c>
      <c r="H966" s="259" t="s">
        <v>4488</v>
      </c>
    </row>
    <row r="967">
      <c r="A967" s="259">
        <v>23.0</v>
      </c>
      <c r="B967" s="259" t="s">
        <v>4490</v>
      </c>
      <c r="C967" s="259"/>
      <c r="D967" s="530"/>
      <c r="E967" s="531"/>
      <c r="F967" s="259" t="s">
        <v>4491</v>
      </c>
      <c r="G967" s="259" t="s">
        <v>4487</v>
      </c>
      <c r="H967" s="259" t="s">
        <v>4492</v>
      </c>
    </row>
    <row r="968">
      <c r="A968" s="259">
        <v>31.0</v>
      </c>
      <c r="B968" s="259" t="s">
        <v>4493</v>
      </c>
      <c r="C968" s="259"/>
      <c r="D968" s="530"/>
      <c r="E968" s="531"/>
      <c r="F968" s="259" t="s">
        <v>4494</v>
      </c>
      <c r="G968" s="259" t="s">
        <v>4487</v>
      </c>
      <c r="H968" s="259" t="s">
        <v>4495</v>
      </c>
    </row>
    <row r="969">
      <c r="A969" s="259">
        <v>33.0</v>
      </c>
      <c r="B969" s="259" t="s">
        <v>2756</v>
      </c>
      <c r="C969" s="259"/>
      <c r="D969" s="530"/>
      <c r="E969" s="531"/>
      <c r="F969" s="374">
        <v>5.60086941E8</v>
      </c>
      <c r="G969" s="259" t="s">
        <v>4487</v>
      </c>
      <c r="H969" s="259" t="s">
        <v>4496</v>
      </c>
    </row>
    <row r="970">
      <c r="A970" s="259">
        <v>34.0</v>
      </c>
      <c r="B970" s="259" t="s">
        <v>4497</v>
      </c>
      <c r="C970" s="259"/>
      <c r="D970" s="530"/>
      <c r="E970" s="531"/>
      <c r="F970" s="374" t="s">
        <v>4498</v>
      </c>
      <c r="G970" s="259" t="s">
        <v>4487</v>
      </c>
      <c r="H970" s="259" t="s">
        <v>4496</v>
      </c>
    </row>
    <row r="971">
      <c r="A971" s="259">
        <v>35.0</v>
      </c>
      <c r="B971" s="259" t="s">
        <v>4499</v>
      </c>
      <c r="C971" s="259"/>
      <c r="D971" s="530"/>
      <c r="E971" s="531"/>
      <c r="F971" s="374" t="s">
        <v>4500</v>
      </c>
      <c r="G971" s="259" t="s">
        <v>4487</v>
      </c>
      <c r="H971" s="259" t="s">
        <v>4496</v>
      </c>
    </row>
    <row r="972">
      <c r="A972" s="259">
        <v>36.0</v>
      </c>
      <c r="B972" s="259" t="s">
        <v>4493</v>
      </c>
      <c r="C972" s="259"/>
      <c r="D972" s="530"/>
      <c r="E972" s="531"/>
      <c r="F972" s="818" t="s">
        <v>4501</v>
      </c>
      <c r="G972" s="259" t="s">
        <v>4487</v>
      </c>
      <c r="H972" s="259" t="s">
        <v>4502</v>
      </c>
    </row>
    <row r="973">
      <c r="A973" s="525">
        <v>37.0</v>
      </c>
      <c r="B973" s="525" t="s">
        <v>4503</v>
      </c>
      <c r="C973" s="525">
        <v>1.0</v>
      </c>
      <c r="D973" s="526">
        <v>8.4</v>
      </c>
      <c r="E973" s="527">
        <v>1.0</v>
      </c>
      <c r="F973" s="437" t="s">
        <v>4504</v>
      </c>
      <c r="G973" s="525" t="s">
        <v>4505</v>
      </c>
      <c r="H973" s="832">
        <v>45973.0</v>
      </c>
    </row>
    <row r="974">
      <c r="A974" s="525">
        <v>38.0</v>
      </c>
      <c r="B974" s="525" t="s">
        <v>4506</v>
      </c>
      <c r="C974" s="525">
        <v>1.0</v>
      </c>
      <c r="D974" s="526">
        <v>4.0</v>
      </c>
      <c r="E974" s="527">
        <v>1.0</v>
      </c>
      <c r="F974" s="437" t="s">
        <v>1518</v>
      </c>
      <c r="G974" s="525" t="s">
        <v>4505</v>
      </c>
      <c r="H974" s="832">
        <v>45973.0</v>
      </c>
    </row>
    <row r="975">
      <c r="A975" s="525">
        <v>39.0</v>
      </c>
      <c r="B975" s="525" t="s">
        <v>2113</v>
      </c>
      <c r="C975" s="525">
        <v>1.0</v>
      </c>
      <c r="D975" s="526">
        <v>17.4</v>
      </c>
      <c r="E975" s="527">
        <v>1.0</v>
      </c>
      <c r="F975" s="437" t="s">
        <v>4507</v>
      </c>
      <c r="G975" s="525" t="s">
        <v>4505</v>
      </c>
      <c r="H975" s="832">
        <v>45983.0</v>
      </c>
    </row>
    <row r="976">
      <c r="A976" s="259">
        <v>40.0</v>
      </c>
      <c r="B976" s="259" t="s">
        <v>4508</v>
      </c>
      <c r="C976" s="259"/>
      <c r="D976" s="530"/>
      <c r="E976" s="531"/>
      <c r="F976" s="259" t="s">
        <v>4509</v>
      </c>
      <c r="G976" s="259" t="s">
        <v>4510</v>
      </c>
      <c r="H976" s="833">
        <v>46001.0</v>
      </c>
    </row>
    <row r="977">
      <c r="A977" s="259">
        <v>41.0</v>
      </c>
      <c r="B977" s="818" t="s">
        <v>4508</v>
      </c>
      <c r="C977" s="259"/>
      <c r="D977" s="530"/>
      <c r="E977" s="531"/>
      <c r="F977" s="259" t="s">
        <v>4511</v>
      </c>
      <c r="G977" s="259" t="s">
        <v>4510</v>
      </c>
      <c r="H977" s="833">
        <v>46001.0</v>
      </c>
    </row>
    <row r="978">
      <c r="A978" s="259">
        <v>42.0</v>
      </c>
      <c r="B978" s="834" t="s">
        <v>4512</v>
      </c>
      <c r="C978" s="259">
        <v>1.0</v>
      </c>
      <c r="D978" s="530">
        <v>7.7</v>
      </c>
      <c r="E978" s="531">
        <v>1.0</v>
      </c>
      <c r="F978" s="818" t="s">
        <v>4513</v>
      </c>
      <c r="G978" s="259" t="s">
        <v>4514</v>
      </c>
      <c r="H978" s="833">
        <v>46008.0</v>
      </c>
    </row>
    <row r="979">
      <c r="A979" s="542">
        <v>43.0</v>
      </c>
      <c r="B979" s="835" t="s">
        <v>2632</v>
      </c>
      <c r="C979" s="542">
        <v>1.0</v>
      </c>
      <c r="D979" s="543">
        <v>2.1</v>
      </c>
      <c r="E979" s="544">
        <v>1.0</v>
      </c>
      <c r="F979" s="836" t="s">
        <v>4515</v>
      </c>
      <c r="G979" s="542" t="s">
        <v>4516</v>
      </c>
      <c r="H979" s="837">
        <v>46051.0</v>
      </c>
    </row>
    <row r="980">
      <c r="A980" s="542">
        <v>44.0</v>
      </c>
      <c r="B980" s="835" t="s">
        <v>4517</v>
      </c>
      <c r="C980" s="542">
        <v>1.0</v>
      </c>
      <c r="D980" s="543">
        <v>7.0</v>
      </c>
      <c r="E980" s="544">
        <v>1.0</v>
      </c>
      <c r="F980" s="836" t="s">
        <v>4518</v>
      </c>
      <c r="G980" s="542" t="s">
        <v>4516</v>
      </c>
      <c r="H980" s="837">
        <v>46051.0</v>
      </c>
    </row>
    <row r="981">
      <c r="A981" s="542">
        <v>43.0</v>
      </c>
      <c r="B981" s="835" t="s">
        <v>3547</v>
      </c>
      <c r="C981" s="542">
        <v>1.0</v>
      </c>
      <c r="D981" s="543">
        <v>21.9</v>
      </c>
      <c r="E981" s="544">
        <v>1.0</v>
      </c>
      <c r="F981" s="836" t="s">
        <v>4519</v>
      </c>
      <c r="G981" s="542" t="s">
        <v>4520</v>
      </c>
      <c r="H981" s="837"/>
    </row>
    <row r="982">
      <c r="A982" s="585" t="s">
        <v>1562</v>
      </c>
      <c r="B982" s="3"/>
      <c r="C982" s="579">
        <f>sum(C942:C975)</f>
        <v>19</v>
      </c>
      <c r="D982" s="582">
        <f>sum(D942:D972)</f>
        <v>251.28</v>
      </c>
      <c r="E982" s="580">
        <f>sum(E942:E975)</f>
        <v>17</v>
      </c>
      <c r="F982" s="579"/>
      <c r="G982" s="581"/>
      <c r="H982" s="525"/>
    </row>
    <row r="983">
      <c r="A983" s="712"/>
      <c r="B983" s="712"/>
      <c r="C983" s="712"/>
      <c r="D983" s="712"/>
      <c r="E983" s="712"/>
      <c r="F983" s="712"/>
      <c r="G983" s="712"/>
      <c r="H983" s="712"/>
    </row>
    <row r="984">
      <c r="A984" s="712"/>
      <c r="B984" s="712"/>
      <c r="C984" s="712"/>
      <c r="D984" s="712"/>
      <c r="E984" s="712"/>
      <c r="F984" s="712"/>
      <c r="G984" s="712"/>
      <c r="H984" s="712"/>
    </row>
    <row r="985">
      <c r="A985" s="649" t="s">
        <v>4521</v>
      </c>
      <c r="B985" s="2"/>
      <c r="C985" s="2"/>
      <c r="D985" s="2"/>
      <c r="E985" s="2"/>
      <c r="F985" s="2"/>
      <c r="G985" s="2"/>
      <c r="H985" s="3"/>
    </row>
    <row r="986">
      <c r="A986" s="691" t="s">
        <v>1435</v>
      </c>
      <c r="B986" s="690" t="s">
        <v>1436</v>
      </c>
      <c r="C986" s="690" t="s">
        <v>1843</v>
      </c>
      <c r="D986" s="693" t="s">
        <v>1438</v>
      </c>
      <c r="E986" s="694" t="s">
        <v>1564</v>
      </c>
      <c r="F986" s="690" t="s">
        <v>1440</v>
      </c>
      <c r="G986" s="690" t="s">
        <v>1844</v>
      </c>
      <c r="H986" s="695" t="s">
        <v>1441</v>
      </c>
    </row>
    <row r="987">
      <c r="A987" s="658">
        <v>1.0</v>
      </c>
      <c r="B987" s="658" t="s">
        <v>1443</v>
      </c>
      <c r="C987" s="658">
        <v>1.0</v>
      </c>
      <c r="D987" s="678">
        <v>150.0</v>
      </c>
      <c r="E987" s="669"/>
      <c r="F987" s="689" t="s">
        <v>1518</v>
      </c>
      <c r="G987" s="658" t="s">
        <v>1554</v>
      </c>
      <c r="H987" s="731">
        <v>45141.0</v>
      </c>
    </row>
    <row r="988">
      <c r="A988" s="658">
        <v>2.0</v>
      </c>
      <c r="B988" s="658" t="s">
        <v>1444</v>
      </c>
      <c r="C988" s="658">
        <v>1.0</v>
      </c>
      <c r="D988" s="678">
        <v>3.2</v>
      </c>
      <c r="E988" s="669"/>
      <c r="F988" s="689"/>
      <c r="G988" s="689"/>
      <c r="H988" s="731"/>
    </row>
    <row r="989">
      <c r="A989" s="658">
        <v>3.0</v>
      </c>
      <c r="B989" s="689" t="s">
        <v>3673</v>
      </c>
      <c r="C989" s="689">
        <v>1.0</v>
      </c>
      <c r="D989" s="721">
        <v>5.0</v>
      </c>
      <c r="E989" s="669">
        <v>1.0</v>
      </c>
      <c r="F989" s="689"/>
      <c r="G989" s="689"/>
      <c r="H989" s="731"/>
    </row>
    <row r="990">
      <c r="A990" s="722">
        <v>4.0</v>
      </c>
      <c r="B990" s="662" t="s">
        <v>4522</v>
      </c>
      <c r="C990" s="662"/>
      <c r="D990" s="673"/>
      <c r="E990" s="665"/>
      <c r="F990" s="662" t="s">
        <v>4523</v>
      </c>
      <c r="G990" s="662" t="s">
        <v>1446</v>
      </c>
      <c r="H990" s="698">
        <v>45468.0</v>
      </c>
    </row>
    <row r="991">
      <c r="A991" s="689">
        <v>5.0</v>
      </c>
      <c r="B991" s="655" t="s">
        <v>4524</v>
      </c>
      <c r="C991" s="658">
        <v>1.0</v>
      </c>
      <c r="D991" s="678">
        <v>23.9</v>
      </c>
      <c r="E991" s="676">
        <v>1.0</v>
      </c>
      <c r="F991" s="655" t="s">
        <v>4525</v>
      </c>
      <c r="G991" s="658" t="s">
        <v>1446</v>
      </c>
      <c r="H991" s="696">
        <v>45533.0</v>
      </c>
    </row>
    <row r="992">
      <c r="A992" s="689">
        <v>6.0</v>
      </c>
      <c r="B992" s="655" t="s">
        <v>4526</v>
      </c>
      <c r="C992" s="658">
        <v>1.0</v>
      </c>
      <c r="D992" s="678">
        <v>24.0</v>
      </c>
      <c r="E992" s="676">
        <v>2.0</v>
      </c>
      <c r="F992" s="655" t="s">
        <v>4527</v>
      </c>
      <c r="G992" s="658" t="s">
        <v>4528</v>
      </c>
      <c r="H992" s="696">
        <v>45692.0</v>
      </c>
    </row>
    <row r="993">
      <c r="A993" s="689">
        <v>7.0</v>
      </c>
      <c r="B993" s="655" t="s">
        <v>4529</v>
      </c>
      <c r="C993" s="658">
        <v>1.0</v>
      </c>
      <c r="D993" s="678">
        <v>8.8</v>
      </c>
      <c r="E993" s="676">
        <v>1.0</v>
      </c>
      <c r="F993" s="340" t="s">
        <v>4530</v>
      </c>
      <c r="G993" s="658" t="s">
        <v>1446</v>
      </c>
      <c r="H993" s="696">
        <v>45737.0</v>
      </c>
    </row>
    <row r="994">
      <c r="A994" s="689">
        <v>8.0</v>
      </c>
      <c r="B994" s="730"/>
      <c r="C994" s="689"/>
      <c r="D994" s="721"/>
      <c r="E994" s="669"/>
      <c r="F994" s="730"/>
      <c r="G994" s="689"/>
      <c r="H994" s="670"/>
    </row>
    <row r="995">
      <c r="A995" s="689">
        <v>9.0</v>
      </c>
      <c r="B995" s="730"/>
      <c r="C995" s="689"/>
      <c r="D995" s="721"/>
      <c r="E995" s="669"/>
      <c r="F995" s="730"/>
      <c r="G995" s="689"/>
      <c r="H995" s="670"/>
    </row>
    <row r="996">
      <c r="A996" s="732" t="s">
        <v>1562</v>
      </c>
      <c r="B996" s="3"/>
      <c r="C996" s="689">
        <f t="shared" ref="C996:E996" si="36">sum(C987:C995)</f>
        <v>6</v>
      </c>
      <c r="D996" s="721">
        <f t="shared" si="36"/>
        <v>214.9</v>
      </c>
      <c r="E996" s="669">
        <f t="shared" si="36"/>
        <v>5</v>
      </c>
      <c r="F996" s="689"/>
      <c r="G996" s="731"/>
      <c r="H996" s="731"/>
    </row>
    <row r="997">
      <c r="A997" s="689"/>
      <c r="B997" s="689"/>
      <c r="C997" s="689"/>
      <c r="D997" s="689"/>
      <c r="E997" s="689"/>
      <c r="F997" s="689"/>
      <c r="G997" s="689"/>
      <c r="H997" s="689"/>
    </row>
    <row r="998">
      <c r="A998" s="689"/>
      <c r="B998" s="689"/>
      <c r="C998" s="689"/>
      <c r="D998" s="689"/>
      <c r="E998" s="689"/>
      <c r="F998" s="689"/>
      <c r="G998" s="689"/>
      <c r="H998" s="689"/>
    </row>
    <row r="999">
      <c r="A999" s="649" t="s">
        <v>4531</v>
      </c>
      <c r="B999" s="2"/>
      <c r="C999" s="2"/>
      <c r="D999" s="2"/>
      <c r="E999" s="2"/>
      <c r="F999" s="2"/>
      <c r="G999" s="2"/>
      <c r="H999" s="3"/>
    </row>
    <row r="1000">
      <c r="A1000" s="690" t="s">
        <v>1435</v>
      </c>
      <c r="B1000" s="690" t="s">
        <v>1436</v>
      </c>
      <c r="C1000" s="690" t="s">
        <v>1843</v>
      </c>
      <c r="D1000" s="693" t="s">
        <v>1438</v>
      </c>
      <c r="E1000" s="694" t="s">
        <v>1564</v>
      </c>
      <c r="F1000" s="690" t="s">
        <v>1440</v>
      </c>
      <c r="G1000" s="690" t="s">
        <v>1844</v>
      </c>
      <c r="H1000" s="695" t="s">
        <v>1441</v>
      </c>
    </row>
    <row r="1001">
      <c r="A1001" s="658">
        <v>1.0</v>
      </c>
      <c r="B1001" s="658" t="s">
        <v>1443</v>
      </c>
      <c r="C1001" s="658">
        <v>1.0</v>
      </c>
      <c r="D1001" s="678">
        <v>150.0</v>
      </c>
      <c r="E1001" s="669"/>
      <c r="F1001" s="689" t="s">
        <v>1518</v>
      </c>
      <c r="G1001" s="658" t="s">
        <v>1554</v>
      </c>
      <c r="H1001" s="731">
        <v>45141.0</v>
      </c>
    </row>
    <row r="1002">
      <c r="A1002" s="658">
        <v>2.0</v>
      </c>
      <c r="B1002" s="658" t="s">
        <v>1444</v>
      </c>
      <c r="C1002" s="658">
        <v>1.0</v>
      </c>
      <c r="D1002" s="678">
        <v>3.2</v>
      </c>
      <c r="E1002" s="669"/>
      <c r="F1002" s="689"/>
      <c r="G1002" s="689"/>
      <c r="H1002" s="731"/>
    </row>
    <row r="1003">
      <c r="A1003" s="658">
        <v>3.0</v>
      </c>
      <c r="B1003" s="689" t="s">
        <v>3673</v>
      </c>
      <c r="C1003" s="689">
        <v>1.0</v>
      </c>
      <c r="D1003" s="721">
        <v>5.0</v>
      </c>
      <c r="E1003" s="669">
        <v>1.0</v>
      </c>
      <c r="F1003" s="714"/>
      <c r="G1003" s="689"/>
      <c r="H1003" s="679">
        <v>45517.0</v>
      </c>
    </row>
    <row r="1004">
      <c r="A1004" s="689">
        <v>4.0</v>
      </c>
      <c r="B1004" s="714" t="s">
        <v>4532</v>
      </c>
      <c r="C1004" s="658">
        <v>1.0</v>
      </c>
      <c r="D1004" s="678">
        <v>8.5</v>
      </c>
      <c r="E1004" s="669">
        <v>1.0</v>
      </c>
      <c r="F1004" s="714" t="s">
        <v>4533</v>
      </c>
      <c r="G1004" s="658" t="s">
        <v>1446</v>
      </c>
      <c r="H1004" s="679">
        <v>45517.0</v>
      </c>
    </row>
    <row r="1005">
      <c r="A1005" s="689">
        <v>5.0</v>
      </c>
      <c r="B1005" s="714" t="s">
        <v>4534</v>
      </c>
      <c r="C1005" s="658">
        <v>1.0</v>
      </c>
      <c r="D1005" s="678">
        <v>14.6</v>
      </c>
      <c r="E1005" s="669">
        <v>1.0</v>
      </c>
      <c r="F1005" s="714" t="s">
        <v>4535</v>
      </c>
      <c r="G1005" s="658" t="s">
        <v>1446</v>
      </c>
      <c r="H1005" s="679">
        <v>45517.0</v>
      </c>
    </row>
    <row r="1006">
      <c r="A1006" s="689">
        <v>6.0</v>
      </c>
      <c r="B1006" s="714" t="s">
        <v>4536</v>
      </c>
      <c r="C1006" s="658">
        <v>1.0</v>
      </c>
      <c r="D1006" s="678">
        <v>14.7</v>
      </c>
      <c r="E1006" s="669">
        <v>1.0</v>
      </c>
      <c r="F1006" s="714" t="s">
        <v>4537</v>
      </c>
      <c r="G1006" s="658" t="s">
        <v>1446</v>
      </c>
      <c r="H1006" s="679">
        <v>45517.0</v>
      </c>
    </row>
    <row r="1007">
      <c r="A1007" s="722">
        <v>7.0</v>
      </c>
      <c r="B1007" s="662" t="s">
        <v>4536</v>
      </c>
      <c r="C1007" s="662"/>
      <c r="D1007" s="673"/>
      <c r="E1007" s="723"/>
      <c r="F1007" s="662" t="s">
        <v>4538</v>
      </c>
      <c r="G1007" s="662" t="s">
        <v>155</v>
      </c>
      <c r="H1007" s="662" t="s">
        <v>4539</v>
      </c>
    </row>
    <row r="1008">
      <c r="A1008" s="689">
        <v>8.0</v>
      </c>
      <c r="B1008" s="730"/>
      <c r="C1008" s="689"/>
      <c r="D1008" s="721"/>
      <c r="E1008" s="669"/>
      <c r="F1008" s="838" t="s">
        <v>4540</v>
      </c>
      <c r="G1008" s="689"/>
      <c r="H1008" s="670"/>
    </row>
    <row r="1009">
      <c r="A1009" s="689">
        <v>9.0</v>
      </c>
      <c r="B1009" s="730"/>
      <c r="C1009" s="689"/>
      <c r="D1009" s="721"/>
      <c r="E1009" s="669"/>
      <c r="F1009" s="730"/>
      <c r="G1009" s="689"/>
      <c r="H1009" s="670"/>
    </row>
    <row r="1010">
      <c r="A1010" s="732" t="s">
        <v>1562</v>
      </c>
      <c r="B1010" s="3"/>
      <c r="C1010" s="689">
        <f t="shared" ref="C1010:E1010" si="37">sum(C1001:C1009)</f>
        <v>6</v>
      </c>
      <c r="D1010" s="721">
        <f t="shared" si="37"/>
        <v>196</v>
      </c>
      <c r="E1010" s="669">
        <f t="shared" si="37"/>
        <v>4</v>
      </c>
      <c r="F1010" s="689"/>
      <c r="G1010" s="731"/>
      <c r="H1010" s="731"/>
    </row>
    <row r="1011">
      <c r="A1011" s="689"/>
      <c r="B1011" s="689"/>
      <c r="C1011" s="689"/>
      <c r="D1011" s="689"/>
      <c r="E1011" s="689"/>
      <c r="F1011" s="689"/>
      <c r="G1011" s="689"/>
      <c r="H1011" s="689"/>
    </row>
    <row r="1012">
      <c r="A1012" s="649" t="s">
        <v>4541</v>
      </c>
      <c r="B1012" s="2"/>
      <c r="C1012" s="2"/>
      <c r="D1012" s="2"/>
      <c r="E1012" s="2"/>
      <c r="F1012" s="2"/>
      <c r="G1012" s="2"/>
      <c r="H1012" s="3"/>
    </row>
    <row r="1013">
      <c r="A1013" s="690" t="s">
        <v>1435</v>
      </c>
      <c r="B1013" s="690" t="s">
        <v>1436</v>
      </c>
      <c r="C1013" s="690" t="s">
        <v>1843</v>
      </c>
      <c r="D1013" s="693" t="s">
        <v>1438</v>
      </c>
      <c r="E1013" s="694" t="s">
        <v>1564</v>
      </c>
      <c r="F1013" s="690" t="s">
        <v>1440</v>
      </c>
      <c r="G1013" s="690" t="s">
        <v>1844</v>
      </c>
      <c r="H1013" s="695" t="s">
        <v>1441</v>
      </c>
    </row>
    <row r="1014">
      <c r="A1014" s="722">
        <v>1.0</v>
      </c>
      <c r="B1014" s="722" t="s">
        <v>1443</v>
      </c>
      <c r="C1014" s="722">
        <v>1.0</v>
      </c>
      <c r="D1014" s="664">
        <v>150.0</v>
      </c>
      <c r="E1014" s="723"/>
      <c r="F1014" s="722" t="s">
        <v>1518</v>
      </c>
      <c r="G1014" s="722" t="s">
        <v>1446</v>
      </c>
      <c r="H1014" s="724">
        <v>45141.0</v>
      </c>
    </row>
    <row r="1015">
      <c r="A1015" s="722">
        <v>2.0</v>
      </c>
      <c r="B1015" s="722" t="s">
        <v>1444</v>
      </c>
      <c r="C1015" s="722">
        <v>1.0</v>
      </c>
      <c r="D1015" s="664">
        <v>3.2</v>
      </c>
      <c r="E1015" s="723"/>
      <c r="F1015" s="722"/>
      <c r="G1015" s="722" t="s">
        <v>1446</v>
      </c>
      <c r="H1015" s="724">
        <v>45141.0</v>
      </c>
    </row>
    <row r="1016">
      <c r="A1016" s="722">
        <v>3.0</v>
      </c>
      <c r="B1016" s="722" t="s">
        <v>3673</v>
      </c>
      <c r="C1016" s="722">
        <v>1.0</v>
      </c>
      <c r="D1016" s="664">
        <v>9.0</v>
      </c>
      <c r="E1016" s="723">
        <v>1.0</v>
      </c>
      <c r="F1016" s="722"/>
      <c r="G1016" s="722" t="s">
        <v>1446</v>
      </c>
      <c r="H1016" s="724">
        <v>45141.0</v>
      </c>
    </row>
    <row r="1017">
      <c r="A1017" s="662">
        <v>4.0</v>
      </c>
      <c r="B1017" s="662" t="s">
        <v>4542</v>
      </c>
      <c r="C1017" s="662">
        <v>1.0</v>
      </c>
      <c r="D1017" s="673">
        <v>1.2</v>
      </c>
      <c r="E1017" s="723">
        <v>1.0</v>
      </c>
      <c r="F1017" s="662" t="s">
        <v>4543</v>
      </c>
      <c r="G1017" s="662" t="s">
        <v>4544</v>
      </c>
      <c r="H1017" s="698">
        <v>45532.0</v>
      </c>
    </row>
    <row r="1018">
      <c r="A1018" s="662">
        <v>5.0</v>
      </c>
      <c r="B1018" s="662" t="s">
        <v>4545</v>
      </c>
      <c r="C1018" s="662">
        <v>1.0</v>
      </c>
      <c r="D1018" s="673">
        <v>11.1</v>
      </c>
      <c r="E1018" s="723">
        <v>1.0</v>
      </c>
      <c r="F1018" s="662">
        <v>1.02316101759E11</v>
      </c>
      <c r="G1018" s="662" t="s">
        <v>4544</v>
      </c>
      <c r="H1018" s="698">
        <v>45532.0</v>
      </c>
    </row>
    <row r="1019">
      <c r="A1019" s="722"/>
      <c r="B1019" s="722"/>
      <c r="C1019" s="722"/>
      <c r="D1019" s="664"/>
      <c r="E1019" s="723"/>
      <c r="F1019" s="722"/>
      <c r="G1019" s="722"/>
      <c r="H1019" s="666"/>
    </row>
    <row r="1020">
      <c r="A1020" s="722"/>
      <c r="B1020" s="722"/>
      <c r="C1020" s="722"/>
      <c r="D1020" s="664"/>
      <c r="E1020" s="723"/>
      <c r="F1020" s="722"/>
      <c r="G1020" s="722"/>
      <c r="H1020" s="666"/>
    </row>
    <row r="1021">
      <c r="A1021" s="722"/>
      <c r="B1021" s="722"/>
      <c r="C1021" s="722"/>
      <c r="D1021" s="664"/>
      <c r="E1021" s="723"/>
      <c r="F1021" s="722"/>
      <c r="G1021" s="722"/>
      <c r="H1021" s="666"/>
    </row>
    <row r="1022">
      <c r="A1022" s="722"/>
      <c r="B1022" s="722"/>
      <c r="C1022" s="722"/>
      <c r="D1022" s="664"/>
      <c r="E1022" s="723"/>
      <c r="F1022" s="722"/>
      <c r="G1022" s="722"/>
      <c r="H1022" s="666"/>
    </row>
    <row r="1023">
      <c r="A1023" s="722"/>
      <c r="B1023" s="722"/>
      <c r="C1023" s="722"/>
      <c r="D1023" s="664"/>
      <c r="E1023" s="723"/>
      <c r="F1023" s="722"/>
      <c r="G1023" s="722"/>
      <c r="H1023" s="666"/>
    </row>
    <row r="1024">
      <c r="A1024" s="722"/>
      <c r="B1024" s="722"/>
      <c r="C1024" s="722"/>
      <c r="D1024" s="664"/>
      <c r="E1024" s="723"/>
      <c r="F1024" s="722"/>
      <c r="G1024" s="722"/>
      <c r="H1024" s="666"/>
    </row>
    <row r="1025">
      <c r="A1025" s="737" t="s">
        <v>1562</v>
      </c>
      <c r="B1025" s="3"/>
      <c r="C1025" s="722">
        <f t="shared" ref="C1025:E1025" si="38">sum(C1014:C1022)</f>
        <v>5</v>
      </c>
      <c r="D1025" s="664">
        <f t="shared" si="38"/>
        <v>174.5</v>
      </c>
      <c r="E1025" s="723">
        <f t="shared" si="38"/>
        <v>3</v>
      </c>
      <c r="F1025" s="722"/>
      <c r="G1025" s="724"/>
      <c r="H1025" s="724"/>
    </row>
    <row r="1026">
      <c r="A1026" s="689"/>
      <c r="B1026" s="689"/>
      <c r="C1026" s="689"/>
      <c r="D1026" s="689"/>
      <c r="E1026" s="689"/>
      <c r="F1026" s="689"/>
      <c r="G1026" s="689"/>
      <c r="H1026" s="689"/>
    </row>
    <row r="1027">
      <c r="A1027" s="839" t="s">
        <v>4546</v>
      </c>
      <c r="B1027" s="2"/>
      <c r="C1027" s="2"/>
      <c r="D1027" s="2"/>
      <c r="E1027" s="2"/>
      <c r="F1027" s="2"/>
      <c r="G1027" s="2"/>
      <c r="H1027" s="3"/>
    </row>
    <row r="1028">
      <c r="A1028" s="840" t="s">
        <v>1435</v>
      </c>
      <c r="B1028" s="840" t="s">
        <v>1436</v>
      </c>
      <c r="C1028" s="840" t="s">
        <v>1843</v>
      </c>
      <c r="D1028" s="841" t="s">
        <v>1438</v>
      </c>
      <c r="E1028" s="842" t="s">
        <v>1564</v>
      </c>
      <c r="F1028" s="840" t="s">
        <v>1440</v>
      </c>
      <c r="G1028" s="840" t="s">
        <v>1844</v>
      </c>
      <c r="H1028" s="843" t="s">
        <v>1441</v>
      </c>
    </row>
    <row r="1029">
      <c r="A1029" s="463">
        <v>1.0</v>
      </c>
      <c r="B1029" s="463" t="s">
        <v>1443</v>
      </c>
      <c r="C1029" s="463">
        <v>1.0</v>
      </c>
      <c r="D1029" s="473">
        <v>150.0</v>
      </c>
      <c r="E1029" s="464"/>
      <c r="F1029" s="463" t="s">
        <v>1518</v>
      </c>
      <c r="G1029" s="308" t="s">
        <v>1446</v>
      </c>
      <c r="H1029" s="491">
        <v>45141.0</v>
      </c>
    </row>
    <row r="1030">
      <c r="A1030" s="463">
        <v>2.0</v>
      </c>
      <c r="B1030" s="463" t="s">
        <v>1444</v>
      </c>
      <c r="C1030" s="308">
        <v>2.0</v>
      </c>
      <c r="D1030" s="473">
        <v>3.2</v>
      </c>
      <c r="E1030" s="464"/>
      <c r="F1030" s="308" t="s">
        <v>1518</v>
      </c>
      <c r="G1030" s="308" t="s">
        <v>1446</v>
      </c>
      <c r="H1030" s="491">
        <v>45141.0</v>
      </c>
    </row>
    <row r="1031">
      <c r="A1031" s="463">
        <v>3.0</v>
      </c>
      <c r="B1031" s="463" t="s">
        <v>3673</v>
      </c>
      <c r="C1031" s="463">
        <v>1.0</v>
      </c>
      <c r="D1031" s="473">
        <v>9.0</v>
      </c>
      <c r="E1031" s="464">
        <v>1.0</v>
      </c>
      <c r="F1031" s="308" t="s">
        <v>1518</v>
      </c>
      <c r="G1031" s="463" t="s">
        <v>1446</v>
      </c>
      <c r="H1031" s="491">
        <v>45141.0</v>
      </c>
    </row>
    <row r="1032">
      <c r="A1032" s="463">
        <v>4.0</v>
      </c>
      <c r="B1032" s="299" t="s">
        <v>4486</v>
      </c>
      <c r="C1032" s="308">
        <v>1.0</v>
      </c>
      <c r="D1032" s="300">
        <v>8.5</v>
      </c>
      <c r="E1032" s="331">
        <v>1.0</v>
      </c>
      <c r="F1032" s="299">
        <v>5.271937663E9</v>
      </c>
      <c r="G1032" s="463" t="s">
        <v>1446</v>
      </c>
      <c r="H1032" s="315">
        <v>45880.0</v>
      </c>
    </row>
    <row r="1033">
      <c r="A1033" s="463">
        <v>5.0</v>
      </c>
      <c r="B1033" s="299" t="s">
        <v>4489</v>
      </c>
      <c r="C1033" s="308">
        <v>1.0</v>
      </c>
      <c r="D1033" s="300">
        <v>8.5</v>
      </c>
      <c r="E1033" s="331">
        <v>1.0</v>
      </c>
      <c r="F1033" s="299">
        <v>7.2882910173E10</v>
      </c>
      <c r="G1033" s="463" t="s">
        <v>1446</v>
      </c>
      <c r="H1033" s="315">
        <v>45880.0</v>
      </c>
    </row>
    <row r="1034">
      <c r="A1034" s="463">
        <v>6.0</v>
      </c>
      <c r="B1034" s="308" t="s">
        <v>4490</v>
      </c>
      <c r="C1034" s="308">
        <v>1.0</v>
      </c>
      <c r="D1034" s="314">
        <v>8.5</v>
      </c>
      <c r="E1034" s="365">
        <v>1.0</v>
      </c>
      <c r="F1034" s="308" t="s">
        <v>4491</v>
      </c>
      <c r="G1034" s="463" t="s">
        <v>1446</v>
      </c>
      <c r="H1034" s="315">
        <v>45880.0</v>
      </c>
    </row>
    <row r="1035">
      <c r="A1035" s="463">
        <v>7.0</v>
      </c>
      <c r="B1035" s="308" t="s">
        <v>4493</v>
      </c>
      <c r="C1035" s="308">
        <v>1.0</v>
      </c>
      <c r="D1035" s="314">
        <v>7.3</v>
      </c>
      <c r="E1035" s="365">
        <v>1.0</v>
      </c>
      <c r="F1035" s="308" t="s">
        <v>4494</v>
      </c>
      <c r="G1035" s="463" t="s">
        <v>1446</v>
      </c>
      <c r="H1035" s="315">
        <v>45880.0</v>
      </c>
    </row>
    <row r="1036">
      <c r="A1036" s="463">
        <v>8.0</v>
      </c>
      <c r="B1036" s="299" t="s">
        <v>2756</v>
      </c>
      <c r="C1036" s="299">
        <v>1.0</v>
      </c>
      <c r="D1036" s="300">
        <v>10.0</v>
      </c>
      <c r="E1036" s="331">
        <v>1.0</v>
      </c>
      <c r="F1036" s="299">
        <v>5.60086941E8</v>
      </c>
      <c r="G1036" s="463" t="s">
        <v>1446</v>
      </c>
      <c r="H1036" s="315">
        <v>45880.0</v>
      </c>
    </row>
    <row r="1037">
      <c r="A1037" s="463">
        <v>9.0</v>
      </c>
      <c r="B1037" s="299" t="s">
        <v>4497</v>
      </c>
      <c r="C1037" s="299">
        <v>1.0</v>
      </c>
      <c r="D1037" s="300">
        <v>8.7</v>
      </c>
      <c r="E1037" s="331">
        <v>1.0</v>
      </c>
      <c r="F1037" s="299" t="s">
        <v>4498</v>
      </c>
      <c r="G1037" s="463" t="s">
        <v>1446</v>
      </c>
      <c r="H1037" s="315">
        <v>45880.0</v>
      </c>
    </row>
    <row r="1038">
      <c r="A1038" s="463">
        <v>10.0</v>
      </c>
      <c r="B1038" s="299" t="s">
        <v>4499</v>
      </c>
      <c r="C1038" s="299">
        <v>1.0</v>
      </c>
      <c r="D1038" s="300">
        <v>17.0</v>
      </c>
      <c r="E1038" s="331">
        <v>1.0</v>
      </c>
      <c r="F1038" s="299" t="s">
        <v>4500</v>
      </c>
      <c r="G1038" s="463" t="s">
        <v>1446</v>
      </c>
      <c r="H1038" s="315">
        <v>45880.0</v>
      </c>
    </row>
    <row r="1039">
      <c r="A1039" s="329">
        <v>11.0</v>
      </c>
      <c r="B1039" s="303" t="s">
        <v>4493</v>
      </c>
      <c r="C1039" s="303"/>
      <c r="D1039" s="304"/>
      <c r="E1039" s="327"/>
      <c r="F1039" s="844" t="s">
        <v>4501</v>
      </c>
      <c r="G1039" s="303" t="s">
        <v>4547</v>
      </c>
      <c r="H1039" s="305">
        <v>45881.0</v>
      </c>
    </row>
    <row r="1040">
      <c r="A1040" s="463">
        <v>12.0</v>
      </c>
      <c r="B1040" s="308" t="s">
        <v>4548</v>
      </c>
      <c r="C1040" s="308">
        <v>1.0</v>
      </c>
      <c r="D1040" s="314">
        <v>36.1</v>
      </c>
      <c r="E1040" s="365">
        <v>2.0</v>
      </c>
      <c r="F1040" s="308" t="s">
        <v>4549</v>
      </c>
      <c r="G1040" s="308" t="s">
        <v>1554</v>
      </c>
      <c r="H1040" s="475">
        <v>45881.0</v>
      </c>
    </row>
    <row r="1041">
      <c r="A1041" s="308">
        <v>15.0</v>
      </c>
      <c r="B1041" s="308" t="s">
        <v>2239</v>
      </c>
      <c r="C1041" s="308">
        <v>1.0</v>
      </c>
      <c r="D1041" s="314">
        <v>10.5</v>
      </c>
      <c r="E1041" s="365">
        <v>1.0</v>
      </c>
      <c r="F1041" s="545" t="s">
        <v>4550</v>
      </c>
      <c r="G1041" s="308" t="s">
        <v>1446</v>
      </c>
      <c r="H1041" s="315">
        <v>45889.0</v>
      </c>
    </row>
    <row r="1042">
      <c r="A1042" s="308">
        <v>16.0</v>
      </c>
      <c r="B1042" s="308" t="s">
        <v>3818</v>
      </c>
      <c r="C1042" s="308">
        <v>1.0</v>
      </c>
      <c r="D1042" s="314">
        <v>4.2</v>
      </c>
      <c r="E1042" s="365">
        <v>1.0</v>
      </c>
      <c r="F1042" s="404" t="s">
        <v>4551</v>
      </c>
      <c r="G1042" s="308" t="s">
        <v>1554</v>
      </c>
      <c r="H1042" s="315">
        <v>46035.0</v>
      </c>
    </row>
    <row r="1043">
      <c r="A1043" s="308">
        <v>17.0</v>
      </c>
      <c r="B1043" s="308" t="s">
        <v>2192</v>
      </c>
      <c r="C1043" s="308">
        <v>1.0</v>
      </c>
      <c r="D1043" s="314">
        <v>21.9</v>
      </c>
      <c r="E1043" s="365">
        <v>1.0</v>
      </c>
      <c r="F1043" s="404" t="s">
        <v>4552</v>
      </c>
      <c r="G1043" s="308" t="s">
        <v>1554</v>
      </c>
      <c r="H1043" s="315">
        <v>46035.0</v>
      </c>
    </row>
    <row r="1044">
      <c r="A1044" s="308">
        <v>18.0</v>
      </c>
      <c r="B1044" s="308" t="s">
        <v>2192</v>
      </c>
      <c r="C1044" s="308">
        <v>1.0</v>
      </c>
      <c r="D1044" s="314">
        <v>21.9</v>
      </c>
      <c r="E1044" s="365">
        <v>1.0</v>
      </c>
      <c r="F1044" s="404" t="s">
        <v>4553</v>
      </c>
      <c r="G1044" s="308" t="s">
        <v>1554</v>
      </c>
      <c r="H1044" s="315">
        <v>46035.0</v>
      </c>
    </row>
    <row r="1045">
      <c r="A1045" s="316">
        <v>19.0</v>
      </c>
      <c r="B1045" s="316" t="s">
        <v>4554</v>
      </c>
      <c r="C1045" s="316">
        <v>1.0</v>
      </c>
      <c r="D1045" s="318">
        <v>2.0</v>
      </c>
      <c r="E1045" s="845">
        <v>1.0</v>
      </c>
      <c r="F1045" s="846" t="s">
        <v>4555</v>
      </c>
      <c r="G1045" s="316" t="s">
        <v>158</v>
      </c>
      <c r="H1045" s="320">
        <v>46113.0</v>
      </c>
    </row>
    <row r="1046">
      <c r="A1046" s="561" t="s">
        <v>1562</v>
      </c>
      <c r="B1046" s="3"/>
      <c r="C1046" s="463">
        <f t="shared" ref="C1046:D1046" si="39">sum(C1029:C1045)</f>
        <v>17</v>
      </c>
      <c r="D1046" s="473">
        <f t="shared" si="39"/>
        <v>327.3</v>
      </c>
      <c r="E1046" s="464">
        <f>sum(E1029:E1041)</f>
        <v>11</v>
      </c>
      <c r="F1046" s="463"/>
      <c r="G1046" s="491"/>
      <c r="H1046" s="491"/>
    </row>
    <row r="1047">
      <c r="A1047" s="689"/>
      <c r="B1047" s="689"/>
      <c r="C1047" s="689"/>
      <c r="D1047" s="689"/>
      <c r="E1047" s="689"/>
      <c r="F1047" s="689"/>
      <c r="G1047" s="689"/>
      <c r="H1047" s="689"/>
    </row>
    <row r="1048">
      <c r="A1048" s="689"/>
      <c r="B1048" s="689"/>
      <c r="C1048" s="689"/>
      <c r="D1048" s="689"/>
      <c r="E1048" s="689"/>
      <c r="F1048" s="689"/>
      <c r="G1048" s="689"/>
      <c r="H1048" s="689"/>
    </row>
    <row r="1049">
      <c r="A1049" s="761" t="s">
        <v>4556</v>
      </c>
      <c r="B1049" s="2"/>
      <c r="C1049" s="2"/>
      <c r="D1049" s="2"/>
      <c r="E1049" s="2"/>
      <c r="F1049" s="2"/>
      <c r="G1049" s="2"/>
      <c r="H1049" s="3"/>
    </row>
    <row r="1050">
      <c r="A1050" s="762" t="s">
        <v>1435</v>
      </c>
      <c r="B1050" s="762" t="s">
        <v>1436</v>
      </c>
      <c r="C1050" s="762" t="s">
        <v>1843</v>
      </c>
      <c r="D1050" s="763" t="s">
        <v>1438</v>
      </c>
      <c r="E1050" s="764" t="s">
        <v>1564</v>
      </c>
      <c r="F1050" s="762" t="s">
        <v>1440</v>
      </c>
      <c r="G1050" s="762" t="s">
        <v>1844</v>
      </c>
      <c r="H1050" s="765" t="s">
        <v>1441</v>
      </c>
    </row>
    <row r="1051">
      <c r="A1051" s="525">
        <v>1.0</v>
      </c>
      <c r="B1051" s="525" t="s">
        <v>1443</v>
      </c>
      <c r="C1051" s="525">
        <v>1.0</v>
      </c>
      <c r="D1051" s="526">
        <v>150.0</v>
      </c>
      <c r="E1051" s="580"/>
      <c r="F1051" s="579" t="s">
        <v>1518</v>
      </c>
      <c r="G1051" s="525" t="s">
        <v>1446</v>
      </c>
      <c r="H1051" s="581">
        <v>45141.0</v>
      </c>
    </row>
    <row r="1052">
      <c r="A1052" s="525">
        <v>2.0</v>
      </c>
      <c r="B1052" s="525" t="s">
        <v>1444</v>
      </c>
      <c r="C1052" s="525">
        <v>1.0</v>
      </c>
      <c r="D1052" s="526">
        <v>3.2</v>
      </c>
      <c r="E1052" s="580"/>
      <c r="F1052" s="579"/>
      <c r="G1052" s="525" t="s">
        <v>1446</v>
      </c>
      <c r="H1052" s="528">
        <v>45141.0</v>
      </c>
    </row>
    <row r="1053">
      <c r="A1053" s="525">
        <v>3.0</v>
      </c>
      <c r="B1053" s="579" t="s">
        <v>3673</v>
      </c>
      <c r="C1053" s="579">
        <v>1.0</v>
      </c>
      <c r="D1053" s="526">
        <v>9.0</v>
      </c>
      <c r="E1053" s="580">
        <v>1.0</v>
      </c>
      <c r="F1053" s="579"/>
      <c r="G1053" s="525" t="s">
        <v>1446</v>
      </c>
      <c r="H1053" s="528">
        <v>45141.0</v>
      </c>
    </row>
    <row r="1054">
      <c r="A1054" s="583">
        <v>4.0</v>
      </c>
      <c r="B1054" s="259" t="s">
        <v>4557</v>
      </c>
      <c r="C1054" s="259"/>
      <c r="D1054" s="530"/>
      <c r="E1054" s="531"/>
      <c r="F1054" s="259" t="s">
        <v>4558</v>
      </c>
      <c r="G1054" s="259" t="s">
        <v>4559</v>
      </c>
      <c r="H1054" s="768">
        <v>45477.0</v>
      </c>
    </row>
    <row r="1055">
      <c r="A1055" s="579">
        <v>5.0</v>
      </c>
      <c r="B1055" s="542" t="s">
        <v>2113</v>
      </c>
      <c r="C1055" s="525">
        <v>1.0</v>
      </c>
      <c r="D1055" s="526">
        <v>17.4</v>
      </c>
      <c r="E1055" s="527">
        <v>1.0</v>
      </c>
      <c r="F1055" s="525" t="s">
        <v>4560</v>
      </c>
      <c r="G1055" s="525" t="s">
        <v>1446</v>
      </c>
      <c r="H1055" s="767">
        <v>45483.0</v>
      </c>
    </row>
    <row r="1056">
      <c r="A1056" s="525">
        <v>6.0</v>
      </c>
      <c r="B1056" s="525" t="s">
        <v>4561</v>
      </c>
      <c r="C1056" s="525">
        <v>1.0</v>
      </c>
      <c r="D1056" s="526">
        <v>2.0</v>
      </c>
      <c r="E1056" s="527">
        <v>1.0</v>
      </c>
      <c r="F1056" s="525" t="s">
        <v>4562</v>
      </c>
      <c r="G1056" s="525" t="s">
        <v>1446</v>
      </c>
      <c r="H1056" s="767">
        <v>45484.0</v>
      </c>
    </row>
    <row r="1057">
      <c r="A1057" s="583">
        <v>7.0</v>
      </c>
      <c r="B1057" s="259" t="s">
        <v>1862</v>
      </c>
      <c r="C1057" s="259"/>
      <c r="D1057" s="530"/>
      <c r="E1057" s="531"/>
      <c r="F1057" s="259" t="s">
        <v>4563</v>
      </c>
      <c r="G1057" s="259" t="s">
        <v>4564</v>
      </c>
      <c r="H1057" s="768">
        <v>45485.0</v>
      </c>
    </row>
    <row r="1058">
      <c r="A1058" s="579">
        <v>8.0</v>
      </c>
      <c r="B1058" s="542" t="s">
        <v>4565</v>
      </c>
      <c r="C1058" s="525">
        <v>1.0</v>
      </c>
      <c r="D1058" s="526">
        <v>1.5</v>
      </c>
      <c r="E1058" s="527">
        <v>1.0</v>
      </c>
      <c r="F1058" s="542" t="s">
        <v>4566</v>
      </c>
      <c r="G1058" s="525" t="s">
        <v>1446</v>
      </c>
      <c r="H1058" s="767">
        <v>45485.0</v>
      </c>
    </row>
    <row r="1059">
      <c r="A1059" s="583">
        <v>9.0</v>
      </c>
      <c r="B1059" s="259" t="s">
        <v>4567</v>
      </c>
      <c r="C1059" s="259"/>
      <c r="D1059" s="530"/>
      <c r="E1059" s="531"/>
      <c r="F1059" s="259" t="s">
        <v>4568</v>
      </c>
      <c r="G1059" s="259" t="s">
        <v>4569</v>
      </c>
      <c r="H1059" s="768">
        <v>45496.0</v>
      </c>
    </row>
    <row r="1060">
      <c r="A1060" s="259">
        <v>10.0</v>
      </c>
      <c r="B1060" s="259" t="s">
        <v>1983</v>
      </c>
      <c r="C1060" s="259"/>
      <c r="D1060" s="530"/>
      <c r="E1060" s="531"/>
      <c r="F1060" s="259" t="s">
        <v>4570</v>
      </c>
      <c r="G1060" s="259" t="s">
        <v>4564</v>
      </c>
      <c r="H1060" s="768">
        <v>45496.0</v>
      </c>
    </row>
    <row r="1061">
      <c r="A1061" s="525">
        <v>11.0</v>
      </c>
      <c r="B1061" s="542" t="s">
        <v>4571</v>
      </c>
      <c r="C1061" s="525">
        <v>1.0</v>
      </c>
      <c r="D1061" s="526">
        <v>18.9</v>
      </c>
      <c r="E1061" s="527">
        <v>1.0</v>
      </c>
      <c r="F1061" s="542" t="s">
        <v>4572</v>
      </c>
      <c r="G1061" s="525" t="s">
        <v>1446</v>
      </c>
      <c r="H1061" s="767">
        <v>45496.0</v>
      </c>
    </row>
    <row r="1062">
      <c r="A1062" s="259">
        <v>12.0</v>
      </c>
      <c r="B1062" s="259" t="s">
        <v>4573</v>
      </c>
      <c r="C1062" s="259"/>
      <c r="D1062" s="530"/>
      <c r="E1062" s="531"/>
      <c r="F1062" s="259" t="s">
        <v>4574</v>
      </c>
      <c r="G1062" s="259" t="s">
        <v>4564</v>
      </c>
      <c r="H1062" s="768">
        <v>45500.0</v>
      </c>
    </row>
    <row r="1063">
      <c r="A1063" s="542">
        <v>13.0</v>
      </c>
      <c r="B1063" s="542" t="s">
        <v>2016</v>
      </c>
      <c r="C1063" s="542">
        <v>1.0</v>
      </c>
      <c r="D1063" s="543">
        <v>17.4</v>
      </c>
      <c r="E1063" s="544">
        <v>1.0</v>
      </c>
      <c r="F1063" s="542" t="s">
        <v>4575</v>
      </c>
      <c r="G1063" s="542" t="s">
        <v>1446</v>
      </c>
      <c r="H1063" s="769">
        <v>45511.0</v>
      </c>
    </row>
    <row r="1064">
      <c r="A1064" s="259">
        <v>14.0</v>
      </c>
      <c r="B1064" s="259" t="s">
        <v>4576</v>
      </c>
      <c r="C1064" s="259"/>
      <c r="D1064" s="530"/>
      <c r="E1064" s="531"/>
      <c r="F1064" s="530" t="s">
        <v>4577</v>
      </c>
      <c r="G1064" s="259" t="s">
        <v>4569</v>
      </c>
      <c r="H1064" s="768">
        <v>45513.0</v>
      </c>
    </row>
    <row r="1065">
      <c r="A1065" s="259">
        <v>15.0</v>
      </c>
      <c r="B1065" s="259" t="s">
        <v>4578</v>
      </c>
      <c r="C1065" s="259"/>
      <c r="D1065" s="530"/>
      <c r="E1065" s="531"/>
      <c r="F1065" s="259" t="s">
        <v>4579</v>
      </c>
      <c r="G1065" s="259" t="s">
        <v>4569</v>
      </c>
      <c r="H1065" s="532">
        <v>45522.0</v>
      </c>
    </row>
    <row r="1066">
      <c r="A1066" s="259">
        <v>16.0</v>
      </c>
      <c r="B1066" s="259" t="s">
        <v>2016</v>
      </c>
      <c r="C1066" s="259"/>
      <c r="D1066" s="530"/>
      <c r="E1066" s="531"/>
      <c r="F1066" s="259" t="s">
        <v>4580</v>
      </c>
      <c r="G1066" s="259" t="s">
        <v>4581</v>
      </c>
      <c r="H1066" s="532">
        <v>45548.0</v>
      </c>
    </row>
    <row r="1067">
      <c r="A1067" s="259">
        <v>17.0</v>
      </c>
      <c r="B1067" s="259" t="s">
        <v>2016</v>
      </c>
      <c r="C1067" s="259"/>
      <c r="D1067" s="530"/>
      <c r="E1067" s="531"/>
      <c r="F1067" s="259" t="s">
        <v>4582</v>
      </c>
      <c r="G1067" s="259" t="s">
        <v>4569</v>
      </c>
      <c r="H1067" s="532">
        <v>45638.0</v>
      </c>
    </row>
    <row r="1068">
      <c r="A1068" s="259">
        <v>18.0</v>
      </c>
      <c r="B1068" s="259" t="s">
        <v>2513</v>
      </c>
      <c r="C1068" s="259"/>
      <c r="D1068" s="530"/>
      <c r="E1068" s="531"/>
      <c r="F1068" s="259" t="s">
        <v>4583</v>
      </c>
      <c r="G1068" s="259" t="s">
        <v>4564</v>
      </c>
      <c r="H1068" s="532">
        <v>45664.0</v>
      </c>
    </row>
    <row r="1069">
      <c r="A1069" s="259">
        <v>19.0</v>
      </c>
      <c r="B1069" s="259" t="s">
        <v>2513</v>
      </c>
      <c r="C1069" s="259"/>
      <c r="D1069" s="530"/>
      <c r="E1069" s="531"/>
      <c r="F1069" s="259" t="s">
        <v>4584</v>
      </c>
      <c r="G1069" s="259" t="s">
        <v>4569</v>
      </c>
      <c r="H1069" s="532">
        <v>45713.0</v>
      </c>
    </row>
    <row r="1070">
      <c r="A1070" s="259">
        <v>20.0</v>
      </c>
      <c r="B1070" s="259" t="s">
        <v>2158</v>
      </c>
      <c r="C1070" s="259"/>
      <c r="D1070" s="530"/>
      <c r="E1070" s="531"/>
      <c r="F1070" s="259" t="s">
        <v>4585</v>
      </c>
      <c r="G1070" s="259" t="s">
        <v>4569</v>
      </c>
      <c r="H1070" s="259" t="s">
        <v>4586</v>
      </c>
    </row>
    <row r="1071">
      <c r="A1071" s="259">
        <v>21.0</v>
      </c>
      <c r="B1071" s="259" t="s">
        <v>2158</v>
      </c>
      <c r="C1071" s="259"/>
      <c r="D1071" s="530"/>
      <c r="E1071" s="531"/>
      <c r="F1071" s="259" t="s">
        <v>4587</v>
      </c>
      <c r="G1071" s="259" t="s">
        <v>4564</v>
      </c>
      <c r="H1071" s="532">
        <v>45713.0</v>
      </c>
    </row>
    <row r="1072">
      <c r="A1072" s="259">
        <v>22.0</v>
      </c>
      <c r="B1072" s="259" t="s">
        <v>2158</v>
      </c>
      <c r="C1072" s="259"/>
      <c r="D1072" s="530"/>
      <c r="E1072" s="531"/>
      <c r="F1072" s="259" t="s">
        <v>4588</v>
      </c>
      <c r="G1072" s="259" t="s">
        <v>4564</v>
      </c>
      <c r="H1072" s="259" t="s">
        <v>4589</v>
      </c>
    </row>
    <row r="1073">
      <c r="A1073" s="259">
        <v>23.0</v>
      </c>
      <c r="B1073" s="259" t="s">
        <v>4590</v>
      </c>
      <c r="C1073" s="259"/>
      <c r="D1073" s="530"/>
      <c r="E1073" s="531"/>
      <c r="F1073" s="240" t="s">
        <v>4591</v>
      </c>
      <c r="G1073" s="259" t="s">
        <v>4564</v>
      </c>
      <c r="H1073" s="259" t="s">
        <v>4592</v>
      </c>
    </row>
    <row r="1074">
      <c r="A1074" s="259">
        <v>24.0</v>
      </c>
      <c r="B1074" s="259" t="s">
        <v>2113</v>
      </c>
      <c r="C1074" s="259"/>
      <c r="D1074" s="831"/>
      <c r="E1074" s="531"/>
      <c r="F1074" s="240" t="s">
        <v>4593</v>
      </c>
      <c r="G1074" s="259" t="s">
        <v>4564</v>
      </c>
      <c r="H1074" s="259" t="s">
        <v>4592</v>
      </c>
    </row>
    <row r="1075">
      <c r="A1075" s="259">
        <v>25.0</v>
      </c>
      <c r="B1075" s="259" t="s">
        <v>2113</v>
      </c>
      <c r="C1075" s="259"/>
      <c r="D1075" s="382"/>
      <c r="E1075" s="531"/>
      <c r="F1075" s="240" t="s">
        <v>4594</v>
      </c>
      <c r="G1075" s="259" t="s">
        <v>4564</v>
      </c>
      <c r="H1075" s="259" t="s">
        <v>4592</v>
      </c>
    </row>
    <row r="1076">
      <c r="A1076" s="259">
        <v>26.0</v>
      </c>
      <c r="B1076" s="259" t="s">
        <v>2113</v>
      </c>
      <c r="C1076" s="259"/>
      <c r="D1076" s="530"/>
      <c r="E1076" s="531"/>
      <c r="F1076" s="240" t="s">
        <v>4595</v>
      </c>
      <c r="G1076" s="259" t="s">
        <v>425</v>
      </c>
      <c r="H1076" s="532">
        <v>45793.0</v>
      </c>
    </row>
    <row r="1077">
      <c r="A1077" s="525">
        <v>27.0</v>
      </c>
      <c r="B1077" s="525" t="s">
        <v>2113</v>
      </c>
      <c r="C1077" s="525">
        <v>1.0</v>
      </c>
      <c r="D1077" s="526">
        <v>17.4</v>
      </c>
      <c r="E1077" s="527">
        <v>1.0</v>
      </c>
      <c r="F1077" s="344" t="s">
        <v>4596</v>
      </c>
      <c r="G1077" s="525" t="s">
        <v>1446</v>
      </c>
      <c r="H1077" s="528">
        <v>45793.0</v>
      </c>
    </row>
    <row r="1078">
      <c r="A1078" s="259">
        <v>28.0</v>
      </c>
      <c r="B1078" s="259" t="s">
        <v>2113</v>
      </c>
      <c r="C1078" s="259"/>
      <c r="D1078" s="530"/>
      <c r="E1078" s="531"/>
      <c r="F1078" s="240" t="s">
        <v>4597</v>
      </c>
      <c r="G1078" s="259" t="s">
        <v>4598</v>
      </c>
      <c r="H1078" s="259" t="s">
        <v>4599</v>
      </c>
    </row>
    <row r="1079">
      <c r="A1079" s="259">
        <v>29.0</v>
      </c>
      <c r="B1079" s="259" t="s">
        <v>4600</v>
      </c>
      <c r="C1079" s="259"/>
      <c r="D1079" s="530"/>
      <c r="E1079" s="531"/>
      <c r="F1079" s="240" t="s">
        <v>4601</v>
      </c>
      <c r="G1079" s="259" t="s">
        <v>4602</v>
      </c>
      <c r="H1079" s="532">
        <v>45793.0</v>
      </c>
    </row>
    <row r="1080">
      <c r="A1080" s="525">
        <v>30.0</v>
      </c>
      <c r="B1080" s="525" t="s">
        <v>4603</v>
      </c>
      <c r="C1080" s="525">
        <v>1.0</v>
      </c>
      <c r="D1080" s="526">
        <v>8.7</v>
      </c>
      <c r="E1080" s="527">
        <v>1.0</v>
      </c>
      <c r="F1080" s="525" t="s">
        <v>4604</v>
      </c>
      <c r="G1080" s="525" t="s">
        <v>1446</v>
      </c>
      <c r="H1080" s="528">
        <v>45794.0</v>
      </c>
    </row>
    <row r="1081">
      <c r="A1081" s="259">
        <v>31.0</v>
      </c>
      <c r="B1081" s="259" t="s">
        <v>2016</v>
      </c>
      <c r="C1081" s="259"/>
      <c r="D1081" s="530"/>
      <c r="E1081" s="531"/>
      <c r="F1081" s="259" t="s">
        <v>4605</v>
      </c>
      <c r="G1081" s="259" t="s">
        <v>4606</v>
      </c>
      <c r="H1081" s="259" t="s">
        <v>4607</v>
      </c>
    </row>
    <row r="1082">
      <c r="A1082" s="542">
        <v>32.0</v>
      </c>
      <c r="B1082" s="542" t="s">
        <v>4608</v>
      </c>
      <c r="C1082" s="542">
        <v>1.0</v>
      </c>
      <c r="D1082" s="543">
        <v>6.0</v>
      </c>
      <c r="E1082" s="544"/>
      <c r="F1082" s="542" t="s">
        <v>4609</v>
      </c>
      <c r="G1082" s="542" t="s">
        <v>1554</v>
      </c>
      <c r="H1082" s="546">
        <v>45801.0</v>
      </c>
    </row>
    <row r="1083">
      <c r="A1083" s="542">
        <v>33.0</v>
      </c>
      <c r="B1083" s="542" t="s">
        <v>4610</v>
      </c>
      <c r="C1083" s="542">
        <v>1.0</v>
      </c>
      <c r="D1083" s="543"/>
      <c r="E1083" s="544">
        <v>1.0</v>
      </c>
      <c r="F1083" s="542" t="s">
        <v>4611</v>
      </c>
      <c r="G1083" s="542" t="s">
        <v>1554</v>
      </c>
      <c r="H1083" s="546">
        <v>45806.0</v>
      </c>
    </row>
    <row r="1084">
      <c r="A1084" s="847">
        <v>34.0</v>
      </c>
      <c r="B1084" s="525" t="s">
        <v>2534</v>
      </c>
      <c r="C1084" s="525">
        <v>1.0</v>
      </c>
      <c r="D1084" s="582"/>
      <c r="E1084" s="580"/>
      <c r="F1084" s="525" t="s">
        <v>4612</v>
      </c>
      <c r="G1084" s="542" t="s">
        <v>1554</v>
      </c>
      <c r="H1084" s="581"/>
    </row>
    <row r="1085">
      <c r="A1085" s="838">
        <v>35.0</v>
      </c>
      <c r="B1085" s="838" t="s">
        <v>4613</v>
      </c>
      <c r="C1085" s="542">
        <v>1.0</v>
      </c>
      <c r="D1085" s="543">
        <v>2.0</v>
      </c>
      <c r="E1085" s="544">
        <v>1.0</v>
      </c>
      <c r="F1085" s="838" t="s">
        <v>4614</v>
      </c>
      <c r="G1085" s="542" t="s">
        <v>158</v>
      </c>
      <c r="H1085" s="546">
        <v>45827.0</v>
      </c>
    </row>
    <row r="1086">
      <c r="A1086" s="585" t="s">
        <v>1562</v>
      </c>
      <c r="B1086" s="3"/>
      <c r="C1086" s="579">
        <f>sum(C1051:C1085)</f>
        <v>14</v>
      </c>
      <c r="D1086" s="582">
        <f t="shared" ref="D1086:E1086" si="40">sum(D1051:D1081)</f>
        <v>245.5</v>
      </c>
      <c r="E1086" s="580">
        <f t="shared" si="40"/>
        <v>8</v>
      </c>
      <c r="F1086" s="579"/>
      <c r="G1086" s="581"/>
      <c r="H1086" s="581"/>
    </row>
    <row r="1087">
      <c r="A1087" s="689"/>
      <c r="B1087" s="689"/>
      <c r="C1087" s="689"/>
      <c r="D1087" s="689"/>
      <c r="E1087" s="689"/>
      <c r="F1087" s="689"/>
      <c r="G1087" s="689"/>
      <c r="H1087" s="689"/>
    </row>
    <row r="1088">
      <c r="A1088" s="689"/>
      <c r="B1088" s="689"/>
      <c r="C1088" s="689"/>
      <c r="D1088" s="689"/>
      <c r="E1088" s="689"/>
      <c r="F1088" s="689"/>
      <c r="G1088" s="689"/>
      <c r="H1088" s="689"/>
    </row>
    <row r="1089">
      <c r="A1089" s="649" t="s">
        <v>4615</v>
      </c>
      <c r="B1089" s="2"/>
      <c r="C1089" s="2"/>
      <c r="D1089" s="2"/>
      <c r="E1089" s="2"/>
      <c r="F1089" s="2"/>
      <c r="G1089" s="2"/>
      <c r="H1089" s="3"/>
    </row>
    <row r="1090">
      <c r="A1090" s="690" t="s">
        <v>1435</v>
      </c>
      <c r="B1090" s="690" t="s">
        <v>1436</v>
      </c>
      <c r="C1090" s="690" t="s">
        <v>1843</v>
      </c>
      <c r="D1090" s="693" t="s">
        <v>1438</v>
      </c>
      <c r="E1090" s="694" t="s">
        <v>1564</v>
      </c>
      <c r="F1090" s="690" t="s">
        <v>1440</v>
      </c>
      <c r="G1090" s="690" t="s">
        <v>1844</v>
      </c>
      <c r="H1090" s="695" t="s">
        <v>1441</v>
      </c>
    </row>
    <row r="1091">
      <c r="A1091" s="658">
        <v>1.0</v>
      </c>
      <c r="B1091" s="658" t="s">
        <v>1443</v>
      </c>
      <c r="C1091" s="658">
        <v>1.0</v>
      </c>
      <c r="D1091" s="678">
        <v>150.0</v>
      </c>
      <c r="E1091" s="669"/>
      <c r="F1091" s="689" t="s">
        <v>1518</v>
      </c>
      <c r="G1091" s="658" t="s">
        <v>1554</v>
      </c>
      <c r="H1091" s="731">
        <v>45141.0</v>
      </c>
    </row>
    <row r="1092">
      <c r="A1092" s="658">
        <v>2.0</v>
      </c>
      <c r="B1092" s="658" t="s">
        <v>1444</v>
      </c>
      <c r="C1092" s="658">
        <v>1.0</v>
      </c>
      <c r="D1092" s="678">
        <v>3.2</v>
      </c>
      <c r="E1092" s="669"/>
      <c r="F1092" s="689"/>
      <c r="G1092" s="689"/>
      <c r="H1092" s="731"/>
    </row>
    <row r="1093">
      <c r="A1093" s="658">
        <v>3.0</v>
      </c>
      <c r="B1093" s="689" t="s">
        <v>3673</v>
      </c>
      <c r="C1093" s="689">
        <v>1.0</v>
      </c>
      <c r="D1093" s="721">
        <v>5.0</v>
      </c>
      <c r="E1093" s="669">
        <v>1.0</v>
      </c>
      <c r="F1093" s="689"/>
      <c r="G1093" s="658" t="s">
        <v>4616</v>
      </c>
      <c r="H1093" s="679">
        <v>45501.0</v>
      </c>
    </row>
    <row r="1094">
      <c r="A1094" s="689">
        <v>4.0</v>
      </c>
      <c r="B1094" s="655" t="s">
        <v>4617</v>
      </c>
      <c r="C1094" s="689">
        <v>1.0</v>
      </c>
      <c r="D1094" s="658">
        <v>4.2</v>
      </c>
      <c r="E1094" s="669">
        <v>1.0</v>
      </c>
      <c r="F1094" s="730"/>
      <c r="G1094" s="658" t="s">
        <v>4616</v>
      </c>
      <c r="H1094" s="679">
        <v>45501.0</v>
      </c>
    </row>
    <row r="1095">
      <c r="A1095" s="658">
        <v>5.0</v>
      </c>
      <c r="B1095" s="655" t="s">
        <v>4618</v>
      </c>
      <c r="C1095" s="689">
        <v>1.0</v>
      </c>
      <c r="D1095" s="658">
        <v>1.0</v>
      </c>
      <c r="E1095" s="669">
        <v>1.0</v>
      </c>
      <c r="F1095" s="730"/>
      <c r="G1095" s="658" t="s">
        <v>4616</v>
      </c>
      <c r="H1095" s="679">
        <v>45501.0</v>
      </c>
    </row>
    <row r="1096">
      <c r="A1096" s="689">
        <v>6.0</v>
      </c>
      <c r="B1096" s="655" t="s">
        <v>4618</v>
      </c>
      <c r="C1096" s="689">
        <v>1.0</v>
      </c>
      <c r="D1096" s="658">
        <v>1.0</v>
      </c>
      <c r="E1096" s="669">
        <v>1.0</v>
      </c>
      <c r="F1096" s="730"/>
      <c r="G1096" s="658" t="s">
        <v>4616</v>
      </c>
      <c r="H1096" s="679">
        <v>45501.0</v>
      </c>
    </row>
    <row r="1097">
      <c r="A1097" s="658">
        <v>7.0</v>
      </c>
      <c r="B1097" s="655" t="s">
        <v>4618</v>
      </c>
      <c r="C1097" s="689">
        <v>1.0</v>
      </c>
      <c r="D1097" s="658">
        <v>1.0</v>
      </c>
      <c r="E1097" s="669">
        <v>1.0</v>
      </c>
      <c r="F1097" s="730"/>
      <c r="G1097" s="658" t="s">
        <v>4616</v>
      </c>
      <c r="H1097" s="679">
        <v>45501.0</v>
      </c>
    </row>
    <row r="1098">
      <c r="A1098" s="689">
        <v>8.0</v>
      </c>
      <c r="B1098" s="655" t="s">
        <v>4619</v>
      </c>
      <c r="C1098" s="689">
        <v>1.0</v>
      </c>
      <c r="D1098" s="658">
        <v>2.0</v>
      </c>
      <c r="E1098" s="669">
        <v>1.0</v>
      </c>
      <c r="F1098" s="730"/>
      <c r="G1098" s="658" t="s">
        <v>4616</v>
      </c>
      <c r="H1098" s="679">
        <v>45501.0</v>
      </c>
    </row>
    <row r="1099">
      <c r="A1099" s="655">
        <v>9.0</v>
      </c>
      <c r="B1099" s="655" t="s">
        <v>4620</v>
      </c>
      <c r="C1099" s="730">
        <v>1.0</v>
      </c>
      <c r="D1099" s="656">
        <v>17.5</v>
      </c>
      <c r="E1099" s="660">
        <v>1.0</v>
      </c>
      <c r="F1099" s="730"/>
      <c r="G1099" s="658" t="s">
        <v>4616</v>
      </c>
      <c r="H1099" s="679">
        <v>45501.0</v>
      </c>
    </row>
    <row r="1100">
      <c r="A1100" s="730">
        <v>10.0</v>
      </c>
      <c r="B1100" s="655" t="s">
        <v>4620</v>
      </c>
      <c r="C1100" s="730">
        <v>1.0</v>
      </c>
      <c r="D1100" s="656">
        <v>17.5</v>
      </c>
      <c r="E1100" s="660">
        <v>1.0</v>
      </c>
      <c r="F1100" s="730"/>
      <c r="G1100" s="658" t="s">
        <v>4616</v>
      </c>
      <c r="H1100" s="679">
        <v>45501.0</v>
      </c>
    </row>
    <row r="1101">
      <c r="A1101" s="655">
        <v>11.0</v>
      </c>
      <c r="B1101" s="655" t="s">
        <v>4620</v>
      </c>
      <c r="C1101" s="730">
        <v>1.0</v>
      </c>
      <c r="D1101" s="656">
        <v>17.5</v>
      </c>
      <c r="E1101" s="660">
        <v>1.0</v>
      </c>
      <c r="F1101" s="730"/>
      <c r="G1101" s="658" t="s">
        <v>4616</v>
      </c>
      <c r="H1101" s="679">
        <v>45501.0</v>
      </c>
    </row>
    <row r="1102">
      <c r="A1102" s="689">
        <v>12.0</v>
      </c>
      <c r="B1102" s="655" t="s">
        <v>4621</v>
      </c>
      <c r="C1102" s="689">
        <v>1.0</v>
      </c>
      <c r="D1102" s="678">
        <v>14.7</v>
      </c>
      <c r="E1102" s="669">
        <v>1.0</v>
      </c>
      <c r="F1102" s="730"/>
      <c r="G1102" s="658" t="s">
        <v>4616</v>
      </c>
      <c r="H1102" s="679">
        <v>45501.0</v>
      </c>
    </row>
    <row r="1103">
      <c r="A1103" s="658">
        <v>13.0</v>
      </c>
      <c r="B1103" s="658" t="s">
        <v>2513</v>
      </c>
      <c r="C1103" s="658">
        <v>1.0</v>
      </c>
      <c r="D1103" s="678">
        <v>19.1</v>
      </c>
      <c r="E1103" s="676">
        <v>1.0</v>
      </c>
      <c r="F1103" s="658" t="s">
        <v>4622</v>
      </c>
      <c r="G1103" s="658" t="s">
        <v>1554</v>
      </c>
      <c r="H1103" s="679">
        <v>45715.0</v>
      </c>
    </row>
    <row r="1104">
      <c r="A1104" s="662">
        <v>14.0</v>
      </c>
      <c r="B1104" s="662" t="s">
        <v>3665</v>
      </c>
      <c r="C1104" s="662"/>
      <c r="D1104" s="673"/>
      <c r="E1104" s="665"/>
      <c r="F1104" s="662">
        <v>2.10126037063E11</v>
      </c>
      <c r="G1104" s="663" t="s">
        <v>1446</v>
      </c>
      <c r="H1104" s="662" t="s">
        <v>4623</v>
      </c>
    </row>
    <row r="1105">
      <c r="A1105" s="662">
        <v>15.0</v>
      </c>
      <c r="B1105" s="848" t="s">
        <v>2115</v>
      </c>
      <c r="C1105" s="662"/>
      <c r="D1105" s="673"/>
      <c r="E1105" s="665"/>
      <c r="F1105" s="848" t="s">
        <v>4624</v>
      </c>
      <c r="G1105" s="662" t="s">
        <v>239</v>
      </c>
      <c r="H1105" s="681">
        <v>45848.0</v>
      </c>
    </row>
    <row r="1106">
      <c r="A1106" s="662">
        <v>16.0</v>
      </c>
      <c r="B1106" s="848" t="s">
        <v>2115</v>
      </c>
      <c r="C1106" s="662"/>
      <c r="D1106" s="673"/>
      <c r="E1106" s="665"/>
      <c r="F1106" s="848" t="s">
        <v>4625</v>
      </c>
      <c r="G1106" s="662" t="s">
        <v>239</v>
      </c>
      <c r="H1106" s="681">
        <v>45848.0</v>
      </c>
    </row>
    <row r="1107">
      <c r="A1107" s="655">
        <v>17.0</v>
      </c>
      <c r="B1107" s="390" t="s">
        <v>1872</v>
      </c>
      <c r="C1107" s="655">
        <v>1.0</v>
      </c>
      <c r="D1107" s="656">
        <v>10.5</v>
      </c>
      <c r="E1107" s="657">
        <v>1.0</v>
      </c>
      <c r="F1107" s="390" t="s">
        <v>4626</v>
      </c>
      <c r="G1107" s="655" t="s">
        <v>1446</v>
      </c>
      <c r="H1107" s="659">
        <v>45926.0</v>
      </c>
    </row>
    <row r="1108">
      <c r="A1108" s="655">
        <v>18.0</v>
      </c>
      <c r="B1108" s="390" t="s">
        <v>2393</v>
      </c>
      <c r="C1108" s="655">
        <v>1.0</v>
      </c>
      <c r="D1108" s="656">
        <v>17.4</v>
      </c>
      <c r="E1108" s="657">
        <v>1.0</v>
      </c>
      <c r="F1108" s="849"/>
      <c r="G1108" s="655" t="s">
        <v>1554</v>
      </c>
      <c r="H1108" s="659">
        <v>45945.0</v>
      </c>
    </row>
    <row r="1109">
      <c r="A1109" s="732" t="s">
        <v>1562</v>
      </c>
      <c r="B1109" s="3"/>
      <c r="C1109" s="689">
        <f t="shared" ref="C1109:E1109" si="41">sum(C1091:C1102)</f>
        <v>12</v>
      </c>
      <c r="D1109" s="721">
        <f t="shared" si="41"/>
        <v>234.6</v>
      </c>
      <c r="E1109" s="669">
        <f t="shared" si="41"/>
        <v>10</v>
      </c>
      <c r="F1109" s="689"/>
      <c r="G1109" s="731"/>
      <c r="H1109" s="731"/>
    </row>
    <row r="1110">
      <c r="A1110" s="689"/>
      <c r="B1110" s="689"/>
      <c r="C1110" s="689"/>
      <c r="D1110" s="689"/>
      <c r="E1110" s="689"/>
      <c r="F1110" s="689"/>
      <c r="G1110" s="689"/>
      <c r="H1110" s="689"/>
    </row>
    <row r="1111">
      <c r="A1111" s="689"/>
      <c r="B1111" s="689"/>
      <c r="C1111" s="689"/>
      <c r="D1111" s="689"/>
      <c r="E1111" s="689"/>
      <c r="F1111" s="689"/>
      <c r="G1111" s="689"/>
      <c r="H1111" s="689"/>
    </row>
    <row r="1112">
      <c r="A1112" s="649" t="s">
        <v>4627</v>
      </c>
      <c r="B1112" s="2"/>
      <c r="C1112" s="2"/>
      <c r="D1112" s="2"/>
      <c r="E1112" s="2"/>
      <c r="F1112" s="2"/>
      <c r="G1112" s="2"/>
      <c r="H1112" s="3"/>
    </row>
    <row r="1113">
      <c r="A1113" s="690" t="s">
        <v>1435</v>
      </c>
      <c r="B1113" s="690" t="s">
        <v>1436</v>
      </c>
      <c r="C1113" s="690" t="s">
        <v>1843</v>
      </c>
      <c r="D1113" s="693" t="s">
        <v>1438</v>
      </c>
      <c r="E1113" s="694" t="s">
        <v>1564</v>
      </c>
      <c r="F1113" s="690" t="s">
        <v>1440</v>
      </c>
      <c r="G1113" s="690" t="s">
        <v>1844</v>
      </c>
      <c r="H1113" s="695" t="s">
        <v>1441</v>
      </c>
    </row>
    <row r="1114">
      <c r="A1114" s="658">
        <v>1.0</v>
      </c>
      <c r="B1114" s="658" t="s">
        <v>1443</v>
      </c>
      <c r="C1114" s="658">
        <v>1.0</v>
      </c>
      <c r="D1114" s="678">
        <v>150.0</v>
      </c>
      <c r="E1114" s="669"/>
      <c r="F1114" s="689" t="s">
        <v>1518</v>
      </c>
      <c r="G1114" s="658" t="s">
        <v>1554</v>
      </c>
      <c r="H1114" s="731">
        <v>45141.0</v>
      </c>
    </row>
    <row r="1115">
      <c r="A1115" s="658">
        <v>2.0</v>
      </c>
      <c r="B1115" s="658" t="s">
        <v>1444</v>
      </c>
      <c r="C1115" s="658">
        <v>2.0</v>
      </c>
      <c r="D1115" s="678">
        <f>C1115*3.2</f>
        <v>6.4</v>
      </c>
      <c r="E1115" s="669"/>
      <c r="F1115" s="689"/>
      <c r="G1115" s="689"/>
      <c r="H1115" s="731"/>
    </row>
    <row r="1116">
      <c r="A1116" s="658">
        <v>3.0</v>
      </c>
      <c r="B1116" s="689" t="s">
        <v>3673</v>
      </c>
      <c r="C1116" s="689">
        <v>1.0</v>
      </c>
      <c r="D1116" s="678">
        <v>9.0</v>
      </c>
      <c r="E1116" s="669">
        <v>1.0</v>
      </c>
      <c r="F1116" s="689"/>
      <c r="G1116" s="689"/>
      <c r="H1116" s="731"/>
    </row>
    <row r="1117">
      <c r="A1117" s="662">
        <v>4.0</v>
      </c>
      <c r="B1117" s="662" t="s">
        <v>4628</v>
      </c>
      <c r="C1117" s="662"/>
      <c r="D1117" s="673"/>
      <c r="E1117" s="665"/>
      <c r="F1117" s="662" t="s">
        <v>4629</v>
      </c>
      <c r="G1117" s="662" t="s">
        <v>4630</v>
      </c>
      <c r="H1117" s="698">
        <v>45506.0</v>
      </c>
    </row>
    <row r="1118">
      <c r="A1118" s="689">
        <v>5.0</v>
      </c>
      <c r="B1118" s="655" t="s">
        <v>4631</v>
      </c>
      <c r="C1118" s="658">
        <v>1.0</v>
      </c>
      <c r="D1118" s="678">
        <v>2.0</v>
      </c>
      <c r="E1118" s="676">
        <v>1.0</v>
      </c>
      <c r="F1118" s="658" t="s">
        <v>4632</v>
      </c>
      <c r="G1118" s="658" t="s">
        <v>1554</v>
      </c>
      <c r="H1118" s="696">
        <v>45528.0</v>
      </c>
    </row>
    <row r="1119">
      <c r="A1119" s="722">
        <v>6.0</v>
      </c>
      <c r="B1119" s="662" t="s">
        <v>3614</v>
      </c>
      <c r="C1119" s="662"/>
      <c r="D1119" s="673"/>
      <c r="E1119" s="665"/>
      <c r="F1119" s="662" t="s">
        <v>4633</v>
      </c>
      <c r="G1119" s="662" t="s">
        <v>4634</v>
      </c>
      <c r="H1119" s="698">
        <v>45528.0</v>
      </c>
    </row>
    <row r="1120">
      <c r="A1120" s="658">
        <v>8.0</v>
      </c>
      <c r="B1120" s="658" t="s">
        <v>4635</v>
      </c>
      <c r="C1120" s="658">
        <v>1.0</v>
      </c>
      <c r="D1120" s="678">
        <v>7.9</v>
      </c>
      <c r="E1120" s="676">
        <v>1.0</v>
      </c>
      <c r="F1120" s="658"/>
      <c r="G1120" s="658" t="s">
        <v>1554</v>
      </c>
      <c r="H1120" s="696">
        <v>45528.0</v>
      </c>
    </row>
    <row r="1121">
      <c r="A1121" s="662">
        <v>9.0</v>
      </c>
      <c r="B1121" s="662" t="s">
        <v>4636</v>
      </c>
      <c r="C1121" s="662"/>
      <c r="D1121" s="673"/>
      <c r="E1121" s="665"/>
      <c r="F1121" s="662" t="s">
        <v>4637</v>
      </c>
      <c r="G1121" s="662" t="s">
        <v>1554</v>
      </c>
      <c r="H1121" s="662" t="s">
        <v>4638</v>
      </c>
    </row>
    <row r="1122">
      <c r="A1122" s="662">
        <v>10.0</v>
      </c>
      <c r="B1122" s="662" t="s">
        <v>1862</v>
      </c>
      <c r="C1122" s="662"/>
      <c r="D1122" s="673"/>
      <c r="E1122" s="665"/>
      <c r="F1122" s="662" t="s">
        <v>4639</v>
      </c>
      <c r="G1122" s="662" t="s">
        <v>1554</v>
      </c>
      <c r="H1122" s="662" t="s">
        <v>4640</v>
      </c>
    </row>
    <row r="1123">
      <c r="A1123" s="662">
        <v>11.0</v>
      </c>
      <c r="B1123" s="662" t="s">
        <v>1862</v>
      </c>
      <c r="C1123" s="662"/>
      <c r="D1123" s="673"/>
      <c r="E1123" s="665"/>
      <c r="F1123" s="662" t="s">
        <v>4641</v>
      </c>
      <c r="G1123" s="662" t="s">
        <v>1554</v>
      </c>
      <c r="H1123" s="662" t="s">
        <v>4642</v>
      </c>
    </row>
    <row r="1124">
      <c r="A1124" s="662">
        <v>12.0</v>
      </c>
      <c r="B1124" s="662" t="s">
        <v>4643</v>
      </c>
      <c r="C1124" s="662"/>
      <c r="D1124" s="673"/>
      <c r="E1124" s="665"/>
      <c r="F1124" s="662" t="s">
        <v>4644</v>
      </c>
      <c r="G1124" s="662" t="s">
        <v>1554</v>
      </c>
      <c r="H1124" s="662" t="s">
        <v>4640</v>
      </c>
    </row>
    <row r="1125">
      <c r="A1125" s="662">
        <v>13.0</v>
      </c>
      <c r="B1125" s="662" t="s">
        <v>2113</v>
      </c>
      <c r="C1125" s="662"/>
      <c r="D1125" s="673"/>
      <c r="E1125" s="665"/>
      <c r="F1125" s="662" t="s">
        <v>4645</v>
      </c>
      <c r="G1125" s="662" t="s">
        <v>4646</v>
      </c>
      <c r="H1125" s="681">
        <v>45582.0</v>
      </c>
    </row>
    <row r="1126">
      <c r="A1126" s="655">
        <v>14.0</v>
      </c>
      <c r="B1126" s="655" t="s">
        <v>4647</v>
      </c>
      <c r="C1126" s="655">
        <v>1.0</v>
      </c>
      <c r="D1126" s="656">
        <v>10.5</v>
      </c>
      <c r="E1126" s="657">
        <v>2.0</v>
      </c>
      <c r="F1126" s="655" t="s">
        <v>4648</v>
      </c>
      <c r="G1126" s="658" t="s">
        <v>1554</v>
      </c>
      <c r="H1126" s="659">
        <v>45593.0</v>
      </c>
    </row>
    <row r="1127">
      <c r="A1127" s="662">
        <v>15.0</v>
      </c>
      <c r="B1127" s="259" t="s">
        <v>4649</v>
      </c>
      <c r="C1127" s="662"/>
      <c r="D1127" s="673"/>
      <c r="E1127" s="665"/>
      <c r="F1127" s="259" t="s">
        <v>4650</v>
      </c>
      <c r="G1127" s="662" t="s">
        <v>1554</v>
      </c>
      <c r="H1127" s="662" t="s">
        <v>4651</v>
      </c>
    </row>
    <row r="1128">
      <c r="A1128" s="658">
        <v>16.0</v>
      </c>
      <c r="B1128" s="658" t="s">
        <v>4647</v>
      </c>
      <c r="C1128" s="658">
        <v>1.0</v>
      </c>
      <c r="D1128" s="678">
        <v>10.4</v>
      </c>
      <c r="E1128" s="676">
        <v>1.0</v>
      </c>
      <c r="F1128" s="525" t="s">
        <v>4652</v>
      </c>
      <c r="G1128" s="658" t="s">
        <v>1554</v>
      </c>
      <c r="H1128" s="679">
        <v>45622.0</v>
      </c>
    </row>
    <row r="1129">
      <c r="A1129" s="658">
        <v>17.0</v>
      </c>
      <c r="B1129" s="525" t="s">
        <v>4653</v>
      </c>
      <c r="C1129" s="658">
        <v>1.0</v>
      </c>
      <c r="D1129" s="678">
        <v>15.8</v>
      </c>
      <c r="E1129" s="676">
        <v>1.0</v>
      </c>
      <c r="F1129" s="525" t="s">
        <v>4654</v>
      </c>
      <c r="G1129" s="658" t="s">
        <v>1554</v>
      </c>
      <c r="H1129" s="679">
        <v>45635.0</v>
      </c>
    </row>
    <row r="1130">
      <c r="A1130" s="662">
        <v>18.0</v>
      </c>
      <c r="B1130" s="662" t="s">
        <v>4655</v>
      </c>
      <c r="C1130" s="662"/>
      <c r="D1130" s="673"/>
      <c r="E1130" s="665"/>
      <c r="F1130" s="662" t="s">
        <v>4656</v>
      </c>
      <c r="G1130" s="662" t="s">
        <v>1554</v>
      </c>
      <c r="H1130" s="662" t="s">
        <v>4657</v>
      </c>
    </row>
    <row r="1131">
      <c r="A1131" s="658">
        <v>19.0</v>
      </c>
      <c r="B1131" s="658" t="s">
        <v>2831</v>
      </c>
      <c r="C1131" s="658">
        <v>1.0</v>
      </c>
      <c r="D1131" s="678">
        <v>2.7</v>
      </c>
      <c r="E1131" s="676">
        <v>1.0</v>
      </c>
      <c r="F1131" s="658" t="s">
        <v>4658</v>
      </c>
      <c r="G1131" s="658" t="s">
        <v>1554</v>
      </c>
      <c r="H1131" s="679">
        <v>45638.0</v>
      </c>
    </row>
    <row r="1132">
      <c r="A1132" s="658">
        <v>20.0</v>
      </c>
      <c r="B1132" s="658" t="s">
        <v>2056</v>
      </c>
      <c r="C1132" s="658">
        <v>1.0</v>
      </c>
      <c r="D1132" s="678">
        <v>29.5</v>
      </c>
      <c r="E1132" s="676">
        <v>1.0</v>
      </c>
      <c r="F1132" s="658" t="s">
        <v>4659</v>
      </c>
      <c r="G1132" s="658" t="s">
        <v>1554</v>
      </c>
      <c r="H1132" s="679">
        <v>45638.0</v>
      </c>
    </row>
    <row r="1133">
      <c r="A1133" s="658">
        <v>21.0</v>
      </c>
      <c r="B1133" s="658" t="s">
        <v>4660</v>
      </c>
      <c r="C1133" s="658">
        <v>1.0</v>
      </c>
      <c r="D1133" s="678">
        <v>18.2</v>
      </c>
      <c r="E1133" s="676">
        <v>1.0</v>
      </c>
      <c r="F1133" s="658" t="s">
        <v>4661</v>
      </c>
      <c r="G1133" s="658" t="s">
        <v>1554</v>
      </c>
      <c r="H1133" s="679">
        <v>45647.0</v>
      </c>
    </row>
    <row r="1134">
      <c r="A1134" s="662">
        <v>22.0</v>
      </c>
      <c r="B1134" s="662" t="s">
        <v>4662</v>
      </c>
      <c r="C1134" s="662"/>
      <c r="D1134" s="673"/>
      <c r="E1134" s="665"/>
      <c r="F1134" s="662" t="s">
        <v>4663</v>
      </c>
      <c r="G1134" s="662" t="s">
        <v>1554</v>
      </c>
      <c r="H1134" s="662" t="s">
        <v>4664</v>
      </c>
    </row>
    <row r="1135">
      <c r="A1135" s="658">
        <v>23.0</v>
      </c>
      <c r="B1135" s="658" t="s">
        <v>2374</v>
      </c>
      <c r="C1135" s="658">
        <v>1.0</v>
      </c>
      <c r="D1135" s="678">
        <v>1.7</v>
      </c>
      <c r="E1135" s="676">
        <v>1.0</v>
      </c>
      <c r="F1135" s="658" t="s">
        <v>4665</v>
      </c>
      <c r="G1135" s="658" t="s">
        <v>1554</v>
      </c>
      <c r="H1135" s="679">
        <v>45647.0</v>
      </c>
    </row>
    <row r="1136">
      <c r="A1136" s="662">
        <v>24.0</v>
      </c>
      <c r="B1136" s="662" t="s">
        <v>1476</v>
      </c>
      <c r="C1136" s="662"/>
      <c r="D1136" s="673"/>
      <c r="E1136" s="665"/>
      <c r="F1136" s="850" t="s">
        <v>4666</v>
      </c>
      <c r="G1136" s="662" t="s">
        <v>1554</v>
      </c>
      <c r="H1136" s="662" t="s">
        <v>4667</v>
      </c>
    </row>
    <row r="1137">
      <c r="A1137" s="655">
        <v>25.0</v>
      </c>
      <c r="B1137" s="344" t="s">
        <v>4668</v>
      </c>
      <c r="C1137" s="655">
        <v>1.0</v>
      </c>
      <c r="D1137" s="656">
        <v>2.0</v>
      </c>
      <c r="E1137" s="657">
        <v>1.0</v>
      </c>
      <c r="F1137" s="344" t="s">
        <v>4669</v>
      </c>
      <c r="G1137" s="655" t="s">
        <v>3541</v>
      </c>
      <c r="H1137" s="659">
        <v>45803.0</v>
      </c>
    </row>
    <row r="1138">
      <c r="A1138" s="655">
        <v>26.0</v>
      </c>
      <c r="B1138" s="344" t="s">
        <v>4670</v>
      </c>
      <c r="C1138" s="655">
        <v>1.0</v>
      </c>
      <c r="D1138" s="656">
        <v>2.0</v>
      </c>
      <c r="E1138" s="657">
        <v>1.0</v>
      </c>
      <c r="F1138" s="344" t="s">
        <v>4671</v>
      </c>
      <c r="G1138" s="655" t="s">
        <v>1554</v>
      </c>
      <c r="H1138" s="659">
        <v>45821.0</v>
      </c>
    </row>
    <row r="1139">
      <c r="A1139" s="847">
        <v>27.0</v>
      </c>
      <c r="B1139" s="847" t="s">
        <v>1652</v>
      </c>
      <c r="C1139" s="658">
        <v>1.0</v>
      </c>
      <c r="D1139" s="678">
        <v>2.0</v>
      </c>
      <c r="E1139" s="676">
        <v>1.0</v>
      </c>
      <c r="F1139" s="847" t="s">
        <v>4672</v>
      </c>
      <c r="G1139" s="658" t="s">
        <v>1554</v>
      </c>
      <c r="H1139" s="679">
        <v>45827.0</v>
      </c>
    </row>
    <row r="1140">
      <c r="A1140" s="732" t="s">
        <v>1562</v>
      </c>
      <c r="B1140" s="3"/>
      <c r="C1140" s="689">
        <f t="shared" ref="C1140:E1140" si="42">sum(C1114:C1129)</f>
        <v>9</v>
      </c>
      <c r="D1140" s="721">
        <f t="shared" si="42"/>
        <v>212</v>
      </c>
      <c r="E1140" s="669">
        <f t="shared" si="42"/>
        <v>7</v>
      </c>
      <c r="F1140" s="642"/>
      <c r="G1140" s="731"/>
      <c r="H1140" s="731"/>
    </row>
    <row r="1141">
      <c r="A1141" s="689"/>
      <c r="B1141" s="689"/>
      <c r="C1141" s="689"/>
      <c r="D1141" s="689"/>
      <c r="E1141" s="689"/>
      <c r="F1141" s="689"/>
      <c r="G1141" s="689"/>
      <c r="H1141" s="731"/>
    </row>
    <row r="1142">
      <c r="A1142" s="689"/>
      <c r="B1142" s="689"/>
      <c r="C1142" s="689"/>
      <c r="D1142" s="689"/>
      <c r="E1142" s="689"/>
      <c r="F1142" s="689"/>
      <c r="G1142" s="689"/>
      <c r="H1142" s="689"/>
    </row>
    <row r="1143">
      <c r="A1143" s="649" t="s">
        <v>4673</v>
      </c>
      <c r="B1143" s="2"/>
      <c r="C1143" s="2"/>
      <c r="D1143" s="2"/>
      <c r="E1143" s="2"/>
      <c r="F1143" s="2"/>
      <c r="G1143" s="2"/>
      <c r="H1143" s="3"/>
    </row>
    <row r="1144">
      <c r="A1144" s="690" t="s">
        <v>1435</v>
      </c>
      <c r="B1144" s="690" t="s">
        <v>1436</v>
      </c>
      <c r="C1144" s="690" t="s">
        <v>1843</v>
      </c>
      <c r="D1144" s="693" t="s">
        <v>1438</v>
      </c>
      <c r="E1144" s="694" t="s">
        <v>1564</v>
      </c>
      <c r="F1144" s="690" t="s">
        <v>1440</v>
      </c>
      <c r="G1144" s="690" t="s">
        <v>1844</v>
      </c>
      <c r="H1144" s="695" t="s">
        <v>1441</v>
      </c>
    </row>
    <row r="1145">
      <c r="A1145" s="658">
        <v>1.0</v>
      </c>
      <c r="B1145" s="658" t="s">
        <v>1443</v>
      </c>
      <c r="C1145" s="658">
        <v>1.0</v>
      </c>
      <c r="D1145" s="678">
        <v>150.0</v>
      </c>
      <c r="E1145" s="669"/>
      <c r="F1145" s="689" t="s">
        <v>1518</v>
      </c>
      <c r="G1145" s="658" t="s">
        <v>1554</v>
      </c>
      <c r="H1145" s="658" t="s">
        <v>215</v>
      </c>
    </row>
    <row r="1146">
      <c r="A1146" s="658">
        <v>2.0</v>
      </c>
      <c r="B1146" s="658" t="s">
        <v>1444</v>
      </c>
      <c r="C1146" s="658">
        <v>1.0</v>
      </c>
      <c r="D1146" s="678">
        <v>3.2</v>
      </c>
      <c r="E1146" s="669"/>
      <c r="F1146" s="689"/>
      <c r="G1146" s="689"/>
      <c r="H1146" s="731"/>
    </row>
    <row r="1147">
      <c r="A1147" s="658">
        <v>3.0</v>
      </c>
      <c r="B1147" s="689" t="s">
        <v>3673</v>
      </c>
      <c r="C1147" s="689">
        <v>1.0</v>
      </c>
      <c r="D1147" s="721">
        <v>5.0</v>
      </c>
      <c r="E1147" s="669">
        <v>1.0</v>
      </c>
      <c r="F1147" s="689"/>
      <c r="G1147" s="689"/>
      <c r="H1147" s="731"/>
    </row>
    <row r="1148">
      <c r="A1148" s="689">
        <v>4.0</v>
      </c>
      <c r="B1148" s="655" t="s">
        <v>4674</v>
      </c>
      <c r="C1148" s="689">
        <v>1.0</v>
      </c>
      <c r="D1148" s="678">
        <v>13.8</v>
      </c>
      <c r="E1148" s="669"/>
      <c r="F1148" s="655" t="s">
        <v>4675</v>
      </c>
      <c r="G1148" s="658" t="s">
        <v>1554</v>
      </c>
      <c r="H1148" s="696">
        <v>45545.0</v>
      </c>
    </row>
    <row r="1149">
      <c r="A1149" s="722">
        <v>5.0</v>
      </c>
      <c r="B1149" s="662" t="s">
        <v>4676</v>
      </c>
      <c r="C1149" s="722"/>
      <c r="D1149" s="673"/>
      <c r="E1149" s="665"/>
      <c r="F1149" s="662" t="s">
        <v>4677</v>
      </c>
      <c r="G1149" s="662" t="s">
        <v>1554</v>
      </c>
      <c r="H1149" s="698">
        <v>45545.0</v>
      </c>
    </row>
    <row r="1150">
      <c r="A1150" s="689">
        <v>6.0</v>
      </c>
      <c r="B1150" s="655" t="s">
        <v>4678</v>
      </c>
      <c r="C1150" s="689">
        <v>1.0</v>
      </c>
      <c r="D1150" s="678">
        <v>8.2</v>
      </c>
      <c r="E1150" s="676">
        <v>1.0</v>
      </c>
      <c r="F1150" s="655">
        <v>1.2504313293E10</v>
      </c>
      <c r="G1150" s="658" t="s">
        <v>1554</v>
      </c>
      <c r="H1150" s="696">
        <v>45545.0</v>
      </c>
    </row>
    <row r="1151">
      <c r="A1151" s="722">
        <v>7.0</v>
      </c>
      <c r="B1151" s="662" t="s">
        <v>4679</v>
      </c>
      <c r="C1151" s="722"/>
      <c r="D1151" s="673"/>
      <c r="E1151" s="665"/>
      <c r="F1151" s="662" t="s">
        <v>4680</v>
      </c>
      <c r="G1151" s="662" t="s">
        <v>1554</v>
      </c>
      <c r="H1151" s="662" t="s">
        <v>4681</v>
      </c>
    </row>
    <row r="1152">
      <c r="A1152" s="730">
        <v>8.0</v>
      </c>
      <c r="B1152" s="655" t="s">
        <v>4682</v>
      </c>
      <c r="C1152" s="655">
        <v>1.0</v>
      </c>
      <c r="D1152" s="656">
        <v>11.0</v>
      </c>
      <c r="E1152" s="657">
        <v>1.0</v>
      </c>
      <c r="F1152" s="655">
        <v>2.4005709000388E13</v>
      </c>
      <c r="G1152" s="655" t="s">
        <v>1554</v>
      </c>
      <c r="H1152" s="661">
        <v>6693030.0</v>
      </c>
    </row>
    <row r="1153">
      <c r="A1153" s="689">
        <v>9.0</v>
      </c>
      <c r="B1153" s="658" t="s">
        <v>4683</v>
      </c>
      <c r="C1153" s="658">
        <v>1.0</v>
      </c>
      <c r="D1153" s="678">
        <v>4.8</v>
      </c>
      <c r="E1153" s="676">
        <v>1.0</v>
      </c>
      <c r="F1153" s="658" t="s">
        <v>4684</v>
      </c>
      <c r="G1153" s="658" t="s">
        <v>1554</v>
      </c>
      <c r="H1153" s="696">
        <v>45701.0</v>
      </c>
    </row>
    <row r="1154">
      <c r="A1154" s="658">
        <v>10.0</v>
      </c>
      <c r="B1154" s="655" t="s">
        <v>4685</v>
      </c>
      <c r="C1154" s="658">
        <v>1.0</v>
      </c>
      <c r="D1154" s="678">
        <v>17.14</v>
      </c>
      <c r="E1154" s="676">
        <v>1.0</v>
      </c>
      <c r="F1154" s="655" t="s">
        <v>4686</v>
      </c>
      <c r="G1154" s="655" t="s">
        <v>1554</v>
      </c>
      <c r="H1154" s="679">
        <v>45720.0</v>
      </c>
    </row>
    <row r="1155">
      <c r="A1155" s="732" t="s">
        <v>1562</v>
      </c>
      <c r="B1155" s="3"/>
      <c r="C1155" s="689">
        <f t="shared" ref="C1155:E1155" si="43">sum(C1145:C1154)</f>
        <v>8</v>
      </c>
      <c r="D1155" s="721">
        <f t="shared" si="43"/>
        <v>213.14</v>
      </c>
      <c r="E1155" s="669">
        <f t="shared" si="43"/>
        <v>5</v>
      </c>
      <c r="F1155" s="689"/>
      <c r="G1155" s="731"/>
      <c r="H1155" s="731"/>
    </row>
    <row r="1156">
      <c r="A1156" s="689"/>
      <c r="B1156" s="689"/>
      <c r="C1156" s="689"/>
      <c r="D1156" s="689"/>
      <c r="E1156" s="689"/>
      <c r="F1156" s="689"/>
      <c r="G1156" s="689"/>
      <c r="H1156" s="689"/>
    </row>
    <row r="1157">
      <c r="A1157" s="689"/>
      <c r="B1157" s="689"/>
      <c r="C1157" s="689"/>
      <c r="D1157" s="689"/>
      <c r="E1157" s="689"/>
      <c r="F1157" s="689"/>
      <c r="G1157" s="689"/>
      <c r="H1157" s="689"/>
    </row>
    <row r="1158">
      <c r="A1158" s="649" t="s">
        <v>4687</v>
      </c>
      <c r="B1158" s="2"/>
      <c r="C1158" s="2"/>
      <c r="D1158" s="2"/>
      <c r="E1158" s="2"/>
      <c r="F1158" s="2"/>
      <c r="G1158" s="2"/>
      <c r="H1158" s="3"/>
    </row>
    <row r="1159">
      <c r="A1159" s="690" t="s">
        <v>1435</v>
      </c>
      <c r="B1159" s="690" t="s">
        <v>1436</v>
      </c>
      <c r="C1159" s="690" t="s">
        <v>1843</v>
      </c>
      <c r="D1159" s="693" t="s">
        <v>1438</v>
      </c>
      <c r="E1159" s="694" t="s">
        <v>1564</v>
      </c>
      <c r="F1159" s="690" t="s">
        <v>1440</v>
      </c>
      <c r="G1159" s="690" t="s">
        <v>1844</v>
      </c>
      <c r="H1159" s="695" t="s">
        <v>1441</v>
      </c>
    </row>
    <row r="1160">
      <c r="A1160" s="658">
        <v>1.0</v>
      </c>
      <c r="B1160" s="658" t="s">
        <v>1443</v>
      </c>
      <c r="C1160" s="658">
        <v>1.0</v>
      </c>
      <c r="D1160" s="678">
        <v>150.0</v>
      </c>
      <c r="E1160" s="669"/>
      <c r="F1160" s="689" t="s">
        <v>1518</v>
      </c>
      <c r="G1160" s="658" t="s">
        <v>1554</v>
      </c>
      <c r="H1160" s="731">
        <v>45141.0</v>
      </c>
    </row>
    <row r="1161">
      <c r="A1161" s="658">
        <v>2.0</v>
      </c>
      <c r="B1161" s="658" t="s">
        <v>1444</v>
      </c>
      <c r="C1161" s="658">
        <v>1.0</v>
      </c>
      <c r="D1161" s="678">
        <v>3.2</v>
      </c>
      <c r="E1161" s="669"/>
      <c r="F1161" s="689"/>
      <c r="G1161" s="689"/>
      <c r="H1161" s="679">
        <v>45141.0</v>
      </c>
    </row>
    <row r="1162">
      <c r="A1162" s="658">
        <v>3.0</v>
      </c>
      <c r="B1162" s="689" t="s">
        <v>3673</v>
      </c>
      <c r="C1162" s="689">
        <v>1.0</v>
      </c>
      <c r="D1162" s="721">
        <v>5.0</v>
      </c>
      <c r="E1162" s="669">
        <v>1.0</v>
      </c>
      <c r="F1162" s="689"/>
      <c r="G1162" s="689"/>
      <c r="H1162" s="679">
        <v>45141.0</v>
      </c>
    </row>
    <row r="1163">
      <c r="A1163" s="730">
        <v>4.0</v>
      </c>
      <c r="B1163" s="655" t="s">
        <v>2113</v>
      </c>
      <c r="C1163" s="655">
        <v>1.0</v>
      </c>
      <c r="D1163" s="656">
        <v>17.4</v>
      </c>
      <c r="E1163" s="657">
        <v>1.0</v>
      </c>
      <c r="F1163" s="655" t="s">
        <v>4688</v>
      </c>
      <c r="G1163" s="655" t="s">
        <v>1554</v>
      </c>
      <c r="H1163" s="661">
        <v>45594.0</v>
      </c>
    </row>
    <row r="1164">
      <c r="A1164" s="689">
        <v>5.0</v>
      </c>
      <c r="B1164" s="655" t="s">
        <v>1872</v>
      </c>
      <c r="C1164" s="658">
        <v>1.0</v>
      </c>
      <c r="D1164" s="678">
        <v>10.5</v>
      </c>
      <c r="E1164" s="676">
        <v>1.0</v>
      </c>
      <c r="F1164" s="655" t="s">
        <v>4689</v>
      </c>
      <c r="G1164" s="658" t="s">
        <v>1554</v>
      </c>
      <c r="H1164" s="696">
        <v>45677.0</v>
      </c>
    </row>
    <row r="1165">
      <c r="A1165" s="722">
        <v>6.0</v>
      </c>
      <c r="B1165" s="662" t="s">
        <v>2170</v>
      </c>
      <c r="C1165" s="662"/>
      <c r="D1165" s="673"/>
      <c r="E1165" s="665"/>
      <c r="F1165" s="662" t="s">
        <v>4690</v>
      </c>
      <c r="G1165" s="662" t="s">
        <v>425</v>
      </c>
      <c r="H1165" s="698">
        <v>38400.0</v>
      </c>
    </row>
    <row r="1166">
      <c r="A1166" s="689">
        <v>7.0</v>
      </c>
      <c r="B1166" s="658" t="s">
        <v>4691</v>
      </c>
      <c r="C1166" s="658">
        <v>1.0</v>
      </c>
      <c r="D1166" s="678">
        <v>18.6</v>
      </c>
      <c r="E1166" s="676">
        <v>1.0</v>
      </c>
      <c r="F1166" s="847" t="s">
        <v>4692</v>
      </c>
      <c r="G1166" s="658" t="s">
        <v>1554</v>
      </c>
      <c r="H1166" s="696">
        <v>45789.0</v>
      </c>
    </row>
    <row r="1167">
      <c r="A1167" s="689">
        <v>8.0</v>
      </c>
      <c r="B1167" s="847" t="s">
        <v>4693</v>
      </c>
      <c r="C1167" s="658">
        <v>1.0</v>
      </c>
      <c r="D1167" s="678">
        <v>8.0</v>
      </c>
      <c r="E1167" s="676">
        <v>1.0</v>
      </c>
      <c r="F1167" s="847" t="s">
        <v>4694</v>
      </c>
      <c r="G1167" s="658" t="s">
        <v>1554</v>
      </c>
      <c r="H1167" s="696">
        <v>45790.0</v>
      </c>
    </row>
    <row r="1168">
      <c r="A1168" s="689">
        <v>9.0</v>
      </c>
      <c r="B1168" s="655" t="s">
        <v>4695</v>
      </c>
      <c r="C1168" s="658">
        <v>1.0</v>
      </c>
      <c r="D1168" s="678">
        <v>16.0</v>
      </c>
      <c r="E1168" s="676">
        <v>1.0</v>
      </c>
      <c r="F1168" s="730"/>
      <c r="G1168" s="658" t="s">
        <v>1554</v>
      </c>
      <c r="H1168" s="696">
        <v>45790.0</v>
      </c>
    </row>
    <row r="1169">
      <c r="A1169" s="658">
        <v>10.0</v>
      </c>
      <c r="B1169" s="658" t="s">
        <v>2393</v>
      </c>
      <c r="C1169" s="658">
        <v>1.0</v>
      </c>
      <c r="D1169" s="678">
        <v>17.4</v>
      </c>
      <c r="E1169" s="676">
        <v>1.0</v>
      </c>
      <c r="F1169" s="689"/>
      <c r="G1169" s="658" t="s">
        <v>1554</v>
      </c>
      <c r="H1169" s="696">
        <v>45790.0</v>
      </c>
    </row>
    <row r="1170">
      <c r="A1170" s="658">
        <v>11.0</v>
      </c>
      <c r="B1170" s="658" t="s">
        <v>4696</v>
      </c>
      <c r="C1170" s="658">
        <v>1.0</v>
      </c>
      <c r="D1170" s="678">
        <v>6.24</v>
      </c>
      <c r="E1170" s="676">
        <v>1.0</v>
      </c>
      <c r="F1170" s="689"/>
      <c r="G1170" s="658" t="s">
        <v>1554</v>
      </c>
      <c r="H1170" s="696">
        <v>45790.0</v>
      </c>
    </row>
    <row r="1171">
      <c r="A1171" s="658">
        <v>12.0</v>
      </c>
      <c r="B1171" s="658" t="s">
        <v>2191</v>
      </c>
      <c r="C1171" s="658">
        <v>1.0</v>
      </c>
      <c r="D1171" s="678">
        <v>2.5</v>
      </c>
      <c r="E1171" s="676">
        <v>1.0</v>
      </c>
      <c r="F1171" s="689"/>
      <c r="G1171" s="658" t="s">
        <v>1554</v>
      </c>
      <c r="H1171" s="696">
        <v>45790.0</v>
      </c>
    </row>
    <row r="1172">
      <c r="A1172" s="689">
        <v>13.0</v>
      </c>
      <c r="B1172" s="658" t="s">
        <v>2113</v>
      </c>
      <c r="C1172" s="658">
        <v>1.0</v>
      </c>
      <c r="D1172" s="678">
        <v>17.5</v>
      </c>
      <c r="E1172" s="676">
        <v>1.0</v>
      </c>
      <c r="F1172" s="658" t="s">
        <v>4697</v>
      </c>
      <c r="G1172" s="658" t="s">
        <v>1554</v>
      </c>
      <c r="H1172" s="696">
        <v>45836.0</v>
      </c>
    </row>
    <row r="1173">
      <c r="A1173" s="689">
        <v>14.0</v>
      </c>
      <c r="B1173" s="658" t="s">
        <v>4698</v>
      </c>
      <c r="C1173" s="658">
        <v>1.0</v>
      </c>
      <c r="D1173" s="678">
        <v>2.0</v>
      </c>
      <c r="E1173" s="676">
        <v>1.0</v>
      </c>
      <c r="F1173" s="658" t="s">
        <v>4699</v>
      </c>
      <c r="G1173" s="658" t="s">
        <v>1554</v>
      </c>
      <c r="H1173" s="696">
        <v>45836.0</v>
      </c>
    </row>
    <row r="1174">
      <c r="A1174" s="689">
        <v>15.0</v>
      </c>
      <c r="B1174" s="658" t="s">
        <v>4700</v>
      </c>
      <c r="C1174" s="658">
        <v>1.0</v>
      </c>
      <c r="D1174" s="678"/>
      <c r="E1174" s="676" t="s">
        <v>2077</v>
      </c>
      <c r="F1174" s="658" t="s">
        <v>4701</v>
      </c>
      <c r="G1174" s="658" t="s">
        <v>1554</v>
      </c>
      <c r="H1174" s="696">
        <v>46053.0</v>
      </c>
    </row>
    <row r="1175">
      <c r="A1175" s="689">
        <v>16.0</v>
      </c>
      <c r="B1175" s="658" t="s">
        <v>4700</v>
      </c>
      <c r="C1175" s="658">
        <v>1.0</v>
      </c>
      <c r="D1175" s="678"/>
      <c r="E1175" s="676" t="s">
        <v>2077</v>
      </c>
      <c r="F1175" s="658" t="s">
        <v>4702</v>
      </c>
      <c r="G1175" s="658" t="s">
        <v>1554</v>
      </c>
      <c r="H1175" s="696">
        <v>46053.0</v>
      </c>
    </row>
    <row r="1176">
      <c r="A1176" s="732" t="s">
        <v>1562</v>
      </c>
      <c r="B1176" s="3"/>
      <c r="C1176" s="689">
        <f t="shared" ref="C1176:E1176" si="44">sum(C1160:C1171)</f>
        <v>11</v>
      </c>
      <c r="D1176" s="721">
        <f t="shared" si="44"/>
        <v>254.84</v>
      </c>
      <c r="E1176" s="669">
        <f t="shared" si="44"/>
        <v>9</v>
      </c>
      <c r="F1176" s="689"/>
      <c r="G1176" s="658"/>
      <c r="H1176" s="696"/>
    </row>
    <row r="1177">
      <c r="A1177" s="712"/>
      <c r="B1177" s="712"/>
      <c r="C1177" s="712"/>
      <c r="D1177" s="712"/>
      <c r="E1177" s="712"/>
      <c r="F1177" s="712"/>
      <c r="G1177" s="712"/>
      <c r="H1177" s="712"/>
    </row>
    <row r="1178">
      <c r="A1178" s="712"/>
      <c r="B1178" s="712"/>
      <c r="C1178" s="712"/>
      <c r="D1178" s="712"/>
      <c r="E1178" s="712"/>
      <c r="F1178" s="712"/>
      <c r="G1178" s="712"/>
      <c r="H1178" s="712"/>
    </row>
    <row r="1179">
      <c r="A1179" s="699" t="s">
        <v>4703</v>
      </c>
      <c r="B1179" s="2"/>
      <c r="C1179" s="2"/>
      <c r="D1179" s="2"/>
      <c r="E1179" s="2"/>
      <c r="F1179" s="2"/>
      <c r="G1179" s="2"/>
      <c r="H1179" s="3"/>
    </row>
    <row r="1180">
      <c r="A1180" s="738" t="s">
        <v>1435</v>
      </c>
      <c r="B1180" s="738" t="s">
        <v>1436</v>
      </c>
      <c r="C1180" s="738" t="s">
        <v>1843</v>
      </c>
      <c r="D1180" s="702" t="s">
        <v>1438</v>
      </c>
      <c r="E1180" s="703" t="s">
        <v>1564</v>
      </c>
      <c r="F1180" s="738" t="s">
        <v>1440</v>
      </c>
      <c r="G1180" s="738" t="s">
        <v>1844</v>
      </c>
      <c r="H1180" s="704" t="s">
        <v>1441</v>
      </c>
    </row>
    <row r="1181">
      <c r="A1181" s="87">
        <v>1.0</v>
      </c>
      <c r="B1181" s="87" t="s">
        <v>1443</v>
      </c>
      <c r="C1181" s="87">
        <v>1.0</v>
      </c>
      <c r="D1181" s="705">
        <v>150.0</v>
      </c>
      <c r="E1181" s="709"/>
      <c r="F1181" s="739" t="s">
        <v>1518</v>
      </c>
      <c r="G1181" s="87" t="s">
        <v>1554</v>
      </c>
      <c r="H1181" s="741">
        <v>45141.0</v>
      </c>
    </row>
    <row r="1182">
      <c r="A1182" s="87">
        <v>2.0</v>
      </c>
      <c r="B1182" s="87" t="s">
        <v>1444</v>
      </c>
      <c r="C1182" s="87">
        <v>2.0</v>
      </c>
      <c r="D1182" s="705">
        <v>3.2</v>
      </c>
      <c r="E1182" s="706" t="s">
        <v>1518</v>
      </c>
      <c r="F1182" s="87" t="s">
        <v>1518</v>
      </c>
      <c r="G1182" s="87" t="s">
        <v>1518</v>
      </c>
      <c r="H1182" s="741"/>
    </row>
    <row r="1183">
      <c r="A1183" s="87">
        <v>3.0</v>
      </c>
      <c r="B1183" s="739" t="s">
        <v>3673</v>
      </c>
      <c r="C1183" s="739">
        <v>1.0</v>
      </c>
      <c r="D1183" s="740">
        <v>5.0</v>
      </c>
      <c r="E1183" s="709">
        <v>1.0</v>
      </c>
      <c r="F1183" s="739"/>
      <c r="G1183" s="87" t="s">
        <v>1518</v>
      </c>
      <c r="H1183" s="741"/>
    </row>
    <row r="1184">
      <c r="A1184" s="739">
        <v>4.0</v>
      </c>
      <c r="B1184" s="97" t="s">
        <v>4704</v>
      </c>
      <c r="C1184" s="739">
        <v>1.0</v>
      </c>
      <c r="D1184" s="705">
        <v>9.3</v>
      </c>
      <c r="E1184" s="706">
        <v>1.0</v>
      </c>
      <c r="F1184" s="97" t="s">
        <v>4705</v>
      </c>
      <c r="G1184" s="87" t="s">
        <v>1447</v>
      </c>
      <c r="H1184" s="710">
        <v>45576.0</v>
      </c>
    </row>
    <row r="1185">
      <c r="A1185" s="816">
        <v>5.0</v>
      </c>
      <c r="B1185" s="86" t="s">
        <v>2467</v>
      </c>
      <c r="C1185" s="86"/>
      <c r="D1185" s="438"/>
      <c r="E1185" s="83"/>
      <c r="F1185" s="86" t="s">
        <v>4706</v>
      </c>
      <c r="G1185" s="86" t="s">
        <v>4707</v>
      </c>
      <c r="H1185" s="817">
        <v>45621.0</v>
      </c>
    </row>
    <row r="1186">
      <c r="A1186" s="97">
        <v>6.0</v>
      </c>
      <c r="B1186" s="97" t="s">
        <v>4708</v>
      </c>
      <c r="C1186" s="97">
        <v>1.0</v>
      </c>
      <c r="D1186" s="742">
        <v>28.6</v>
      </c>
      <c r="E1186" s="748">
        <v>2.0</v>
      </c>
      <c r="F1186" s="97" t="s">
        <v>4709</v>
      </c>
      <c r="G1186" s="97" t="s">
        <v>1447</v>
      </c>
      <c r="H1186" s="815">
        <v>45625.0</v>
      </c>
    </row>
    <row r="1187">
      <c r="A1187" s="87">
        <v>7.0</v>
      </c>
      <c r="B1187" s="97" t="s">
        <v>2555</v>
      </c>
      <c r="C1187" s="87">
        <v>1.0</v>
      </c>
      <c r="D1187" s="705">
        <v>3.0</v>
      </c>
      <c r="E1187" s="706">
        <v>1.0</v>
      </c>
      <c r="F1187" s="87" t="s">
        <v>4710</v>
      </c>
      <c r="G1187" s="87" t="s">
        <v>1447</v>
      </c>
      <c r="H1187" s="710">
        <v>45637.0</v>
      </c>
    </row>
    <row r="1188">
      <c r="A1188" s="814">
        <v>8.0</v>
      </c>
      <c r="B1188" s="745" t="s">
        <v>4711</v>
      </c>
      <c r="C1188" s="97">
        <v>1.0</v>
      </c>
      <c r="D1188" s="742">
        <v>3.1</v>
      </c>
      <c r="E1188" s="748">
        <v>1.0</v>
      </c>
      <c r="F1188" s="97" t="s">
        <v>4706</v>
      </c>
      <c r="G1188" s="97" t="s">
        <v>1447</v>
      </c>
      <c r="H1188" s="815">
        <v>45882.0</v>
      </c>
    </row>
    <row r="1189">
      <c r="A1189" s="816">
        <v>9.0</v>
      </c>
      <c r="B1189" s="746" t="s">
        <v>4712</v>
      </c>
      <c r="C1189" s="86">
        <v>1.0</v>
      </c>
      <c r="D1189" s="438">
        <v>1.2</v>
      </c>
      <c r="E1189" s="83">
        <v>1.0</v>
      </c>
      <c r="F1189" s="86" t="s">
        <v>4713</v>
      </c>
      <c r="G1189" s="86" t="s">
        <v>4714</v>
      </c>
      <c r="H1189" s="817">
        <v>45882.0</v>
      </c>
    </row>
    <row r="1190">
      <c r="A1190" s="97">
        <v>10.0</v>
      </c>
      <c r="B1190" s="745" t="s">
        <v>4715</v>
      </c>
      <c r="C1190" s="97">
        <v>1.0</v>
      </c>
      <c r="D1190" s="742">
        <v>4.1</v>
      </c>
      <c r="E1190" s="748">
        <v>1.0</v>
      </c>
      <c r="F1190" s="97" t="s">
        <v>4716</v>
      </c>
      <c r="G1190" s="97" t="s">
        <v>1447</v>
      </c>
      <c r="H1190" s="708">
        <v>45882.0</v>
      </c>
    </row>
    <row r="1191">
      <c r="A1191" s="97">
        <v>11.0</v>
      </c>
      <c r="B1191" s="745" t="s">
        <v>4717</v>
      </c>
      <c r="C1191" s="97">
        <v>1.0</v>
      </c>
      <c r="D1191" s="742">
        <v>9.6</v>
      </c>
      <c r="E1191" s="748">
        <v>1.0</v>
      </c>
      <c r="F1191" s="97" t="s">
        <v>4718</v>
      </c>
      <c r="G1191" s="97" t="s">
        <v>1447</v>
      </c>
      <c r="H1191" s="708">
        <v>45882.0</v>
      </c>
    </row>
    <row r="1192">
      <c r="A1192" s="97"/>
      <c r="B1192" s="745" t="s">
        <v>4719</v>
      </c>
      <c r="C1192" s="97">
        <v>1.0</v>
      </c>
      <c r="D1192" s="742">
        <v>9.8</v>
      </c>
      <c r="E1192" s="748">
        <v>1.0</v>
      </c>
      <c r="F1192" s="97" t="s">
        <v>4720</v>
      </c>
      <c r="G1192" s="97" t="s">
        <v>1447</v>
      </c>
      <c r="H1192" s="708">
        <v>45947.0</v>
      </c>
    </row>
    <row r="1193">
      <c r="A1193" s="739"/>
      <c r="B1193" s="739"/>
      <c r="C1193" s="739"/>
      <c r="D1193" s="740"/>
      <c r="E1193" s="709"/>
      <c r="F1193" s="739"/>
      <c r="G1193" s="741"/>
      <c r="H1193" s="741"/>
    </row>
    <row r="1194">
      <c r="A1194" s="739"/>
      <c r="B1194" s="739"/>
      <c r="C1194" s="739"/>
      <c r="D1194" s="740"/>
      <c r="E1194" s="709"/>
      <c r="F1194" s="739"/>
      <c r="G1194" s="741"/>
      <c r="H1194" s="741"/>
    </row>
    <row r="1195">
      <c r="A1195" s="750" t="s">
        <v>1562</v>
      </c>
      <c r="B1195" s="3"/>
      <c r="C1195" s="739">
        <f t="shared" ref="C1195:E1195" si="45">sum(C1181:C1189)</f>
        <v>9</v>
      </c>
      <c r="D1195" s="740">
        <f t="shared" si="45"/>
        <v>203.4</v>
      </c>
      <c r="E1195" s="709">
        <f t="shared" si="45"/>
        <v>7</v>
      </c>
      <c r="F1195" s="739"/>
      <c r="G1195" s="741"/>
      <c r="H1195" s="741"/>
    </row>
    <row r="1196">
      <c r="A1196" s="712"/>
      <c r="B1196" s="712"/>
      <c r="C1196" s="712"/>
      <c r="D1196" s="712"/>
      <c r="E1196" s="712"/>
      <c r="F1196" s="712"/>
      <c r="G1196" s="712"/>
      <c r="H1196" s="712"/>
    </row>
    <row r="1197">
      <c r="A1197" s="712"/>
      <c r="B1197" s="712"/>
      <c r="C1197" s="712"/>
      <c r="D1197" s="712"/>
      <c r="E1197" s="712"/>
      <c r="F1197" s="712"/>
      <c r="G1197" s="712"/>
      <c r="H1197" s="712"/>
    </row>
    <row r="1198">
      <c r="A1198" s="713" t="s">
        <v>4721</v>
      </c>
      <c r="B1198" s="293"/>
      <c r="C1198" s="293"/>
      <c r="D1198" s="293"/>
      <c r="E1198" s="293"/>
      <c r="F1198" s="293"/>
      <c r="G1198" s="293"/>
      <c r="H1198" s="294"/>
    </row>
    <row r="1199">
      <c r="A1199" s="690" t="s">
        <v>1435</v>
      </c>
      <c r="B1199" s="690" t="s">
        <v>1436</v>
      </c>
      <c r="C1199" s="690" t="s">
        <v>1843</v>
      </c>
      <c r="D1199" s="693" t="s">
        <v>1438</v>
      </c>
      <c r="E1199" s="694" t="s">
        <v>1564</v>
      </c>
      <c r="F1199" s="690" t="s">
        <v>1440</v>
      </c>
      <c r="G1199" s="690" t="s">
        <v>1844</v>
      </c>
      <c r="H1199" s="695" t="s">
        <v>1441</v>
      </c>
    </row>
    <row r="1200">
      <c r="A1200" s="658">
        <v>1.0</v>
      </c>
      <c r="B1200" s="658" t="s">
        <v>1443</v>
      </c>
      <c r="C1200" s="658">
        <v>1.0</v>
      </c>
      <c r="D1200" s="678">
        <v>150.0</v>
      </c>
      <c r="E1200" s="669"/>
      <c r="F1200" s="689" t="s">
        <v>1518</v>
      </c>
      <c r="G1200" s="658" t="s">
        <v>1554</v>
      </c>
      <c r="H1200" s="731">
        <v>45141.0</v>
      </c>
    </row>
    <row r="1201">
      <c r="A1201" s="658">
        <v>2.0</v>
      </c>
      <c r="B1201" s="658" t="s">
        <v>1444</v>
      </c>
      <c r="C1201" s="658">
        <v>2.0</v>
      </c>
      <c r="D1201" s="678">
        <v>3.2</v>
      </c>
      <c r="E1201" s="676" t="s">
        <v>1518</v>
      </c>
      <c r="F1201" s="658" t="s">
        <v>1518</v>
      </c>
      <c r="G1201" s="658"/>
      <c r="H1201" s="679"/>
    </row>
    <row r="1202">
      <c r="A1202" s="658">
        <v>3.0</v>
      </c>
      <c r="B1202" s="689" t="s">
        <v>3673</v>
      </c>
      <c r="C1202" s="689">
        <v>1.0</v>
      </c>
      <c r="D1202" s="721">
        <v>5.0</v>
      </c>
      <c r="E1202" s="676">
        <v>1.0</v>
      </c>
      <c r="F1202" s="658" t="s">
        <v>1518</v>
      </c>
      <c r="G1202" s="658" t="s">
        <v>1518</v>
      </c>
      <c r="H1202" s="679"/>
    </row>
    <row r="1203">
      <c r="A1203" s="658">
        <v>4.0</v>
      </c>
      <c r="B1203" s="658" t="s">
        <v>1813</v>
      </c>
      <c r="C1203" s="658">
        <v>1.0</v>
      </c>
      <c r="D1203" s="678">
        <v>9.0</v>
      </c>
      <c r="E1203" s="676">
        <v>1.0</v>
      </c>
      <c r="F1203" s="658"/>
      <c r="G1203" s="658"/>
      <c r="H1203" s="679"/>
    </row>
    <row r="1204">
      <c r="A1204" s="658">
        <v>4.0</v>
      </c>
      <c r="B1204" s="658" t="s">
        <v>1813</v>
      </c>
      <c r="C1204" s="658">
        <v>1.0</v>
      </c>
      <c r="D1204" s="678">
        <v>9.0</v>
      </c>
      <c r="E1204" s="676">
        <v>1.0</v>
      </c>
      <c r="F1204" s="658"/>
      <c r="G1204" s="658"/>
      <c r="H1204" s="679"/>
    </row>
    <row r="1205">
      <c r="A1205" s="658"/>
      <c r="B1205" s="658" t="s">
        <v>1813</v>
      </c>
      <c r="C1205" s="658"/>
      <c r="D1205" s="678">
        <v>9.0</v>
      </c>
      <c r="E1205" s="676"/>
      <c r="F1205" s="658"/>
      <c r="G1205" s="658"/>
      <c r="H1205" s="679"/>
    </row>
    <row r="1206">
      <c r="A1206" s="662">
        <v>4.0</v>
      </c>
      <c r="B1206" s="662" t="s">
        <v>4722</v>
      </c>
      <c r="C1206" s="662"/>
      <c r="D1206" s="673"/>
      <c r="E1206" s="665"/>
      <c r="F1206" s="662" t="s">
        <v>4723</v>
      </c>
      <c r="G1206" s="662" t="s">
        <v>4724</v>
      </c>
      <c r="H1206" s="662" t="s">
        <v>4725</v>
      </c>
    </row>
    <row r="1207">
      <c r="A1207" s="658">
        <v>5.0</v>
      </c>
      <c r="B1207" s="655" t="s">
        <v>4726</v>
      </c>
      <c r="C1207" s="658">
        <v>1.0</v>
      </c>
      <c r="D1207" s="678">
        <v>15.31</v>
      </c>
      <c r="E1207" s="676">
        <v>1.0</v>
      </c>
      <c r="F1207" s="658" t="s">
        <v>4727</v>
      </c>
      <c r="G1207" s="658" t="s">
        <v>4728</v>
      </c>
      <c r="H1207" s="679">
        <v>45364.0</v>
      </c>
    </row>
    <row r="1208">
      <c r="A1208" s="662">
        <v>6.0</v>
      </c>
      <c r="B1208" s="662" t="s">
        <v>2627</v>
      </c>
      <c r="C1208" s="662"/>
      <c r="D1208" s="673"/>
      <c r="E1208" s="665"/>
      <c r="F1208" s="662" t="s">
        <v>3835</v>
      </c>
      <c r="G1208" s="662" t="s">
        <v>3836</v>
      </c>
      <c r="H1208" s="662" t="s">
        <v>4729</v>
      </c>
    </row>
    <row r="1209">
      <c r="A1209" s="662">
        <v>7.0</v>
      </c>
      <c r="B1209" s="662" t="s">
        <v>3460</v>
      </c>
      <c r="C1209" s="662"/>
      <c r="D1209" s="673"/>
      <c r="E1209" s="665"/>
      <c r="F1209" s="662" t="s">
        <v>3838</v>
      </c>
      <c r="G1209" s="662" t="s">
        <v>3836</v>
      </c>
      <c r="H1209" s="662" t="s">
        <v>4729</v>
      </c>
    </row>
    <row r="1210">
      <c r="A1210" s="662">
        <v>8.0</v>
      </c>
      <c r="B1210" s="662" t="s">
        <v>4332</v>
      </c>
      <c r="C1210" s="662"/>
      <c r="D1210" s="673"/>
      <c r="E1210" s="665"/>
      <c r="F1210" s="662" t="s">
        <v>4333</v>
      </c>
      <c r="G1210" s="662" t="s">
        <v>4730</v>
      </c>
      <c r="H1210" s="662" t="s">
        <v>4731</v>
      </c>
    </row>
    <row r="1211">
      <c r="A1211" s="662">
        <v>9.0</v>
      </c>
      <c r="B1211" s="662" t="s">
        <v>3487</v>
      </c>
      <c r="C1211" s="662"/>
      <c r="D1211" s="673"/>
      <c r="E1211" s="665"/>
      <c r="F1211" s="662" t="s">
        <v>4335</v>
      </c>
      <c r="G1211" s="662" t="s">
        <v>4730</v>
      </c>
      <c r="H1211" s="662" t="s">
        <v>4731</v>
      </c>
    </row>
    <row r="1212">
      <c r="A1212" s="662">
        <v>10.0</v>
      </c>
      <c r="B1212" s="662" t="s">
        <v>2393</v>
      </c>
      <c r="C1212" s="662"/>
      <c r="D1212" s="673"/>
      <c r="E1212" s="665"/>
      <c r="F1212" s="662" t="s">
        <v>4732</v>
      </c>
      <c r="G1212" s="662" t="s">
        <v>4733</v>
      </c>
      <c r="H1212" s="662" t="s">
        <v>4734</v>
      </c>
    </row>
    <row r="1213">
      <c r="A1213" s="662">
        <v>11.0</v>
      </c>
      <c r="B1213" s="662" t="s">
        <v>3978</v>
      </c>
      <c r="C1213" s="662"/>
      <c r="D1213" s="673"/>
      <c r="E1213" s="665"/>
      <c r="F1213" s="662" t="s">
        <v>4735</v>
      </c>
      <c r="G1213" s="662" t="s">
        <v>4733</v>
      </c>
      <c r="H1213" s="662" t="s">
        <v>4734</v>
      </c>
    </row>
    <row r="1214">
      <c r="A1214" s="662">
        <v>12.0</v>
      </c>
      <c r="B1214" s="662" t="s">
        <v>2393</v>
      </c>
      <c r="C1214" s="662"/>
      <c r="D1214" s="673"/>
      <c r="E1214" s="665"/>
      <c r="F1214" s="662" t="s">
        <v>4736</v>
      </c>
      <c r="G1214" s="662" t="s">
        <v>4737</v>
      </c>
      <c r="H1214" s="662" t="s">
        <v>4738</v>
      </c>
    </row>
    <row r="1215">
      <c r="A1215" s="655">
        <v>13.0</v>
      </c>
      <c r="B1215" s="655" t="s">
        <v>3460</v>
      </c>
      <c r="C1215" s="730">
        <v>1.0</v>
      </c>
      <c r="D1215" s="656">
        <v>1.9</v>
      </c>
      <c r="E1215" s="660">
        <v>1.0</v>
      </c>
      <c r="F1215" s="730"/>
      <c r="G1215" s="655" t="s">
        <v>4737</v>
      </c>
      <c r="H1215" s="661">
        <v>45420.0</v>
      </c>
    </row>
    <row r="1216">
      <c r="A1216" s="662">
        <v>14.0</v>
      </c>
      <c r="B1216" s="662" t="s">
        <v>2393</v>
      </c>
      <c r="C1216" s="662"/>
      <c r="D1216" s="673"/>
      <c r="E1216" s="665"/>
      <c r="F1216" s="662" t="s">
        <v>4739</v>
      </c>
      <c r="G1216" s="662" t="s">
        <v>4740</v>
      </c>
      <c r="H1216" s="698">
        <v>45420.0</v>
      </c>
    </row>
    <row r="1217">
      <c r="A1217" s="662">
        <v>15.0</v>
      </c>
      <c r="B1217" s="662" t="s">
        <v>3460</v>
      </c>
      <c r="C1217" s="722"/>
      <c r="D1217" s="673"/>
      <c r="E1217" s="723"/>
      <c r="F1217" s="722"/>
      <c r="G1217" s="662" t="s">
        <v>4740</v>
      </c>
      <c r="H1217" s="698">
        <v>45420.0</v>
      </c>
    </row>
    <row r="1218">
      <c r="A1218" s="662">
        <v>16.0</v>
      </c>
      <c r="B1218" s="662" t="s">
        <v>2016</v>
      </c>
      <c r="C1218" s="662">
        <v>1.0</v>
      </c>
      <c r="D1218" s="673">
        <v>17.5</v>
      </c>
      <c r="E1218" s="665">
        <v>1.0</v>
      </c>
      <c r="F1218" s="662" t="s">
        <v>4741</v>
      </c>
      <c r="G1218" s="662" t="s">
        <v>4742</v>
      </c>
      <c r="H1218" s="662" t="s">
        <v>4743</v>
      </c>
    </row>
    <row r="1219">
      <c r="A1219" s="662">
        <v>17.0</v>
      </c>
      <c r="B1219" s="662" t="s">
        <v>3978</v>
      </c>
      <c r="C1219" s="662"/>
      <c r="D1219" s="673"/>
      <c r="E1219" s="665"/>
      <c r="F1219" s="662"/>
      <c r="G1219" s="662" t="s">
        <v>4744</v>
      </c>
      <c r="H1219" s="851"/>
    </row>
    <row r="1220">
      <c r="A1220" s="662">
        <v>18.0</v>
      </c>
      <c r="B1220" s="662" t="s">
        <v>4745</v>
      </c>
      <c r="C1220" s="662"/>
      <c r="D1220" s="673"/>
      <c r="E1220" s="665"/>
      <c r="F1220" s="662" t="s">
        <v>4746</v>
      </c>
      <c r="G1220" s="662" t="s">
        <v>4747</v>
      </c>
      <c r="H1220" s="698">
        <v>45504.0</v>
      </c>
    </row>
    <row r="1221">
      <c r="A1221" s="662">
        <v>19.0</v>
      </c>
      <c r="B1221" s="662" t="s">
        <v>2101</v>
      </c>
      <c r="C1221" s="662"/>
      <c r="D1221" s="673"/>
      <c r="E1221" s="665"/>
      <c r="F1221" s="662" t="s">
        <v>4748</v>
      </c>
      <c r="G1221" s="662" t="s">
        <v>4747</v>
      </c>
      <c r="H1221" s="698">
        <v>45504.0</v>
      </c>
    </row>
    <row r="1222">
      <c r="A1222" s="662">
        <v>20.0</v>
      </c>
      <c r="B1222" s="662" t="s">
        <v>2113</v>
      </c>
      <c r="C1222" s="662"/>
      <c r="D1222" s="673"/>
      <c r="E1222" s="665"/>
      <c r="F1222" s="662" t="s">
        <v>4749</v>
      </c>
      <c r="G1222" s="662" t="s">
        <v>4750</v>
      </c>
      <c r="H1222" s="698">
        <v>45564.0</v>
      </c>
    </row>
    <row r="1223">
      <c r="A1223" s="658">
        <v>21.0</v>
      </c>
      <c r="B1223" s="658" t="s">
        <v>2016</v>
      </c>
      <c r="C1223" s="658">
        <v>1.0</v>
      </c>
      <c r="D1223" s="678">
        <v>17.5</v>
      </c>
      <c r="E1223" s="852">
        <v>1.0</v>
      </c>
      <c r="F1223" s="658"/>
      <c r="G1223" s="658" t="s">
        <v>535</v>
      </c>
      <c r="H1223" s="696">
        <v>45538.0</v>
      </c>
    </row>
    <row r="1224">
      <c r="A1224" s="658">
        <v>22.0</v>
      </c>
      <c r="B1224" s="658" t="s">
        <v>4751</v>
      </c>
      <c r="C1224" s="658">
        <v>1.0</v>
      </c>
      <c r="D1224" s="678">
        <v>10.0</v>
      </c>
      <c r="E1224" s="852">
        <v>1.0</v>
      </c>
      <c r="F1224" s="658"/>
      <c r="G1224" s="658" t="s">
        <v>535</v>
      </c>
      <c r="H1224" s="696">
        <v>45538.0</v>
      </c>
    </row>
    <row r="1225">
      <c r="A1225" s="662">
        <v>23.0</v>
      </c>
      <c r="B1225" s="662" t="s">
        <v>4490</v>
      </c>
      <c r="C1225" s="662">
        <v>1.0</v>
      </c>
      <c r="D1225" s="673"/>
      <c r="E1225" s="665"/>
      <c r="F1225" s="662" t="s">
        <v>4491</v>
      </c>
      <c r="G1225" s="662" t="s">
        <v>4752</v>
      </c>
      <c r="H1225" s="662" t="s">
        <v>4753</v>
      </c>
    </row>
    <row r="1226">
      <c r="A1226" s="662">
        <v>24.0</v>
      </c>
      <c r="B1226" s="662" t="s">
        <v>1531</v>
      </c>
      <c r="C1226" s="662"/>
      <c r="D1226" s="673"/>
      <c r="E1226" s="665"/>
      <c r="F1226" s="662" t="s">
        <v>1532</v>
      </c>
      <c r="G1226" s="662" t="s">
        <v>1533</v>
      </c>
      <c r="H1226" s="681">
        <v>45582.0</v>
      </c>
    </row>
    <row r="1227">
      <c r="A1227" s="658">
        <v>25.0</v>
      </c>
      <c r="B1227" s="655" t="s">
        <v>1458</v>
      </c>
      <c r="C1227" s="655">
        <v>1.0</v>
      </c>
      <c r="D1227" s="678">
        <v>1.8</v>
      </c>
      <c r="E1227" s="657">
        <v>1.0</v>
      </c>
      <c r="F1227" s="655" t="s">
        <v>4754</v>
      </c>
      <c r="G1227" s="655" t="s">
        <v>4755</v>
      </c>
      <c r="H1227" s="659">
        <v>45590.0</v>
      </c>
    </row>
    <row r="1228">
      <c r="A1228" s="662">
        <v>26.0</v>
      </c>
      <c r="B1228" s="662" t="s">
        <v>2344</v>
      </c>
      <c r="C1228" s="662">
        <v>1.0</v>
      </c>
      <c r="D1228" s="673">
        <v>2.0</v>
      </c>
      <c r="E1228" s="665">
        <v>1.0</v>
      </c>
      <c r="F1228" s="662" t="s">
        <v>4756</v>
      </c>
      <c r="G1228" s="662" t="s">
        <v>4750</v>
      </c>
      <c r="H1228" s="681">
        <v>45594.0</v>
      </c>
    </row>
    <row r="1229">
      <c r="A1229" s="658">
        <v>27.0</v>
      </c>
      <c r="B1229" s="658" t="s">
        <v>4757</v>
      </c>
      <c r="C1229" s="658">
        <v>1.0</v>
      </c>
      <c r="D1229" s="678">
        <v>2.0</v>
      </c>
      <c r="E1229" s="676">
        <v>1.0</v>
      </c>
      <c r="F1229" s="658" t="s">
        <v>4758</v>
      </c>
      <c r="G1229" s="658" t="s">
        <v>4750</v>
      </c>
      <c r="H1229" s="679">
        <v>45594.0</v>
      </c>
    </row>
    <row r="1230">
      <c r="A1230" s="662">
        <v>28.0</v>
      </c>
      <c r="B1230" s="662" t="s">
        <v>4759</v>
      </c>
      <c r="C1230" s="662">
        <v>1.0</v>
      </c>
      <c r="D1230" s="673">
        <v>2.0</v>
      </c>
      <c r="E1230" s="665">
        <v>1.0</v>
      </c>
      <c r="F1230" s="662" t="s">
        <v>4760</v>
      </c>
      <c r="G1230" s="662" t="s">
        <v>4752</v>
      </c>
      <c r="H1230" s="662" t="s">
        <v>4761</v>
      </c>
    </row>
    <row r="1231">
      <c r="A1231" s="662">
        <v>29.0</v>
      </c>
      <c r="B1231" s="662" t="s">
        <v>4762</v>
      </c>
      <c r="C1231" s="662">
        <v>1.0</v>
      </c>
      <c r="D1231" s="673">
        <v>17.5</v>
      </c>
      <c r="E1231" s="665">
        <v>1.0</v>
      </c>
      <c r="F1231" s="662" t="s">
        <v>4763</v>
      </c>
      <c r="G1231" s="853" t="s">
        <v>1009</v>
      </c>
      <c r="H1231" s="662" t="s">
        <v>1837</v>
      </c>
    </row>
    <row r="1232">
      <c r="A1232" s="658">
        <v>30.0</v>
      </c>
      <c r="B1232" s="655" t="s">
        <v>4764</v>
      </c>
      <c r="C1232" s="854">
        <v>1.0</v>
      </c>
      <c r="D1232" s="678">
        <v>2.0</v>
      </c>
      <c r="E1232" s="657">
        <v>1.0</v>
      </c>
      <c r="F1232" s="854">
        <v>2.2230150003E10</v>
      </c>
      <c r="G1232" s="854" t="s">
        <v>700</v>
      </c>
      <c r="H1232" s="696">
        <v>45650.0</v>
      </c>
    </row>
    <row r="1233">
      <c r="A1233" s="662">
        <v>31.0</v>
      </c>
      <c r="B1233" s="853" t="s">
        <v>4493</v>
      </c>
      <c r="C1233" s="853">
        <v>1.0</v>
      </c>
      <c r="D1233" s="673">
        <v>7.3</v>
      </c>
      <c r="E1233" s="665">
        <v>1.0</v>
      </c>
      <c r="F1233" s="259" t="s">
        <v>4494</v>
      </c>
      <c r="G1233" s="853" t="s">
        <v>4752</v>
      </c>
      <c r="H1233" s="662" t="s">
        <v>4765</v>
      </c>
    </row>
    <row r="1234">
      <c r="A1234" s="658">
        <v>32.0</v>
      </c>
      <c r="B1234" s="658" t="s">
        <v>4766</v>
      </c>
      <c r="C1234" s="658">
        <v>1.0</v>
      </c>
      <c r="D1234" s="678">
        <v>9.5</v>
      </c>
      <c r="E1234" s="676">
        <v>1.0</v>
      </c>
      <c r="F1234" s="658" t="s">
        <v>4767</v>
      </c>
      <c r="G1234" s="658" t="s">
        <v>719</v>
      </c>
      <c r="H1234" s="679">
        <v>45665.0</v>
      </c>
    </row>
    <row r="1235">
      <c r="A1235" s="658">
        <v>33.0</v>
      </c>
      <c r="B1235" s="855" t="s">
        <v>1643</v>
      </c>
      <c r="C1235" s="658">
        <v>1.0</v>
      </c>
      <c r="D1235" s="678">
        <v>2.0</v>
      </c>
      <c r="E1235" s="676">
        <v>1.0</v>
      </c>
      <c r="F1235" s="855" t="s">
        <v>4768</v>
      </c>
      <c r="G1235" s="658" t="s">
        <v>4769</v>
      </c>
      <c r="H1235" s="679">
        <v>45669.0</v>
      </c>
    </row>
    <row r="1236">
      <c r="A1236" s="658">
        <v>34.0</v>
      </c>
      <c r="B1236" s="855" t="s">
        <v>4770</v>
      </c>
      <c r="C1236" s="658">
        <v>1.0</v>
      </c>
      <c r="D1236" s="678">
        <v>10.2</v>
      </c>
      <c r="E1236" s="676">
        <v>1.0</v>
      </c>
      <c r="F1236" s="855" t="s">
        <v>4771</v>
      </c>
      <c r="G1236" s="658" t="s">
        <v>4772</v>
      </c>
      <c r="H1236" s="679">
        <v>45680.0</v>
      </c>
    </row>
    <row r="1237">
      <c r="A1237" s="658">
        <v>35.0</v>
      </c>
      <c r="B1237" s="658" t="s">
        <v>4773</v>
      </c>
      <c r="C1237" s="658">
        <v>1.0</v>
      </c>
      <c r="D1237" s="678">
        <v>5.0</v>
      </c>
      <c r="E1237" s="676">
        <v>1.0</v>
      </c>
      <c r="F1237" s="658" t="s">
        <v>4774</v>
      </c>
      <c r="G1237" s="658" t="s">
        <v>4775</v>
      </c>
      <c r="H1237" s="679">
        <v>45687.0</v>
      </c>
    </row>
    <row r="1238">
      <c r="A1238" s="662">
        <v>36.0</v>
      </c>
      <c r="B1238" s="853" t="s">
        <v>4776</v>
      </c>
      <c r="C1238" s="662"/>
      <c r="D1238" s="673"/>
      <c r="E1238" s="665"/>
      <c r="F1238" s="662" t="s">
        <v>4777</v>
      </c>
      <c r="G1238" s="662" t="s">
        <v>4778</v>
      </c>
      <c r="H1238" s="662" t="s">
        <v>4779</v>
      </c>
    </row>
    <row r="1239">
      <c r="A1239" s="658">
        <v>37.0</v>
      </c>
      <c r="B1239" s="854" t="s">
        <v>2115</v>
      </c>
      <c r="C1239" s="658">
        <v>1.0</v>
      </c>
      <c r="D1239" s="678">
        <v>1.0</v>
      </c>
      <c r="E1239" s="676">
        <v>1.0</v>
      </c>
      <c r="F1239" s="658" t="s">
        <v>4780</v>
      </c>
      <c r="G1239" s="658" t="s">
        <v>4778</v>
      </c>
      <c r="H1239" s="679">
        <v>45707.0</v>
      </c>
    </row>
    <row r="1240">
      <c r="A1240" s="662">
        <v>38.0</v>
      </c>
      <c r="B1240" s="662" t="s">
        <v>1867</v>
      </c>
      <c r="C1240" s="662"/>
      <c r="D1240" s="673"/>
      <c r="E1240" s="665"/>
      <c r="F1240" s="662" t="s">
        <v>4781</v>
      </c>
      <c r="G1240" s="662" t="s">
        <v>700</v>
      </c>
      <c r="H1240" s="662" t="s">
        <v>4782</v>
      </c>
    </row>
    <row r="1241">
      <c r="A1241" s="658">
        <v>39.0</v>
      </c>
      <c r="B1241" s="658" t="s">
        <v>4783</v>
      </c>
      <c r="C1241" s="658">
        <v>1.0</v>
      </c>
      <c r="D1241" s="678">
        <v>2.2</v>
      </c>
      <c r="E1241" s="676">
        <v>1.0</v>
      </c>
      <c r="F1241" s="658" t="s">
        <v>4784</v>
      </c>
      <c r="G1241" s="658" t="s">
        <v>4778</v>
      </c>
      <c r="H1241" s="679">
        <v>45693.0</v>
      </c>
    </row>
    <row r="1242">
      <c r="A1242" s="655">
        <v>40.0</v>
      </c>
      <c r="B1242" s="655" t="s">
        <v>1523</v>
      </c>
      <c r="C1242" s="655">
        <v>1.0</v>
      </c>
      <c r="D1242" s="656">
        <v>4.5</v>
      </c>
      <c r="E1242" s="657" t="s">
        <v>2077</v>
      </c>
      <c r="F1242" s="655" t="s">
        <v>4785</v>
      </c>
      <c r="G1242" s="655" t="s">
        <v>4786</v>
      </c>
      <c r="H1242" s="679">
        <v>45700.0</v>
      </c>
    </row>
    <row r="1243">
      <c r="A1243" s="655">
        <v>41.0</v>
      </c>
      <c r="B1243" s="838" t="s">
        <v>4787</v>
      </c>
      <c r="C1243" s="655">
        <v>1.0</v>
      </c>
      <c r="D1243" s="656">
        <v>17.4</v>
      </c>
      <c r="E1243" s="657">
        <v>1.0</v>
      </c>
      <c r="F1243" s="838" t="s">
        <v>4788</v>
      </c>
      <c r="G1243" s="655" t="s">
        <v>4789</v>
      </c>
      <c r="H1243" s="659">
        <v>45733.0</v>
      </c>
    </row>
    <row r="1244">
      <c r="A1244" s="655">
        <v>42.0</v>
      </c>
      <c r="B1244" s="838" t="s">
        <v>4790</v>
      </c>
      <c r="C1244" s="655">
        <v>1.0</v>
      </c>
      <c r="D1244" s="656">
        <v>18.4</v>
      </c>
      <c r="E1244" s="657">
        <v>1.0</v>
      </c>
      <c r="F1244" s="838" t="s">
        <v>4791</v>
      </c>
      <c r="G1244" s="655" t="s">
        <v>4792</v>
      </c>
      <c r="H1244" s="856">
        <v>45786.0</v>
      </c>
    </row>
    <row r="1245">
      <c r="A1245" s="655">
        <v>43.0</v>
      </c>
      <c r="B1245" s="838" t="s">
        <v>2393</v>
      </c>
      <c r="C1245" s="655">
        <v>1.0</v>
      </c>
      <c r="D1245" s="656">
        <v>14.1</v>
      </c>
      <c r="E1245" s="657">
        <v>1.0</v>
      </c>
      <c r="F1245" s="838" t="s">
        <v>4793</v>
      </c>
      <c r="G1245" s="655" t="s">
        <v>1202</v>
      </c>
      <c r="H1245" s="719">
        <v>45868.0</v>
      </c>
    </row>
    <row r="1246">
      <c r="A1246" s="658">
        <v>44.0</v>
      </c>
      <c r="B1246" s="658" t="s">
        <v>4794</v>
      </c>
      <c r="C1246" s="658">
        <v>1.0</v>
      </c>
      <c r="D1246" s="678">
        <v>2.0</v>
      </c>
      <c r="E1246" s="676">
        <v>1.0</v>
      </c>
      <c r="F1246" s="658">
        <v>2.72465951E8</v>
      </c>
      <c r="G1246" s="658" t="s">
        <v>4750</v>
      </c>
      <c r="H1246" s="679">
        <v>45879.0</v>
      </c>
    </row>
    <row r="1247" ht="15.0" customHeight="1">
      <c r="A1247" s="658">
        <v>45.0</v>
      </c>
      <c r="B1247" s="437" t="s">
        <v>4795</v>
      </c>
      <c r="C1247" s="658">
        <v>1.0</v>
      </c>
      <c r="D1247" s="721"/>
      <c r="E1247" s="676">
        <v>1.0</v>
      </c>
      <c r="F1247" s="658" t="s">
        <v>4796</v>
      </c>
      <c r="G1247" s="658" t="s">
        <v>4797</v>
      </c>
      <c r="H1247" s="679">
        <v>45887.0</v>
      </c>
    </row>
    <row r="1248">
      <c r="A1248" s="658"/>
      <c r="B1248" s="857" t="s">
        <v>4798</v>
      </c>
      <c r="C1248" s="658">
        <v>1.0</v>
      </c>
      <c r="D1248" s="678">
        <v>2.0</v>
      </c>
      <c r="E1248" s="676">
        <v>1.0</v>
      </c>
      <c r="F1248" s="857" t="s">
        <v>4799</v>
      </c>
      <c r="G1248" s="658" t="s">
        <v>4800</v>
      </c>
      <c r="H1248" s="679">
        <v>45938.0</v>
      </c>
    </row>
    <row r="1249">
      <c r="A1249" s="658">
        <v>46.0</v>
      </c>
      <c r="B1249" s="437" t="s">
        <v>4801</v>
      </c>
      <c r="C1249" s="658">
        <v>1.0</v>
      </c>
      <c r="D1249" s="678">
        <v>2.0</v>
      </c>
      <c r="E1249" s="676">
        <v>1.0</v>
      </c>
      <c r="F1249" s="658" t="s">
        <v>4802</v>
      </c>
      <c r="G1249" s="658" t="s">
        <v>4803</v>
      </c>
      <c r="H1249" s="679">
        <v>45887.0</v>
      </c>
    </row>
    <row r="1250">
      <c r="A1250" s="662">
        <v>47.0</v>
      </c>
      <c r="B1250" s="662" t="s">
        <v>4804</v>
      </c>
      <c r="C1250" s="662">
        <v>1.0</v>
      </c>
      <c r="D1250" s="673">
        <v>5.2</v>
      </c>
      <c r="E1250" s="665">
        <v>1.0</v>
      </c>
      <c r="F1250" s="662" t="s">
        <v>4805</v>
      </c>
      <c r="G1250" s="662" t="s">
        <v>939</v>
      </c>
      <c r="H1250" s="662" t="s">
        <v>4806</v>
      </c>
    </row>
    <row r="1251">
      <c r="A1251" s="662">
        <v>48.0</v>
      </c>
      <c r="B1251" s="662" t="s">
        <v>4787</v>
      </c>
      <c r="C1251" s="662">
        <v>1.0</v>
      </c>
      <c r="D1251" s="673">
        <v>17.0</v>
      </c>
      <c r="E1251" s="665">
        <v>1.0</v>
      </c>
      <c r="F1251" s="662" t="s">
        <v>3474</v>
      </c>
      <c r="G1251" s="662" t="s">
        <v>914</v>
      </c>
      <c r="H1251" s="662" t="s">
        <v>4807</v>
      </c>
    </row>
    <row r="1252">
      <c r="A1252" s="658">
        <v>49.0</v>
      </c>
      <c r="B1252" s="819" t="s">
        <v>4808</v>
      </c>
      <c r="C1252" s="658">
        <v>1.0</v>
      </c>
      <c r="D1252" s="678">
        <v>4.3</v>
      </c>
      <c r="E1252" s="676">
        <v>1.0</v>
      </c>
      <c r="F1252" s="658" t="s">
        <v>4809</v>
      </c>
      <c r="G1252" s="658" t="s">
        <v>700</v>
      </c>
      <c r="H1252" s="679">
        <v>46013.0</v>
      </c>
    </row>
    <row r="1253">
      <c r="A1253" s="658">
        <v>50.0</v>
      </c>
      <c r="B1253" s="819" t="s">
        <v>1652</v>
      </c>
      <c r="C1253" s="658">
        <v>1.0</v>
      </c>
      <c r="D1253" s="678">
        <v>3.0</v>
      </c>
      <c r="E1253" s="676">
        <v>1.0</v>
      </c>
      <c r="F1253" s="658" t="s">
        <v>4810</v>
      </c>
      <c r="G1253" s="658" t="s">
        <v>606</v>
      </c>
      <c r="H1253" s="679">
        <v>46051.0</v>
      </c>
    </row>
    <row r="1254">
      <c r="A1254" s="658">
        <v>51.0</v>
      </c>
      <c r="B1254" s="819" t="s">
        <v>1652</v>
      </c>
      <c r="C1254" s="658">
        <v>1.0</v>
      </c>
      <c r="D1254" s="678">
        <v>3.0</v>
      </c>
      <c r="E1254" s="676">
        <v>1.0</v>
      </c>
      <c r="F1254" s="658" t="s">
        <v>4811</v>
      </c>
      <c r="G1254" s="658" t="s">
        <v>939</v>
      </c>
      <c r="H1254" s="679">
        <v>46083.0</v>
      </c>
    </row>
    <row r="1255">
      <c r="A1255" s="732" t="s">
        <v>1562</v>
      </c>
      <c r="B1255" s="3"/>
      <c r="C1255" s="689">
        <f t="shared" ref="C1255:E1255" si="46">sum(C1200:C1254)</f>
        <v>38</v>
      </c>
      <c r="D1255" s="721">
        <f t="shared" si="46"/>
        <v>404.81</v>
      </c>
      <c r="E1255" s="669">
        <f t="shared" si="46"/>
        <v>33</v>
      </c>
      <c r="F1255" s="689"/>
      <c r="G1255" s="731"/>
      <c r="H1255" s="731"/>
    </row>
    <row r="1256">
      <c r="A1256" s="689"/>
      <c r="B1256" s="689"/>
      <c r="C1256" s="689"/>
      <c r="D1256" s="689"/>
      <c r="E1256" s="689"/>
      <c r="F1256" s="689"/>
      <c r="G1256" s="689"/>
      <c r="H1256" s="689"/>
    </row>
    <row r="1257">
      <c r="A1257" s="649" t="s">
        <v>4812</v>
      </c>
      <c r="B1257" s="2"/>
      <c r="C1257" s="2"/>
      <c r="D1257" s="2"/>
      <c r="E1257" s="2"/>
      <c r="F1257" s="2"/>
      <c r="G1257" s="2"/>
      <c r="H1257" s="3"/>
    </row>
    <row r="1258">
      <c r="A1258" s="690" t="s">
        <v>1435</v>
      </c>
      <c r="B1258" s="690" t="s">
        <v>1436</v>
      </c>
      <c r="C1258" s="690" t="s">
        <v>1843</v>
      </c>
      <c r="D1258" s="693" t="s">
        <v>1438</v>
      </c>
      <c r="E1258" s="694" t="s">
        <v>1564</v>
      </c>
      <c r="F1258" s="690" t="s">
        <v>1440</v>
      </c>
      <c r="G1258" s="690" t="s">
        <v>1844</v>
      </c>
      <c r="H1258" s="695" t="s">
        <v>1441</v>
      </c>
    </row>
    <row r="1259">
      <c r="A1259" s="658">
        <v>1.0</v>
      </c>
      <c r="B1259" s="658" t="s">
        <v>1443</v>
      </c>
      <c r="C1259" s="658">
        <v>1.0</v>
      </c>
      <c r="D1259" s="678">
        <v>150.0</v>
      </c>
      <c r="E1259" s="669"/>
      <c r="F1259" s="689" t="s">
        <v>1518</v>
      </c>
      <c r="G1259" s="658" t="s">
        <v>1446</v>
      </c>
      <c r="H1259" s="731">
        <v>45141.0</v>
      </c>
    </row>
    <row r="1260">
      <c r="A1260" s="658">
        <v>2.0</v>
      </c>
      <c r="B1260" s="658" t="s">
        <v>1444</v>
      </c>
      <c r="C1260" s="658">
        <v>1.0</v>
      </c>
      <c r="D1260" s="678">
        <v>3.2</v>
      </c>
      <c r="E1260" s="669"/>
      <c r="F1260" s="689"/>
      <c r="G1260" s="658" t="s">
        <v>1446</v>
      </c>
      <c r="H1260" s="679">
        <v>45141.0</v>
      </c>
    </row>
    <row r="1261">
      <c r="A1261" s="658">
        <v>3.0</v>
      </c>
      <c r="B1261" s="689" t="s">
        <v>3673</v>
      </c>
      <c r="C1261" s="689">
        <v>1.0</v>
      </c>
      <c r="D1261" s="721">
        <v>5.0</v>
      </c>
      <c r="E1261" s="669">
        <v>1.0</v>
      </c>
      <c r="F1261" s="689"/>
      <c r="G1261" s="658" t="s">
        <v>1446</v>
      </c>
      <c r="H1261" s="679">
        <v>45141.0</v>
      </c>
    </row>
    <row r="1262">
      <c r="A1262" s="689">
        <v>4.0</v>
      </c>
      <c r="B1262" s="655" t="s">
        <v>1872</v>
      </c>
      <c r="C1262" s="658">
        <v>1.0</v>
      </c>
      <c r="D1262" s="678">
        <v>10.0</v>
      </c>
      <c r="E1262" s="676">
        <v>1.0</v>
      </c>
      <c r="F1262" s="730"/>
      <c r="G1262" s="658" t="s">
        <v>4813</v>
      </c>
      <c r="H1262" s="696">
        <v>45678.0</v>
      </c>
    </row>
    <row r="1263">
      <c r="A1263" s="689">
        <v>5.0</v>
      </c>
      <c r="B1263" s="655" t="s">
        <v>4814</v>
      </c>
      <c r="C1263" s="658">
        <v>1.0</v>
      </c>
      <c r="D1263" s="678">
        <v>9.0</v>
      </c>
      <c r="E1263" s="676">
        <v>1.0</v>
      </c>
      <c r="F1263" s="730"/>
      <c r="G1263" s="658" t="s">
        <v>4815</v>
      </c>
      <c r="H1263" s="696">
        <v>45678.0</v>
      </c>
    </row>
    <row r="1264">
      <c r="A1264" s="689">
        <v>6.0</v>
      </c>
      <c r="B1264" s="658" t="s">
        <v>4049</v>
      </c>
      <c r="C1264" s="658">
        <v>1.0</v>
      </c>
      <c r="D1264" s="678">
        <v>15.2</v>
      </c>
      <c r="E1264" s="676">
        <v>1.0</v>
      </c>
      <c r="F1264" s="658" t="s">
        <v>4816</v>
      </c>
      <c r="G1264" s="658" t="s">
        <v>1446</v>
      </c>
      <c r="H1264" s="696">
        <v>45716.0</v>
      </c>
    </row>
    <row r="1265">
      <c r="A1265" s="689">
        <v>7.0</v>
      </c>
      <c r="B1265" s="658" t="s">
        <v>4817</v>
      </c>
      <c r="C1265" s="658">
        <v>1.0</v>
      </c>
      <c r="D1265" s="678">
        <v>12.7</v>
      </c>
      <c r="E1265" s="676">
        <v>1.0</v>
      </c>
      <c r="F1265" s="658" t="s">
        <v>4818</v>
      </c>
      <c r="G1265" s="658" t="s">
        <v>1446</v>
      </c>
      <c r="H1265" s="696">
        <v>45716.0</v>
      </c>
    </row>
    <row r="1266">
      <c r="A1266" s="722">
        <v>8.0</v>
      </c>
      <c r="B1266" s="662" t="s">
        <v>4819</v>
      </c>
      <c r="C1266" s="662"/>
      <c r="D1266" s="673"/>
      <c r="E1266" s="665"/>
      <c r="F1266" s="662" t="s">
        <v>4820</v>
      </c>
      <c r="G1266" s="662" t="s">
        <v>4821</v>
      </c>
      <c r="H1266" s="698">
        <v>45820.0</v>
      </c>
    </row>
    <row r="1267">
      <c r="A1267" s="689">
        <v>9.0</v>
      </c>
      <c r="B1267" s="655" t="s">
        <v>3812</v>
      </c>
      <c r="C1267" s="658">
        <v>1.0</v>
      </c>
      <c r="D1267" s="678">
        <v>10.8</v>
      </c>
      <c r="E1267" s="676">
        <v>1.0</v>
      </c>
      <c r="F1267" s="655" t="s">
        <v>4822</v>
      </c>
      <c r="G1267" s="658" t="s">
        <v>1446</v>
      </c>
      <c r="H1267" s="696">
        <v>45820.0</v>
      </c>
    </row>
    <row r="1268">
      <c r="A1268" s="658">
        <v>10.0</v>
      </c>
      <c r="B1268" s="658" t="s">
        <v>4823</v>
      </c>
      <c r="C1268" s="658">
        <v>1.0</v>
      </c>
      <c r="D1268" s="678">
        <v>18.0</v>
      </c>
      <c r="E1268" s="676">
        <v>1.0</v>
      </c>
      <c r="F1268" s="658" t="s">
        <v>4824</v>
      </c>
      <c r="G1268" s="658" t="s">
        <v>1446</v>
      </c>
      <c r="H1268" s="679">
        <v>45876.0</v>
      </c>
    </row>
    <row r="1269">
      <c r="A1269" s="658">
        <v>11.0</v>
      </c>
      <c r="B1269" s="658" t="s">
        <v>4819</v>
      </c>
      <c r="C1269" s="658">
        <v>1.0</v>
      </c>
      <c r="D1269" s="678">
        <v>29.0</v>
      </c>
      <c r="E1269" s="676">
        <v>3.0</v>
      </c>
      <c r="F1269" s="658" t="s">
        <v>4825</v>
      </c>
      <c r="G1269" s="658" t="s">
        <v>1446</v>
      </c>
      <c r="H1269" s="679">
        <v>45966.0</v>
      </c>
    </row>
    <row r="1270">
      <c r="A1270" s="658">
        <v>12.0</v>
      </c>
      <c r="B1270" s="658" t="s">
        <v>4826</v>
      </c>
      <c r="C1270" s="658">
        <v>1.0</v>
      </c>
      <c r="D1270" s="678">
        <v>20.0</v>
      </c>
      <c r="E1270" s="676">
        <v>2.0</v>
      </c>
      <c r="F1270" s="658" t="s">
        <v>4827</v>
      </c>
      <c r="G1270" s="658" t="s">
        <v>1446</v>
      </c>
      <c r="H1270" s="679">
        <v>45972.0</v>
      </c>
    </row>
    <row r="1271">
      <c r="A1271" s="658">
        <v>13.0</v>
      </c>
      <c r="B1271" s="658" t="s">
        <v>4826</v>
      </c>
      <c r="C1271" s="689"/>
      <c r="D1271" s="678">
        <v>20.0</v>
      </c>
      <c r="E1271" s="676">
        <v>2.0</v>
      </c>
      <c r="F1271" s="658" t="s">
        <v>4828</v>
      </c>
      <c r="G1271" s="658" t="s">
        <v>1446</v>
      </c>
      <c r="H1271" s="679">
        <v>45972.0</v>
      </c>
    </row>
    <row r="1272">
      <c r="A1272" s="658">
        <v>14.0</v>
      </c>
      <c r="B1272" s="214" t="s">
        <v>4829</v>
      </c>
      <c r="C1272" s="214">
        <v>1.0</v>
      </c>
      <c r="D1272" s="215">
        <v>5.0</v>
      </c>
      <c r="E1272" s="216">
        <v>1.0</v>
      </c>
      <c r="F1272" s="858" t="s">
        <v>4830</v>
      </c>
      <c r="G1272" s="214" t="s">
        <v>428</v>
      </c>
      <c r="H1272" s="859">
        <v>46078.0</v>
      </c>
    </row>
    <row r="1273">
      <c r="A1273" s="732" t="s">
        <v>1562</v>
      </c>
      <c r="B1273" s="3"/>
      <c r="C1273" s="689">
        <f t="shared" ref="C1273:E1273" si="47">sum(C1259:C1269)</f>
        <v>10</v>
      </c>
      <c r="D1273" s="721">
        <f t="shared" si="47"/>
        <v>262.9</v>
      </c>
      <c r="E1273" s="669">
        <f t="shared" si="47"/>
        <v>10</v>
      </c>
      <c r="F1273" s="689"/>
      <c r="G1273" s="731"/>
      <c r="H1273" s="731"/>
    </row>
    <row r="1274">
      <c r="A1274" s="689"/>
      <c r="B1274" s="689"/>
      <c r="C1274" s="689"/>
      <c r="D1274" s="689"/>
      <c r="E1274" s="689"/>
      <c r="F1274" s="689"/>
      <c r="G1274" s="689"/>
      <c r="H1274" s="689"/>
    </row>
    <row r="1275">
      <c r="A1275" s="649" t="s">
        <v>4831</v>
      </c>
      <c r="B1275" s="2"/>
      <c r="C1275" s="2"/>
      <c r="D1275" s="2"/>
      <c r="E1275" s="2"/>
      <c r="F1275" s="2"/>
      <c r="G1275" s="2"/>
      <c r="H1275" s="3"/>
    </row>
    <row r="1276">
      <c r="A1276" s="690" t="s">
        <v>1435</v>
      </c>
      <c r="B1276" s="690" t="s">
        <v>1436</v>
      </c>
      <c r="C1276" s="690" t="s">
        <v>1843</v>
      </c>
      <c r="D1276" s="693" t="s">
        <v>1438</v>
      </c>
      <c r="E1276" s="694" t="s">
        <v>1564</v>
      </c>
      <c r="F1276" s="690" t="s">
        <v>1440</v>
      </c>
      <c r="G1276" s="690" t="s">
        <v>1844</v>
      </c>
      <c r="H1276" s="695" t="s">
        <v>1441</v>
      </c>
    </row>
    <row r="1277">
      <c r="A1277" s="658">
        <v>1.0</v>
      </c>
      <c r="B1277" s="658" t="s">
        <v>1443</v>
      </c>
      <c r="C1277" s="658">
        <v>1.0</v>
      </c>
      <c r="D1277" s="678">
        <v>150.0</v>
      </c>
      <c r="E1277" s="669"/>
      <c r="F1277" s="689" t="s">
        <v>1518</v>
      </c>
      <c r="G1277" s="658" t="s">
        <v>1554</v>
      </c>
      <c r="H1277" s="731">
        <v>45141.0</v>
      </c>
    </row>
    <row r="1278">
      <c r="A1278" s="658">
        <v>2.0</v>
      </c>
      <c r="B1278" s="658" t="s">
        <v>1444</v>
      </c>
      <c r="C1278" s="658">
        <v>1.0</v>
      </c>
      <c r="D1278" s="678">
        <v>3.2</v>
      </c>
      <c r="E1278" s="669"/>
      <c r="F1278" s="689"/>
      <c r="G1278" s="689"/>
      <c r="H1278" s="731"/>
    </row>
    <row r="1279">
      <c r="A1279" s="658">
        <v>3.0</v>
      </c>
      <c r="B1279" s="689" t="s">
        <v>3673</v>
      </c>
      <c r="C1279" s="689">
        <v>1.0</v>
      </c>
      <c r="D1279" s="721">
        <v>5.0</v>
      </c>
      <c r="E1279" s="669">
        <v>1.0</v>
      </c>
      <c r="F1279" s="689"/>
      <c r="G1279" s="689"/>
      <c r="H1279" s="731"/>
    </row>
    <row r="1280">
      <c r="A1280" s="689">
        <v>4.0</v>
      </c>
      <c r="B1280" s="730"/>
      <c r="C1280" s="689"/>
      <c r="D1280" s="689"/>
      <c r="E1280" s="669"/>
      <c r="F1280" s="730"/>
      <c r="G1280" s="689"/>
      <c r="H1280" s="670"/>
    </row>
    <row r="1281">
      <c r="A1281" s="689">
        <v>5.0</v>
      </c>
      <c r="B1281" s="730"/>
      <c r="C1281" s="689"/>
      <c r="D1281" s="689"/>
      <c r="E1281" s="669"/>
      <c r="F1281" s="730"/>
      <c r="G1281" s="689"/>
      <c r="H1281" s="670"/>
    </row>
    <row r="1282">
      <c r="A1282" s="689">
        <v>6.0</v>
      </c>
      <c r="B1282" s="730"/>
      <c r="C1282" s="689"/>
      <c r="D1282" s="689"/>
      <c r="E1282" s="669"/>
      <c r="F1282" s="730"/>
      <c r="G1282" s="689"/>
      <c r="H1282" s="670"/>
    </row>
    <row r="1283">
      <c r="A1283" s="689">
        <v>7.0</v>
      </c>
      <c r="B1283" s="730"/>
      <c r="C1283" s="689"/>
      <c r="D1283" s="721"/>
      <c r="E1283" s="669"/>
      <c r="F1283" s="730"/>
      <c r="G1283" s="689"/>
      <c r="H1283" s="670"/>
    </row>
    <row r="1284">
      <c r="A1284" s="689">
        <v>8.0</v>
      </c>
      <c r="B1284" s="730"/>
      <c r="C1284" s="689"/>
      <c r="D1284" s="721"/>
      <c r="E1284" s="669"/>
      <c r="F1284" s="730"/>
      <c r="G1284" s="689"/>
      <c r="H1284" s="670"/>
    </row>
    <row r="1285">
      <c r="A1285" s="689">
        <v>9.0</v>
      </c>
      <c r="B1285" s="730"/>
      <c r="C1285" s="689"/>
      <c r="D1285" s="721"/>
      <c r="E1285" s="669"/>
      <c r="F1285" s="730"/>
      <c r="G1285" s="689"/>
      <c r="H1285" s="670"/>
    </row>
    <row r="1286">
      <c r="A1286" s="732" t="s">
        <v>1562</v>
      </c>
      <c r="B1286" s="3"/>
      <c r="C1286" s="689">
        <f t="shared" ref="C1286:E1286" si="48">sum(C1277:C1285)</f>
        <v>3</v>
      </c>
      <c r="D1286" s="721">
        <f t="shared" si="48"/>
        <v>158.2</v>
      </c>
      <c r="E1286" s="669">
        <f t="shared" si="48"/>
        <v>1</v>
      </c>
      <c r="F1286" s="689"/>
      <c r="G1286" s="731"/>
      <c r="H1286" s="731"/>
    </row>
    <row r="1287">
      <c r="A1287" s="689"/>
      <c r="B1287" s="689"/>
      <c r="C1287" s="689"/>
      <c r="D1287" s="689"/>
      <c r="E1287" s="689"/>
      <c r="F1287" s="689"/>
      <c r="G1287" s="689"/>
      <c r="H1287" s="689"/>
    </row>
    <row r="1288">
      <c r="A1288" s="689"/>
      <c r="B1288" s="689"/>
      <c r="C1288" s="689"/>
      <c r="D1288" s="689"/>
      <c r="E1288" s="689"/>
      <c r="F1288" s="689"/>
      <c r="G1288" s="689"/>
      <c r="H1288" s="689"/>
    </row>
    <row r="1289">
      <c r="A1289" s="649" t="s">
        <v>4832</v>
      </c>
      <c r="B1289" s="2"/>
      <c r="C1289" s="2"/>
      <c r="D1289" s="2"/>
      <c r="E1289" s="2"/>
      <c r="F1289" s="2"/>
      <c r="G1289" s="2"/>
      <c r="H1289" s="3"/>
    </row>
    <row r="1290">
      <c r="A1290" s="690" t="s">
        <v>1435</v>
      </c>
      <c r="B1290" s="690" t="s">
        <v>1436</v>
      </c>
      <c r="C1290" s="690" t="s">
        <v>1843</v>
      </c>
      <c r="D1290" s="693" t="s">
        <v>1438</v>
      </c>
      <c r="E1290" s="694" t="s">
        <v>1564</v>
      </c>
      <c r="F1290" s="690" t="s">
        <v>1440</v>
      </c>
      <c r="G1290" s="690" t="s">
        <v>1844</v>
      </c>
      <c r="H1290" s="695" t="s">
        <v>1441</v>
      </c>
    </row>
    <row r="1291">
      <c r="A1291" s="658">
        <v>1.0</v>
      </c>
      <c r="B1291" s="658" t="s">
        <v>1443</v>
      </c>
      <c r="C1291" s="658">
        <v>1.0</v>
      </c>
      <c r="D1291" s="678">
        <v>150.0</v>
      </c>
      <c r="E1291" s="669"/>
      <c r="F1291" s="689" t="s">
        <v>1518</v>
      </c>
      <c r="G1291" s="658" t="s">
        <v>1554</v>
      </c>
      <c r="H1291" s="731">
        <v>45141.0</v>
      </c>
    </row>
    <row r="1292">
      <c r="A1292" s="658">
        <v>2.0</v>
      </c>
      <c r="B1292" s="658" t="s">
        <v>1444</v>
      </c>
      <c r="C1292" s="658">
        <v>1.0</v>
      </c>
      <c r="D1292" s="678">
        <v>3.2</v>
      </c>
      <c r="E1292" s="669"/>
      <c r="F1292" s="658" t="s">
        <v>1518</v>
      </c>
      <c r="G1292" s="689"/>
      <c r="H1292" s="731"/>
    </row>
    <row r="1293">
      <c r="A1293" s="658">
        <v>3.0</v>
      </c>
      <c r="B1293" s="689" t="s">
        <v>3673</v>
      </c>
      <c r="C1293" s="689">
        <v>1.0</v>
      </c>
      <c r="D1293" s="721">
        <v>5.0</v>
      </c>
      <c r="E1293" s="669">
        <v>1.0</v>
      </c>
      <c r="F1293" s="658" t="s">
        <v>1518</v>
      </c>
      <c r="G1293" s="689"/>
      <c r="H1293" s="731"/>
    </row>
    <row r="1294">
      <c r="A1294" s="340" t="s">
        <v>4833</v>
      </c>
      <c r="B1294" s="340" t="s">
        <v>1526</v>
      </c>
      <c r="C1294" s="340">
        <v>1.0</v>
      </c>
      <c r="D1294" s="341">
        <v>10.5</v>
      </c>
      <c r="E1294" s="669">
        <v>1.0</v>
      </c>
      <c r="F1294" s="340" t="s">
        <v>1518</v>
      </c>
      <c r="G1294" s="340" t="s">
        <v>1554</v>
      </c>
      <c r="H1294" s="696">
        <v>45950.0</v>
      </c>
    </row>
    <row r="1295">
      <c r="A1295" s="689">
        <v>5.0</v>
      </c>
      <c r="B1295" s="655" t="s">
        <v>4834</v>
      </c>
      <c r="C1295" s="658">
        <v>1.0</v>
      </c>
      <c r="D1295" s="658">
        <v>20.0</v>
      </c>
      <c r="E1295" s="676">
        <v>1.0</v>
      </c>
      <c r="F1295" s="655" t="s">
        <v>4835</v>
      </c>
      <c r="G1295" s="658" t="s">
        <v>1554</v>
      </c>
      <c r="H1295" s="696">
        <v>45958.0</v>
      </c>
    </row>
    <row r="1296">
      <c r="A1296" s="689">
        <v>6.0</v>
      </c>
      <c r="B1296" s="730"/>
      <c r="C1296" s="689"/>
      <c r="D1296" s="689"/>
      <c r="E1296" s="669"/>
      <c r="F1296" s="730"/>
      <c r="G1296" s="689"/>
      <c r="H1296" s="670"/>
    </row>
    <row r="1297">
      <c r="A1297" s="689">
        <v>7.0</v>
      </c>
      <c r="B1297" s="730"/>
      <c r="C1297" s="689"/>
      <c r="D1297" s="721"/>
      <c r="E1297" s="669"/>
      <c r="F1297" s="730"/>
      <c r="G1297" s="689"/>
      <c r="H1297" s="670"/>
    </row>
    <row r="1298">
      <c r="A1298" s="689">
        <v>8.0</v>
      </c>
      <c r="B1298" s="730"/>
      <c r="C1298" s="689"/>
      <c r="D1298" s="721"/>
      <c r="E1298" s="669"/>
      <c r="F1298" s="730"/>
      <c r="G1298" s="689"/>
      <c r="H1298" s="670"/>
    </row>
    <row r="1299">
      <c r="A1299" s="689">
        <v>9.0</v>
      </c>
      <c r="B1299" s="730"/>
      <c r="C1299" s="689"/>
      <c r="D1299" s="721"/>
      <c r="E1299" s="669"/>
      <c r="F1299" s="730"/>
      <c r="G1299" s="689"/>
      <c r="H1299" s="670"/>
    </row>
    <row r="1300">
      <c r="A1300" s="732" t="s">
        <v>1562</v>
      </c>
      <c r="B1300" s="3"/>
      <c r="C1300" s="689">
        <f t="shared" ref="C1300:E1300" si="49">sum(C1291:C1299)</f>
        <v>5</v>
      </c>
      <c r="D1300" s="721">
        <f t="shared" si="49"/>
        <v>188.7</v>
      </c>
      <c r="E1300" s="669">
        <f t="shared" si="49"/>
        <v>3</v>
      </c>
      <c r="F1300" s="689"/>
      <c r="G1300" s="731"/>
      <c r="H1300" s="731"/>
    </row>
    <row r="1301">
      <c r="A1301" s="689"/>
      <c r="B1301" s="689"/>
      <c r="C1301" s="689"/>
      <c r="D1301" s="689"/>
      <c r="E1301" s="689"/>
      <c r="F1301" s="689"/>
      <c r="G1301" s="689"/>
      <c r="H1301" s="689"/>
    </row>
    <row r="1302">
      <c r="A1302" s="689"/>
      <c r="B1302" s="689"/>
      <c r="C1302" s="689"/>
      <c r="D1302" s="689"/>
      <c r="E1302" s="689"/>
      <c r="F1302" s="689"/>
      <c r="G1302" s="689"/>
      <c r="H1302" s="689"/>
    </row>
    <row r="1303">
      <c r="A1303" s="649" t="s">
        <v>4836</v>
      </c>
      <c r="B1303" s="2"/>
      <c r="C1303" s="2"/>
      <c r="D1303" s="2"/>
      <c r="E1303" s="2"/>
      <c r="F1303" s="2"/>
      <c r="G1303" s="2"/>
      <c r="H1303" s="3"/>
    </row>
    <row r="1304">
      <c r="A1304" s="690" t="s">
        <v>1435</v>
      </c>
      <c r="B1304" s="690" t="s">
        <v>1436</v>
      </c>
      <c r="C1304" s="690" t="s">
        <v>1843</v>
      </c>
      <c r="D1304" s="693" t="s">
        <v>1438</v>
      </c>
      <c r="E1304" s="694" t="s">
        <v>1564</v>
      </c>
      <c r="F1304" s="690" t="s">
        <v>1440</v>
      </c>
      <c r="G1304" s="690" t="s">
        <v>1844</v>
      </c>
      <c r="H1304" s="695" t="s">
        <v>1441</v>
      </c>
    </row>
    <row r="1305">
      <c r="A1305" s="658">
        <v>1.0</v>
      </c>
      <c r="B1305" s="658" t="s">
        <v>1443</v>
      </c>
      <c r="C1305" s="658">
        <v>1.0</v>
      </c>
      <c r="D1305" s="678">
        <v>150.0</v>
      </c>
      <c r="E1305" s="669"/>
      <c r="F1305" s="689" t="s">
        <v>1518</v>
      </c>
      <c r="G1305" s="658" t="s">
        <v>1554</v>
      </c>
      <c r="H1305" s="731">
        <v>45141.0</v>
      </c>
    </row>
    <row r="1306">
      <c r="A1306" s="658">
        <v>2.0</v>
      </c>
      <c r="B1306" s="658" t="s">
        <v>1444</v>
      </c>
      <c r="C1306" s="658">
        <v>1.0</v>
      </c>
      <c r="D1306" s="678">
        <v>3.2</v>
      </c>
      <c r="E1306" s="669"/>
      <c r="F1306" s="689"/>
      <c r="G1306" s="689"/>
      <c r="H1306" s="731"/>
    </row>
    <row r="1307">
      <c r="A1307" s="658">
        <v>3.0</v>
      </c>
      <c r="B1307" s="689" t="s">
        <v>3673</v>
      </c>
      <c r="C1307" s="689">
        <v>1.0</v>
      </c>
      <c r="D1307" s="721">
        <v>5.0</v>
      </c>
      <c r="E1307" s="669">
        <v>1.0</v>
      </c>
      <c r="F1307" s="689"/>
      <c r="G1307" s="689"/>
      <c r="H1307" s="731"/>
    </row>
    <row r="1308">
      <c r="A1308" s="689">
        <v>4.0</v>
      </c>
      <c r="B1308" s="655" t="s">
        <v>4837</v>
      </c>
      <c r="C1308" s="658">
        <v>1.0</v>
      </c>
      <c r="D1308" s="689"/>
      <c r="E1308" s="676">
        <v>1.5</v>
      </c>
      <c r="F1308" s="730"/>
      <c r="G1308" s="658" t="s">
        <v>1554</v>
      </c>
      <c r="H1308" s="670"/>
    </row>
    <row r="1309">
      <c r="F1309" s="58"/>
    </row>
    <row r="1310">
      <c r="A1310" s="689">
        <v>6.0</v>
      </c>
      <c r="B1310" s="730"/>
      <c r="C1310" s="689"/>
      <c r="D1310" s="689"/>
      <c r="E1310" s="669"/>
      <c r="F1310" s="730"/>
      <c r="G1310" s="689"/>
      <c r="H1310" s="670"/>
    </row>
    <row r="1311">
      <c r="A1311" s="689">
        <v>7.0</v>
      </c>
      <c r="B1311" s="730"/>
      <c r="C1311" s="689"/>
      <c r="D1311" s="721"/>
      <c r="E1311" s="669"/>
      <c r="F1311" s="730"/>
      <c r="G1311" s="689"/>
      <c r="H1311" s="670"/>
    </row>
    <row r="1312">
      <c r="A1312" s="689">
        <v>8.0</v>
      </c>
      <c r="B1312" s="730"/>
      <c r="C1312" s="689"/>
      <c r="D1312" s="721"/>
      <c r="E1312" s="669"/>
      <c r="F1312" s="730"/>
      <c r="G1312" s="689"/>
      <c r="H1312" s="670"/>
    </row>
    <row r="1313">
      <c r="A1313" s="689">
        <v>9.0</v>
      </c>
      <c r="B1313" s="730"/>
      <c r="C1313" s="689"/>
      <c r="D1313" s="721"/>
      <c r="E1313" s="669"/>
      <c r="F1313" s="730"/>
      <c r="G1313" s="689"/>
      <c r="H1313" s="670"/>
    </row>
    <row r="1314">
      <c r="A1314" s="732" t="s">
        <v>1562</v>
      </c>
      <c r="B1314" s="3"/>
      <c r="C1314" s="689">
        <f t="shared" ref="C1314:E1314" si="50">sum(C1305:C1313)</f>
        <v>4</v>
      </c>
      <c r="D1314" s="721">
        <f t="shared" si="50"/>
        <v>158.2</v>
      </c>
      <c r="E1314" s="669">
        <f t="shared" si="50"/>
        <v>2.5</v>
      </c>
      <c r="F1314" s="689"/>
      <c r="G1314" s="731"/>
      <c r="H1314" s="731"/>
    </row>
    <row r="1315">
      <c r="A1315" s="689"/>
      <c r="B1315" s="689"/>
      <c r="C1315" s="689"/>
      <c r="D1315" s="689"/>
      <c r="E1315" s="689"/>
      <c r="F1315" s="689"/>
      <c r="G1315" s="689"/>
      <c r="H1315" s="689"/>
    </row>
    <row r="1316">
      <c r="A1316" s="689"/>
      <c r="B1316" s="689"/>
      <c r="C1316" s="689"/>
      <c r="D1316" s="689"/>
      <c r="E1316" s="689"/>
      <c r="F1316" s="689"/>
      <c r="G1316" s="689"/>
      <c r="H1316" s="689"/>
    </row>
    <row r="1317">
      <c r="A1317" s="649" t="s">
        <v>4838</v>
      </c>
      <c r="B1317" s="2"/>
      <c r="C1317" s="2"/>
      <c r="D1317" s="2"/>
      <c r="E1317" s="2"/>
      <c r="F1317" s="2"/>
      <c r="G1317" s="2"/>
      <c r="H1317" s="3"/>
    </row>
    <row r="1318">
      <c r="A1318" s="690" t="s">
        <v>1435</v>
      </c>
      <c r="B1318" s="690" t="s">
        <v>1436</v>
      </c>
      <c r="C1318" s="690" t="s">
        <v>1843</v>
      </c>
      <c r="D1318" s="693" t="s">
        <v>1438</v>
      </c>
      <c r="E1318" s="694" t="s">
        <v>1564</v>
      </c>
      <c r="F1318" s="690" t="s">
        <v>1440</v>
      </c>
      <c r="G1318" s="690" t="s">
        <v>1844</v>
      </c>
      <c r="H1318" s="695" t="s">
        <v>1441</v>
      </c>
    </row>
    <row r="1319">
      <c r="A1319" s="658">
        <v>1.0</v>
      </c>
      <c r="B1319" s="658" t="s">
        <v>1443</v>
      </c>
      <c r="C1319" s="658">
        <v>1.0</v>
      </c>
      <c r="D1319" s="678">
        <v>150.0</v>
      </c>
      <c r="E1319" s="669"/>
      <c r="F1319" s="689" t="s">
        <v>1518</v>
      </c>
      <c r="G1319" s="658" t="s">
        <v>1554</v>
      </c>
      <c r="H1319" s="731">
        <v>45141.0</v>
      </c>
    </row>
    <row r="1320">
      <c r="A1320" s="658">
        <v>2.0</v>
      </c>
      <c r="B1320" s="658" t="s">
        <v>1444</v>
      </c>
      <c r="C1320" s="658">
        <v>1.0</v>
      </c>
      <c r="D1320" s="678">
        <v>3.2</v>
      </c>
      <c r="E1320" s="669"/>
      <c r="F1320" s="689"/>
      <c r="G1320" s="689"/>
      <c r="H1320" s="731"/>
    </row>
    <row r="1321">
      <c r="A1321" s="658">
        <v>3.0</v>
      </c>
      <c r="B1321" s="689" t="s">
        <v>3673</v>
      </c>
      <c r="C1321" s="689">
        <v>1.0</v>
      </c>
      <c r="D1321" s="721">
        <v>5.0</v>
      </c>
      <c r="E1321" s="669">
        <v>1.0</v>
      </c>
      <c r="F1321" s="689"/>
      <c r="G1321" s="689"/>
      <c r="H1321" s="731"/>
    </row>
    <row r="1322">
      <c r="A1322" s="860">
        <v>4.0</v>
      </c>
      <c r="B1322" s="187" t="s">
        <v>4839</v>
      </c>
      <c r="C1322" s="187">
        <v>1.0</v>
      </c>
      <c r="D1322" s="187">
        <v>9.8</v>
      </c>
      <c r="E1322" s="187">
        <v>9.8</v>
      </c>
      <c r="F1322" s="187" t="s">
        <v>214</v>
      </c>
      <c r="G1322" s="861">
        <v>46048.0</v>
      </c>
      <c r="H1322" s="670"/>
    </row>
    <row r="1323">
      <c r="A1323" s="860">
        <v>5.0</v>
      </c>
      <c r="B1323" s="187" t="s">
        <v>4840</v>
      </c>
      <c r="C1323" s="187">
        <v>14.0</v>
      </c>
      <c r="D1323" s="187">
        <v>34.5</v>
      </c>
      <c r="E1323" s="187">
        <f>C1323*D1323</f>
        <v>483</v>
      </c>
      <c r="F1323" s="187" t="s">
        <v>214</v>
      </c>
      <c r="G1323" s="861">
        <v>46048.0</v>
      </c>
      <c r="H1323" s="670"/>
    </row>
    <row r="1324">
      <c r="A1324" s="689">
        <v>6.0</v>
      </c>
      <c r="B1324" s="730"/>
      <c r="C1324" s="689"/>
      <c r="D1324" s="689"/>
      <c r="E1324" s="669"/>
      <c r="F1324" s="730"/>
      <c r="G1324" s="689"/>
      <c r="H1324" s="670"/>
    </row>
    <row r="1325">
      <c r="A1325" s="689">
        <v>7.0</v>
      </c>
      <c r="B1325" s="730"/>
      <c r="C1325" s="689"/>
      <c r="D1325" s="721"/>
      <c r="E1325" s="669"/>
      <c r="F1325" s="730"/>
      <c r="G1325" s="689"/>
      <c r="H1325" s="670"/>
    </row>
    <row r="1326">
      <c r="A1326" s="689">
        <v>8.0</v>
      </c>
      <c r="B1326" s="730"/>
      <c r="C1326" s="689"/>
      <c r="D1326" s="721"/>
      <c r="E1326" s="669"/>
      <c r="F1326" s="730"/>
      <c r="G1326" s="689"/>
      <c r="H1326" s="670"/>
    </row>
    <row r="1327">
      <c r="A1327" s="689">
        <v>9.0</v>
      </c>
      <c r="B1327" s="730"/>
      <c r="C1327" s="689"/>
      <c r="D1327" s="721"/>
      <c r="E1327" s="669"/>
      <c r="F1327" s="730"/>
      <c r="G1327" s="689"/>
      <c r="H1327" s="670"/>
    </row>
    <row r="1328">
      <c r="A1328" s="732" t="s">
        <v>1562</v>
      </c>
      <c r="B1328" s="3"/>
      <c r="C1328" s="689">
        <f t="shared" ref="C1328:E1328" si="51">sum(C1319:C1327)</f>
        <v>18</v>
      </c>
      <c r="D1328" s="721">
        <f t="shared" si="51"/>
        <v>202.5</v>
      </c>
      <c r="E1328" s="669">
        <f t="shared" si="51"/>
        <v>493.8</v>
      </c>
      <c r="F1328" s="689"/>
      <c r="G1328" s="731"/>
      <c r="H1328" s="731"/>
    </row>
    <row r="1329">
      <c r="A1329" s="689"/>
      <c r="B1329" s="689"/>
      <c r="C1329" s="689"/>
      <c r="D1329" s="689"/>
      <c r="E1329" s="689"/>
      <c r="F1329" s="689"/>
      <c r="G1329" s="689"/>
      <c r="H1329" s="689"/>
    </row>
    <row r="1330">
      <c r="A1330" s="689"/>
      <c r="B1330" s="689"/>
      <c r="C1330" s="689"/>
      <c r="D1330" s="689"/>
      <c r="E1330" s="689"/>
      <c r="F1330" s="689"/>
      <c r="G1330" s="689"/>
      <c r="H1330" s="689"/>
    </row>
    <row r="1331">
      <c r="A1331" s="649" t="s">
        <v>4841</v>
      </c>
      <c r="B1331" s="2"/>
      <c r="C1331" s="2"/>
      <c r="D1331" s="2"/>
      <c r="E1331" s="2"/>
      <c r="F1331" s="2"/>
      <c r="G1331" s="2"/>
      <c r="H1331" s="3"/>
    </row>
    <row r="1332">
      <c r="A1332" s="690" t="s">
        <v>1435</v>
      </c>
      <c r="B1332" s="690" t="s">
        <v>1436</v>
      </c>
      <c r="C1332" s="690" t="s">
        <v>1843</v>
      </c>
      <c r="D1332" s="693" t="s">
        <v>1438</v>
      </c>
      <c r="E1332" s="694" t="s">
        <v>1564</v>
      </c>
      <c r="F1332" s="690" t="s">
        <v>1440</v>
      </c>
      <c r="G1332" s="690" t="s">
        <v>1844</v>
      </c>
      <c r="H1332" s="695" t="s">
        <v>1441</v>
      </c>
    </row>
    <row r="1333">
      <c r="A1333" s="658">
        <v>1.0</v>
      </c>
      <c r="B1333" s="658" t="s">
        <v>1443</v>
      </c>
      <c r="C1333" s="658">
        <v>1.0</v>
      </c>
      <c r="D1333" s="678">
        <v>150.0</v>
      </c>
      <c r="E1333" s="669"/>
      <c r="F1333" s="689" t="s">
        <v>1518</v>
      </c>
      <c r="G1333" s="658" t="s">
        <v>1554</v>
      </c>
      <c r="H1333" s="731">
        <v>45141.0</v>
      </c>
    </row>
    <row r="1334">
      <c r="A1334" s="658">
        <v>2.0</v>
      </c>
      <c r="B1334" s="658" t="s">
        <v>1444</v>
      </c>
      <c r="C1334" s="658">
        <v>1.0</v>
      </c>
      <c r="D1334" s="678">
        <v>3.2</v>
      </c>
      <c r="E1334" s="669"/>
      <c r="F1334" s="689"/>
      <c r="G1334" s="689"/>
      <c r="H1334" s="731"/>
    </row>
    <row r="1335">
      <c r="A1335" s="658">
        <v>3.0</v>
      </c>
      <c r="B1335" s="689" t="s">
        <v>3673</v>
      </c>
      <c r="C1335" s="689">
        <v>1.0</v>
      </c>
      <c r="D1335" s="721">
        <v>5.0</v>
      </c>
      <c r="E1335" s="669">
        <v>1.0</v>
      </c>
      <c r="F1335" s="689"/>
      <c r="G1335" s="689"/>
      <c r="H1335" s="731"/>
    </row>
    <row r="1336">
      <c r="A1336" s="689">
        <v>4.0</v>
      </c>
      <c r="B1336" s="730"/>
      <c r="C1336" s="689"/>
      <c r="D1336" s="689"/>
      <c r="E1336" s="669"/>
      <c r="F1336" s="730"/>
      <c r="G1336" s="689"/>
      <c r="H1336" s="670"/>
    </row>
    <row r="1337">
      <c r="A1337" s="689">
        <v>5.0</v>
      </c>
      <c r="B1337" s="730"/>
      <c r="C1337" s="689"/>
      <c r="D1337" s="689"/>
      <c r="E1337" s="669"/>
      <c r="F1337" s="730"/>
      <c r="G1337" s="689"/>
      <c r="H1337" s="670"/>
    </row>
    <row r="1338">
      <c r="A1338" s="689">
        <v>6.0</v>
      </c>
      <c r="B1338" s="730"/>
      <c r="C1338" s="689"/>
      <c r="D1338" s="689"/>
      <c r="E1338" s="669"/>
      <c r="F1338" s="730"/>
      <c r="G1338" s="689"/>
      <c r="H1338" s="670"/>
    </row>
    <row r="1339">
      <c r="A1339" s="689">
        <v>7.0</v>
      </c>
      <c r="B1339" s="730"/>
      <c r="C1339" s="689"/>
      <c r="D1339" s="721"/>
      <c r="E1339" s="669"/>
      <c r="F1339" s="730"/>
      <c r="G1339" s="689"/>
      <c r="H1339" s="670"/>
    </row>
    <row r="1340">
      <c r="A1340" s="689">
        <v>8.0</v>
      </c>
      <c r="B1340" s="730"/>
      <c r="C1340" s="689"/>
      <c r="D1340" s="721"/>
      <c r="E1340" s="669"/>
      <c r="F1340" s="730"/>
      <c r="G1340" s="689"/>
      <c r="H1340" s="670"/>
    </row>
    <row r="1341">
      <c r="A1341" s="689">
        <v>9.0</v>
      </c>
      <c r="B1341" s="730"/>
      <c r="C1341" s="689"/>
      <c r="D1341" s="721"/>
      <c r="E1341" s="669"/>
      <c r="F1341" s="730"/>
      <c r="G1341" s="689"/>
      <c r="H1341" s="670"/>
    </row>
    <row r="1342">
      <c r="A1342" s="732" t="s">
        <v>1562</v>
      </c>
      <c r="B1342" s="3"/>
      <c r="C1342" s="689">
        <f t="shared" ref="C1342:E1342" si="52">sum(C1333:C1341)</f>
        <v>3</v>
      </c>
      <c r="D1342" s="721">
        <f t="shared" si="52"/>
        <v>158.2</v>
      </c>
      <c r="E1342" s="669">
        <f t="shared" si="52"/>
        <v>1</v>
      </c>
      <c r="F1342" s="689"/>
      <c r="G1342" s="731"/>
      <c r="H1342" s="731"/>
    </row>
    <row r="1343">
      <c r="A1343" s="689"/>
      <c r="B1343" s="689"/>
      <c r="C1343" s="689"/>
      <c r="D1343" s="689"/>
      <c r="E1343" s="689"/>
      <c r="F1343" s="689"/>
      <c r="G1343" s="689"/>
      <c r="H1343" s="689"/>
    </row>
    <row r="1344">
      <c r="A1344" s="689"/>
      <c r="B1344" s="689"/>
      <c r="C1344" s="689"/>
      <c r="D1344" s="689"/>
      <c r="E1344" s="689"/>
      <c r="F1344" s="689"/>
      <c r="G1344" s="689"/>
      <c r="H1344" s="689"/>
    </row>
    <row r="1345">
      <c r="A1345" s="649" t="s">
        <v>4842</v>
      </c>
      <c r="B1345" s="2"/>
      <c r="C1345" s="2"/>
      <c r="D1345" s="2"/>
      <c r="E1345" s="2"/>
      <c r="F1345" s="2"/>
      <c r="G1345" s="2"/>
      <c r="H1345" s="3"/>
    </row>
    <row r="1346">
      <c r="A1346" s="690" t="s">
        <v>1435</v>
      </c>
      <c r="B1346" s="690" t="s">
        <v>1436</v>
      </c>
      <c r="C1346" s="690" t="s">
        <v>1843</v>
      </c>
      <c r="D1346" s="693" t="s">
        <v>1438</v>
      </c>
      <c r="E1346" s="694" t="s">
        <v>1564</v>
      </c>
      <c r="F1346" s="690" t="s">
        <v>1440</v>
      </c>
      <c r="G1346" s="690" t="s">
        <v>1844</v>
      </c>
      <c r="H1346" s="695" t="s">
        <v>1441</v>
      </c>
    </row>
    <row r="1347">
      <c r="A1347" s="658">
        <v>1.0</v>
      </c>
      <c r="B1347" s="658" t="s">
        <v>1443</v>
      </c>
      <c r="C1347" s="658">
        <v>1.0</v>
      </c>
      <c r="D1347" s="678">
        <v>150.0</v>
      </c>
      <c r="E1347" s="669"/>
      <c r="F1347" s="689" t="s">
        <v>1518</v>
      </c>
      <c r="G1347" s="658" t="s">
        <v>1554</v>
      </c>
      <c r="H1347" s="731">
        <v>45141.0</v>
      </c>
    </row>
    <row r="1348">
      <c r="A1348" s="658">
        <v>2.0</v>
      </c>
      <c r="B1348" s="658" t="s">
        <v>1444</v>
      </c>
      <c r="C1348" s="658">
        <v>1.0</v>
      </c>
      <c r="D1348" s="678">
        <v>3.2</v>
      </c>
      <c r="E1348" s="669"/>
      <c r="F1348" s="689"/>
      <c r="G1348" s="689"/>
      <c r="H1348" s="731"/>
    </row>
    <row r="1349">
      <c r="A1349" s="658">
        <v>3.0</v>
      </c>
      <c r="B1349" s="689" t="s">
        <v>3673</v>
      </c>
      <c r="C1349" s="689">
        <v>1.0</v>
      </c>
      <c r="D1349" s="721">
        <v>5.0</v>
      </c>
      <c r="E1349" s="669">
        <v>1.0</v>
      </c>
      <c r="F1349" s="689"/>
      <c r="G1349" s="689"/>
      <c r="H1349" s="731"/>
    </row>
    <row r="1350">
      <c r="A1350" s="722">
        <v>4.0</v>
      </c>
      <c r="B1350" s="662" t="s">
        <v>4843</v>
      </c>
      <c r="C1350" s="662">
        <v>1.0</v>
      </c>
      <c r="D1350" s="662">
        <v>223.62</v>
      </c>
      <c r="E1350" s="665">
        <v>8.0</v>
      </c>
      <c r="F1350" s="662"/>
      <c r="G1350" s="662" t="s">
        <v>300</v>
      </c>
      <c r="H1350" s="698">
        <v>45846.0</v>
      </c>
    </row>
    <row r="1351">
      <c r="A1351" s="689">
        <v>5.0</v>
      </c>
      <c r="B1351" s="730"/>
      <c r="C1351" s="689"/>
      <c r="D1351" s="689"/>
      <c r="E1351" s="669"/>
      <c r="F1351" s="730"/>
      <c r="G1351" s="689"/>
      <c r="H1351" s="670"/>
    </row>
    <row r="1352">
      <c r="A1352" s="689">
        <v>6.0</v>
      </c>
      <c r="B1352" s="730"/>
      <c r="C1352" s="689"/>
      <c r="D1352" s="689"/>
      <c r="E1352" s="669"/>
      <c r="F1352" s="730"/>
      <c r="G1352" s="689"/>
      <c r="H1352" s="670"/>
    </row>
    <row r="1353">
      <c r="A1353" s="689">
        <v>7.0</v>
      </c>
      <c r="B1353" s="730"/>
      <c r="C1353" s="689"/>
      <c r="D1353" s="721"/>
      <c r="E1353" s="669"/>
      <c r="F1353" s="730"/>
      <c r="G1353" s="689"/>
      <c r="H1353" s="670"/>
    </row>
    <row r="1354">
      <c r="A1354" s="689">
        <v>8.0</v>
      </c>
      <c r="B1354" s="730"/>
      <c r="C1354" s="689"/>
      <c r="D1354" s="721"/>
      <c r="E1354" s="669"/>
      <c r="F1354" s="730"/>
      <c r="G1354" s="689"/>
      <c r="H1354" s="670"/>
    </row>
    <row r="1355">
      <c r="A1355" s="689">
        <v>9.0</v>
      </c>
      <c r="B1355" s="730"/>
      <c r="C1355" s="689"/>
      <c r="D1355" s="721"/>
      <c r="E1355" s="669"/>
      <c r="F1355" s="730"/>
      <c r="G1355" s="689"/>
      <c r="H1355" s="670"/>
    </row>
    <row r="1356">
      <c r="A1356" s="732" t="s">
        <v>1562</v>
      </c>
      <c r="B1356" s="3"/>
      <c r="C1356" s="689">
        <f t="shared" ref="C1356:E1356" si="53">sum(C1347:C1355)</f>
        <v>4</v>
      </c>
      <c r="D1356" s="721">
        <f t="shared" si="53"/>
        <v>381.82</v>
      </c>
      <c r="E1356" s="669">
        <f t="shared" si="53"/>
        <v>9</v>
      </c>
      <c r="F1356" s="689"/>
      <c r="G1356" s="731"/>
      <c r="H1356" s="731"/>
    </row>
    <row r="1357">
      <c r="A1357" s="689"/>
      <c r="B1357" s="689"/>
      <c r="C1357" s="689"/>
      <c r="D1357" s="689"/>
      <c r="E1357" s="689"/>
      <c r="F1357" s="689"/>
      <c r="G1357" s="689"/>
      <c r="H1357" s="689"/>
    </row>
    <row r="1358">
      <c r="A1358" s="689"/>
      <c r="B1358" s="689"/>
      <c r="C1358" s="689"/>
      <c r="D1358" s="689"/>
      <c r="E1358" s="689"/>
      <c r="F1358" s="689"/>
      <c r="G1358" s="689"/>
      <c r="H1358" s="689"/>
    </row>
    <row r="1359">
      <c r="A1359" s="649" t="s">
        <v>4844</v>
      </c>
      <c r="B1359" s="2"/>
      <c r="C1359" s="2"/>
      <c r="D1359" s="2"/>
      <c r="E1359" s="2"/>
      <c r="F1359" s="2"/>
      <c r="G1359" s="2"/>
      <c r="H1359" s="3"/>
    </row>
    <row r="1360">
      <c r="A1360" s="690" t="s">
        <v>1435</v>
      </c>
      <c r="B1360" s="690" t="s">
        <v>1436</v>
      </c>
      <c r="C1360" s="690" t="s">
        <v>1843</v>
      </c>
      <c r="D1360" s="693" t="s">
        <v>1438</v>
      </c>
      <c r="E1360" s="694" t="s">
        <v>1564</v>
      </c>
      <c r="F1360" s="690" t="s">
        <v>1440</v>
      </c>
      <c r="G1360" s="690" t="s">
        <v>1844</v>
      </c>
      <c r="H1360" s="695" t="s">
        <v>1441</v>
      </c>
    </row>
    <row r="1361">
      <c r="A1361" s="658">
        <v>1.0</v>
      </c>
      <c r="B1361" s="658" t="s">
        <v>1443</v>
      </c>
      <c r="C1361" s="658">
        <v>1.0</v>
      </c>
      <c r="D1361" s="678">
        <v>150.0</v>
      </c>
      <c r="E1361" s="669"/>
      <c r="F1361" s="689" t="s">
        <v>1518</v>
      </c>
      <c r="G1361" s="658" t="s">
        <v>1554</v>
      </c>
      <c r="H1361" s="731">
        <v>45141.0</v>
      </c>
    </row>
    <row r="1362">
      <c r="A1362" s="658">
        <v>2.0</v>
      </c>
      <c r="B1362" s="658" t="s">
        <v>1444</v>
      </c>
      <c r="C1362" s="658">
        <v>1.0</v>
      </c>
      <c r="D1362" s="678">
        <v>3.2</v>
      </c>
      <c r="E1362" s="669"/>
      <c r="F1362" s="689"/>
      <c r="G1362" s="689"/>
      <c r="H1362" s="731"/>
    </row>
    <row r="1363">
      <c r="A1363" s="658">
        <v>3.0</v>
      </c>
      <c r="B1363" s="689" t="s">
        <v>3673</v>
      </c>
      <c r="C1363" s="689">
        <v>1.0</v>
      </c>
      <c r="D1363" s="721">
        <v>5.0</v>
      </c>
      <c r="E1363" s="669">
        <v>1.0</v>
      </c>
      <c r="F1363" s="689"/>
      <c r="G1363" s="689"/>
      <c r="H1363" s="731"/>
    </row>
    <row r="1364">
      <c r="A1364" s="722">
        <v>4.0</v>
      </c>
      <c r="B1364" s="662" t="s">
        <v>1706</v>
      </c>
      <c r="C1364" s="662">
        <v>1.0</v>
      </c>
      <c r="D1364" s="673">
        <v>41.4</v>
      </c>
      <c r="E1364" s="665">
        <v>2.0</v>
      </c>
      <c r="F1364" s="662" t="s">
        <v>1707</v>
      </c>
      <c r="G1364" s="662" t="s">
        <v>4845</v>
      </c>
      <c r="H1364" s="698">
        <v>45866.0</v>
      </c>
    </row>
    <row r="1365">
      <c r="A1365" s="689">
        <v>5.0</v>
      </c>
      <c r="B1365" s="655" t="s">
        <v>4846</v>
      </c>
      <c r="C1365" s="658">
        <v>1.0</v>
      </c>
      <c r="D1365" s="658">
        <v>14.4</v>
      </c>
      <c r="E1365" s="676">
        <v>1.0</v>
      </c>
      <c r="F1365" s="730"/>
      <c r="G1365" s="658" t="s">
        <v>1554</v>
      </c>
      <c r="H1365" s="696">
        <v>45945.0</v>
      </c>
    </row>
    <row r="1366">
      <c r="A1366" s="689">
        <v>6.0</v>
      </c>
      <c r="B1366" s="730"/>
      <c r="C1366" s="689"/>
      <c r="D1366" s="689"/>
      <c r="E1366" s="669"/>
      <c r="F1366" s="730"/>
      <c r="G1366" s="689"/>
      <c r="H1366" s="670"/>
    </row>
    <row r="1367">
      <c r="A1367" s="689">
        <v>7.0</v>
      </c>
      <c r="B1367" s="730"/>
      <c r="C1367" s="689"/>
      <c r="D1367" s="721"/>
      <c r="E1367" s="669"/>
      <c r="F1367" s="730"/>
      <c r="G1367" s="689"/>
      <c r="H1367" s="670"/>
    </row>
    <row r="1368">
      <c r="A1368" s="689">
        <v>8.0</v>
      </c>
      <c r="B1368" s="730"/>
      <c r="C1368" s="689"/>
      <c r="D1368" s="721"/>
      <c r="E1368" s="669"/>
      <c r="F1368" s="730"/>
      <c r="G1368" s="689"/>
      <c r="H1368" s="670"/>
    </row>
    <row r="1369">
      <c r="A1369" s="689">
        <v>9.0</v>
      </c>
      <c r="B1369" s="730"/>
      <c r="C1369" s="689"/>
      <c r="D1369" s="721"/>
      <c r="E1369" s="669"/>
      <c r="F1369" s="730"/>
      <c r="G1369" s="689"/>
      <c r="H1369" s="670"/>
    </row>
    <row r="1370">
      <c r="A1370" s="732" t="s">
        <v>1562</v>
      </c>
      <c r="B1370" s="3"/>
      <c r="C1370" s="689">
        <f t="shared" ref="C1370:E1370" si="54">sum(C1361:C1369)</f>
        <v>5</v>
      </c>
      <c r="D1370" s="721">
        <f t="shared" si="54"/>
        <v>214</v>
      </c>
      <c r="E1370" s="669">
        <f t="shared" si="54"/>
        <v>4</v>
      </c>
      <c r="F1370" s="689"/>
      <c r="G1370" s="731"/>
      <c r="H1370" s="731"/>
    </row>
    <row r="1371">
      <c r="A1371" s="689"/>
      <c r="B1371" s="689"/>
      <c r="C1371" s="689"/>
      <c r="D1371" s="689"/>
      <c r="E1371" s="689"/>
      <c r="F1371" s="689"/>
      <c r="G1371" s="689"/>
      <c r="H1371" s="689"/>
    </row>
    <row r="1372">
      <c r="A1372" s="689"/>
      <c r="B1372" s="689"/>
      <c r="C1372" s="689"/>
      <c r="D1372" s="689"/>
      <c r="E1372" s="689"/>
      <c r="F1372" s="689"/>
      <c r="G1372" s="689"/>
      <c r="H1372" s="689"/>
    </row>
    <row r="1373">
      <c r="A1373" s="649" t="s">
        <v>4847</v>
      </c>
      <c r="B1373" s="2"/>
      <c r="C1373" s="2"/>
      <c r="D1373" s="2"/>
      <c r="E1373" s="2"/>
      <c r="F1373" s="2"/>
      <c r="G1373" s="2"/>
      <c r="H1373" s="3"/>
    </row>
    <row r="1374">
      <c r="A1374" s="690" t="s">
        <v>1435</v>
      </c>
      <c r="B1374" s="690" t="s">
        <v>1436</v>
      </c>
      <c r="C1374" s="690" t="s">
        <v>1843</v>
      </c>
      <c r="D1374" s="693" t="s">
        <v>1438</v>
      </c>
      <c r="E1374" s="694" t="s">
        <v>1564</v>
      </c>
      <c r="F1374" s="690" t="s">
        <v>1440</v>
      </c>
      <c r="G1374" s="690" t="s">
        <v>1844</v>
      </c>
      <c r="H1374" s="695" t="s">
        <v>1441</v>
      </c>
    </row>
    <row r="1375">
      <c r="A1375" s="658">
        <v>1.0</v>
      </c>
      <c r="B1375" s="658" t="s">
        <v>1443</v>
      </c>
      <c r="C1375" s="658">
        <v>1.0</v>
      </c>
      <c r="D1375" s="678">
        <v>150.0</v>
      </c>
      <c r="E1375" s="669"/>
      <c r="F1375" s="689" t="s">
        <v>1518</v>
      </c>
      <c r="G1375" s="658" t="s">
        <v>1446</v>
      </c>
      <c r="H1375" s="731">
        <v>45141.0</v>
      </c>
    </row>
    <row r="1376">
      <c r="A1376" s="658">
        <v>2.0</v>
      </c>
      <c r="B1376" s="658" t="s">
        <v>1444</v>
      </c>
      <c r="C1376" s="658">
        <v>1.0</v>
      </c>
      <c r="D1376" s="678">
        <v>3.2</v>
      </c>
      <c r="E1376" s="669"/>
      <c r="F1376" s="689"/>
      <c r="G1376" s="658" t="s">
        <v>1446</v>
      </c>
      <c r="H1376" s="679">
        <v>45141.0</v>
      </c>
    </row>
    <row r="1377">
      <c r="A1377" s="658">
        <v>3.0</v>
      </c>
      <c r="B1377" s="689" t="s">
        <v>3673</v>
      </c>
      <c r="C1377" s="689">
        <v>1.0</v>
      </c>
      <c r="D1377" s="721">
        <v>5.0</v>
      </c>
      <c r="E1377" s="669">
        <v>1.0</v>
      </c>
      <c r="F1377" s="689"/>
      <c r="G1377" s="658" t="s">
        <v>1446</v>
      </c>
      <c r="H1377" s="679">
        <v>45636.0</v>
      </c>
    </row>
    <row r="1378">
      <c r="A1378" s="658">
        <v>4.0</v>
      </c>
      <c r="B1378" s="655" t="s">
        <v>2019</v>
      </c>
      <c r="C1378" s="658">
        <v>1.0</v>
      </c>
      <c r="D1378" s="678">
        <v>10.5</v>
      </c>
      <c r="E1378" s="676">
        <v>1.0</v>
      </c>
      <c r="F1378" s="730"/>
      <c r="G1378" s="658" t="s">
        <v>1446</v>
      </c>
      <c r="H1378" s="696">
        <v>45636.0</v>
      </c>
    </row>
    <row r="1379">
      <c r="A1379" s="658">
        <v>5.0</v>
      </c>
      <c r="B1379" s="655" t="s">
        <v>4848</v>
      </c>
      <c r="C1379" s="658">
        <v>5.0</v>
      </c>
      <c r="D1379" s="678">
        <v>10.0</v>
      </c>
      <c r="E1379" s="676">
        <v>2.0</v>
      </c>
      <c r="F1379" s="730"/>
      <c r="G1379" s="658" t="s">
        <v>1446</v>
      </c>
      <c r="H1379" s="696">
        <v>45636.0</v>
      </c>
    </row>
    <row r="1380">
      <c r="A1380" s="655">
        <v>6.0</v>
      </c>
      <c r="B1380" s="542" t="s">
        <v>1697</v>
      </c>
      <c r="C1380" s="655">
        <v>1.0</v>
      </c>
      <c r="D1380" s="656">
        <v>8.8</v>
      </c>
      <c r="E1380" s="657">
        <v>1.0</v>
      </c>
      <c r="F1380" s="730"/>
      <c r="G1380" s="655" t="s">
        <v>1446</v>
      </c>
      <c r="H1380" s="661">
        <v>45636.0</v>
      </c>
    </row>
    <row r="1381">
      <c r="A1381" s="658">
        <v>7.0</v>
      </c>
      <c r="B1381" s="655" t="s">
        <v>4849</v>
      </c>
      <c r="C1381" s="658">
        <v>1.0</v>
      </c>
      <c r="D1381" s="678">
        <v>180.0</v>
      </c>
      <c r="E1381" s="676">
        <v>8.0</v>
      </c>
      <c r="F1381" s="730"/>
      <c r="G1381" s="658" t="s">
        <v>1819</v>
      </c>
      <c r="H1381" s="696">
        <v>45923.0</v>
      </c>
    </row>
    <row r="1382">
      <c r="A1382" s="658">
        <v>8.0</v>
      </c>
      <c r="B1382" s="655" t="s">
        <v>4834</v>
      </c>
      <c r="C1382" s="658">
        <v>1.0</v>
      </c>
      <c r="D1382" s="678">
        <v>17.0</v>
      </c>
      <c r="E1382" s="676">
        <v>2.0</v>
      </c>
      <c r="F1382" s="730"/>
      <c r="G1382" s="658" t="s">
        <v>158</v>
      </c>
      <c r="H1382" s="696">
        <v>45937.0</v>
      </c>
    </row>
    <row r="1383">
      <c r="A1383" s="732" t="s">
        <v>1562</v>
      </c>
      <c r="B1383" s="3"/>
      <c r="C1383" s="689">
        <f t="shared" ref="C1383:E1383" si="55">sum(C1375:C1382)</f>
        <v>12</v>
      </c>
      <c r="D1383" s="721">
        <f t="shared" si="55"/>
        <v>384.5</v>
      </c>
      <c r="E1383" s="669">
        <f t="shared" si="55"/>
        <v>15</v>
      </c>
      <c r="F1383" s="689"/>
      <c r="G1383" s="731"/>
      <c r="H1383" s="731"/>
    </row>
    <row r="1384">
      <c r="A1384" s="689"/>
      <c r="B1384" s="689"/>
      <c r="C1384" s="689"/>
      <c r="D1384" s="689"/>
      <c r="E1384" s="689"/>
      <c r="F1384" s="689"/>
      <c r="G1384" s="689"/>
      <c r="H1384" s="689"/>
    </row>
    <row r="1385">
      <c r="A1385" s="689"/>
      <c r="B1385" s="689"/>
      <c r="C1385" s="689"/>
      <c r="D1385" s="689"/>
      <c r="E1385" s="689"/>
      <c r="F1385" s="689"/>
      <c r="G1385" s="689"/>
      <c r="H1385" s="689"/>
    </row>
    <row r="1386">
      <c r="A1386" s="649" t="s">
        <v>4850</v>
      </c>
      <c r="B1386" s="2"/>
      <c r="C1386" s="2"/>
      <c r="D1386" s="2"/>
      <c r="E1386" s="2"/>
      <c r="F1386" s="2"/>
      <c r="G1386" s="2"/>
      <c r="H1386" s="3"/>
    </row>
    <row r="1387">
      <c r="A1387" s="690" t="s">
        <v>1435</v>
      </c>
      <c r="B1387" s="690" t="s">
        <v>1436</v>
      </c>
      <c r="C1387" s="690" t="s">
        <v>1843</v>
      </c>
      <c r="D1387" s="693" t="s">
        <v>1438</v>
      </c>
      <c r="E1387" s="694" t="s">
        <v>1564</v>
      </c>
      <c r="F1387" s="690" t="s">
        <v>1440</v>
      </c>
      <c r="G1387" s="690" t="s">
        <v>1844</v>
      </c>
      <c r="H1387" s="695" t="s">
        <v>1441</v>
      </c>
    </row>
    <row r="1388">
      <c r="A1388" s="658">
        <v>1.0</v>
      </c>
      <c r="B1388" s="658" t="s">
        <v>1443</v>
      </c>
      <c r="C1388" s="658">
        <v>1.0</v>
      </c>
      <c r="D1388" s="678">
        <v>150.0</v>
      </c>
      <c r="E1388" s="669"/>
      <c r="F1388" s="689" t="s">
        <v>1518</v>
      </c>
      <c r="G1388" s="658" t="s">
        <v>1554</v>
      </c>
      <c r="H1388" s="731">
        <v>45141.0</v>
      </c>
    </row>
    <row r="1389">
      <c r="A1389" s="658">
        <v>2.0</v>
      </c>
      <c r="B1389" s="658" t="s">
        <v>1444</v>
      </c>
      <c r="C1389" s="658">
        <v>1.0</v>
      </c>
      <c r="D1389" s="678">
        <v>3.2</v>
      </c>
      <c r="E1389" s="669"/>
      <c r="F1389" s="689"/>
      <c r="G1389" s="689"/>
      <c r="H1389" s="731"/>
    </row>
    <row r="1390">
      <c r="A1390" s="658">
        <v>3.0</v>
      </c>
      <c r="B1390" s="689" t="s">
        <v>3673</v>
      </c>
      <c r="C1390" s="689">
        <v>1.0</v>
      </c>
      <c r="D1390" s="721">
        <v>5.0</v>
      </c>
      <c r="E1390" s="669">
        <v>1.0</v>
      </c>
      <c r="F1390" s="689"/>
      <c r="G1390" s="689"/>
      <c r="H1390" s="731"/>
    </row>
    <row r="1391">
      <c r="A1391" s="730">
        <v>4.0</v>
      </c>
      <c r="B1391" s="655" t="s">
        <v>4843</v>
      </c>
      <c r="C1391" s="655">
        <v>1.0</v>
      </c>
      <c r="D1391" s="655">
        <v>223.62</v>
      </c>
      <c r="E1391" s="657">
        <v>8.0</v>
      </c>
      <c r="F1391" s="655" t="s">
        <v>4851</v>
      </c>
      <c r="G1391" s="655" t="s">
        <v>1554</v>
      </c>
      <c r="H1391" s="661">
        <v>45810.0</v>
      </c>
    </row>
    <row r="1392">
      <c r="A1392" s="722">
        <v>5.0</v>
      </c>
      <c r="B1392" s="662" t="s">
        <v>2194</v>
      </c>
      <c r="C1392" s="662">
        <v>1.0</v>
      </c>
      <c r="D1392" s="673">
        <v>41.4</v>
      </c>
      <c r="E1392" s="665">
        <v>2.0</v>
      </c>
      <c r="F1392" s="662" t="s">
        <v>1707</v>
      </c>
      <c r="G1392" s="662" t="s">
        <v>4852</v>
      </c>
      <c r="H1392" s="698">
        <v>45866.0</v>
      </c>
    </row>
    <row r="1393">
      <c r="A1393" s="689">
        <v>6.0</v>
      </c>
      <c r="B1393" s="655" t="s">
        <v>4853</v>
      </c>
      <c r="C1393" s="658">
        <v>1.0</v>
      </c>
      <c r="D1393" s="656">
        <v>20.0</v>
      </c>
      <c r="E1393" s="676">
        <v>2.0</v>
      </c>
      <c r="F1393" s="655" t="s">
        <v>4854</v>
      </c>
      <c r="G1393" s="658" t="s">
        <v>1554</v>
      </c>
      <c r="H1393" s="696">
        <v>45974.0</v>
      </c>
    </row>
    <row r="1394">
      <c r="A1394" s="689">
        <v>7.0</v>
      </c>
      <c r="B1394" s="655" t="s">
        <v>4855</v>
      </c>
      <c r="C1394" s="658">
        <v>1.0</v>
      </c>
      <c r="D1394" s="656">
        <v>20.0</v>
      </c>
      <c r="E1394" s="676">
        <v>5.0</v>
      </c>
      <c r="F1394" s="655" t="s">
        <v>4856</v>
      </c>
      <c r="G1394" s="658" t="s">
        <v>1554</v>
      </c>
      <c r="H1394" s="696">
        <v>45975.0</v>
      </c>
    </row>
    <row r="1395">
      <c r="A1395" s="689">
        <v>9.0</v>
      </c>
      <c r="B1395" s="655" t="s">
        <v>4857</v>
      </c>
      <c r="C1395" s="658">
        <v>1.0</v>
      </c>
      <c r="D1395" s="678">
        <v>13.0</v>
      </c>
      <c r="E1395" s="676">
        <v>1.0</v>
      </c>
      <c r="F1395" s="655" t="s">
        <v>4858</v>
      </c>
      <c r="G1395" s="658"/>
      <c r="H1395" s="670"/>
    </row>
    <row r="1396">
      <c r="A1396" s="732" t="s">
        <v>1562</v>
      </c>
      <c r="B1396" s="3"/>
      <c r="C1396" s="689">
        <f t="shared" ref="C1396:E1396" si="56">sum(C1388:C1395)</f>
        <v>8</v>
      </c>
      <c r="D1396" s="721">
        <f t="shared" si="56"/>
        <v>476.22</v>
      </c>
      <c r="E1396" s="669">
        <f t="shared" si="56"/>
        <v>19</v>
      </c>
      <c r="F1396" s="689"/>
      <c r="G1396" s="731"/>
      <c r="H1396" s="731"/>
    </row>
    <row r="1397">
      <c r="A1397" s="689"/>
      <c r="B1397" s="689"/>
      <c r="C1397" s="689"/>
      <c r="D1397" s="689"/>
      <c r="E1397" s="689"/>
      <c r="F1397" s="689"/>
      <c r="G1397" s="689"/>
      <c r="H1397" s="689"/>
    </row>
    <row r="1398">
      <c r="A1398" s="689"/>
      <c r="B1398" s="689"/>
      <c r="C1398" s="689"/>
      <c r="D1398" s="689"/>
      <c r="E1398" s="689"/>
      <c r="F1398" s="689"/>
      <c r="G1398" s="689"/>
      <c r="H1398" s="689"/>
    </row>
    <row r="1399">
      <c r="A1399" s="649" t="s">
        <v>4859</v>
      </c>
      <c r="B1399" s="2"/>
      <c r="C1399" s="2"/>
      <c r="D1399" s="2"/>
      <c r="E1399" s="2"/>
      <c r="F1399" s="2"/>
      <c r="G1399" s="2"/>
      <c r="H1399" s="3"/>
    </row>
    <row r="1400">
      <c r="A1400" s="862" t="s">
        <v>4860</v>
      </c>
      <c r="B1400" s="690" t="s">
        <v>1436</v>
      </c>
      <c r="C1400" s="690" t="s">
        <v>1843</v>
      </c>
      <c r="D1400" s="693" t="s">
        <v>1438</v>
      </c>
      <c r="E1400" s="694" t="s">
        <v>1564</v>
      </c>
      <c r="F1400" s="690" t="s">
        <v>1440</v>
      </c>
      <c r="G1400" s="690" t="s">
        <v>1844</v>
      </c>
      <c r="H1400" s="695" t="s">
        <v>1441</v>
      </c>
    </row>
    <row r="1401">
      <c r="A1401" s="658">
        <v>1.0</v>
      </c>
      <c r="B1401" s="658" t="s">
        <v>1443</v>
      </c>
      <c r="C1401" s="658">
        <v>1.0</v>
      </c>
      <c r="D1401" s="678">
        <v>150.0</v>
      </c>
      <c r="E1401" s="669"/>
      <c r="F1401" s="689" t="s">
        <v>1518</v>
      </c>
      <c r="G1401" s="658" t="s">
        <v>1554</v>
      </c>
      <c r="H1401" s="731">
        <v>45141.0</v>
      </c>
    </row>
    <row r="1402">
      <c r="A1402" s="658">
        <v>2.0</v>
      </c>
      <c r="B1402" s="658" t="s">
        <v>1444</v>
      </c>
      <c r="C1402" s="658">
        <v>1.0</v>
      </c>
      <c r="D1402" s="678">
        <v>3.2</v>
      </c>
      <c r="E1402" s="669"/>
      <c r="F1402" s="689"/>
      <c r="G1402" s="689"/>
      <c r="H1402" s="731"/>
    </row>
    <row r="1403">
      <c r="A1403" s="658">
        <v>3.0</v>
      </c>
      <c r="B1403" s="689" t="s">
        <v>3673</v>
      </c>
      <c r="C1403" s="689">
        <v>1.0</v>
      </c>
      <c r="D1403" s="721">
        <v>5.0</v>
      </c>
      <c r="E1403" s="669">
        <v>1.0</v>
      </c>
      <c r="F1403" s="689"/>
      <c r="G1403" s="689"/>
      <c r="H1403" s="731"/>
    </row>
    <row r="1404">
      <c r="A1404" s="689">
        <v>4.0</v>
      </c>
      <c r="B1404" s="658" t="s">
        <v>4861</v>
      </c>
      <c r="C1404" s="658">
        <v>1.0</v>
      </c>
      <c r="D1404" s="678">
        <v>56.4</v>
      </c>
      <c r="E1404" s="676">
        <v>2.0</v>
      </c>
      <c r="F1404" s="658" t="s">
        <v>4862</v>
      </c>
      <c r="G1404" s="658" t="s">
        <v>1554</v>
      </c>
      <c r="H1404" s="696">
        <v>45639.0</v>
      </c>
    </row>
    <row r="1405">
      <c r="A1405" s="689">
        <v>5.0</v>
      </c>
      <c r="B1405" s="658" t="s">
        <v>1697</v>
      </c>
      <c r="C1405" s="658">
        <v>1.0</v>
      </c>
      <c r="D1405" s="678">
        <v>7.8</v>
      </c>
      <c r="E1405" s="676">
        <v>2.0</v>
      </c>
      <c r="F1405" s="658" t="s">
        <v>4863</v>
      </c>
      <c r="G1405" s="658" t="s">
        <v>1554</v>
      </c>
      <c r="H1405" s="696">
        <v>45712.0</v>
      </c>
    </row>
    <row r="1406">
      <c r="A1406" s="689">
        <v>6.0</v>
      </c>
      <c r="B1406" s="658" t="s">
        <v>1872</v>
      </c>
      <c r="C1406" s="658">
        <v>1.0</v>
      </c>
      <c r="D1406" s="678">
        <v>14.5</v>
      </c>
      <c r="E1406" s="676">
        <v>2.0</v>
      </c>
      <c r="F1406" s="658" t="s">
        <v>1701</v>
      </c>
      <c r="G1406" s="658" t="s">
        <v>1554</v>
      </c>
      <c r="H1406" s="696">
        <v>45712.0</v>
      </c>
    </row>
    <row r="1407">
      <c r="A1407" s="689">
        <v>7.0</v>
      </c>
      <c r="B1407" s="655" t="s">
        <v>4864</v>
      </c>
      <c r="C1407" s="658">
        <v>1.0</v>
      </c>
      <c r="D1407" s="678">
        <v>54.43</v>
      </c>
      <c r="E1407" s="676">
        <v>4.0</v>
      </c>
      <c r="F1407" s="730"/>
      <c r="G1407" s="658" t="s">
        <v>1554</v>
      </c>
      <c r="H1407" s="670"/>
    </row>
    <row r="1408">
      <c r="A1408" s="689">
        <v>8.0</v>
      </c>
      <c r="B1408" s="655" t="s">
        <v>1874</v>
      </c>
      <c r="C1408" s="658">
        <v>1.0</v>
      </c>
      <c r="D1408" s="678">
        <v>11.0</v>
      </c>
      <c r="E1408" s="676">
        <v>1.0</v>
      </c>
      <c r="F1408" s="730"/>
      <c r="G1408" s="658" t="s">
        <v>1554</v>
      </c>
      <c r="H1408" s="670"/>
    </row>
    <row r="1409">
      <c r="A1409" s="689">
        <v>9.0</v>
      </c>
      <c r="B1409" s="655" t="s">
        <v>4865</v>
      </c>
      <c r="C1409" s="658">
        <v>1.0</v>
      </c>
      <c r="D1409" s="678">
        <v>27.3</v>
      </c>
      <c r="E1409" s="676">
        <v>2.0</v>
      </c>
      <c r="F1409" s="730"/>
      <c r="G1409" s="658" t="s">
        <v>1554</v>
      </c>
      <c r="H1409" s="670"/>
    </row>
    <row r="1410">
      <c r="A1410" s="732" t="s">
        <v>1562</v>
      </c>
      <c r="B1410" s="3"/>
      <c r="C1410" s="689">
        <f t="shared" ref="C1410:E1410" si="57">sum(C1401:C1409)</f>
        <v>9</v>
      </c>
      <c r="D1410" s="721">
        <f t="shared" si="57"/>
        <v>329.63</v>
      </c>
      <c r="E1410" s="669">
        <f t="shared" si="57"/>
        <v>14</v>
      </c>
      <c r="F1410" s="689"/>
      <c r="G1410" s="731"/>
      <c r="H1410" s="731"/>
    </row>
    <row r="1411">
      <c r="A1411" s="712"/>
      <c r="B1411" s="712"/>
      <c r="C1411" s="712"/>
      <c r="D1411" s="712"/>
      <c r="E1411" s="712"/>
      <c r="F1411" s="712"/>
      <c r="G1411" s="712"/>
      <c r="H1411" s="712"/>
    </row>
    <row r="1412">
      <c r="A1412" s="712"/>
      <c r="B1412" s="712"/>
      <c r="C1412" s="712"/>
      <c r="D1412" s="712"/>
      <c r="E1412" s="712"/>
      <c r="F1412" s="712"/>
      <c r="G1412" s="712"/>
      <c r="H1412" s="712"/>
    </row>
    <row r="1413">
      <c r="A1413" s="713" t="s">
        <v>4866</v>
      </c>
      <c r="B1413" s="293"/>
      <c r="C1413" s="293"/>
      <c r="D1413" s="293"/>
      <c r="E1413" s="293"/>
      <c r="F1413" s="293"/>
      <c r="G1413" s="293"/>
      <c r="H1413" s="294"/>
    </row>
    <row r="1414">
      <c r="A1414" s="690" t="s">
        <v>1435</v>
      </c>
      <c r="B1414" s="690" t="s">
        <v>1436</v>
      </c>
      <c r="C1414" s="690" t="s">
        <v>1843</v>
      </c>
      <c r="D1414" s="693" t="s">
        <v>1438</v>
      </c>
      <c r="E1414" s="694" t="s">
        <v>1564</v>
      </c>
      <c r="F1414" s="690" t="s">
        <v>1440</v>
      </c>
      <c r="G1414" s="690" t="s">
        <v>1844</v>
      </c>
      <c r="H1414" s="695" t="s">
        <v>1441</v>
      </c>
    </row>
    <row r="1415">
      <c r="A1415" s="658">
        <v>1.0</v>
      </c>
      <c r="B1415" s="658" t="s">
        <v>1443</v>
      </c>
      <c r="C1415" s="658">
        <v>1.0</v>
      </c>
      <c r="D1415" s="678">
        <v>150.0</v>
      </c>
      <c r="E1415" s="676">
        <v>1.0</v>
      </c>
      <c r="F1415" s="689" t="s">
        <v>1518</v>
      </c>
      <c r="G1415" s="658" t="s">
        <v>1554</v>
      </c>
      <c r="H1415" s="731">
        <v>45141.0</v>
      </c>
    </row>
    <row r="1416">
      <c r="A1416" s="658">
        <v>2.0</v>
      </c>
      <c r="B1416" s="658" t="s">
        <v>1444</v>
      </c>
      <c r="C1416" s="658">
        <v>2.0</v>
      </c>
      <c r="D1416" s="678">
        <v>3.2</v>
      </c>
      <c r="E1416" s="676">
        <v>1.0</v>
      </c>
      <c r="F1416" s="658" t="s">
        <v>1518</v>
      </c>
      <c r="G1416" s="658" t="s">
        <v>1554</v>
      </c>
      <c r="H1416" s="731">
        <v>45141.0</v>
      </c>
    </row>
    <row r="1417">
      <c r="A1417" s="658">
        <v>3.0</v>
      </c>
      <c r="B1417" s="689" t="s">
        <v>3673</v>
      </c>
      <c r="C1417" s="689">
        <v>1.0</v>
      </c>
      <c r="D1417" s="721">
        <v>5.0</v>
      </c>
      <c r="E1417" s="669">
        <v>1.0</v>
      </c>
      <c r="F1417" s="658" t="s">
        <v>1518</v>
      </c>
      <c r="G1417" s="658" t="s">
        <v>1554</v>
      </c>
      <c r="H1417" s="731">
        <v>45141.0</v>
      </c>
    </row>
    <row r="1418">
      <c r="A1418" s="689">
        <v>4.0</v>
      </c>
      <c r="B1418" s="525" t="s">
        <v>4867</v>
      </c>
      <c r="C1418" s="658">
        <v>1.0</v>
      </c>
      <c r="D1418" s="678">
        <v>34.6</v>
      </c>
      <c r="E1418" s="676">
        <v>2.0</v>
      </c>
      <c r="F1418" s="525" t="s">
        <v>4868</v>
      </c>
      <c r="G1418" s="658" t="s">
        <v>1554</v>
      </c>
      <c r="H1418" s="696">
        <v>45657.0</v>
      </c>
    </row>
    <row r="1419">
      <c r="A1419" s="689">
        <v>5.0</v>
      </c>
      <c r="B1419" s="525" t="s">
        <v>4867</v>
      </c>
      <c r="C1419" s="658">
        <v>1.0</v>
      </c>
      <c r="D1419" s="678">
        <v>34.6</v>
      </c>
      <c r="E1419" s="676">
        <v>2.0</v>
      </c>
      <c r="F1419" s="525" t="s">
        <v>4869</v>
      </c>
      <c r="G1419" s="658" t="s">
        <v>1554</v>
      </c>
      <c r="H1419" s="696">
        <v>45657.0</v>
      </c>
    </row>
    <row r="1420">
      <c r="A1420" s="689">
        <v>6.0</v>
      </c>
      <c r="B1420" s="525" t="s">
        <v>4867</v>
      </c>
      <c r="C1420" s="658">
        <v>1.0</v>
      </c>
      <c r="D1420" s="678">
        <v>34.6</v>
      </c>
      <c r="E1420" s="676">
        <v>2.0</v>
      </c>
      <c r="F1420" s="525" t="s">
        <v>4870</v>
      </c>
      <c r="G1420" s="658" t="s">
        <v>1554</v>
      </c>
      <c r="H1420" s="696">
        <v>45657.0</v>
      </c>
    </row>
    <row r="1421">
      <c r="A1421" s="689">
        <v>7.0</v>
      </c>
      <c r="B1421" s="525" t="s">
        <v>4867</v>
      </c>
      <c r="C1421" s="658">
        <v>1.0</v>
      </c>
      <c r="D1421" s="678">
        <v>34.6</v>
      </c>
      <c r="E1421" s="676">
        <v>2.0</v>
      </c>
      <c r="F1421" s="525" t="s">
        <v>4871</v>
      </c>
      <c r="G1421" s="658" t="s">
        <v>1554</v>
      </c>
      <c r="H1421" s="696">
        <v>45657.0</v>
      </c>
    </row>
    <row r="1422">
      <c r="A1422" s="689">
        <v>8.0</v>
      </c>
      <c r="B1422" s="525" t="s">
        <v>4867</v>
      </c>
      <c r="C1422" s="658">
        <v>1.0</v>
      </c>
      <c r="D1422" s="678">
        <v>34.6</v>
      </c>
      <c r="E1422" s="676">
        <v>2.0</v>
      </c>
      <c r="F1422" s="525" t="s">
        <v>4872</v>
      </c>
      <c r="G1422" s="658" t="s">
        <v>1554</v>
      </c>
      <c r="H1422" s="696">
        <v>45657.0</v>
      </c>
    </row>
    <row r="1423">
      <c r="A1423" s="689">
        <v>9.0</v>
      </c>
      <c r="B1423" s="525" t="s">
        <v>4873</v>
      </c>
      <c r="C1423" s="658">
        <v>1.0</v>
      </c>
      <c r="D1423" s="678">
        <v>11.9</v>
      </c>
      <c r="E1423" s="676">
        <v>1.0</v>
      </c>
      <c r="F1423" s="658">
        <v>1.02487800836E11</v>
      </c>
      <c r="G1423" s="658" t="s">
        <v>1554</v>
      </c>
      <c r="H1423" s="696">
        <v>45657.0</v>
      </c>
    </row>
    <row r="1424">
      <c r="A1424" s="658">
        <v>10.0</v>
      </c>
      <c r="B1424" s="525" t="s">
        <v>4873</v>
      </c>
      <c r="C1424" s="658">
        <v>1.0</v>
      </c>
      <c r="D1424" s="678">
        <v>11.9</v>
      </c>
      <c r="E1424" s="676">
        <v>1.0</v>
      </c>
      <c r="F1424" s="658">
        <v>1.02487800836E11</v>
      </c>
      <c r="G1424" s="658" t="s">
        <v>1554</v>
      </c>
      <c r="H1424" s="696">
        <v>45657.0</v>
      </c>
    </row>
    <row r="1425">
      <c r="A1425" s="732" t="s">
        <v>1562</v>
      </c>
      <c r="B1425" s="3"/>
      <c r="C1425" s="689">
        <f t="shared" ref="C1425:E1425" si="58">sum(C1415:C1424)</f>
        <v>11</v>
      </c>
      <c r="D1425" s="721">
        <f t="shared" si="58"/>
        <v>355</v>
      </c>
      <c r="E1425" s="669">
        <f t="shared" si="58"/>
        <v>15</v>
      </c>
      <c r="F1425" s="689"/>
      <c r="G1425" s="731"/>
      <c r="H1425" s="731"/>
    </row>
    <row r="1426">
      <c r="A1426" s="712"/>
      <c r="B1426" s="712"/>
      <c r="C1426" s="712"/>
      <c r="D1426" s="712"/>
      <c r="E1426" s="712"/>
      <c r="F1426" s="712"/>
      <c r="G1426" s="712"/>
      <c r="H1426" s="712"/>
    </row>
    <row r="1427">
      <c r="A1427" s="712"/>
      <c r="B1427" s="712"/>
      <c r="C1427" s="712"/>
      <c r="D1427" s="712"/>
      <c r="E1427" s="712"/>
      <c r="F1427" s="712"/>
      <c r="G1427" s="712"/>
      <c r="H1427" s="712"/>
    </row>
    <row r="1428">
      <c r="A1428" s="713" t="s">
        <v>4874</v>
      </c>
      <c r="B1428" s="293"/>
      <c r="C1428" s="293"/>
      <c r="D1428" s="293"/>
      <c r="E1428" s="293"/>
      <c r="F1428" s="293"/>
      <c r="G1428" s="293"/>
      <c r="H1428" s="294"/>
    </row>
    <row r="1429">
      <c r="A1429" s="690" t="s">
        <v>1435</v>
      </c>
      <c r="B1429" s="690" t="s">
        <v>1436</v>
      </c>
      <c r="C1429" s="690" t="s">
        <v>1843</v>
      </c>
      <c r="D1429" s="693" t="s">
        <v>1438</v>
      </c>
      <c r="E1429" s="694" t="s">
        <v>1564</v>
      </c>
      <c r="F1429" s="690" t="s">
        <v>1440</v>
      </c>
      <c r="G1429" s="690" t="s">
        <v>1844</v>
      </c>
      <c r="H1429" s="695" t="s">
        <v>1441</v>
      </c>
    </row>
    <row r="1430">
      <c r="A1430" s="658">
        <v>1.0</v>
      </c>
      <c r="B1430" s="658" t="s">
        <v>1443</v>
      </c>
      <c r="C1430" s="658">
        <v>1.0</v>
      </c>
      <c r="D1430" s="678">
        <v>150.0</v>
      </c>
      <c r="E1430" s="669"/>
      <c r="F1430" s="689" t="s">
        <v>1518</v>
      </c>
      <c r="G1430" s="658" t="s">
        <v>1446</v>
      </c>
      <c r="H1430" s="731">
        <v>45141.0</v>
      </c>
    </row>
    <row r="1431">
      <c r="A1431" s="658">
        <v>2.0</v>
      </c>
      <c r="B1431" s="658" t="s">
        <v>1444</v>
      </c>
      <c r="C1431" s="658">
        <v>2.0</v>
      </c>
      <c r="D1431" s="678">
        <f>C1431*3.2</f>
        <v>6.4</v>
      </c>
      <c r="E1431" s="669"/>
      <c r="F1431" s="689"/>
      <c r="G1431" s="658" t="s">
        <v>1446</v>
      </c>
      <c r="H1431" s="679">
        <v>45141.0</v>
      </c>
    </row>
    <row r="1432">
      <c r="A1432" s="658">
        <v>3.0</v>
      </c>
      <c r="B1432" s="689" t="s">
        <v>3673</v>
      </c>
      <c r="C1432" s="689">
        <v>1.0</v>
      </c>
      <c r="D1432" s="721">
        <v>5.0</v>
      </c>
      <c r="E1432" s="669">
        <v>1.0</v>
      </c>
      <c r="F1432" s="689"/>
      <c r="G1432" s="658" t="s">
        <v>1446</v>
      </c>
      <c r="H1432" s="679">
        <v>45141.0</v>
      </c>
    </row>
    <row r="1433">
      <c r="A1433" s="722">
        <v>4.0</v>
      </c>
      <c r="B1433" s="662" t="s">
        <v>4875</v>
      </c>
      <c r="C1433" s="662"/>
      <c r="D1433" s="673"/>
      <c r="E1433" s="723"/>
      <c r="F1433" s="853" t="s">
        <v>4876</v>
      </c>
      <c r="G1433" s="662" t="s">
        <v>4877</v>
      </c>
      <c r="H1433" s="698">
        <v>45674.0</v>
      </c>
    </row>
    <row r="1434">
      <c r="A1434" s="722">
        <v>5.0</v>
      </c>
      <c r="B1434" s="853" t="s">
        <v>4878</v>
      </c>
      <c r="C1434" s="662"/>
      <c r="D1434" s="673"/>
      <c r="E1434" s="723"/>
      <c r="F1434" s="853" t="s">
        <v>4879</v>
      </c>
      <c r="G1434" s="662" t="s">
        <v>4877</v>
      </c>
      <c r="H1434" s="698">
        <v>45674.0</v>
      </c>
    </row>
    <row r="1435">
      <c r="A1435" s="722">
        <v>6.0</v>
      </c>
      <c r="B1435" s="662" t="s">
        <v>4880</v>
      </c>
      <c r="C1435" s="662"/>
      <c r="D1435" s="673"/>
      <c r="E1435" s="665"/>
      <c r="F1435" s="662" t="s">
        <v>4881</v>
      </c>
      <c r="G1435" s="662" t="s">
        <v>4877</v>
      </c>
      <c r="H1435" s="698">
        <v>45675.0</v>
      </c>
    </row>
    <row r="1436">
      <c r="A1436" s="722">
        <v>7.0</v>
      </c>
      <c r="B1436" s="662" t="s">
        <v>4882</v>
      </c>
      <c r="C1436" s="662"/>
      <c r="D1436" s="673"/>
      <c r="E1436" s="665"/>
      <c r="F1436" s="853" t="s">
        <v>4883</v>
      </c>
      <c r="G1436" s="662" t="s">
        <v>4877</v>
      </c>
      <c r="H1436" s="698">
        <v>45675.0</v>
      </c>
    </row>
    <row r="1437">
      <c r="A1437" s="722">
        <v>8.0</v>
      </c>
      <c r="B1437" s="662" t="s">
        <v>4884</v>
      </c>
      <c r="C1437" s="662"/>
      <c r="D1437" s="673"/>
      <c r="E1437" s="665"/>
      <c r="F1437" s="662" t="s">
        <v>4885</v>
      </c>
      <c r="G1437" s="662" t="s">
        <v>4877</v>
      </c>
      <c r="H1437" s="698">
        <v>45675.0</v>
      </c>
    </row>
    <row r="1438">
      <c r="A1438" s="662">
        <v>9.0</v>
      </c>
      <c r="B1438" s="662" t="s">
        <v>4886</v>
      </c>
      <c r="C1438" s="662"/>
      <c r="D1438" s="673"/>
      <c r="E1438" s="665"/>
      <c r="F1438" s="662" t="s">
        <v>4887</v>
      </c>
      <c r="G1438" s="662" t="s">
        <v>4877</v>
      </c>
      <c r="H1438" s="698">
        <v>45675.0</v>
      </c>
    </row>
    <row r="1439">
      <c r="A1439" s="662">
        <v>10.0</v>
      </c>
      <c r="B1439" s="662" t="s">
        <v>4886</v>
      </c>
      <c r="C1439" s="662"/>
      <c r="D1439" s="673"/>
      <c r="E1439" s="665"/>
      <c r="F1439" s="662" t="s">
        <v>4888</v>
      </c>
      <c r="G1439" s="662" t="s">
        <v>4877</v>
      </c>
      <c r="H1439" s="698">
        <v>45675.0</v>
      </c>
    </row>
    <row r="1440">
      <c r="A1440" s="662">
        <v>11.0</v>
      </c>
      <c r="B1440" s="662" t="s">
        <v>4889</v>
      </c>
      <c r="C1440" s="662"/>
      <c r="D1440" s="673"/>
      <c r="E1440" s="665"/>
      <c r="F1440" s="662" t="s">
        <v>4890</v>
      </c>
      <c r="G1440" s="662" t="s">
        <v>4877</v>
      </c>
      <c r="H1440" s="698">
        <v>45675.0</v>
      </c>
    </row>
    <row r="1441">
      <c r="A1441" s="722">
        <v>12.0</v>
      </c>
      <c r="B1441" s="662" t="s">
        <v>4889</v>
      </c>
      <c r="C1441" s="662"/>
      <c r="D1441" s="673"/>
      <c r="E1441" s="665"/>
      <c r="F1441" s="662" t="s">
        <v>4891</v>
      </c>
      <c r="G1441" s="662" t="s">
        <v>4877</v>
      </c>
      <c r="H1441" s="698">
        <v>45675.0</v>
      </c>
    </row>
    <row r="1442">
      <c r="A1442" s="722">
        <v>13.0</v>
      </c>
      <c r="B1442" s="662" t="s">
        <v>4892</v>
      </c>
      <c r="C1442" s="662"/>
      <c r="D1442" s="673"/>
      <c r="E1442" s="665"/>
      <c r="F1442" s="662" t="s">
        <v>4893</v>
      </c>
      <c r="G1442" s="662" t="s">
        <v>4877</v>
      </c>
      <c r="H1442" s="698">
        <v>45675.0</v>
      </c>
    </row>
    <row r="1443">
      <c r="A1443" s="722">
        <v>14.0</v>
      </c>
      <c r="B1443" s="662" t="s">
        <v>4894</v>
      </c>
      <c r="C1443" s="662"/>
      <c r="D1443" s="673"/>
      <c r="E1443" s="665"/>
      <c r="F1443" s="662" t="s">
        <v>4895</v>
      </c>
      <c r="G1443" s="662" t="s">
        <v>4877</v>
      </c>
      <c r="H1443" s="698">
        <v>45675.0</v>
      </c>
    </row>
    <row r="1444">
      <c r="A1444" s="722">
        <v>15.0</v>
      </c>
      <c r="B1444" s="662" t="s">
        <v>4896</v>
      </c>
      <c r="C1444" s="662"/>
      <c r="D1444" s="673"/>
      <c r="E1444" s="665"/>
      <c r="F1444" s="662" t="s">
        <v>4897</v>
      </c>
      <c r="G1444" s="662" t="s">
        <v>4877</v>
      </c>
      <c r="H1444" s="698">
        <v>45675.0</v>
      </c>
    </row>
    <row r="1445">
      <c r="A1445" s="722">
        <v>16.0</v>
      </c>
      <c r="B1445" s="662" t="s">
        <v>4898</v>
      </c>
      <c r="C1445" s="662"/>
      <c r="D1445" s="673"/>
      <c r="E1445" s="665"/>
      <c r="F1445" s="662" t="s">
        <v>4899</v>
      </c>
      <c r="G1445" s="662" t="s">
        <v>4877</v>
      </c>
      <c r="H1445" s="698">
        <v>45675.0</v>
      </c>
    </row>
    <row r="1446">
      <c r="A1446" s="658">
        <v>17.0</v>
      </c>
      <c r="B1446" s="655" t="s">
        <v>4900</v>
      </c>
      <c r="C1446" s="658">
        <v>1.0</v>
      </c>
      <c r="D1446" s="678">
        <v>71.35</v>
      </c>
      <c r="E1446" s="676">
        <v>4.0</v>
      </c>
      <c r="F1446" s="655" t="s">
        <v>4901</v>
      </c>
      <c r="G1446" s="658" t="s">
        <v>1554</v>
      </c>
      <c r="H1446" s="696">
        <v>46021.0</v>
      </c>
    </row>
    <row r="1447">
      <c r="A1447" s="658">
        <v>18.0</v>
      </c>
      <c r="B1447" s="655" t="s">
        <v>4900</v>
      </c>
      <c r="C1447" s="658">
        <v>1.0</v>
      </c>
      <c r="D1447" s="678">
        <v>71.35</v>
      </c>
      <c r="E1447" s="676">
        <v>4.0</v>
      </c>
      <c r="F1447" s="655" t="s">
        <v>4902</v>
      </c>
      <c r="G1447" s="658" t="s">
        <v>1554</v>
      </c>
      <c r="H1447" s="696">
        <v>46021.0</v>
      </c>
    </row>
    <row r="1448">
      <c r="A1448" s="658">
        <v>19.0</v>
      </c>
      <c r="B1448" s="730"/>
      <c r="C1448" s="689"/>
      <c r="D1448" s="721"/>
      <c r="E1448" s="669"/>
      <c r="F1448" s="730"/>
      <c r="G1448" s="689"/>
      <c r="H1448" s="670"/>
    </row>
    <row r="1449">
      <c r="A1449" s="689">
        <v>20.0</v>
      </c>
      <c r="B1449" s="730"/>
      <c r="C1449" s="689"/>
      <c r="D1449" s="721"/>
      <c r="E1449" s="669"/>
      <c r="F1449" s="730"/>
      <c r="G1449" s="689"/>
      <c r="H1449" s="670"/>
    </row>
    <row r="1450">
      <c r="A1450" s="732" t="s">
        <v>1562</v>
      </c>
      <c r="B1450" s="3"/>
      <c r="C1450" s="689">
        <f t="shared" ref="C1450:E1450" si="59">sum(C1430:C1449)</f>
        <v>6</v>
      </c>
      <c r="D1450" s="721">
        <f t="shared" si="59"/>
        <v>304.1</v>
      </c>
      <c r="E1450" s="669">
        <f t="shared" si="59"/>
        <v>9</v>
      </c>
      <c r="F1450" s="689"/>
      <c r="G1450" s="731"/>
      <c r="H1450" s="731"/>
    </row>
    <row r="1451">
      <c r="A1451" s="712"/>
      <c r="B1451" s="712"/>
      <c r="C1451" s="712"/>
      <c r="D1451" s="712"/>
      <c r="E1451" s="712"/>
      <c r="F1451" s="712"/>
      <c r="G1451" s="712"/>
      <c r="H1451" s="712"/>
    </row>
    <row r="1452">
      <c r="A1452" s="713" t="s">
        <v>4903</v>
      </c>
      <c r="B1452" s="293"/>
      <c r="C1452" s="293"/>
      <c r="D1452" s="293"/>
      <c r="E1452" s="293"/>
      <c r="F1452" s="293"/>
      <c r="G1452" s="293"/>
      <c r="H1452" s="294"/>
    </row>
    <row r="1453">
      <c r="A1453" s="690" t="s">
        <v>1435</v>
      </c>
      <c r="B1453" s="690" t="s">
        <v>1436</v>
      </c>
      <c r="C1453" s="690" t="s">
        <v>1843</v>
      </c>
      <c r="D1453" s="693" t="s">
        <v>1438</v>
      </c>
      <c r="E1453" s="694" t="s">
        <v>1564</v>
      </c>
      <c r="F1453" s="690" t="s">
        <v>1440</v>
      </c>
      <c r="G1453" s="690" t="s">
        <v>1844</v>
      </c>
      <c r="H1453" s="695" t="s">
        <v>1441</v>
      </c>
    </row>
    <row r="1454">
      <c r="A1454" s="658">
        <v>1.0</v>
      </c>
      <c r="B1454" s="658" t="s">
        <v>1443</v>
      </c>
      <c r="C1454" s="658">
        <v>1.0</v>
      </c>
      <c r="D1454" s="678">
        <v>150.0</v>
      </c>
      <c r="E1454" s="669"/>
      <c r="F1454" s="689" t="s">
        <v>1518</v>
      </c>
      <c r="G1454" s="658" t="s">
        <v>1446</v>
      </c>
      <c r="H1454" s="731">
        <v>45141.0</v>
      </c>
    </row>
    <row r="1455">
      <c r="A1455" s="658">
        <v>2.0</v>
      </c>
      <c r="B1455" s="658" t="s">
        <v>1444</v>
      </c>
      <c r="C1455" s="658">
        <v>2.0</v>
      </c>
      <c r="D1455" s="678">
        <f>C1455*3.2</f>
        <v>6.4</v>
      </c>
      <c r="E1455" s="669"/>
      <c r="F1455" s="689"/>
      <c r="G1455" s="658" t="s">
        <v>1446</v>
      </c>
      <c r="H1455" s="679">
        <v>45141.0</v>
      </c>
    </row>
    <row r="1456">
      <c r="A1456" s="658">
        <v>3.0</v>
      </c>
      <c r="B1456" s="689" t="s">
        <v>3673</v>
      </c>
      <c r="C1456" s="689">
        <v>1.0</v>
      </c>
      <c r="D1456" s="721">
        <v>5.0</v>
      </c>
      <c r="E1456" s="669">
        <v>1.0</v>
      </c>
      <c r="F1456" s="689"/>
      <c r="G1456" s="658" t="s">
        <v>1446</v>
      </c>
      <c r="H1456" s="679">
        <v>45141.0</v>
      </c>
    </row>
    <row r="1457">
      <c r="A1457" s="662">
        <v>4.0</v>
      </c>
      <c r="B1457" s="662" t="s">
        <v>4875</v>
      </c>
      <c r="C1457" s="662"/>
      <c r="D1457" s="673"/>
      <c r="E1457" s="723"/>
      <c r="F1457" s="853" t="s">
        <v>4876</v>
      </c>
      <c r="G1457" s="662" t="s">
        <v>4877</v>
      </c>
      <c r="H1457" s="863">
        <v>45674.0</v>
      </c>
    </row>
    <row r="1458">
      <c r="A1458" s="662">
        <v>5.0</v>
      </c>
      <c r="B1458" s="853" t="s">
        <v>4878</v>
      </c>
      <c r="C1458" s="662"/>
      <c r="D1458" s="673"/>
      <c r="E1458" s="723"/>
      <c r="F1458" s="853" t="s">
        <v>4879</v>
      </c>
      <c r="G1458" s="662" t="s">
        <v>4877</v>
      </c>
      <c r="H1458" s="863">
        <v>45674.0</v>
      </c>
    </row>
    <row r="1459">
      <c r="A1459" s="658">
        <v>6.0</v>
      </c>
      <c r="B1459" s="864" t="s">
        <v>4904</v>
      </c>
      <c r="C1459" s="658">
        <v>1.0</v>
      </c>
      <c r="D1459" s="658">
        <v>9.32</v>
      </c>
      <c r="E1459" s="658">
        <v>1.0</v>
      </c>
      <c r="F1459" s="533" t="s">
        <v>4905</v>
      </c>
      <c r="G1459" s="658" t="s">
        <v>1446</v>
      </c>
      <c r="H1459" s="804">
        <v>46014.0</v>
      </c>
    </row>
    <row r="1460">
      <c r="A1460" s="658">
        <v>7.0</v>
      </c>
      <c r="B1460" s="864" t="s">
        <v>4906</v>
      </c>
      <c r="C1460" s="658">
        <v>1.0</v>
      </c>
      <c r="D1460" s="658">
        <v>50.0</v>
      </c>
      <c r="E1460" s="658">
        <v>3.0</v>
      </c>
      <c r="F1460" s="533" t="s">
        <v>4907</v>
      </c>
      <c r="G1460" s="658" t="s">
        <v>1446</v>
      </c>
      <c r="H1460" s="804">
        <v>46014.0</v>
      </c>
    </row>
    <row r="1461">
      <c r="A1461" s="658">
        <v>8.0</v>
      </c>
      <c r="B1461" s="78" t="s">
        <v>4908</v>
      </c>
      <c r="C1461" s="662">
        <v>1.0</v>
      </c>
      <c r="D1461" s="662">
        <v>9.83</v>
      </c>
      <c r="E1461" s="662">
        <v>1.0</v>
      </c>
      <c r="F1461" s="529" t="s">
        <v>4909</v>
      </c>
      <c r="G1461" s="662" t="s">
        <v>1446</v>
      </c>
      <c r="H1461" s="863">
        <v>46014.0</v>
      </c>
    </row>
    <row r="1462">
      <c r="A1462" s="658">
        <v>9.0</v>
      </c>
      <c r="B1462" s="655" t="s">
        <v>4900</v>
      </c>
      <c r="C1462" s="658">
        <v>1.0</v>
      </c>
      <c r="D1462" s="678">
        <v>71.35</v>
      </c>
      <c r="E1462" s="676">
        <v>4.0</v>
      </c>
      <c r="F1462" s="655" t="s">
        <v>4901</v>
      </c>
      <c r="G1462" s="658" t="s">
        <v>1554</v>
      </c>
      <c r="H1462" s="696">
        <v>46021.0</v>
      </c>
    </row>
    <row r="1463">
      <c r="A1463" s="658">
        <v>10.0</v>
      </c>
      <c r="B1463" s="655" t="s">
        <v>4900</v>
      </c>
      <c r="C1463" s="658">
        <v>1.0</v>
      </c>
      <c r="D1463" s="678">
        <v>71.35</v>
      </c>
      <c r="E1463" s="676">
        <v>4.0</v>
      </c>
      <c r="F1463" s="655" t="s">
        <v>4902</v>
      </c>
      <c r="G1463" s="658" t="s">
        <v>1554</v>
      </c>
      <c r="H1463" s="696">
        <v>46021.0</v>
      </c>
    </row>
    <row r="1464">
      <c r="A1464" s="658">
        <v>11.0</v>
      </c>
      <c r="B1464" s="299" t="s">
        <v>4910</v>
      </c>
      <c r="C1464" s="658">
        <v>1.0</v>
      </c>
      <c r="D1464" s="678">
        <v>23.1</v>
      </c>
      <c r="E1464" s="676" t="s">
        <v>2077</v>
      </c>
      <c r="F1464" s="770" t="s">
        <v>4911</v>
      </c>
      <c r="G1464" s="658" t="s">
        <v>1447</v>
      </c>
      <c r="H1464" s="679">
        <v>45691.0</v>
      </c>
    </row>
    <row r="1465">
      <c r="A1465" s="732" t="s">
        <v>1562</v>
      </c>
      <c r="B1465" s="3"/>
      <c r="C1465" s="689">
        <f t="shared" ref="C1465:E1465" si="60">sum(C1454:C1462)</f>
        <v>8</v>
      </c>
      <c r="D1465" s="721">
        <f t="shared" si="60"/>
        <v>301.9</v>
      </c>
      <c r="E1465" s="669">
        <f t="shared" si="60"/>
        <v>10</v>
      </c>
      <c r="F1465" s="689"/>
      <c r="G1465" s="731"/>
      <c r="H1465" s="731"/>
    </row>
    <row r="1466">
      <c r="A1466" s="712"/>
      <c r="B1466" s="712"/>
      <c r="C1466" s="712"/>
      <c r="D1466" s="712"/>
      <c r="E1466" s="712"/>
      <c r="F1466" s="712"/>
      <c r="G1466" s="712"/>
      <c r="H1466" s="712"/>
    </row>
    <row r="1467">
      <c r="A1467" s="713" t="s">
        <v>4912</v>
      </c>
      <c r="B1467" s="293"/>
      <c r="C1467" s="293"/>
      <c r="D1467" s="293"/>
      <c r="E1467" s="293"/>
      <c r="F1467" s="293"/>
      <c r="G1467" s="293"/>
      <c r="H1467" s="294"/>
    </row>
    <row r="1468">
      <c r="A1468" s="690" t="s">
        <v>1435</v>
      </c>
      <c r="B1468" s="690" t="s">
        <v>1436</v>
      </c>
      <c r="C1468" s="690" t="s">
        <v>1843</v>
      </c>
      <c r="D1468" s="693" t="s">
        <v>1438</v>
      </c>
      <c r="E1468" s="694" t="s">
        <v>1564</v>
      </c>
      <c r="F1468" s="690" t="s">
        <v>1440</v>
      </c>
      <c r="G1468" s="690" t="s">
        <v>1844</v>
      </c>
      <c r="H1468" s="695" t="s">
        <v>1441</v>
      </c>
    </row>
    <row r="1469">
      <c r="A1469" s="689">
        <v>1.0</v>
      </c>
      <c r="B1469" s="689" t="s">
        <v>1443</v>
      </c>
      <c r="C1469" s="689">
        <v>1.0</v>
      </c>
      <c r="D1469" s="721">
        <v>150.0</v>
      </c>
      <c r="E1469" s="669"/>
      <c r="F1469" s="689" t="s">
        <v>1518</v>
      </c>
      <c r="G1469" s="689" t="s">
        <v>1731</v>
      </c>
      <c r="H1469" s="731">
        <v>45141.0</v>
      </c>
    </row>
    <row r="1470">
      <c r="A1470" s="689">
        <v>2.0</v>
      </c>
      <c r="B1470" s="689" t="s">
        <v>1444</v>
      </c>
      <c r="C1470" s="689">
        <v>1.0</v>
      </c>
      <c r="D1470" s="721">
        <v>3.2</v>
      </c>
      <c r="E1470" s="669"/>
      <c r="F1470" s="689"/>
      <c r="G1470" s="689"/>
      <c r="H1470" s="731"/>
    </row>
    <row r="1471">
      <c r="A1471" s="689">
        <v>3.0</v>
      </c>
      <c r="B1471" s="689" t="s">
        <v>3673</v>
      </c>
      <c r="C1471" s="689">
        <v>1.0</v>
      </c>
      <c r="D1471" s="721">
        <v>5.0</v>
      </c>
      <c r="E1471" s="669">
        <v>1.0</v>
      </c>
      <c r="F1471" s="689"/>
      <c r="G1471" s="689"/>
      <c r="H1471" s="731"/>
    </row>
    <row r="1472">
      <c r="A1472" s="689">
        <v>4.0</v>
      </c>
      <c r="B1472" s="730"/>
      <c r="C1472" s="689"/>
      <c r="D1472" s="689"/>
      <c r="E1472" s="669"/>
      <c r="F1472" s="730"/>
      <c r="G1472" s="689"/>
      <c r="H1472" s="670"/>
    </row>
    <row r="1473">
      <c r="A1473" s="689">
        <v>5.0</v>
      </c>
      <c r="B1473" s="730"/>
      <c r="C1473" s="689"/>
      <c r="D1473" s="689"/>
      <c r="E1473" s="669"/>
      <c r="F1473" s="730"/>
      <c r="G1473" s="689"/>
      <c r="H1473" s="670"/>
    </row>
    <row r="1474">
      <c r="A1474" s="689">
        <v>6.0</v>
      </c>
      <c r="B1474" s="730"/>
      <c r="C1474" s="689"/>
      <c r="D1474" s="689"/>
      <c r="E1474" s="669"/>
      <c r="F1474" s="730"/>
      <c r="G1474" s="689"/>
      <c r="H1474" s="670"/>
    </row>
    <row r="1475">
      <c r="A1475" s="689">
        <v>7.0</v>
      </c>
      <c r="B1475" s="730"/>
      <c r="C1475" s="689"/>
      <c r="D1475" s="721"/>
      <c r="E1475" s="669"/>
      <c r="F1475" s="730"/>
      <c r="G1475" s="689"/>
      <c r="H1475" s="670"/>
    </row>
    <row r="1476">
      <c r="A1476" s="689">
        <v>8.0</v>
      </c>
      <c r="B1476" s="730"/>
      <c r="C1476" s="689"/>
      <c r="D1476" s="721"/>
      <c r="E1476" s="669"/>
      <c r="F1476" s="730"/>
      <c r="G1476" s="689"/>
      <c r="H1476" s="670"/>
    </row>
    <row r="1477">
      <c r="A1477" s="689">
        <v>9.0</v>
      </c>
      <c r="B1477" s="730"/>
      <c r="C1477" s="689"/>
      <c r="D1477" s="721"/>
      <c r="E1477" s="669"/>
      <c r="F1477" s="730"/>
      <c r="G1477" s="689"/>
      <c r="H1477" s="670"/>
    </row>
    <row r="1478">
      <c r="A1478" s="732" t="s">
        <v>1562</v>
      </c>
      <c r="B1478" s="3"/>
      <c r="C1478" s="689">
        <f t="shared" ref="C1478:E1478" si="61">sum(C1469:C1477)</f>
        <v>3</v>
      </c>
      <c r="D1478" s="721">
        <f t="shared" si="61"/>
        <v>158.2</v>
      </c>
      <c r="E1478" s="669">
        <f t="shared" si="61"/>
        <v>1</v>
      </c>
      <c r="F1478" s="689"/>
      <c r="G1478" s="731"/>
      <c r="H1478" s="731"/>
    </row>
    <row r="1479">
      <c r="A1479" s="712"/>
      <c r="B1479" s="712"/>
      <c r="C1479" s="712"/>
      <c r="D1479" s="712"/>
      <c r="E1479" s="712"/>
      <c r="F1479" s="712"/>
      <c r="G1479" s="712"/>
      <c r="H1479" s="712"/>
    </row>
    <row r="1480">
      <c r="A1480" s="712"/>
      <c r="B1480" s="712"/>
      <c r="C1480" s="712"/>
      <c r="D1480" s="712"/>
      <c r="E1480" s="712"/>
      <c r="F1480" s="712"/>
      <c r="G1480" s="712"/>
      <c r="H1480" s="712"/>
    </row>
    <row r="1481">
      <c r="A1481" s="713" t="s">
        <v>4913</v>
      </c>
      <c r="B1481" s="293"/>
      <c r="C1481" s="293"/>
      <c r="D1481" s="293"/>
      <c r="E1481" s="293"/>
      <c r="F1481" s="293"/>
      <c r="G1481" s="293"/>
      <c r="H1481" s="294"/>
    </row>
    <row r="1482">
      <c r="A1482" s="690" t="s">
        <v>1435</v>
      </c>
      <c r="B1482" s="690" t="s">
        <v>1436</v>
      </c>
      <c r="C1482" s="690" t="s">
        <v>1843</v>
      </c>
      <c r="D1482" s="693" t="s">
        <v>1438</v>
      </c>
      <c r="E1482" s="694" t="s">
        <v>1564</v>
      </c>
      <c r="F1482" s="690" t="s">
        <v>1440</v>
      </c>
      <c r="G1482" s="690" t="s">
        <v>1844</v>
      </c>
      <c r="H1482" s="695" t="s">
        <v>1441</v>
      </c>
    </row>
    <row r="1483">
      <c r="A1483" s="689">
        <v>1.0</v>
      </c>
      <c r="B1483" s="689" t="s">
        <v>1443</v>
      </c>
      <c r="C1483" s="689">
        <v>1.0</v>
      </c>
      <c r="D1483" s="721">
        <v>150.0</v>
      </c>
      <c r="E1483" s="669"/>
      <c r="F1483" s="689" t="s">
        <v>1518</v>
      </c>
      <c r="G1483" s="689" t="s">
        <v>1731</v>
      </c>
      <c r="H1483" s="731">
        <v>45141.0</v>
      </c>
    </row>
    <row r="1484">
      <c r="A1484" s="689">
        <v>2.0</v>
      </c>
      <c r="B1484" s="689" t="s">
        <v>1444</v>
      </c>
      <c r="C1484" s="658">
        <v>2.0</v>
      </c>
      <c r="D1484" s="721">
        <f>C1484*3.2</f>
        <v>6.4</v>
      </c>
      <c r="E1484" s="669"/>
      <c r="F1484" s="689"/>
      <c r="G1484" s="689"/>
      <c r="H1484" s="731"/>
    </row>
    <row r="1485">
      <c r="A1485" s="689">
        <v>3.0</v>
      </c>
      <c r="B1485" s="689" t="s">
        <v>3673</v>
      </c>
      <c r="C1485" s="689">
        <v>1.0</v>
      </c>
      <c r="D1485" s="721">
        <v>5.0</v>
      </c>
      <c r="E1485" s="669">
        <v>1.0</v>
      </c>
      <c r="F1485" s="689"/>
      <c r="G1485" s="689"/>
      <c r="H1485" s="731"/>
    </row>
    <row r="1486">
      <c r="A1486" s="689">
        <v>4.0</v>
      </c>
      <c r="B1486" s="865" t="s">
        <v>4914</v>
      </c>
      <c r="C1486" s="865">
        <v>1.0</v>
      </c>
      <c r="D1486" s="866">
        <v>4.0</v>
      </c>
      <c r="E1486" s="676">
        <v>1.0</v>
      </c>
      <c r="F1486" s="867" t="s">
        <v>4915</v>
      </c>
      <c r="G1486" s="658" t="s">
        <v>1446</v>
      </c>
      <c r="H1486" s="696">
        <v>45765.0</v>
      </c>
    </row>
    <row r="1487">
      <c r="A1487" s="689">
        <v>5.0</v>
      </c>
      <c r="B1487" s="865" t="s">
        <v>4916</v>
      </c>
      <c r="C1487" s="865">
        <v>1.0</v>
      </c>
      <c r="D1487" s="866">
        <v>4.0</v>
      </c>
      <c r="E1487" s="676">
        <v>1.0</v>
      </c>
      <c r="F1487" s="867" t="s">
        <v>4917</v>
      </c>
      <c r="G1487" s="658" t="s">
        <v>1446</v>
      </c>
      <c r="H1487" s="696">
        <v>45765.0</v>
      </c>
    </row>
    <row r="1488">
      <c r="A1488" s="689">
        <v>6.0</v>
      </c>
      <c r="B1488" s="865" t="s">
        <v>4918</v>
      </c>
      <c r="C1488" s="689">
        <v>1.0</v>
      </c>
      <c r="D1488" s="866">
        <v>2.3</v>
      </c>
      <c r="E1488" s="676">
        <v>1.0</v>
      </c>
      <c r="F1488" s="867" t="s">
        <v>4919</v>
      </c>
      <c r="G1488" s="658" t="s">
        <v>1446</v>
      </c>
      <c r="H1488" s="696">
        <v>45765.0</v>
      </c>
    </row>
    <row r="1489">
      <c r="A1489" s="689">
        <v>7.0</v>
      </c>
      <c r="B1489" s="865" t="s">
        <v>4920</v>
      </c>
      <c r="C1489" s="865">
        <v>1.0</v>
      </c>
      <c r="D1489" s="866">
        <v>2.9</v>
      </c>
      <c r="E1489" s="676">
        <v>1.0</v>
      </c>
      <c r="F1489" s="868" t="s">
        <v>4921</v>
      </c>
      <c r="G1489" s="658" t="s">
        <v>1446</v>
      </c>
      <c r="H1489" s="696">
        <v>45765.0</v>
      </c>
    </row>
    <row r="1490">
      <c r="A1490" s="689">
        <v>8.0</v>
      </c>
      <c r="B1490" s="865" t="s">
        <v>4922</v>
      </c>
      <c r="C1490" s="865">
        <v>1.0</v>
      </c>
      <c r="D1490" s="866">
        <v>16.1</v>
      </c>
      <c r="E1490" s="676">
        <v>2.0</v>
      </c>
      <c r="F1490" s="868" t="s">
        <v>4923</v>
      </c>
      <c r="G1490" s="658" t="s">
        <v>1446</v>
      </c>
      <c r="H1490" s="696">
        <v>45765.0</v>
      </c>
    </row>
    <row r="1491">
      <c r="A1491" s="689">
        <v>9.0</v>
      </c>
      <c r="B1491" s="865" t="s">
        <v>4922</v>
      </c>
      <c r="C1491" s="689">
        <v>1.0</v>
      </c>
      <c r="D1491" s="866">
        <v>16.1</v>
      </c>
      <c r="E1491" s="676">
        <v>2.0</v>
      </c>
      <c r="F1491" s="868" t="s">
        <v>4924</v>
      </c>
      <c r="G1491" s="658" t="s">
        <v>1446</v>
      </c>
      <c r="H1491" s="696">
        <v>45765.0</v>
      </c>
    </row>
    <row r="1492">
      <c r="A1492" s="689">
        <v>10.0</v>
      </c>
      <c r="B1492" s="865" t="s">
        <v>4922</v>
      </c>
      <c r="C1492" s="865">
        <v>1.0</v>
      </c>
      <c r="D1492" s="866">
        <v>16.1</v>
      </c>
      <c r="E1492" s="676">
        <v>2.0</v>
      </c>
      <c r="F1492" s="868" t="s">
        <v>4925</v>
      </c>
      <c r="G1492" s="658" t="s">
        <v>1446</v>
      </c>
      <c r="H1492" s="696">
        <v>45765.0</v>
      </c>
    </row>
    <row r="1493">
      <c r="A1493" s="689">
        <v>11.0</v>
      </c>
      <c r="B1493" s="865" t="s">
        <v>4922</v>
      </c>
      <c r="C1493" s="865">
        <v>1.0</v>
      </c>
      <c r="D1493" s="866">
        <v>16.1</v>
      </c>
      <c r="E1493" s="676">
        <v>2.0</v>
      </c>
      <c r="F1493" s="868" t="s">
        <v>4926</v>
      </c>
      <c r="G1493" s="658" t="s">
        <v>1446</v>
      </c>
      <c r="H1493" s="696">
        <v>45765.0</v>
      </c>
    </row>
    <row r="1494">
      <c r="A1494" s="689">
        <v>12.0</v>
      </c>
      <c r="B1494" s="865" t="s">
        <v>4927</v>
      </c>
      <c r="C1494" s="689">
        <v>1.0</v>
      </c>
      <c r="D1494" s="866">
        <v>4.1</v>
      </c>
      <c r="E1494" s="676">
        <v>4.0</v>
      </c>
      <c r="F1494" s="868" t="s">
        <v>4928</v>
      </c>
      <c r="G1494" s="658" t="s">
        <v>1446</v>
      </c>
      <c r="H1494" s="696">
        <v>45765.0</v>
      </c>
    </row>
    <row r="1495">
      <c r="A1495" s="689">
        <v>13.0</v>
      </c>
      <c r="B1495" s="865" t="s">
        <v>4929</v>
      </c>
      <c r="C1495" s="865">
        <v>1.0</v>
      </c>
      <c r="D1495" s="866">
        <v>4.1</v>
      </c>
      <c r="E1495" s="676" t="s">
        <v>1518</v>
      </c>
      <c r="F1495" s="868" t="s">
        <v>4930</v>
      </c>
      <c r="G1495" s="658" t="s">
        <v>1446</v>
      </c>
      <c r="H1495" s="696">
        <v>45765.0</v>
      </c>
    </row>
    <row r="1496">
      <c r="A1496" s="658">
        <v>14.0</v>
      </c>
      <c r="B1496" s="345" t="s">
        <v>4931</v>
      </c>
      <c r="C1496" s="865">
        <v>1.0</v>
      </c>
      <c r="D1496" s="678">
        <v>4.5</v>
      </c>
      <c r="E1496" s="676">
        <v>1.0</v>
      </c>
      <c r="F1496" s="730"/>
      <c r="G1496" s="658" t="s">
        <v>1446</v>
      </c>
      <c r="H1496" s="696">
        <v>45779.0</v>
      </c>
    </row>
    <row r="1497">
      <c r="A1497" s="658">
        <v>15.0</v>
      </c>
      <c r="B1497" s="345" t="s">
        <v>4932</v>
      </c>
      <c r="C1497" s="865">
        <v>1.0</v>
      </c>
      <c r="D1497" s="678">
        <v>8.2</v>
      </c>
      <c r="E1497" s="676">
        <v>1.0</v>
      </c>
      <c r="F1497" s="730"/>
      <c r="G1497" s="658" t="s">
        <v>1446</v>
      </c>
      <c r="H1497" s="696">
        <v>45779.0</v>
      </c>
    </row>
    <row r="1498">
      <c r="A1498" s="658">
        <v>16.0</v>
      </c>
      <c r="B1498" s="345" t="s">
        <v>4922</v>
      </c>
      <c r="C1498" s="865">
        <v>1.0</v>
      </c>
      <c r="D1498" s="678">
        <v>16.1</v>
      </c>
      <c r="E1498" s="676">
        <v>2.0</v>
      </c>
      <c r="F1498" s="655" t="s">
        <v>4933</v>
      </c>
      <c r="G1498" s="658" t="s">
        <v>1819</v>
      </c>
      <c r="H1498" s="804">
        <v>46067.0</v>
      </c>
    </row>
    <row r="1499">
      <c r="A1499" s="658">
        <v>17.0</v>
      </c>
      <c r="B1499" s="345" t="s">
        <v>4922</v>
      </c>
      <c r="C1499" s="865">
        <v>1.0</v>
      </c>
      <c r="D1499" s="678">
        <v>16.1</v>
      </c>
      <c r="E1499" s="676">
        <v>2.0</v>
      </c>
      <c r="F1499" s="655" t="s">
        <v>4934</v>
      </c>
      <c r="G1499" s="658" t="s">
        <v>1819</v>
      </c>
      <c r="H1499" s="804">
        <v>46067.0</v>
      </c>
    </row>
    <row r="1500">
      <c r="A1500" s="732" t="s">
        <v>1562</v>
      </c>
      <c r="B1500" s="3"/>
      <c r="C1500" s="689">
        <f t="shared" ref="C1500:E1500" si="62">sum(C1483:C1497)</f>
        <v>16</v>
      </c>
      <c r="D1500" s="721">
        <f t="shared" si="62"/>
        <v>259.9</v>
      </c>
      <c r="E1500" s="669">
        <f t="shared" si="62"/>
        <v>19</v>
      </c>
      <c r="F1500" s="689"/>
      <c r="G1500" s="731"/>
      <c r="H1500" s="731"/>
    </row>
    <row r="1501">
      <c r="A1501" s="689"/>
      <c r="B1501" s="689"/>
      <c r="C1501" s="689"/>
      <c r="D1501" s="689"/>
      <c r="E1501" s="689"/>
      <c r="F1501" s="689"/>
      <c r="G1501" s="689"/>
      <c r="H1501" s="689"/>
    </row>
    <row r="1502">
      <c r="A1502" s="689"/>
      <c r="B1502" s="689"/>
      <c r="C1502" s="689"/>
      <c r="D1502" s="689"/>
      <c r="E1502" s="689"/>
      <c r="F1502" s="689"/>
      <c r="G1502" s="689"/>
      <c r="H1502" s="689"/>
    </row>
    <row r="1503">
      <c r="A1503" s="649" t="s">
        <v>4935</v>
      </c>
      <c r="B1503" s="2"/>
      <c r="C1503" s="2"/>
      <c r="D1503" s="2"/>
      <c r="E1503" s="2"/>
      <c r="F1503" s="2"/>
      <c r="G1503" s="2"/>
      <c r="H1503" s="3"/>
    </row>
    <row r="1504">
      <c r="A1504" s="690" t="s">
        <v>1435</v>
      </c>
      <c r="B1504" s="690" t="s">
        <v>1436</v>
      </c>
      <c r="C1504" s="690" t="s">
        <v>1843</v>
      </c>
      <c r="D1504" s="693" t="s">
        <v>1438</v>
      </c>
      <c r="E1504" s="694" t="s">
        <v>1564</v>
      </c>
      <c r="F1504" s="690" t="s">
        <v>1440</v>
      </c>
      <c r="G1504" s="690" t="s">
        <v>1844</v>
      </c>
      <c r="H1504" s="695" t="s">
        <v>1441</v>
      </c>
    </row>
    <row r="1505">
      <c r="A1505" s="689">
        <v>1.0</v>
      </c>
      <c r="B1505" s="689" t="s">
        <v>1443</v>
      </c>
      <c r="C1505" s="689">
        <v>1.0</v>
      </c>
      <c r="D1505" s="721">
        <v>150.0</v>
      </c>
      <c r="E1505" s="669"/>
      <c r="F1505" s="689" t="s">
        <v>1518</v>
      </c>
      <c r="G1505" s="658" t="s">
        <v>1554</v>
      </c>
      <c r="H1505" s="731">
        <v>45141.0</v>
      </c>
    </row>
    <row r="1506">
      <c r="A1506" s="689">
        <v>2.0</v>
      </c>
      <c r="B1506" s="689" t="s">
        <v>1444</v>
      </c>
      <c r="C1506" s="689">
        <v>1.0</v>
      </c>
      <c r="D1506" s="721">
        <v>3.2</v>
      </c>
      <c r="E1506" s="669"/>
      <c r="F1506" s="689"/>
      <c r="G1506" s="689"/>
      <c r="H1506" s="731"/>
    </row>
    <row r="1507">
      <c r="A1507" s="689">
        <v>3.0</v>
      </c>
      <c r="B1507" s="689" t="s">
        <v>3673</v>
      </c>
      <c r="C1507" s="689">
        <v>1.0</v>
      </c>
      <c r="D1507" s="721">
        <v>5.0</v>
      </c>
      <c r="E1507" s="669">
        <v>1.0</v>
      </c>
      <c r="F1507" s="689"/>
      <c r="G1507" s="689"/>
      <c r="H1507" s="731"/>
    </row>
    <row r="1508">
      <c r="A1508" s="689">
        <v>4.0</v>
      </c>
      <c r="B1508" s="655" t="s">
        <v>4936</v>
      </c>
      <c r="C1508" s="689">
        <v>1.0</v>
      </c>
      <c r="D1508" s="658">
        <v>24.0</v>
      </c>
      <c r="E1508" s="676">
        <v>2.0</v>
      </c>
      <c r="F1508" s="655">
        <v>6.10129991618384E14</v>
      </c>
      <c r="G1508" s="658" t="s">
        <v>1446</v>
      </c>
      <c r="H1508" s="696">
        <v>45778.0</v>
      </c>
    </row>
    <row r="1509">
      <c r="A1509" s="689">
        <v>5.0</v>
      </c>
      <c r="B1509" s="655" t="s">
        <v>4936</v>
      </c>
      <c r="C1509" s="689">
        <v>1.0</v>
      </c>
      <c r="D1509" s="658">
        <v>24.0</v>
      </c>
      <c r="E1509" s="676">
        <v>2.0</v>
      </c>
      <c r="F1509" s="655" t="s">
        <v>4937</v>
      </c>
      <c r="G1509" s="658" t="s">
        <v>1446</v>
      </c>
      <c r="H1509" s="696">
        <v>45778.0</v>
      </c>
    </row>
    <row r="1510">
      <c r="A1510" s="689">
        <v>6.0</v>
      </c>
      <c r="B1510" s="655" t="s">
        <v>4936</v>
      </c>
      <c r="C1510" s="689">
        <v>1.0</v>
      </c>
      <c r="D1510" s="658">
        <v>24.0</v>
      </c>
      <c r="E1510" s="676">
        <v>2.0</v>
      </c>
      <c r="F1510" s="655" t="s">
        <v>4938</v>
      </c>
      <c r="G1510" s="658" t="s">
        <v>1446</v>
      </c>
      <c r="H1510" s="658" t="s">
        <v>4939</v>
      </c>
    </row>
    <row r="1511">
      <c r="A1511" s="689">
        <v>7.0</v>
      </c>
      <c r="B1511" s="655" t="s">
        <v>4936</v>
      </c>
      <c r="C1511" s="689">
        <v>1.0</v>
      </c>
      <c r="D1511" s="658">
        <v>24.0</v>
      </c>
      <c r="E1511" s="676">
        <v>2.0</v>
      </c>
      <c r="F1511" s="655" t="s">
        <v>4940</v>
      </c>
      <c r="G1511" s="658" t="s">
        <v>1446</v>
      </c>
      <c r="H1511" s="696">
        <v>45778.0</v>
      </c>
    </row>
    <row r="1512">
      <c r="A1512" s="689">
        <v>8.0</v>
      </c>
      <c r="B1512" s="655" t="s">
        <v>4941</v>
      </c>
      <c r="C1512" s="689">
        <v>1.0</v>
      </c>
      <c r="D1512" s="658">
        <v>23.3</v>
      </c>
      <c r="E1512" s="676">
        <v>2.0</v>
      </c>
      <c r="F1512" s="655" t="s">
        <v>4942</v>
      </c>
      <c r="G1512" s="658" t="s">
        <v>1446</v>
      </c>
      <c r="H1512" s="696">
        <v>45778.0</v>
      </c>
    </row>
    <row r="1513">
      <c r="A1513" s="689">
        <v>9.0</v>
      </c>
      <c r="B1513" s="655" t="s">
        <v>4943</v>
      </c>
      <c r="C1513" s="689">
        <v>1.0</v>
      </c>
      <c r="D1513" s="658">
        <v>19.9</v>
      </c>
      <c r="E1513" s="676">
        <v>2.0</v>
      </c>
      <c r="F1513" s="730"/>
      <c r="G1513" s="658" t="s">
        <v>1446</v>
      </c>
      <c r="H1513" s="696">
        <v>45778.0</v>
      </c>
    </row>
    <row r="1514">
      <c r="A1514" s="689">
        <v>10.0</v>
      </c>
      <c r="B1514" s="655" t="s">
        <v>2113</v>
      </c>
      <c r="C1514" s="689">
        <v>1.0</v>
      </c>
      <c r="D1514" s="658">
        <v>19.8</v>
      </c>
      <c r="E1514" s="676">
        <v>1.0</v>
      </c>
      <c r="F1514" s="655" t="s">
        <v>4944</v>
      </c>
      <c r="G1514" s="658" t="s">
        <v>1446</v>
      </c>
      <c r="H1514" s="696">
        <v>45778.0</v>
      </c>
    </row>
    <row r="1515">
      <c r="A1515" s="689">
        <v>11.0</v>
      </c>
      <c r="B1515" s="655" t="s">
        <v>4945</v>
      </c>
      <c r="C1515" s="689">
        <v>1.0</v>
      </c>
      <c r="D1515" s="658">
        <v>29.0</v>
      </c>
      <c r="E1515" s="676">
        <v>2.0</v>
      </c>
      <c r="F1515" s="655" t="s">
        <v>4946</v>
      </c>
      <c r="G1515" s="658" t="s">
        <v>1446</v>
      </c>
      <c r="H1515" s="658" t="s">
        <v>4947</v>
      </c>
    </row>
    <row r="1516">
      <c r="A1516" s="689">
        <v>12.0</v>
      </c>
      <c r="B1516" s="655" t="s">
        <v>4948</v>
      </c>
      <c r="C1516" s="689">
        <v>1.0</v>
      </c>
      <c r="D1516" s="658">
        <v>23.0</v>
      </c>
      <c r="E1516" s="676">
        <v>2.0</v>
      </c>
      <c r="F1516" s="655" t="s">
        <v>4949</v>
      </c>
      <c r="G1516" s="658" t="s">
        <v>1446</v>
      </c>
      <c r="H1516" s="696">
        <v>45778.0</v>
      </c>
    </row>
    <row r="1517">
      <c r="A1517" s="689">
        <v>13.0</v>
      </c>
      <c r="B1517" s="655" t="s">
        <v>4950</v>
      </c>
      <c r="C1517" s="689">
        <v>1.0</v>
      </c>
      <c r="D1517" s="658">
        <v>24.4</v>
      </c>
      <c r="E1517" s="676">
        <v>2.0</v>
      </c>
      <c r="F1517" s="655" t="s">
        <v>4951</v>
      </c>
      <c r="G1517" s="658" t="s">
        <v>1446</v>
      </c>
      <c r="H1517" s="696">
        <v>45778.0</v>
      </c>
    </row>
    <row r="1518">
      <c r="A1518" s="689">
        <v>14.0</v>
      </c>
      <c r="B1518" s="655" t="s">
        <v>4952</v>
      </c>
      <c r="C1518" s="689">
        <v>1.0</v>
      </c>
      <c r="D1518" s="658">
        <v>8.3</v>
      </c>
      <c r="E1518" s="676">
        <v>1.0</v>
      </c>
      <c r="F1518" s="655" t="s">
        <v>4953</v>
      </c>
      <c r="G1518" s="658" t="s">
        <v>1446</v>
      </c>
      <c r="H1518" s="696">
        <v>45778.0</v>
      </c>
    </row>
    <row r="1519">
      <c r="A1519" s="689">
        <v>15.0</v>
      </c>
      <c r="B1519" s="662" t="s">
        <v>4954</v>
      </c>
      <c r="C1519" s="722"/>
      <c r="D1519" s="662"/>
      <c r="E1519" s="665"/>
      <c r="F1519" s="662" t="s">
        <v>4955</v>
      </c>
      <c r="G1519" s="662" t="s">
        <v>1446</v>
      </c>
      <c r="H1519" s="662" t="s">
        <v>4956</v>
      </c>
    </row>
    <row r="1520">
      <c r="A1520" s="689">
        <v>16.0</v>
      </c>
      <c r="B1520" s="655" t="s">
        <v>4957</v>
      </c>
      <c r="C1520" s="689">
        <v>1.0</v>
      </c>
      <c r="D1520" s="658">
        <v>8.7</v>
      </c>
      <c r="E1520" s="676">
        <v>1.0</v>
      </c>
      <c r="F1520" s="655" t="s">
        <v>4958</v>
      </c>
      <c r="G1520" s="658" t="s">
        <v>1446</v>
      </c>
      <c r="H1520" s="696">
        <v>45778.0</v>
      </c>
    </row>
    <row r="1521">
      <c r="A1521" s="689">
        <v>17.0</v>
      </c>
      <c r="B1521" s="655" t="s">
        <v>4959</v>
      </c>
      <c r="C1521" s="689">
        <v>1.0</v>
      </c>
      <c r="D1521" s="658">
        <v>19.9</v>
      </c>
      <c r="E1521" s="676">
        <v>2.0</v>
      </c>
      <c r="F1521" s="655" t="s">
        <v>4960</v>
      </c>
      <c r="G1521" s="658"/>
      <c r="H1521" s="696">
        <v>45778.0</v>
      </c>
    </row>
    <row r="1522">
      <c r="A1522" s="689">
        <v>18.0</v>
      </c>
      <c r="B1522" s="655" t="s">
        <v>4961</v>
      </c>
      <c r="C1522" s="689">
        <v>1.0</v>
      </c>
      <c r="D1522" s="658">
        <v>20.0</v>
      </c>
      <c r="E1522" s="676">
        <v>1.0</v>
      </c>
      <c r="F1522" s="655">
        <v>8.1934416E8</v>
      </c>
      <c r="G1522" s="658" t="s">
        <v>1446</v>
      </c>
      <c r="H1522" s="696">
        <v>45778.0</v>
      </c>
    </row>
    <row r="1523">
      <c r="A1523" s="689">
        <v>19.0</v>
      </c>
      <c r="B1523" s="655" t="s">
        <v>4962</v>
      </c>
      <c r="C1523" s="689">
        <v>1.0</v>
      </c>
      <c r="D1523" s="658">
        <v>19.8</v>
      </c>
      <c r="E1523" s="676">
        <v>1.0</v>
      </c>
      <c r="F1523" s="655" t="s">
        <v>4963</v>
      </c>
      <c r="G1523" s="658" t="s">
        <v>1446</v>
      </c>
      <c r="H1523" s="696">
        <v>45778.0</v>
      </c>
    </row>
    <row r="1524">
      <c r="A1524" s="689">
        <v>20.0</v>
      </c>
      <c r="B1524" s="655" t="s">
        <v>4964</v>
      </c>
      <c r="C1524" s="658">
        <v>1.0</v>
      </c>
      <c r="D1524" s="658">
        <v>17.2</v>
      </c>
      <c r="E1524" s="676">
        <v>1.0</v>
      </c>
      <c r="F1524" s="655" t="s">
        <v>4965</v>
      </c>
      <c r="G1524" s="658" t="s">
        <v>1819</v>
      </c>
      <c r="H1524" s="696">
        <v>45875.0</v>
      </c>
    </row>
    <row r="1525">
      <c r="A1525" s="732" t="s">
        <v>1562</v>
      </c>
      <c r="B1525" s="3"/>
      <c r="C1525" s="689">
        <f t="shared" ref="C1525:E1525" si="63">sum(C1505:C1524)</f>
        <v>19</v>
      </c>
      <c r="D1525" s="721">
        <f t="shared" si="63"/>
        <v>487.5</v>
      </c>
      <c r="E1525" s="669">
        <f t="shared" si="63"/>
        <v>27</v>
      </c>
      <c r="F1525" s="689"/>
      <c r="G1525" s="731"/>
      <c r="H1525" s="731"/>
    </row>
    <row r="1526">
      <c r="A1526" s="689"/>
      <c r="B1526" s="689"/>
      <c r="C1526" s="689"/>
      <c r="D1526" s="689"/>
      <c r="E1526" s="689"/>
      <c r="F1526" s="689"/>
      <c r="G1526" s="689"/>
      <c r="H1526" s="689"/>
    </row>
    <row r="1527">
      <c r="A1527" s="689"/>
      <c r="B1527" s="689"/>
      <c r="C1527" s="689"/>
      <c r="D1527" s="689"/>
      <c r="E1527" s="689"/>
      <c r="F1527" s="689"/>
      <c r="G1527" s="689"/>
      <c r="H1527" s="689"/>
    </row>
    <row r="1528">
      <c r="A1528" s="649" t="s">
        <v>4966</v>
      </c>
      <c r="B1528" s="2"/>
      <c r="C1528" s="2"/>
      <c r="D1528" s="2"/>
      <c r="E1528" s="2"/>
      <c r="F1528" s="2"/>
      <c r="G1528" s="2"/>
      <c r="H1528" s="3"/>
    </row>
    <row r="1529">
      <c r="A1529" s="690" t="s">
        <v>1435</v>
      </c>
      <c r="B1529" s="690" t="s">
        <v>1436</v>
      </c>
      <c r="C1529" s="690" t="s">
        <v>1843</v>
      </c>
      <c r="D1529" s="693" t="s">
        <v>1438</v>
      </c>
      <c r="E1529" s="694" t="s">
        <v>1564</v>
      </c>
      <c r="F1529" s="690" t="s">
        <v>1440</v>
      </c>
      <c r="G1529" s="690" t="s">
        <v>1844</v>
      </c>
      <c r="H1529" s="695" t="s">
        <v>1441</v>
      </c>
    </row>
    <row r="1530">
      <c r="A1530" s="689">
        <v>1.0</v>
      </c>
      <c r="B1530" s="689" t="s">
        <v>1443</v>
      </c>
      <c r="C1530" s="689">
        <v>1.0</v>
      </c>
      <c r="D1530" s="721">
        <v>150.0</v>
      </c>
      <c r="E1530" s="669"/>
      <c r="F1530" s="689" t="s">
        <v>1518</v>
      </c>
      <c r="G1530" s="689" t="s">
        <v>1731</v>
      </c>
      <c r="H1530" s="731">
        <v>45141.0</v>
      </c>
    </row>
    <row r="1531">
      <c r="A1531" s="689">
        <v>2.0</v>
      </c>
      <c r="B1531" s="689" t="s">
        <v>1444</v>
      </c>
      <c r="C1531" s="689">
        <v>1.0</v>
      </c>
      <c r="D1531" s="721">
        <v>3.2</v>
      </c>
      <c r="E1531" s="669"/>
      <c r="F1531" s="689"/>
      <c r="G1531" s="689"/>
      <c r="H1531" s="731"/>
    </row>
    <row r="1532">
      <c r="A1532" s="689">
        <v>3.0</v>
      </c>
      <c r="B1532" s="689" t="s">
        <v>3673</v>
      </c>
      <c r="C1532" s="689">
        <v>1.0</v>
      </c>
      <c r="D1532" s="721">
        <v>5.0</v>
      </c>
      <c r="E1532" s="669">
        <v>1.0</v>
      </c>
      <c r="F1532" s="689"/>
      <c r="G1532" s="689"/>
      <c r="H1532" s="731"/>
    </row>
    <row r="1533">
      <c r="A1533" s="689">
        <v>4.0</v>
      </c>
      <c r="B1533" s="655" t="s">
        <v>4875</v>
      </c>
      <c r="C1533" s="658">
        <v>1.0</v>
      </c>
      <c r="D1533" s="678">
        <v>81.6</v>
      </c>
      <c r="E1533" s="676">
        <v>8.0</v>
      </c>
      <c r="F1533" s="825" t="s">
        <v>4876</v>
      </c>
      <c r="G1533" s="658" t="s">
        <v>4967</v>
      </c>
      <c r="H1533" s="696">
        <v>45674.0</v>
      </c>
    </row>
    <row r="1534">
      <c r="A1534" s="689">
        <v>5.0</v>
      </c>
      <c r="B1534" s="825" t="s">
        <v>4878</v>
      </c>
      <c r="C1534" s="658">
        <v>1.0</v>
      </c>
      <c r="D1534" s="678">
        <v>9.52</v>
      </c>
      <c r="E1534" s="676">
        <v>1.0</v>
      </c>
      <c r="F1534" s="854" t="s">
        <v>4879</v>
      </c>
      <c r="G1534" s="658" t="s">
        <v>4967</v>
      </c>
      <c r="H1534" s="696">
        <v>45674.0</v>
      </c>
    </row>
    <row r="1535">
      <c r="A1535" s="689">
        <v>6.0</v>
      </c>
      <c r="B1535" s="655" t="s">
        <v>4880</v>
      </c>
      <c r="C1535" s="658">
        <v>1.0</v>
      </c>
      <c r="D1535" s="678">
        <v>54.7</v>
      </c>
      <c r="E1535" s="676">
        <v>4.0</v>
      </c>
      <c r="F1535" s="655" t="s">
        <v>4881</v>
      </c>
      <c r="G1535" s="658" t="s">
        <v>4967</v>
      </c>
      <c r="H1535" s="696">
        <v>45675.0</v>
      </c>
    </row>
    <row r="1536">
      <c r="A1536" s="689">
        <v>7.0</v>
      </c>
      <c r="B1536" s="655" t="s">
        <v>4882</v>
      </c>
      <c r="C1536" s="658">
        <v>1.0</v>
      </c>
      <c r="D1536" s="678">
        <v>59.0</v>
      </c>
      <c r="E1536" s="676">
        <v>4.0</v>
      </c>
      <c r="F1536" s="854" t="s">
        <v>4883</v>
      </c>
      <c r="G1536" s="658" t="s">
        <v>4967</v>
      </c>
      <c r="H1536" s="696">
        <v>45675.0</v>
      </c>
    </row>
    <row r="1537">
      <c r="A1537" s="689">
        <v>8.0</v>
      </c>
      <c r="B1537" s="655" t="s">
        <v>4884</v>
      </c>
      <c r="C1537" s="658">
        <v>1.0</v>
      </c>
      <c r="D1537" s="678">
        <v>31.8</v>
      </c>
      <c r="E1537" s="676">
        <v>2.0</v>
      </c>
      <c r="F1537" s="655" t="s">
        <v>4885</v>
      </c>
      <c r="G1537" s="658" t="s">
        <v>4967</v>
      </c>
      <c r="H1537" s="696">
        <v>45675.0</v>
      </c>
    </row>
    <row r="1538">
      <c r="A1538" s="658">
        <v>9.0</v>
      </c>
      <c r="B1538" s="655" t="s">
        <v>4886</v>
      </c>
      <c r="C1538" s="658">
        <v>1.0</v>
      </c>
      <c r="D1538" s="678">
        <v>29.8</v>
      </c>
      <c r="E1538" s="676">
        <v>2.0</v>
      </c>
      <c r="F1538" s="655" t="s">
        <v>4887</v>
      </c>
      <c r="G1538" s="658" t="s">
        <v>4967</v>
      </c>
      <c r="H1538" s="696">
        <v>45675.0</v>
      </c>
    </row>
    <row r="1539">
      <c r="A1539" s="658">
        <v>10.0</v>
      </c>
      <c r="B1539" s="655" t="s">
        <v>4886</v>
      </c>
      <c r="C1539" s="658">
        <v>1.0</v>
      </c>
      <c r="D1539" s="678">
        <v>29.8</v>
      </c>
      <c r="E1539" s="676">
        <v>2.0</v>
      </c>
      <c r="F1539" s="655" t="s">
        <v>4888</v>
      </c>
      <c r="G1539" s="658" t="s">
        <v>4967</v>
      </c>
      <c r="H1539" s="696">
        <v>45675.0</v>
      </c>
    </row>
    <row r="1540">
      <c r="A1540" s="658">
        <v>11.0</v>
      </c>
      <c r="B1540" s="655" t="s">
        <v>4889</v>
      </c>
      <c r="C1540" s="658">
        <v>1.0</v>
      </c>
      <c r="D1540" s="678">
        <v>35.3</v>
      </c>
      <c r="E1540" s="676">
        <v>2.0</v>
      </c>
      <c r="F1540" s="655" t="s">
        <v>4890</v>
      </c>
      <c r="G1540" s="658" t="s">
        <v>4967</v>
      </c>
      <c r="H1540" s="696">
        <v>45675.0</v>
      </c>
    </row>
    <row r="1541">
      <c r="A1541" s="689">
        <v>12.0</v>
      </c>
      <c r="B1541" s="655" t="s">
        <v>4889</v>
      </c>
      <c r="C1541" s="658">
        <v>1.0</v>
      </c>
      <c r="D1541" s="678">
        <v>35.3</v>
      </c>
      <c r="E1541" s="676">
        <v>2.0</v>
      </c>
      <c r="F1541" s="655" t="s">
        <v>4891</v>
      </c>
      <c r="G1541" s="658" t="s">
        <v>4967</v>
      </c>
      <c r="H1541" s="696">
        <v>45675.0</v>
      </c>
    </row>
    <row r="1542">
      <c r="A1542" s="689">
        <v>13.0</v>
      </c>
      <c r="B1542" s="655" t="s">
        <v>4892</v>
      </c>
      <c r="C1542" s="658">
        <v>1.0</v>
      </c>
      <c r="D1542" s="678">
        <v>2.0</v>
      </c>
      <c r="E1542" s="676">
        <v>1.0</v>
      </c>
      <c r="F1542" s="655" t="s">
        <v>4893</v>
      </c>
      <c r="G1542" s="658" t="s">
        <v>4967</v>
      </c>
      <c r="H1542" s="696">
        <v>45675.0</v>
      </c>
    </row>
    <row r="1543">
      <c r="A1543" s="689">
        <v>14.0</v>
      </c>
      <c r="B1543" s="655" t="s">
        <v>4894</v>
      </c>
      <c r="C1543" s="658">
        <v>1.0</v>
      </c>
      <c r="D1543" s="678">
        <v>5.75</v>
      </c>
      <c r="E1543" s="676">
        <v>1.0</v>
      </c>
      <c r="F1543" s="655" t="s">
        <v>4895</v>
      </c>
      <c r="G1543" s="658" t="s">
        <v>4967</v>
      </c>
      <c r="H1543" s="696">
        <v>45675.0</v>
      </c>
    </row>
    <row r="1544">
      <c r="A1544" s="689">
        <v>15.0</v>
      </c>
      <c r="B1544" s="655" t="s">
        <v>4896</v>
      </c>
      <c r="C1544" s="658">
        <v>1.0</v>
      </c>
      <c r="D1544" s="678">
        <v>4.93</v>
      </c>
      <c r="E1544" s="676">
        <v>1.0</v>
      </c>
      <c r="F1544" s="655" t="s">
        <v>4897</v>
      </c>
      <c r="G1544" s="658" t="s">
        <v>4967</v>
      </c>
      <c r="H1544" s="696">
        <v>45675.0</v>
      </c>
    </row>
    <row r="1545">
      <c r="A1545" s="689">
        <v>16.0</v>
      </c>
      <c r="B1545" s="655" t="s">
        <v>4898</v>
      </c>
      <c r="C1545" s="658">
        <v>1.0</v>
      </c>
      <c r="D1545" s="678">
        <v>14.7</v>
      </c>
      <c r="E1545" s="676">
        <v>2.0</v>
      </c>
      <c r="F1545" s="655" t="s">
        <v>4899</v>
      </c>
      <c r="G1545" s="658" t="s">
        <v>4967</v>
      </c>
      <c r="H1545" s="696">
        <v>45675.0</v>
      </c>
    </row>
    <row r="1546">
      <c r="A1546" s="658">
        <v>17.0</v>
      </c>
      <c r="B1546" s="655" t="s">
        <v>4968</v>
      </c>
      <c r="C1546" s="658">
        <v>1.0</v>
      </c>
      <c r="D1546" s="678">
        <v>2.0</v>
      </c>
      <c r="E1546" s="676">
        <v>1.0</v>
      </c>
      <c r="F1546" s="655" t="s">
        <v>4969</v>
      </c>
      <c r="G1546" s="658" t="s">
        <v>1446</v>
      </c>
      <c r="H1546" s="696">
        <v>45766.0</v>
      </c>
    </row>
    <row r="1547">
      <c r="A1547" s="658">
        <v>18.0</v>
      </c>
      <c r="B1547" s="689"/>
      <c r="C1547" s="689"/>
      <c r="D1547" s="721"/>
      <c r="E1547" s="669"/>
      <c r="F1547" s="689"/>
      <c r="G1547" s="731"/>
      <c r="H1547" s="731"/>
    </row>
    <row r="1548">
      <c r="A1548" s="658">
        <v>19.0</v>
      </c>
      <c r="B1548" s="689"/>
      <c r="C1548" s="689"/>
      <c r="D1548" s="721"/>
      <c r="E1548" s="669"/>
      <c r="F1548" s="689"/>
      <c r="G1548" s="731"/>
      <c r="H1548" s="731"/>
    </row>
    <row r="1549">
      <c r="A1549" s="658">
        <v>20.0</v>
      </c>
      <c r="B1549" s="689"/>
      <c r="C1549" s="689"/>
      <c r="D1549" s="721"/>
      <c r="E1549" s="669"/>
      <c r="F1549" s="689"/>
      <c r="G1549" s="731"/>
      <c r="H1549" s="731"/>
    </row>
    <row r="1550">
      <c r="A1550" s="732" t="s">
        <v>1562</v>
      </c>
      <c r="B1550" s="3"/>
      <c r="C1550" s="689">
        <f t="shared" ref="C1550:E1550" si="64">sum(C1530:C1538)</f>
        <v>9</v>
      </c>
      <c r="D1550" s="721">
        <f t="shared" si="64"/>
        <v>424.62</v>
      </c>
      <c r="E1550" s="669">
        <f t="shared" si="64"/>
        <v>22</v>
      </c>
      <c r="F1550" s="689"/>
      <c r="G1550" s="731"/>
      <c r="H1550" s="731"/>
    </row>
    <row r="1551">
      <c r="A1551" s="689"/>
      <c r="B1551" s="689"/>
      <c r="C1551" s="689"/>
      <c r="D1551" s="689"/>
      <c r="E1551" s="689"/>
      <c r="F1551" s="689"/>
      <c r="G1551" s="689"/>
      <c r="H1551" s="689"/>
    </row>
    <row r="1552">
      <c r="A1552" s="689"/>
      <c r="B1552" s="689"/>
      <c r="C1552" s="689"/>
      <c r="D1552" s="689"/>
      <c r="E1552" s="689"/>
      <c r="F1552" s="689"/>
      <c r="G1552" s="689"/>
      <c r="H1552" s="689"/>
    </row>
    <row r="1553">
      <c r="A1553" s="649" t="s">
        <v>4970</v>
      </c>
      <c r="B1553" s="2"/>
      <c r="C1553" s="2"/>
      <c r="D1553" s="2"/>
      <c r="E1553" s="2"/>
      <c r="F1553" s="2"/>
      <c r="G1553" s="2"/>
      <c r="H1553" s="3"/>
    </row>
    <row r="1554">
      <c r="A1554" s="690" t="s">
        <v>1435</v>
      </c>
      <c r="B1554" s="690" t="s">
        <v>1436</v>
      </c>
      <c r="C1554" s="690" t="s">
        <v>1843</v>
      </c>
      <c r="D1554" s="693" t="s">
        <v>1438</v>
      </c>
      <c r="E1554" s="694" t="s">
        <v>1564</v>
      </c>
      <c r="F1554" s="690" t="s">
        <v>1440</v>
      </c>
      <c r="G1554" s="690" t="s">
        <v>1844</v>
      </c>
      <c r="H1554" s="695" t="s">
        <v>1441</v>
      </c>
    </row>
    <row r="1555">
      <c r="A1555" s="689">
        <v>1.0</v>
      </c>
      <c r="B1555" s="689" t="s">
        <v>1443</v>
      </c>
      <c r="C1555" s="689">
        <v>1.0</v>
      </c>
      <c r="D1555" s="721">
        <v>150.0</v>
      </c>
      <c r="E1555" s="669"/>
      <c r="F1555" s="689" t="s">
        <v>1518</v>
      </c>
      <c r="G1555" s="689" t="s">
        <v>1731</v>
      </c>
      <c r="H1555" s="731">
        <v>45141.0</v>
      </c>
    </row>
    <row r="1556">
      <c r="A1556" s="689">
        <v>2.0</v>
      </c>
      <c r="B1556" s="689" t="s">
        <v>1444</v>
      </c>
      <c r="C1556" s="689">
        <v>1.0</v>
      </c>
      <c r="D1556" s="721">
        <v>3.2</v>
      </c>
      <c r="E1556" s="669"/>
      <c r="F1556" s="689"/>
      <c r="G1556" s="689"/>
      <c r="H1556" s="731"/>
    </row>
    <row r="1557">
      <c r="A1557" s="689">
        <v>3.0</v>
      </c>
      <c r="B1557" s="689" t="s">
        <v>3673</v>
      </c>
      <c r="C1557" s="689">
        <v>1.0</v>
      </c>
      <c r="D1557" s="721">
        <v>5.0</v>
      </c>
      <c r="E1557" s="669">
        <v>1.0</v>
      </c>
      <c r="F1557" s="689"/>
      <c r="G1557" s="689"/>
      <c r="H1557" s="731"/>
    </row>
    <row r="1558">
      <c r="A1558" s="689">
        <v>4.0</v>
      </c>
      <c r="B1558" s="655" t="s">
        <v>4971</v>
      </c>
      <c r="C1558" s="658">
        <v>1.0</v>
      </c>
      <c r="D1558" s="678">
        <v>8.7</v>
      </c>
      <c r="E1558" s="676">
        <v>1.0</v>
      </c>
      <c r="F1558" s="655" t="s">
        <v>4972</v>
      </c>
      <c r="G1558" s="658" t="s">
        <v>4973</v>
      </c>
      <c r="H1558" s="696">
        <v>45737.0</v>
      </c>
    </row>
    <row r="1559">
      <c r="A1559" s="689">
        <v>5.0</v>
      </c>
      <c r="B1559" s="477" t="s">
        <v>4974</v>
      </c>
      <c r="C1559" s="658">
        <v>1.0</v>
      </c>
      <c r="D1559" s="678">
        <v>14.3</v>
      </c>
      <c r="E1559" s="477">
        <v>1.0</v>
      </c>
      <c r="F1559" s="477" t="s">
        <v>4975</v>
      </c>
      <c r="G1559" s="658" t="s">
        <v>1446</v>
      </c>
      <c r="H1559" s="696">
        <v>45739.0</v>
      </c>
    </row>
    <row r="1560">
      <c r="A1560" s="689">
        <v>6.0</v>
      </c>
      <c r="B1560" s="477" t="s">
        <v>4976</v>
      </c>
      <c r="C1560" s="658">
        <v>1.0</v>
      </c>
      <c r="D1560" s="678">
        <v>16.6</v>
      </c>
      <c r="E1560" s="676">
        <v>2.0</v>
      </c>
      <c r="F1560" s="340" t="s">
        <v>4977</v>
      </c>
      <c r="G1560" s="658" t="s">
        <v>1446</v>
      </c>
      <c r="H1560" s="696">
        <v>45739.0</v>
      </c>
    </row>
    <row r="1561">
      <c r="A1561" s="689">
        <v>7.0</v>
      </c>
      <c r="B1561" s="477" t="s">
        <v>4974</v>
      </c>
      <c r="C1561" s="658">
        <v>1.0</v>
      </c>
      <c r="D1561" s="678">
        <v>14.3</v>
      </c>
      <c r="E1561" s="676">
        <v>1.0</v>
      </c>
      <c r="F1561" s="340" t="s">
        <v>4978</v>
      </c>
      <c r="G1561" s="658" t="s">
        <v>1446</v>
      </c>
      <c r="H1561" s="696">
        <v>45739.0</v>
      </c>
    </row>
    <row r="1562">
      <c r="A1562" s="730">
        <v>8.0</v>
      </c>
      <c r="B1562" s="477" t="s">
        <v>4979</v>
      </c>
      <c r="C1562" s="658">
        <v>1.0</v>
      </c>
      <c r="D1562" s="678">
        <v>2.5</v>
      </c>
      <c r="E1562" s="676">
        <v>1.0</v>
      </c>
      <c r="F1562" s="340" t="s">
        <v>4980</v>
      </c>
      <c r="G1562" s="658" t="s">
        <v>1446</v>
      </c>
      <c r="H1562" s="696">
        <v>45739.0</v>
      </c>
    </row>
    <row r="1563">
      <c r="A1563" s="662">
        <v>9.0</v>
      </c>
      <c r="B1563" s="869" t="s">
        <v>4981</v>
      </c>
      <c r="C1563" s="662"/>
      <c r="D1563" s="673"/>
      <c r="E1563" s="665"/>
      <c r="F1563" s="850" t="s">
        <v>4982</v>
      </c>
      <c r="G1563" s="662" t="s">
        <v>425</v>
      </c>
      <c r="H1563" s="698">
        <v>45739.0</v>
      </c>
    </row>
    <row r="1564">
      <c r="A1564" s="658">
        <v>10.0</v>
      </c>
      <c r="B1564" s="477" t="s">
        <v>4983</v>
      </c>
      <c r="C1564" s="658">
        <v>1.0</v>
      </c>
      <c r="D1564" s="678">
        <v>12.4</v>
      </c>
      <c r="E1564" s="676">
        <v>1.0</v>
      </c>
      <c r="F1564" s="340" t="s">
        <v>4984</v>
      </c>
      <c r="G1564" s="658" t="s">
        <v>1446</v>
      </c>
      <c r="H1564" s="696">
        <v>45739.0</v>
      </c>
    </row>
    <row r="1565">
      <c r="A1565" s="658">
        <v>11.0</v>
      </c>
      <c r="B1565" s="340" t="s">
        <v>4985</v>
      </c>
      <c r="C1565" s="658">
        <v>1.0</v>
      </c>
      <c r="D1565" s="678">
        <v>1.1</v>
      </c>
      <c r="E1565" s="676">
        <v>1.0</v>
      </c>
      <c r="F1565" s="341" t="s">
        <v>4986</v>
      </c>
      <c r="G1565" s="658" t="s">
        <v>4987</v>
      </c>
      <c r="H1565" s="696">
        <v>45739.0</v>
      </c>
    </row>
    <row r="1566">
      <c r="A1566" s="662">
        <v>12.0</v>
      </c>
      <c r="B1566" s="662" t="s">
        <v>4988</v>
      </c>
      <c r="C1566" s="662"/>
      <c r="D1566" s="673"/>
      <c r="E1566" s="665"/>
      <c r="F1566" s="662" t="s">
        <v>4989</v>
      </c>
      <c r="G1566" s="662" t="s">
        <v>4990</v>
      </c>
      <c r="H1566" s="681">
        <v>45743.0</v>
      </c>
    </row>
    <row r="1567">
      <c r="A1567" s="662">
        <v>13.0</v>
      </c>
      <c r="B1567" s="662" t="s">
        <v>4991</v>
      </c>
      <c r="C1567" s="662"/>
      <c r="D1567" s="673"/>
      <c r="E1567" s="665"/>
      <c r="F1567" s="662" t="s">
        <v>4992</v>
      </c>
      <c r="G1567" s="662" t="s">
        <v>4993</v>
      </c>
      <c r="H1567" s="681"/>
    </row>
    <row r="1568">
      <c r="A1568" s="642">
        <v>21.0</v>
      </c>
      <c r="B1568" s="867" t="s">
        <v>4994</v>
      </c>
      <c r="C1568" s="642">
        <v>1.0</v>
      </c>
      <c r="D1568" s="355">
        <v>16.7</v>
      </c>
      <c r="E1568" s="356">
        <v>1.0</v>
      </c>
      <c r="F1568" s="867" t="s">
        <v>4995</v>
      </c>
      <c r="G1568" s="339" t="s">
        <v>279</v>
      </c>
      <c r="H1568" s="339">
        <v>45760.0</v>
      </c>
    </row>
    <row r="1569">
      <c r="A1569" s="344">
        <v>22.0</v>
      </c>
      <c r="B1569" s="870" t="s">
        <v>1643</v>
      </c>
      <c r="C1569" s="344">
        <v>1.0</v>
      </c>
      <c r="D1569" s="391">
        <v>2.0</v>
      </c>
      <c r="E1569" s="647">
        <v>1.0</v>
      </c>
      <c r="F1569" s="865" t="s">
        <v>4996</v>
      </c>
      <c r="G1569" s="344" t="s">
        <v>1554</v>
      </c>
      <c r="H1569" s="393">
        <v>45801.0</v>
      </c>
    </row>
    <row r="1570">
      <c r="A1570" s="344">
        <v>23.0</v>
      </c>
      <c r="B1570" s="865" t="s">
        <v>4997</v>
      </c>
      <c r="C1570" s="344">
        <v>1.0</v>
      </c>
      <c r="D1570" s="391">
        <v>3.0</v>
      </c>
      <c r="E1570" s="647">
        <v>1.0</v>
      </c>
      <c r="F1570" s="865" t="s">
        <v>4998</v>
      </c>
      <c r="G1570" s="344" t="s">
        <v>1554</v>
      </c>
      <c r="H1570" s="393">
        <v>45801.0</v>
      </c>
    </row>
    <row r="1571">
      <c r="A1571" s="344">
        <v>24.0</v>
      </c>
      <c r="B1571" s="871" t="s">
        <v>4999</v>
      </c>
      <c r="C1571" s="872">
        <v>1.0</v>
      </c>
      <c r="D1571" s="873">
        <v>14.9</v>
      </c>
      <c r="E1571" s="874">
        <v>1.0</v>
      </c>
      <c r="F1571" s="865" t="s">
        <v>5000</v>
      </c>
      <c r="G1571" s="344" t="s">
        <v>1554</v>
      </c>
      <c r="H1571" s="344" t="s">
        <v>5001</v>
      </c>
    </row>
    <row r="1572">
      <c r="A1572" s="344">
        <v>25.0</v>
      </c>
      <c r="B1572" s="865" t="s">
        <v>5002</v>
      </c>
      <c r="C1572" s="344">
        <v>1.0</v>
      </c>
      <c r="D1572" s="391">
        <v>14.5</v>
      </c>
      <c r="E1572" s="647">
        <v>2.0</v>
      </c>
      <c r="F1572" s="865"/>
      <c r="G1572" s="344" t="s">
        <v>158</v>
      </c>
      <c r="H1572" s="393">
        <v>46120.0</v>
      </c>
    </row>
    <row r="1573">
      <c r="A1573" s="658">
        <v>26.0</v>
      </c>
      <c r="B1573" s="689"/>
      <c r="C1573" s="689"/>
      <c r="D1573" s="721"/>
      <c r="E1573" s="669"/>
      <c r="F1573" s="689"/>
      <c r="G1573" s="731"/>
      <c r="H1573" s="731"/>
    </row>
    <row r="1574">
      <c r="A1574" s="732" t="s">
        <v>1562</v>
      </c>
      <c r="B1574" s="3"/>
      <c r="C1574" s="689">
        <f t="shared" ref="C1574:E1574" si="65">sum(C1555:C1569)</f>
        <v>12</v>
      </c>
      <c r="D1574" s="721">
        <f t="shared" si="65"/>
        <v>246.8</v>
      </c>
      <c r="E1574" s="669">
        <f t="shared" si="65"/>
        <v>11</v>
      </c>
      <c r="F1574" s="689"/>
      <c r="G1574" s="731"/>
      <c r="H1574" s="731"/>
    </row>
    <row r="1575">
      <c r="A1575" s="689"/>
      <c r="B1575" s="689"/>
      <c r="C1575" s="689"/>
      <c r="D1575" s="689"/>
      <c r="E1575" s="689"/>
      <c r="F1575" s="689"/>
      <c r="G1575" s="689"/>
      <c r="H1575" s="689"/>
    </row>
    <row r="1576">
      <c r="A1576" s="689"/>
      <c r="B1576" s="689"/>
      <c r="C1576" s="689"/>
      <c r="D1576" s="689"/>
      <c r="E1576" s="689"/>
      <c r="F1576" s="689"/>
      <c r="G1576" s="689"/>
      <c r="H1576" s="689"/>
    </row>
    <row r="1577">
      <c r="A1577" s="649" t="s">
        <v>5003</v>
      </c>
      <c r="B1577" s="2"/>
      <c r="C1577" s="2"/>
      <c r="D1577" s="2"/>
      <c r="E1577" s="2"/>
      <c r="F1577" s="2"/>
      <c r="G1577" s="2"/>
      <c r="H1577" s="3"/>
    </row>
    <row r="1578">
      <c r="A1578" s="690" t="s">
        <v>1435</v>
      </c>
      <c r="B1578" s="690" t="s">
        <v>1436</v>
      </c>
      <c r="C1578" s="690" t="s">
        <v>1843</v>
      </c>
      <c r="D1578" s="693" t="s">
        <v>1438</v>
      </c>
      <c r="E1578" s="694" t="s">
        <v>1564</v>
      </c>
      <c r="F1578" s="690" t="s">
        <v>1440</v>
      </c>
      <c r="G1578" s="690" t="s">
        <v>1844</v>
      </c>
      <c r="H1578" s="695" t="s">
        <v>1441</v>
      </c>
    </row>
    <row r="1579">
      <c r="A1579" s="689">
        <v>1.0</v>
      </c>
      <c r="B1579" s="689" t="s">
        <v>1443</v>
      </c>
      <c r="C1579" s="689">
        <v>1.0</v>
      </c>
      <c r="D1579" s="721">
        <v>150.0</v>
      </c>
      <c r="E1579" s="669"/>
      <c r="F1579" s="689" t="s">
        <v>1518</v>
      </c>
      <c r="G1579" s="689" t="s">
        <v>1731</v>
      </c>
      <c r="H1579" s="731">
        <v>45141.0</v>
      </c>
    </row>
    <row r="1580">
      <c r="A1580" s="689">
        <v>2.0</v>
      </c>
      <c r="B1580" s="689" t="s">
        <v>1444</v>
      </c>
      <c r="C1580" s="689">
        <v>1.0</v>
      </c>
      <c r="D1580" s="721">
        <v>3.2</v>
      </c>
      <c r="E1580" s="669"/>
      <c r="F1580" s="689"/>
      <c r="G1580" s="689"/>
      <c r="H1580" s="731"/>
    </row>
    <row r="1581">
      <c r="A1581" s="689">
        <v>3.0</v>
      </c>
      <c r="B1581" s="689" t="s">
        <v>3673</v>
      </c>
      <c r="C1581" s="689">
        <v>1.0</v>
      </c>
      <c r="D1581" s="721">
        <v>5.0</v>
      </c>
      <c r="E1581" s="669">
        <v>1.0</v>
      </c>
      <c r="F1581" s="689"/>
      <c r="G1581" s="689"/>
      <c r="H1581" s="731"/>
    </row>
    <row r="1582" ht="13.5" customHeight="1">
      <c r="A1582" s="722">
        <v>4.0</v>
      </c>
      <c r="B1582" s="662" t="s">
        <v>5004</v>
      </c>
      <c r="C1582" s="662"/>
      <c r="D1582" s="662"/>
      <c r="E1582" s="665"/>
      <c r="F1582" s="850" t="s">
        <v>5005</v>
      </c>
      <c r="G1582" s="662" t="s">
        <v>1554</v>
      </c>
      <c r="H1582" s="662" t="s">
        <v>5006</v>
      </c>
    </row>
    <row r="1583">
      <c r="A1583" s="689">
        <v>5.0</v>
      </c>
      <c r="B1583" s="658" t="s">
        <v>5007</v>
      </c>
      <c r="C1583" s="658">
        <v>1.0</v>
      </c>
      <c r="D1583" s="658">
        <v>1.0</v>
      </c>
      <c r="E1583" s="676">
        <v>1.0</v>
      </c>
      <c r="F1583" s="658" t="s">
        <v>5008</v>
      </c>
      <c r="G1583" s="658" t="s">
        <v>1446</v>
      </c>
      <c r="H1583" s="696">
        <v>45810.0</v>
      </c>
    </row>
    <row r="1584">
      <c r="A1584" s="689">
        <v>6.0</v>
      </c>
      <c r="B1584" s="658" t="s">
        <v>5009</v>
      </c>
      <c r="C1584" s="658">
        <v>1.0</v>
      </c>
      <c r="D1584" s="658">
        <v>4.2</v>
      </c>
      <c r="E1584" s="676">
        <v>1.0</v>
      </c>
      <c r="F1584" s="658" t="s">
        <v>5010</v>
      </c>
      <c r="G1584" s="658" t="s">
        <v>1446</v>
      </c>
      <c r="H1584" s="696">
        <v>45810.0</v>
      </c>
    </row>
    <row r="1585">
      <c r="A1585" s="689">
        <v>7.0</v>
      </c>
      <c r="B1585" s="658" t="s">
        <v>5011</v>
      </c>
      <c r="C1585" s="658">
        <v>1.0</v>
      </c>
      <c r="D1585" s="678">
        <v>10.2</v>
      </c>
      <c r="E1585" s="676">
        <v>1.0</v>
      </c>
      <c r="F1585" s="658" t="s">
        <v>5012</v>
      </c>
      <c r="G1585" s="658" t="s">
        <v>1446</v>
      </c>
      <c r="H1585" s="696">
        <v>45810.0</v>
      </c>
    </row>
    <row r="1586">
      <c r="A1586" s="689">
        <v>8.0</v>
      </c>
      <c r="B1586" s="658" t="s">
        <v>5013</v>
      </c>
      <c r="C1586" s="658">
        <v>1.0</v>
      </c>
      <c r="D1586" s="678">
        <v>16.6</v>
      </c>
      <c r="E1586" s="676">
        <v>1.0</v>
      </c>
      <c r="F1586" s="658" t="s">
        <v>5014</v>
      </c>
      <c r="G1586" s="658" t="s">
        <v>1446</v>
      </c>
      <c r="H1586" s="696">
        <v>45810.0</v>
      </c>
    </row>
    <row r="1587">
      <c r="A1587" s="689">
        <v>9.0</v>
      </c>
      <c r="B1587" s="658" t="s">
        <v>5015</v>
      </c>
      <c r="C1587" s="658">
        <v>1.0</v>
      </c>
      <c r="D1587" s="678">
        <v>1.0</v>
      </c>
      <c r="E1587" s="676">
        <v>1.0</v>
      </c>
      <c r="F1587" s="658" t="s">
        <v>5016</v>
      </c>
      <c r="G1587" s="658" t="s">
        <v>1446</v>
      </c>
      <c r="H1587" s="696">
        <v>45810.0</v>
      </c>
    </row>
    <row r="1588">
      <c r="A1588" s="658">
        <v>10.0</v>
      </c>
      <c r="B1588" s="875" t="s">
        <v>5017</v>
      </c>
      <c r="C1588" s="847">
        <v>1.0</v>
      </c>
      <c r="D1588" s="678">
        <v>13.2</v>
      </c>
      <c r="E1588" s="676">
        <v>1.0</v>
      </c>
      <c r="F1588" s="875" t="s">
        <v>5018</v>
      </c>
      <c r="G1588" s="658" t="s">
        <v>1446</v>
      </c>
      <c r="H1588" s="679">
        <v>45824.0</v>
      </c>
    </row>
    <row r="1589">
      <c r="A1589" s="658">
        <v>11.0</v>
      </c>
      <c r="B1589" s="875" t="s">
        <v>5019</v>
      </c>
      <c r="C1589" s="847">
        <v>1.0</v>
      </c>
      <c r="D1589" s="678">
        <v>12.2</v>
      </c>
      <c r="E1589" s="676">
        <v>1.0</v>
      </c>
      <c r="F1589" s="875" t="s">
        <v>5020</v>
      </c>
      <c r="G1589" s="658" t="s">
        <v>1446</v>
      </c>
      <c r="H1589" s="679">
        <v>45824.0</v>
      </c>
    </row>
    <row r="1590">
      <c r="A1590" s="658">
        <v>12.0</v>
      </c>
      <c r="B1590" s="875" t="s">
        <v>5021</v>
      </c>
      <c r="C1590" s="847">
        <v>1.0</v>
      </c>
      <c r="D1590" s="678">
        <v>5.0</v>
      </c>
      <c r="E1590" s="676">
        <v>1.0</v>
      </c>
      <c r="F1590" s="875" t="s">
        <v>5022</v>
      </c>
      <c r="G1590" s="658" t="s">
        <v>1446</v>
      </c>
      <c r="H1590" s="679">
        <v>45824.0</v>
      </c>
    </row>
    <row r="1591">
      <c r="A1591" s="658">
        <v>13.0</v>
      </c>
      <c r="B1591" s="875" t="s">
        <v>5023</v>
      </c>
      <c r="C1591" s="847">
        <v>1.0</v>
      </c>
      <c r="D1591" s="678">
        <v>6.7</v>
      </c>
      <c r="E1591" s="676">
        <v>1.0</v>
      </c>
      <c r="F1591" s="875" t="s">
        <v>5024</v>
      </c>
      <c r="G1591" s="658" t="s">
        <v>1446</v>
      </c>
      <c r="H1591" s="679">
        <v>45824.0</v>
      </c>
    </row>
    <row r="1592">
      <c r="A1592" s="658">
        <v>14.0</v>
      </c>
      <c r="B1592" s="658" t="s">
        <v>5025</v>
      </c>
      <c r="C1592" s="658">
        <v>1.0</v>
      </c>
      <c r="D1592" s="678">
        <v>30.0</v>
      </c>
      <c r="E1592" s="676">
        <v>2.0</v>
      </c>
      <c r="F1592" s="299" t="s">
        <v>5026</v>
      </c>
      <c r="G1592" s="658" t="s">
        <v>1446</v>
      </c>
      <c r="H1592" s="679">
        <v>45833.0</v>
      </c>
    </row>
    <row r="1593">
      <c r="A1593" s="732" t="s">
        <v>1562</v>
      </c>
      <c r="B1593" s="3"/>
      <c r="C1593" s="689">
        <f t="shared" ref="C1593:E1593" si="66">sum(C1579:C1592)</f>
        <v>13</v>
      </c>
      <c r="D1593" s="721">
        <f t="shared" si="66"/>
        <v>258.3</v>
      </c>
      <c r="E1593" s="669">
        <f t="shared" si="66"/>
        <v>12</v>
      </c>
      <c r="F1593" s="435" t="s">
        <v>215</v>
      </c>
      <c r="G1593" s="731"/>
      <c r="H1593" s="731"/>
    </row>
    <row r="1594">
      <c r="A1594" s="712"/>
      <c r="B1594" s="712"/>
      <c r="C1594" s="712"/>
      <c r="D1594" s="712"/>
      <c r="E1594" s="712"/>
      <c r="F1594" s="712"/>
      <c r="G1594" s="712"/>
      <c r="H1594" s="712"/>
    </row>
    <row r="1595">
      <c r="A1595" s="712"/>
      <c r="B1595" s="712"/>
      <c r="C1595" s="712"/>
      <c r="D1595" s="712"/>
      <c r="E1595" s="712"/>
      <c r="F1595" s="712"/>
      <c r="G1595" s="712"/>
      <c r="H1595" s="712"/>
    </row>
    <row r="1596">
      <c r="A1596" s="713" t="s">
        <v>5027</v>
      </c>
      <c r="B1596" s="293"/>
      <c r="C1596" s="293"/>
      <c r="D1596" s="293"/>
      <c r="E1596" s="293"/>
      <c r="F1596" s="293"/>
      <c r="G1596" s="293"/>
      <c r="H1596" s="294"/>
    </row>
    <row r="1597">
      <c r="A1597" s="690" t="s">
        <v>1435</v>
      </c>
      <c r="B1597" s="690" t="s">
        <v>1436</v>
      </c>
      <c r="C1597" s="690" t="s">
        <v>1843</v>
      </c>
      <c r="D1597" s="693" t="s">
        <v>1438</v>
      </c>
      <c r="E1597" s="694" t="s">
        <v>1564</v>
      </c>
      <c r="F1597" s="690" t="s">
        <v>1440</v>
      </c>
      <c r="G1597" s="690" t="s">
        <v>1844</v>
      </c>
      <c r="H1597" s="695" t="s">
        <v>1441</v>
      </c>
    </row>
    <row r="1598">
      <c r="A1598" s="689">
        <v>1.0</v>
      </c>
      <c r="B1598" s="689" t="s">
        <v>1443</v>
      </c>
      <c r="C1598" s="689">
        <v>1.0</v>
      </c>
      <c r="D1598" s="721">
        <v>150.0</v>
      </c>
      <c r="E1598" s="669"/>
      <c r="F1598" s="689" t="s">
        <v>1518</v>
      </c>
      <c r="G1598" s="658" t="s">
        <v>1554</v>
      </c>
      <c r="H1598" s="731">
        <v>45141.0</v>
      </c>
    </row>
    <row r="1599">
      <c r="A1599" s="689">
        <v>2.0</v>
      </c>
      <c r="B1599" s="689" t="s">
        <v>1444</v>
      </c>
      <c r="C1599" s="658">
        <v>2.0</v>
      </c>
      <c r="D1599" s="721">
        <f>C1599*3.2</f>
        <v>6.4</v>
      </c>
      <c r="E1599" s="669"/>
      <c r="F1599" s="689"/>
      <c r="G1599" s="689"/>
      <c r="H1599" s="731"/>
    </row>
    <row r="1600">
      <c r="A1600" s="689">
        <v>3.0</v>
      </c>
      <c r="B1600" s="689" t="s">
        <v>3673</v>
      </c>
      <c r="C1600" s="689">
        <v>1.0</v>
      </c>
      <c r="D1600" s="721">
        <v>5.0</v>
      </c>
      <c r="E1600" s="669">
        <v>1.0</v>
      </c>
      <c r="F1600" s="689"/>
      <c r="G1600" s="689"/>
      <c r="H1600" s="731"/>
    </row>
    <row r="1601">
      <c r="A1601" s="689">
        <v>4.0</v>
      </c>
      <c r="B1601" s="655" t="s">
        <v>5028</v>
      </c>
      <c r="C1601" s="689">
        <v>1.0</v>
      </c>
      <c r="D1601" s="678">
        <v>4.7</v>
      </c>
      <c r="E1601" s="676">
        <v>2.0</v>
      </c>
      <c r="F1601" s="655" t="s">
        <v>5029</v>
      </c>
      <c r="G1601" s="658" t="s">
        <v>5030</v>
      </c>
      <c r="H1601" s="696">
        <v>45740.0</v>
      </c>
    </row>
    <row r="1602">
      <c r="A1602" s="689">
        <v>5.0</v>
      </c>
      <c r="B1602" s="655" t="s">
        <v>5028</v>
      </c>
      <c r="C1602" s="689">
        <v>1.0</v>
      </c>
      <c r="D1602" s="678">
        <v>4.7</v>
      </c>
      <c r="E1602" s="676">
        <v>2.0</v>
      </c>
      <c r="F1602" s="655" t="s">
        <v>5031</v>
      </c>
      <c r="G1602" s="658" t="s">
        <v>5030</v>
      </c>
      <c r="H1602" s="696">
        <v>45740.0</v>
      </c>
    </row>
    <row r="1603">
      <c r="A1603" s="689">
        <v>6.0</v>
      </c>
      <c r="B1603" s="655" t="s">
        <v>5028</v>
      </c>
      <c r="C1603" s="689">
        <v>1.0</v>
      </c>
      <c r="D1603" s="678">
        <v>4.7</v>
      </c>
      <c r="E1603" s="676">
        <v>2.0</v>
      </c>
      <c r="F1603" s="655" t="s">
        <v>5032</v>
      </c>
      <c r="G1603" s="658" t="s">
        <v>5030</v>
      </c>
      <c r="H1603" s="696">
        <v>45740.0</v>
      </c>
    </row>
    <row r="1604">
      <c r="A1604" s="689">
        <v>7.0</v>
      </c>
      <c r="B1604" s="655" t="s">
        <v>5028</v>
      </c>
      <c r="C1604" s="689">
        <v>1.0</v>
      </c>
      <c r="D1604" s="678">
        <v>4.7</v>
      </c>
      <c r="E1604" s="676">
        <v>2.0</v>
      </c>
      <c r="F1604" s="655" t="s">
        <v>5033</v>
      </c>
      <c r="G1604" s="658" t="s">
        <v>5030</v>
      </c>
      <c r="H1604" s="696">
        <v>45740.0</v>
      </c>
    </row>
    <row r="1605">
      <c r="A1605" s="689">
        <v>8.0</v>
      </c>
      <c r="B1605" s="655" t="s">
        <v>5028</v>
      </c>
      <c r="C1605" s="689">
        <v>1.0</v>
      </c>
      <c r="D1605" s="678">
        <v>4.7</v>
      </c>
      <c r="E1605" s="676">
        <v>2.0</v>
      </c>
      <c r="F1605" s="655" t="s">
        <v>5034</v>
      </c>
      <c r="G1605" s="658" t="s">
        <v>5030</v>
      </c>
      <c r="H1605" s="696">
        <v>45740.0</v>
      </c>
    </row>
    <row r="1606">
      <c r="A1606" s="658"/>
      <c r="B1606" s="655" t="s">
        <v>2115</v>
      </c>
      <c r="C1606" s="658">
        <v>1.0</v>
      </c>
      <c r="D1606" s="678">
        <v>2.0</v>
      </c>
      <c r="E1606" s="676">
        <v>1.0</v>
      </c>
      <c r="F1606" s="655" t="s">
        <v>5035</v>
      </c>
      <c r="G1606" s="658" t="s">
        <v>5030</v>
      </c>
      <c r="H1606" s="696">
        <v>45817.0</v>
      </c>
    </row>
    <row r="1607">
      <c r="A1607" s="662" t="s">
        <v>5036</v>
      </c>
      <c r="B1607" s="662" t="s">
        <v>5037</v>
      </c>
      <c r="C1607" s="662">
        <v>1.0</v>
      </c>
      <c r="D1607" s="673">
        <v>8.4</v>
      </c>
      <c r="E1607" s="665">
        <v>1.0</v>
      </c>
      <c r="F1607" s="662" t="s">
        <v>5038</v>
      </c>
      <c r="G1607" s="662" t="s">
        <v>5039</v>
      </c>
      <c r="H1607" s="662" t="s">
        <v>5040</v>
      </c>
    </row>
    <row r="1608">
      <c r="A1608" s="662">
        <v>10.0</v>
      </c>
      <c r="B1608" s="662" t="s">
        <v>5041</v>
      </c>
      <c r="C1608" s="662">
        <v>1.0</v>
      </c>
      <c r="D1608" s="673">
        <v>33.2</v>
      </c>
      <c r="E1608" s="665">
        <v>2.0</v>
      </c>
      <c r="F1608" s="662" t="s">
        <v>5042</v>
      </c>
      <c r="G1608" s="662" t="s">
        <v>5043</v>
      </c>
      <c r="H1608" s="698">
        <v>45761.0</v>
      </c>
    </row>
    <row r="1609">
      <c r="A1609" s="662">
        <v>11.0</v>
      </c>
      <c r="B1609" s="662" t="s">
        <v>2192</v>
      </c>
      <c r="C1609" s="662">
        <v>1.0</v>
      </c>
      <c r="D1609" s="673">
        <v>21.9</v>
      </c>
      <c r="E1609" s="665">
        <v>1.0</v>
      </c>
      <c r="F1609" s="662" t="s">
        <v>5044</v>
      </c>
      <c r="G1609" s="662" t="s">
        <v>5045</v>
      </c>
      <c r="H1609" s="698">
        <v>45811.0</v>
      </c>
    </row>
    <row r="1610">
      <c r="A1610" s="662">
        <v>12.0</v>
      </c>
      <c r="B1610" s="662" t="s">
        <v>5046</v>
      </c>
      <c r="C1610" s="662">
        <v>1.0</v>
      </c>
      <c r="D1610" s="673">
        <v>13.6</v>
      </c>
      <c r="E1610" s="665">
        <v>1.0</v>
      </c>
      <c r="F1610" s="662" t="s">
        <v>5047</v>
      </c>
      <c r="G1610" s="662" t="s">
        <v>5043</v>
      </c>
      <c r="H1610" s="698">
        <v>45761.0</v>
      </c>
    </row>
    <row r="1611">
      <c r="A1611" s="662">
        <v>13.0</v>
      </c>
      <c r="B1611" s="680" t="s">
        <v>5048</v>
      </c>
      <c r="C1611" s="662">
        <v>1.0</v>
      </c>
      <c r="D1611" s="673">
        <v>19.9</v>
      </c>
      <c r="E1611" s="665">
        <v>1.0</v>
      </c>
      <c r="F1611" s="680" t="s">
        <v>5049</v>
      </c>
      <c r="G1611" s="662" t="s">
        <v>5050</v>
      </c>
      <c r="H1611" s="681">
        <v>45769.0</v>
      </c>
    </row>
    <row r="1612">
      <c r="A1612" s="662">
        <v>14.0</v>
      </c>
      <c r="B1612" s="680" t="s">
        <v>5051</v>
      </c>
      <c r="C1612" s="662">
        <v>1.0</v>
      </c>
      <c r="D1612" s="673">
        <v>12.7</v>
      </c>
      <c r="E1612" s="665">
        <v>1.0</v>
      </c>
      <c r="F1612" s="680" t="s">
        <v>5052</v>
      </c>
      <c r="G1612" s="662" t="s">
        <v>5053</v>
      </c>
      <c r="H1612" s="662" t="s">
        <v>5054</v>
      </c>
    </row>
    <row r="1613">
      <c r="A1613" s="662">
        <v>15.0</v>
      </c>
      <c r="B1613" s="680" t="s">
        <v>5055</v>
      </c>
      <c r="C1613" s="662">
        <v>1.0</v>
      </c>
      <c r="D1613" s="673">
        <v>7.1</v>
      </c>
      <c r="E1613" s="665">
        <v>1.0</v>
      </c>
      <c r="F1613" s="680" t="s">
        <v>5056</v>
      </c>
      <c r="G1613" s="662" t="s">
        <v>1554</v>
      </c>
      <c r="H1613" s="681">
        <v>45761.0</v>
      </c>
    </row>
    <row r="1614">
      <c r="A1614" s="662">
        <v>16.0</v>
      </c>
      <c r="B1614" s="680" t="s">
        <v>2534</v>
      </c>
      <c r="C1614" s="662">
        <v>1.0</v>
      </c>
      <c r="D1614" s="673">
        <v>19.9</v>
      </c>
      <c r="E1614" s="665">
        <v>1.0</v>
      </c>
      <c r="F1614" s="680" t="s">
        <v>5057</v>
      </c>
      <c r="G1614" s="662" t="s">
        <v>5050</v>
      </c>
      <c r="H1614" s="681">
        <v>45770.0</v>
      </c>
    </row>
    <row r="1615">
      <c r="A1615" s="876">
        <v>17.0</v>
      </c>
      <c r="B1615" s="877" t="s">
        <v>5058</v>
      </c>
      <c r="C1615" s="876">
        <v>1.0</v>
      </c>
      <c r="D1615" s="878">
        <v>2.0</v>
      </c>
      <c r="E1615" s="879">
        <v>1.0</v>
      </c>
      <c r="F1615" s="877" t="s">
        <v>5059</v>
      </c>
      <c r="G1615" s="876" t="s">
        <v>1554</v>
      </c>
      <c r="H1615" s="880">
        <v>45845.0</v>
      </c>
    </row>
    <row r="1616">
      <c r="A1616" s="658">
        <v>18.0</v>
      </c>
      <c r="B1616" s="658" t="s">
        <v>3896</v>
      </c>
      <c r="C1616" s="658">
        <v>1.0</v>
      </c>
      <c r="D1616" s="678">
        <v>5.7</v>
      </c>
      <c r="E1616" s="676">
        <v>2.0</v>
      </c>
      <c r="F1616" s="658" t="s">
        <v>3897</v>
      </c>
      <c r="G1616" s="658" t="s">
        <v>1554</v>
      </c>
      <c r="H1616" s="679">
        <v>45936.0</v>
      </c>
    </row>
    <row r="1617">
      <c r="A1617" s="682"/>
      <c r="B1617" s="682"/>
      <c r="C1617" s="682"/>
      <c r="D1617" s="798"/>
      <c r="E1617" s="799"/>
      <c r="F1617" s="797"/>
      <c r="G1617" s="881"/>
      <c r="H1617" s="881"/>
    </row>
    <row r="1618">
      <c r="A1618" s="682"/>
      <c r="B1618" s="682"/>
      <c r="C1618" s="682"/>
      <c r="D1618" s="798"/>
      <c r="E1618" s="799"/>
      <c r="F1618" s="797"/>
      <c r="G1618" s="881"/>
      <c r="H1618" s="881"/>
    </row>
    <row r="1619">
      <c r="A1619" s="682"/>
      <c r="B1619" s="682"/>
      <c r="C1619" s="682"/>
      <c r="D1619" s="798"/>
      <c r="E1619" s="799"/>
      <c r="F1619" s="797"/>
      <c r="G1619" s="881"/>
      <c r="H1619" s="881"/>
    </row>
    <row r="1620">
      <c r="A1620" s="682"/>
      <c r="B1620" s="682"/>
      <c r="C1620" s="682"/>
      <c r="D1620" s="798"/>
      <c r="E1620" s="799"/>
      <c r="F1620" s="797"/>
      <c r="G1620" s="881"/>
      <c r="H1620" s="881"/>
    </row>
    <row r="1621">
      <c r="A1621" s="682"/>
      <c r="B1621" s="682"/>
      <c r="C1621" s="682"/>
      <c r="D1621" s="798"/>
      <c r="E1621" s="799"/>
      <c r="F1621" s="797"/>
      <c r="G1621" s="881"/>
      <c r="H1621" s="881"/>
    </row>
    <row r="1622">
      <c r="A1622" s="682"/>
      <c r="B1622" s="682"/>
      <c r="C1622" s="682"/>
      <c r="D1622" s="798"/>
      <c r="E1622" s="799"/>
      <c r="F1622" s="797"/>
      <c r="G1622" s="881"/>
      <c r="H1622" s="881"/>
    </row>
    <row r="1623">
      <c r="A1623" s="697" t="s">
        <v>1562</v>
      </c>
      <c r="B1623" s="3"/>
      <c r="C1623" s="658">
        <v>1.0</v>
      </c>
      <c r="D1623" s="721">
        <f>SUM(D1598:D1622)</f>
        <v>331.3</v>
      </c>
      <c r="E1623" s="669">
        <f>sum(E1598:E1610)</f>
        <v>17</v>
      </c>
      <c r="F1623" s="689"/>
      <c r="G1623" s="731"/>
      <c r="H1623" s="731"/>
    </row>
    <row r="1624">
      <c r="A1624" s="712"/>
      <c r="B1624" s="712"/>
      <c r="C1624" s="712"/>
      <c r="D1624" s="712"/>
      <c r="E1624" s="712"/>
      <c r="F1624" s="712"/>
      <c r="G1624" s="712"/>
      <c r="H1624" s="712"/>
    </row>
    <row r="1625">
      <c r="A1625" s="819" t="s">
        <v>215</v>
      </c>
      <c r="B1625" s="712"/>
      <c r="C1625" s="712"/>
      <c r="D1625" s="712"/>
      <c r="E1625" s="712"/>
      <c r="F1625" s="712"/>
      <c r="G1625" s="712"/>
      <c r="H1625" s="712"/>
    </row>
    <row r="1626">
      <c r="A1626" s="713" t="s">
        <v>5060</v>
      </c>
      <c r="B1626" s="293"/>
      <c r="C1626" s="293"/>
      <c r="D1626" s="293"/>
      <c r="E1626" s="293"/>
      <c r="F1626" s="293"/>
      <c r="G1626" s="293"/>
      <c r="H1626" s="294"/>
    </row>
    <row r="1627">
      <c r="A1627" s="690" t="s">
        <v>1435</v>
      </c>
      <c r="B1627" s="690" t="s">
        <v>1436</v>
      </c>
      <c r="C1627" s="690" t="s">
        <v>1843</v>
      </c>
      <c r="D1627" s="693" t="s">
        <v>1438</v>
      </c>
      <c r="E1627" s="694" t="s">
        <v>1564</v>
      </c>
      <c r="F1627" s="690" t="s">
        <v>1440</v>
      </c>
      <c r="G1627" s="690" t="s">
        <v>1844</v>
      </c>
      <c r="H1627" s="695" t="s">
        <v>1441</v>
      </c>
    </row>
    <row r="1628">
      <c r="A1628" s="689">
        <v>1.0</v>
      </c>
      <c r="B1628" s="689" t="s">
        <v>1443</v>
      </c>
      <c r="C1628" s="689">
        <v>1.0</v>
      </c>
      <c r="D1628" s="721">
        <v>150.0</v>
      </c>
      <c r="E1628" s="669"/>
      <c r="F1628" s="689" t="s">
        <v>1518</v>
      </c>
      <c r="G1628" s="689" t="s">
        <v>1731</v>
      </c>
      <c r="H1628" s="731">
        <v>45141.0</v>
      </c>
    </row>
    <row r="1629">
      <c r="A1629" s="689">
        <v>2.0</v>
      </c>
      <c r="B1629" s="689" t="s">
        <v>1444</v>
      </c>
      <c r="C1629" s="689">
        <v>1.0</v>
      </c>
      <c r="D1629" s="721">
        <v>3.2</v>
      </c>
      <c r="E1629" s="669"/>
      <c r="F1629" s="689"/>
      <c r="G1629" s="689"/>
      <c r="H1629" s="731"/>
    </row>
    <row r="1630">
      <c r="A1630" s="689">
        <v>3.0</v>
      </c>
      <c r="B1630" s="689" t="s">
        <v>3673</v>
      </c>
      <c r="C1630" s="689">
        <v>1.0</v>
      </c>
      <c r="D1630" s="721">
        <v>5.0</v>
      </c>
      <c r="E1630" s="669">
        <v>1.0</v>
      </c>
      <c r="F1630" s="689"/>
      <c r="G1630" s="689"/>
      <c r="H1630" s="731"/>
    </row>
    <row r="1631">
      <c r="A1631" s="689">
        <v>4.0</v>
      </c>
      <c r="B1631" s="187" t="s">
        <v>4839</v>
      </c>
      <c r="C1631" s="689">
        <v>1.0</v>
      </c>
      <c r="D1631" s="658">
        <v>9.8</v>
      </c>
      <c r="E1631" s="676">
        <v>1.0</v>
      </c>
      <c r="F1631" s="655" t="s">
        <v>5061</v>
      </c>
      <c r="G1631" s="658" t="s">
        <v>1554</v>
      </c>
      <c r="H1631" s="679">
        <v>46048.0</v>
      </c>
    </row>
    <row r="1632">
      <c r="A1632" s="689">
        <v>5.0</v>
      </c>
      <c r="B1632" s="187" t="s">
        <v>4840</v>
      </c>
      <c r="C1632" s="689">
        <v>1.0</v>
      </c>
      <c r="D1632" s="658">
        <v>34.5</v>
      </c>
      <c r="E1632" s="676">
        <v>2.0</v>
      </c>
      <c r="F1632" s="655" t="s">
        <v>5062</v>
      </c>
      <c r="G1632" s="658" t="s">
        <v>1554</v>
      </c>
      <c r="H1632" s="679">
        <v>46048.0</v>
      </c>
    </row>
    <row r="1633">
      <c r="A1633" s="689">
        <v>6.0</v>
      </c>
      <c r="B1633" s="187" t="s">
        <v>4840</v>
      </c>
      <c r="C1633" s="689">
        <v>1.0</v>
      </c>
      <c r="D1633" s="658">
        <v>34.5</v>
      </c>
      <c r="E1633" s="676">
        <v>2.0</v>
      </c>
      <c r="F1633" s="655" t="s">
        <v>5063</v>
      </c>
      <c r="G1633" s="658" t="s">
        <v>1554</v>
      </c>
      <c r="H1633" s="679">
        <v>46048.0</v>
      </c>
    </row>
    <row r="1634">
      <c r="A1634" s="689">
        <v>7.0</v>
      </c>
      <c r="B1634" s="187" t="s">
        <v>4840</v>
      </c>
      <c r="C1634" s="689">
        <v>1.0</v>
      </c>
      <c r="D1634" s="658">
        <v>34.5</v>
      </c>
      <c r="E1634" s="676">
        <v>2.0</v>
      </c>
      <c r="F1634" s="655" t="s">
        <v>5064</v>
      </c>
      <c r="G1634" s="658" t="s">
        <v>1554</v>
      </c>
      <c r="H1634" s="679">
        <v>46048.0</v>
      </c>
    </row>
    <row r="1635">
      <c r="A1635" s="689">
        <v>8.0</v>
      </c>
      <c r="B1635" s="187" t="s">
        <v>4840</v>
      </c>
      <c r="C1635" s="689">
        <v>1.0</v>
      </c>
      <c r="D1635" s="658">
        <v>34.5</v>
      </c>
      <c r="E1635" s="676">
        <v>2.0</v>
      </c>
      <c r="F1635" s="655" t="s">
        <v>5065</v>
      </c>
      <c r="G1635" s="658" t="s">
        <v>1554</v>
      </c>
      <c r="H1635" s="679">
        <v>46048.0</v>
      </c>
    </row>
    <row r="1636">
      <c r="A1636" s="689">
        <v>9.0</v>
      </c>
      <c r="B1636" s="187" t="s">
        <v>4840</v>
      </c>
      <c r="C1636" s="689">
        <v>1.0</v>
      </c>
      <c r="D1636" s="658">
        <v>34.5</v>
      </c>
      <c r="E1636" s="676">
        <v>2.0</v>
      </c>
      <c r="F1636" s="655" t="s">
        <v>5066</v>
      </c>
      <c r="G1636" s="658" t="s">
        <v>1554</v>
      </c>
      <c r="H1636" s="679">
        <v>46048.0</v>
      </c>
    </row>
    <row r="1637">
      <c r="A1637" s="689"/>
      <c r="B1637" s="187" t="s">
        <v>4840</v>
      </c>
      <c r="C1637" s="689">
        <v>1.0</v>
      </c>
      <c r="D1637" s="658">
        <v>34.5</v>
      </c>
      <c r="E1637" s="676">
        <v>2.0</v>
      </c>
      <c r="F1637" s="655" t="s">
        <v>5067</v>
      </c>
      <c r="G1637" s="658" t="s">
        <v>1554</v>
      </c>
      <c r="H1637" s="679">
        <v>46048.0</v>
      </c>
    </row>
    <row r="1638">
      <c r="A1638" s="689"/>
      <c r="B1638" s="187" t="s">
        <v>4840</v>
      </c>
      <c r="C1638" s="689">
        <v>1.0</v>
      </c>
      <c r="D1638" s="658">
        <v>34.5</v>
      </c>
      <c r="E1638" s="676">
        <v>2.0</v>
      </c>
      <c r="F1638" s="655" t="s">
        <v>5068</v>
      </c>
      <c r="G1638" s="658" t="s">
        <v>1554</v>
      </c>
      <c r="H1638" s="679">
        <v>46048.0</v>
      </c>
    </row>
    <row r="1639">
      <c r="A1639" s="689"/>
      <c r="B1639" s="187" t="s">
        <v>4840</v>
      </c>
      <c r="C1639" s="689">
        <v>1.0</v>
      </c>
      <c r="D1639" s="658">
        <v>34.5</v>
      </c>
      <c r="E1639" s="676">
        <v>2.0</v>
      </c>
      <c r="F1639" s="655" t="s">
        <v>5069</v>
      </c>
      <c r="G1639" s="658" t="s">
        <v>1554</v>
      </c>
      <c r="H1639" s="679">
        <v>46048.0</v>
      </c>
    </row>
    <row r="1640">
      <c r="A1640" s="689"/>
      <c r="B1640" s="187" t="s">
        <v>4840</v>
      </c>
      <c r="C1640" s="689">
        <v>1.0</v>
      </c>
      <c r="D1640" s="658">
        <v>34.5</v>
      </c>
      <c r="E1640" s="676">
        <v>2.0</v>
      </c>
      <c r="F1640" s="655" t="s">
        <v>5070</v>
      </c>
      <c r="G1640" s="658" t="s">
        <v>1554</v>
      </c>
      <c r="H1640" s="679">
        <v>46048.0</v>
      </c>
    </row>
    <row r="1641">
      <c r="A1641" s="689"/>
      <c r="B1641" s="187" t="s">
        <v>4840</v>
      </c>
      <c r="C1641" s="689">
        <v>1.0</v>
      </c>
      <c r="D1641" s="658">
        <v>34.5</v>
      </c>
      <c r="E1641" s="676">
        <v>2.0</v>
      </c>
      <c r="F1641" s="655" t="s">
        <v>5071</v>
      </c>
      <c r="G1641" s="658" t="s">
        <v>1554</v>
      </c>
      <c r="H1641" s="679">
        <v>46048.0</v>
      </c>
    </row>
    <row r="1642">
      <c r="A1642" s="689"/>
      <c r="B1642" s="187" t="s">
        <v>4840</v>
      </c>
      <c r="C1642" s="689">
        <v>1.0</v>
      </c>
      <c r="D1642" s="658">
        <v>34.5</v>
      </c>
      <c r="E1642" s="676">
        <v>2.0</v>
      </c>
      <c r="F1642" s="658" t="s">
        <v>5072</v>
      </c>
      <c r="G1642" s="658" t="s">
        <v>1554</v>
      </c>
      <c r="H1642" s="679">
        <v>46048.0</v>
      </c>
    </row>
    <row r="1643">
      <c r="A1643" s="689"/>
      <c r="B1643" s="187" t="s">
        <v>4840</v>
      </c>
      <c r="C1643" s="689">
        <v>1.0</v>
      </c>
      <c r="D1643" s="658">
        <v>34.5</v>
      </c>
      <c r="E1643" s="676">
        <v>2.0</v>
      </c>
      <c r="F1643" s="658" t="s">
        <v>5073</v>
      </c>
      <c r="G1643" s="658" t="s">
        <v>1554</v>
      </c>
      <c r="H1643" s="679">
        <v>46048.0</v>
      </c>
    </row>
    <row r="1644">
      <c r="A1644" s="689"/>
      <c r="B1644" s="187" t="s">
        <v>4840</v>
      </c>
      <c r="C1644" s="689">
        <v>1.0</v>
      </c>
      <c r="D1644" s="658">
        <v>34.5</v>
      </c>
      <c r="E1644" s="676">
        <v>2.0</v>
      </c>
      <c r="F1644" s="658" t="s">
        <v>5074</v>
      </c>
      <c r="G1644" s="658" t="s">
        <v>1554</v>
      </c>
      <c r="H1644" s="679">
        <v>46048.0</v>
      </c>
    </row>
    <row r="1645">
      <c r="A1645" s="689"/>
      <c r="B1645" s="187" t="s">
        <v>4840</v>
      </c>
      <c r="C1645" s="689">
        <v>1.0</v>
      </c>
      <c r="D1645" s="658">
        <v>34.5</v>
      </c>
      <c r="E1645" s="676">
        <v>2.0</v>
      </c>
      <c r="F1645" s="658" t="s">
        <v>5075</v>
      </c>
      <c r="G1645" s="658" t="s">
        <v>1554</v>
      </c>
      <c r="H1645" s="679">
        <v>46048.0</v>
      </c>
    </row>
    <row r="1646">
      <c r="A1646" s="689"/>
      <c r="B1646" s="689"/>
      <c r="C1646" s="689"/>
      <c r="D1646" s="721"/>
      <c r="E1646" s="669"/>
      <c r="F1646" s="689"/>
      <c r="G1646" s="731"/>
      <c r="H1646" s="731"/>
    </row>
    <row r="1647">
      <c r="A1647" s="689"/>
      <c r="B1647" s="689"/>
      <c r="C1647" s="689"/>
      <c r="D1647" s="721"/>
      <c r="E1647" s="669"/>
      <c r="F1647" s="689"/>
      <c r="G1647" s="731"/>
      <c r="H1647" s="731"/>
    </row>
    <row r="1648">
      <c r="A1648" s="689"/>
      <c r="B1648" s="689"/>
      <c r="C1648" s="689"/>
      <c r="D1648" s="721"/>
      <c r="E1648" s="669"/>
      <c r="F1648" s="689"/>
      <c r="G1648" s="731"/>
      <c r="H1648" s="731"/>
    </row>
    <row r="1649">
      <c r="A1649" s="732" t="s">
        <v>1562</v>
      </c>
      <c r="B1649" s="3"/>
      <c r="C1649" s="689">
        <f t="shared" ref="C1649:E1649" si="67">sum(C1628:C1636)</f>
        <v>9</v>
      </c>
      <c r="D1649" s="721">
        <f t="shared" si="67"/>
        <v>340.5</v>
      </c>
      <c r="E1649" s="669">
        <f t="shared" si="67"/>
        <v>12</v>
      </c>
      <c r="F1649" s="689"/>
      <c r="G1649" s="731"/>
      <c r="H1649" s="731"/>
    </row>
    <row r="1650">
      <c r="A1650" s="689"/>
      <c r="B1650" s="689"/>
      <c r="C1650" s="689"/>
      <c r="D1650" s="689"/>
      <c r="E1650" s="689"/>
      <c r="F1650" s="689"/>
      <c r="G1650" s="689"/>
      <c r="H1650" s="689"/>
    </row>
    <row r="1651">
      <c r="A1651" s="689"/>
      <c r="B1651" s="689"/>
      <c r="C1651" s="689"/>
      <c r="D1651" s="689"/>
      <c r="E1651" s="689"/>
      <c r="F1651" s="689"/>
      <c r="G1651" s="689"/>
      <c r="H1651" s="689"/>
    </row>
    <row r="1652">
      <c r="A1652" s="649" t="s">
        <v>5076</v>
      </c>
      <c r="B1652" s="2"/>
      <c r="C1652" s="2"/>
      <c r="D1652" s="2"/>
      <c r="E1652" s="2"/>
      <c r="F1652" s="2"/>
      <c r="G1652" s="2"/>
      <c r="H1652" s="3"/>
    </row>
    <row r="1653">
      <c r="A1653" s="690" t="s">
        <v>1435</v>
      </c>
      <c r="B1653" s="690" t="s">
        <v>1436</v>
      </c>
      <c r="C1653" s="690" t="s">
        <v>1843</v>
      </c>
      <c r="D1653" s="693" t="s">
        <v>1438</v>
      </c>
      <c r="E1653" s="694" t="s">
        <v>1564</v>
      </c>
      <c r="F1653" s="690" t="s">
        <v>1440</v>
      </c>
      <c r="G1653" s="690" t="s">
        <v>1844</v>
      </c>
      <c r="H1653" s="695" t="s">
        <v>1441</v>
      </c>
    </row>
    <row r="1654">
      <c r="A1654" s="689">
        <v>1.0</v>
      </c>
      <c r="B1654" s="689" t="s">
        <v>1443</v>
      </c>
      <c r="C1654" s="689">
        <v>1.0</v>
      </c>
      <c r="D1654" s="721">
        <v>150.0</v>
      </c>
      <c r="E1654" s="676" t="s">
        <v>1518</v>
      </c>
      <c r="F1654" s="689" t="s">
        <v>1518</v>
      </c>
      <c r="G1654" s="658" t="s">
        <v>1554</v>
      </c>
      <c r="H1654" s="731">
        <v>45141.0</v>
      </c>
    </row>
    <row r="1655">
      <c r="A1655" s="689">
        <v>2.0</v>
      </c>
      <c r="B1655" s="689" t="s">
        <v>1444</v>
      </c>
      <c r="C1655" s="689">
        <v>1.0</v>
      </c>
      <c r="D1655" s="721">
        <v>3.2</v>
      </c>
      <c r="E1655" s="676" t="s">
        <v>1518</v>
      </c>
      <c r="F1655" s="658" t="s">
        <v>1518</v>
      </c>
      <c r="G1655" s="689"/>
      <c r="H1655" s="731"/>
    </row>
    <row r="1656">
      <c r="A1656" s="689">
        <v>3.0</v>
      </c>
      <c r="B1656" s="689" t="s">
        <v>3673</v>
      </c>
      <c r="C1656" s="689">
        <v>1.0</v>
      </c>
      <c r="D1656" s="721">
        <v>5.0</v>
      </c>
      <c r="E1656" s="669">
        <v>1.0</v>
      </c>
      <c r="F1656" s="689"/>
      <c r="G1656" s="689"/>
      <c r="H1656" s="731"/>
    </row>
    <row r="1657">
      <c r="A1657" s="689">
        <v>4.0</v>
      </c>
      <c r="B1657" s="658" t="s">
        <v>5077</v>
      </c>
      <c r="C1657" s="689">
        <v>1.0</v>
      </c>
      <c r="D1657" s="678">
        <v>33.6</v>
      </c>
      <c r="E1657" s="676">
        <v>2.0</v>
      </c>
      <c r="F1657" s="658" t="s">
        <v>5078</v>
      </c>
      <c r="G1657" s="658" t="s">
        <v>5079</v>
      </c>
      <c r="H1657" s="696">
        <v>45671.0</v>
      </c>
    </row>
    <row r="1658">
      <c r="A1658" s="722">
        <v>5.0</v>
      </c>
      <c r="B1658" s="662" t="s">
        <v>5077</v>
      </c>
      <c r="C1658" s="722"/>
      <c r="D1658" s="673"/>
      <c r="E1658" s="665"/>
      <c r="F1658" s="662" t="s">
        <v>5080</v>
      </c>
      <c r="G1658" s="662" t="s">
        <v>5081</v>
      </c>
      <c r="H1658" s="662" t="s">
        <v>5082</v>
      </c>
    </row>
    <row r="1659">
      <c r="A1659" s="689">
        <v>6.0</v>
      </c>
      <c r="B1659" s="658" t="s">
        <v>5077</v>
      </c>
      <c r="C1659" s="689">
        <v>1.0</v>
      </c>
      <c r="D1659" s="678">
        <v>33.6</v>
      </c>
      <c r="E1659" s="676">
        <v>2.0</v>
      </c>
      <c r="F1659" s="658" t="s">
        <v>5083</v>
      </c>
      <c r="G1659" s="689" t="s">
        <v>1731</v>
      </c>
      <c r="H1659" s="696">
        <v>45671.0</v>
      </c>
    </row>
    <row r="1660">
      <c r="A1660" s="722">
        <v>7.0</v>
      </c>
      <c r="B1660" s="662" t="s">
        <v>5084</v>
      </c>
      <c r="C1660" s="722"/>
      <c r="D1660" s="673"/>
      <c r="E1660" s="665"/>
      <c r="F1660" s="662" t="s">
        <v>5085</v>
      </c>
      <c r="G1660" s="662" t="s">
        <v>300</v>
      </c>
      <c r="H1660" s="662" t="s">
        <v>5082</v>
      </c>
    </row>
    <row r="1661">
      <c r="A1661" s="722">
        <v>8.0</v>
      </c>
      <c r="B1661" s="662" t="s">
        <v>5084</v>
      </c>
      <c r="C1661" s="722"/>
      <c r="D1661" s="673"/>
      <c r="E1661" s="665"/>
      <c r="F1661" s="662" t="s">
        <v>5086</v>
      </c>
      <c r="G1661" s="662" t="s">
        <v>300</v>
      </c>
      <c r="H1661" s="662" t="s">
        <v>5082</v>
      </c>
    </row>
    <row r="1662">
      <c r="A1662" s="722">
        <v>9.0</v>
      </c>
      <c r="B1662" s="662" t="s">
        <v>5084</v>
      </c>
      <c r="C1662" s="722"/>
      <c r="D1662" s="673"/>
      <c r="E1662" s="665"/>
      <c r="F1662" s="662" t="s">
        <v>5087</v>
      </c>
      <c r="G1662" s="662" t="s">
        <v>300</v>
      </c>
      <c r="H1662" s="662" t="s">
        <v>5082</v>
      </c>
    </row>
    <row r="1663">
      <c r="A1663" s="658">
        <v>10.0</v>
      </c>
      <c r="B1663" s="689" t="s">
        <v>5088</v>
      </c>
      <c r="C1663" s="689">
        <v>1.0</v>
      </c>
      <c r="D1663" s="678">
        <v>4.47</v>
      </c>
      <c r="E1663" s="676">
        <v>1.0</v>
      </c>
      <c r="F1663" s="689" t="s">
        <v>5089</v>
      </c>
      <c r="G1663" s="658" t="s">
        <v>5079</v>
      </c>
      <c r="H1663" s="731">
        <v>45677.0</v>
      </c>
    </row>
    <row r="1664">
      <c r="A1664" s="658">
        <v>11.0</v>
      </c>
      <c r="B1664" s="658" t="s">
        <v>5090</v>
      </c>
      <c r="C1664" s="689">
        <v>1.0</v>
      </c>
      <c r="D1664" s="678">
        <v>23.4</v>
      </c>
      <c r="E1664" s="676">
        <v>2.0</v>
      </c>
      <c r="F1664" s="658" t="s">
        <v>5091</v>
      </c>
      <c r="G1664" s="658" t="s">
        <v>5079</v>
      </c>
      <c r="H1664" s="679">
        <v>45712.0</v>
      </c>
    </row>
    <row r="1665">
      <c r="A1665" s="658">
        <v>12.0</v>
      </c>
      <c r="B1665" s="658" t="s">
        <v>5090</v>
      </c>
      <c r="C1665" s="689">
        <v>1.0</v>
      </c>
      <c r="D1665" s="678">
        <v>23.4</v>
      </c>
      <c r="E1665" s="676">
        <v>2.0</v>
      </c>
      <c r="F1665" s="658" t="s">
        <v>5092</v>
      </c>
      <c r="G1665" s="658" t="s">
        <v>5079</v>
      </c>
      <c r="H1665" s="679">
        <v>45712.0</v>
      </c>
    </row>
    <row r="1666">
      <c r="A1666" s="689">
        <v>9.0</v>
      </c>
      <c r="B1666" s="689" t="s">
        <v>5088</v>
      </c>
      <c r="C1666" s="689">
        <v>1.0</v>
      </c>
      <c r="D1666" s="721">
        <v>4.47</v>
      </c>
      <c r="E1666" s="669">
        <v>1.0</v>
      </c>
      <c r="F1666" s="689" t="s">
        <v>5089</v>
      </c>
      <c r="G1666" s="731"/>
      <c r="H1666" s="731">
        <v>45719.0</v>
      </c>
    </row>
    <row r="1667">
      <c r="A1667" s="722">
        <v>10.0</v>
      </c>
      <c r="B1667" s="722" t="s">
        <v>5090</v>
      </c>
      <c r="C1667" s="722"/>
      <c r="D1667" s="664"/>
      <c r="E1667" s="723"/>
      <c r="F1667" s="722" t="s">
        <v>5091</v>
      </c>
      <c r="G1667" s="662" t="s">
        <v>300</v>
      </c>
      <c r="H1667" s="662" t="s">
        <v>5093</v>
      </c>
    </row>
    <row r="1668">
      <c r="A1668" s="722">
        <v>11.0</v>
      </c>
      <c r="B1668" s="722" t="s">
        <v>5090</v>
      </c>
      <c r="C1668" s="722"/>
      <c r="D1668" s="664"/>
      <c r="E1668" s="723"/>
      <c r="F1668" s="722" t="s">
        <v>5092</v>
      </c>
      <c r="G1668" s="662" t="s">
        <v>300</v>
      </c>
      <c r="H1668" s="662" t="s">
        <v>5093</v>
      </c>
    </row>
    <row r="1669">
      <c r="A1669" s="722">
        <v>12.0</v>
      </c>
      <c r="B1669" s="722" t="s">
        <v>5077</v>
      </c>
      <c r="C1669" s="722"/>
      <c r="D1669" s="664"/>
      <c r="E1669" s="723"/>
      <c r="F1669" s="722" t="s">
        <v>5078</v>
      </c>
      <c r="G1669" s="662" t="s">
        <v>300</v>
      </c>
      <c r="H1669" s="662" t="s">
        <v>5093</v>
      </c>
    </row>
    <row r="1670">
      <c r="A1670" s="662">
        <v>13.0</v>
      </c>
      <c r="B1670" s="662" t="s">
        <v>5094</v>
      </c>
      <c r="C1670" s="662"/>
      <c r="D1670" s="673"/>
      <c r="E1670" s="665"/>
      <c r="F1670" s="662" t="s">
        <v>5095</v>
      </c>
      <c r="G1670" s="662" t="s">
        <v>425</v>
      </c>
      <c r="H1670" s="662" t="s">
        <v>5096</v>
      </c>
    </row>
    <row r="1671">
      <c r="A1671" s="655">
        <v>14.0</v>
      </c>
      <c r="B1671" s="655" t="s">
        <v>5097</v>
      </c>
      <c r="C1671" s="655">
        <v>1.0</v>
      </c>
      <c r="D1671" s="656">
        <v>7.4</v>
      </c>
      <c r="E1671" s="657">
        <v>1.0</v>
      </c>
      <c r="F1671" s="655" t="s">
        <v>5098</v>
      </c>
      <c r="G1671" s="655" t="s">
        <v>1731</v>
      </c>
      <c r="H1671" s="719">
        <v>45763.0</v>
      </c>
    </row>
    <row r="1672">
      <c r="A1672" s="658">
        <v>15.0</v>
      </c>
      <c r="B1672" s="658" t="s">
        <v>5099</v>
      </c>
      <c r="C1672" s="658">
        <v>1.0</v>
      </c>
      <c r="D1672" s="678">
        <v>6.8</v>
      </c>
      <c r="E1672" s="676">
        <v>1.0</v>
      </c>
      <c r="F1672" s="658" t="s">
        <v>5100</v>
      </c>
      <c r="G1672" s="655" t="s">
        <v>158</v>
      </c>
      <c r="H1672" s="679">
        <v>45770.0</v>
      </c>
    </row>
    <row r="1673">
      <c r="A1673" s="732" t="s">
        <v>1562</v>
      </c>
      <c r="B1673" s="3"/>
      <c r="C1673" s="689">
        <f t="shared" ref="C1673:E1673" si="68">sum(C1654:C1672)</f>
        <v>11</v>
      </c>
      <c r="D1673" s="721">
        <f t="shared" si="68"/>
        <v>295.34</v>
      </c>
      <c r="E1673" s="669">
        <f t="shared" si="68"/>
        <v>13</v>
      </c>
      <c r="F1673" s="689"/>
      <c r="G1673" s="731"/>
      <c r="H1673" s="731"/>
    </row>
    <row r="1674">
      <c r="A1674" s="882"/>
      <c r="B1674" s="883"/>
      <c r="C1674" s="883"/>
      <c r="D1674" s="883"/>
      <c r="E1674" s="883"/>
      <c r="F1674" s="883"/>
      <c r="G1674" s="883"/>
      <c r="H1674" s="884"/>
    </row>
    <row r="1675">
      <c r="A1675" s="885"/>
      <c r="B1675" s="886"/>
      <c r="C1675" s="886"/>
      <c r="D1675" s="886"/>
      <c r="E1675" s="886"/>
      <c r="F1675" s="886"/>
      <c r="G1675" s="886"/>
      <c r="H1675" s="887"/>
    </row>
    <row r="1676">
      <c r="A1676" s="649" t="s">
        <v>5101</v>
      </c>
      <c r="B1676" s="2"/>
      <c r="C1676" s="2"/>
      <c r="D1676" s="2"/>
      <c r="E1676" s="2"/>
      <c r="F1676" s="2"/>
      <c r="G1676" s="2"/>
      <c r="H1676" s="3"/>
    </row>
    <row r="1677">
      <c r="A1677" s="690" t="s">
        <v>1435</v>
      </c>
      <c r="B1677" s="690" t="s">
        <v>1436</v>
      </c>
      <c r="C1677" s="690" t="s">
        <v>1843</v>
      </c>
      <c r="D1677" s="693" t="s">
        <v>1438</v>
      </c>
      <c r="E1677" s="694" t="s">
        <v>1564</v>
      </c>
      <c r="F1677" s="690" t="s">
        <v>1440</v>
      </c>
      <c r="G1677" s="690" t="s">
        <v>1844</v>
      </c>
      <c r="H1677" s="695" t="s">
        <v>1441</v>
      </c>
    </row>
    <row r="1678">
      <c r="A1678" s="689">
        <v>1.0</v>
      </c>
      <c r="B1678" s="689" t="s">
        <v>1443</v>
      </c>
      <c r="C1678" s="689">
        <v>1.0</v>
      </c>
      <c r="D1678" s="721">
        <v>150.0</v>
      </c>
      <c r="E1678" s="669"/>
      <c r="F1678" s="689" t="s">
        <v>1518</v>
      </c>
      <c r="G1678" s="658" t="s">
        <v>1554</v>
      </c>
      <c r="H1678" s="731">
        <v>45141.0</v>
      </c>
    </row>
    <row r="1679">
      <c r="A1679" s="689">
        <v>2.0</v>
      </c>
      <c r="B1679" s="689" t="s">
        <v>1444</v>
      </c>
      <c r="C1679" s="689">
        <v>1.0</v>
      </c>
      <c r="D1679" s="721">
        <v>3.2</v>
      </c>
      <c r="E1679" s="669"/>
      <c r="F1679" s="689"/>
      <c r="G1679" s="658" t="s">
        <v>1554</v>
      </c>
      <c r="H1679" s="731">
        <v>45141.0</v>
      </c>
    </row>
    <row r="1680">
      <c r="A1680" s="689">
        <v>3.0</v>
      </c>
      <c r="B1680" s="689" t="s">
        <v>3673</v>
      </c>
      <c r="C1680" s="689">
        <v>1.0</v>
      </c>
      <c r="D1680" s="721">
        <v>5.0</v>
      </c>
      <c r="E1680" s="669">
        <v>1.0</v>
      </c>
      <c r="F1680" s="689"/>
      <c r="G1680" s="658" t="s">
        <v>1554</v>
      </c>
      <c r="H1680" s="731">
        <v>45141.0</v>
      </c>
    </row>
    <row r="1681">
      <c r="A1681" s="689">
        <v>4.0</v>
      </c>
      <c r="B1681" s="655" t="s">
        <v>2019</v>
      </c>
      <c r="C1681" s="658">
        <v>1.0</v>
      </c>
      <c r="D1681" s="678">
        <v>15.3</v>
      </c>
      <c r="E1681" s="676">
        <v>1.0</v>
      </c>
      <c r="F1681" s="655" t="s">
        <v>5102</v>
      </c>
      <c r="G1681" s="658" t="s">
        <v>1554</v>
      </c>
      <c r="H1681" s="696">
        <v>45785.0</v>
      </c>
    </row>
    <row r="1682">
      <c r="A1682" s="689">
        <v>5.0</v>
      </c>
      <c r="B1682" s="655" t="s">
        <v>3231</v>
      </c>
      <c r="C1682" s="658">
        <v>1.0</v>
      </c>
      <c r="D1682" s="678">
        <v>2.9</v>
      </c>
      <c r="E1682" s="676">
        <v>1.0</v>
      </c>
      <c r="F1682" s="655" t="s">
        <v>5103</v>
      </c>
      <c r="G1682" s="658" t="s">
        <v>1554</v>
      </c>
      <c r="H1682" s="696">
        <v>45785.0</v>
      </c>
    </row>
    <row r="1683">
      <c r="A1683" s="722">
        <v>6.0</v>
      </c>
      <c r="B1683" s="662" t="s">
        <v>5104</v>
      </c>
      <c r="C1683" s="662">
        <v>1.0</v>
      </c>
      <c r="D1683" s="673">
        <v>11.2</v>
      </c>
      <c r="E1683" s="665">
        <v>1.0</v>
      </c>
      <c r="F1683" s="850" t="s">
        <v>5105</v>
      </c>
      <c r="G1683" s="662" t="s">
        <v>5106</v>
      </c>
      <c r="H1683" s="698">
        <v>45785.0</v>
      </c>
    </row>
    <row r="1684">
      <c r="A1684" s="689">
        <v>7.0</v>
      </c>
      <c r="B1684" s="655" t="s">
        <v>2016</v>
      </c>
      <c r="C1684" s="658">
        <v>1.0</v>
      </c>
      <c r="D1684" s="678">
        <v>18.8</v>
      </c>
      <c r="E1684" s="676">
        <v>1.0</v>
      </c>
      <c r="F1684" s="730"/>
      <c r="G1684" s="658" t="s">
        <v>1554</v>
      </c>
      <c r="H1684" s="696">
        <v>45805.0</v>
      </c>
    </row>
    <row r="1685">
      <c r="A1685" s="730">
        <v>8.0</v>
      </c>
      <c r="B1685" s="655" t="s">
        <v>5104</v>
      </c>
      <c r="C1685" s="655">
        <v>1.0</v>
      </c>
      <c r="D1685" s="656">
        <v>11.2</v>
      </c>
      <c r="E1685" s="657">
        <v>1.0</v>
      </c>
      <c r="F1685" s="655" t="s">
        <v>5107</v>
      </c>
      <c r="G1685" s="658" t="s">
        <v>1554</v>
      </c>
      <c r="H1685" s="661">
        <v>46122.0</v>
      </c>
    </row>
    <row r="1686">
      <c r="A1686" s="689">
        <v>9.0</v>
      </c>
      <c r="B1686" s="730"/>
      <c r="C1686" s="689"/>
      <c r="D1686" s="721"/>
      <c r="E1686" s="669"/>
      <c r="F1686" s="730"/>
      <c r="G1686" s="689"/>
      <c r="H1686" s="670"/>
    </row>
    <row r="1687">
      <c r="A1687" s="732" t="s">
        <v>1562</v>
      </c>
      <c r="B1687" s="3"/>
      <c r="C1687" s="689">
        <f t="shared" ref="C1687:E1687" si="69">sum(C1678:C1686)</f>
        <v>8</v>
      </c>
      <c r="D1687" s="721">
        <f t="shared" si="69"/>
        <v>217.6</v>
      </c>
      <c r="E1687" s="669">
        <f t="shared" si="69"/>
        <v>6</v>
      </c>
      <c r="F1687" s="689"/>
      <c r="G1687" s="731"/>
      <c r="H1687" s="731"/>
    </row>
    <row r="1688">
      <c r="A1688" s="882"/>
      <c r="B1688" s="883"/>
      <c r="C1688" s="883"/>
      <c r="D1688" s="883"/>
      <c r="E1688" s="883"/>
      <c r="F1688" s="883"/>
      <c r="G1688" s="883"/>
      <c r="H1688" s="884"/>
    </row>
    <row r="1689">
      <c r="A1689" s="885"/>
      <c r="B1689" s="886"/>
      <c r="C1689" s="886"/>
      <c r="D1689" s="886"/>
      <c r="E1689" s="886"/>
      <c r="F1689" s="886"/>
      <c r="G1689" s="886"/>
      <c r="H1689" s="887"/>
    </row>
    <row r="1690">
      <c r="A1690" s="649" t="s">
        <v>5108</v>
      </c>
      <c r="B1690" s="2"/>
      <c r="C1690" s="2"/>
      <c r="D1690" s="2"/>
      <c r="E1690" s="2"/>
      <c r="F1690" s="2"/>
      <c r="G1690" s="2"/>
      <c r="H1690" s="3"/>
    </row>
    <row r="1691">
      <c r="A1691" s="690" t="s">
        <v>1435</v>
      </c>
      <c r="B1691" s="690" t="s">
        <v>1436</v>
      </c>
      <c r="C1691" s="690" t="s">
        <v>1843</v>
      </c>
      <c r="D1691" s="693" t="s">
        <v>1438</v>
      </c>
      <c r="E1691" s="694" t="s">
        <v>1564</v>
      </c>
      <c r="F1691" s="690" t="s">
        <v>1440</v>
      </c>
      <c r="G1691" s="690" t="s">
        <v>1844</v>
      </c>
      <c r="H1691" s="695" t="s">
        <v>1441</v>
      </c>
    </row>
    <row r="1692">
      <c r="A1692" s="689">
        <v>1.0</v>
      </c>
      <c r="B1692" s="689" t="s">
        <v>1443</v>
      </c>
      <c r="C1692" s="689">
        <v>1.0</v>
      </c>
      <c r="D1692" s="721">
        <v>150.0</v>
      </c>
      <c r="E1692" s="669"/>
      <c r="F1692" s="689" t="s">
        <v>1518</v>
      </c>
      <c r="G1692" s="658" t="s">
        <v>1554</v>
      </c>
      <c r="H1692" s="731">
        <v>45141.0</v>
      </c>
    </row>
    <row r="1693">
      <c r="A1693" s="689">
        <v>2.0</v>
      </c>
      <c r="B1693" s="689" t="s">
        <v>1444</v>
      </c>
      <c r="C1693" s="689">
        <v>1.0</v>
      </c>
      <c r="D1693" s="721">
        <v>3.2</v>
      </c>
      <c r="E1693" s="669"/>
      <c r="F1693" s="689"/>
      <c r="G1693" s="658" t="s">
        <v>1554</v>
      </c>
      <c r="H1693" s="731">
        <v>45141.0</v>
      </c>
    </row>
    <row r="1694">
      <c r="A1694" s="689">
        <v>3.0</v>
      </c>
      <c r="B1694" s="689" t="s">
        <v>3673</v>
      </c>
      <c r="C1694" s="689">
        <v>1.0</v>
      </c>
      <c r="D1694" s="721">
        <v>5.0</v>
      </c>
      <c r="E1694" s="669">
        <v>1.0</v>
      </c>
      <c r="F1694" s="689"/>
      <c r="G1694" s="658" t="s">
        <v>1554</v>
      </c>
      <c r="H1694" s="731">
        <v>45141.0</v>
      </c>
    </row>
    <row r="1695">
      <c r="A1695" s="689">
        <v>4.0</v>
      </c>
      <c r="B1695" s="655" t="s">
        <v>5109</v>
      </c>
      <c r="C1695" s="689">
        <v>1.0</v>
      </c>
      <c r="D1695" s="678">
        <v>27.66</v>
      </c>
      <c r="E1695" s="669">
        <v>1.0</v>
      </c>
      <c r="F1695" s="655" t="s">
        <v>5110</v>
      </c>
      <c r="G1695" s="658" t="s">
        <v>1554</v>
      </c>
      <c r="H1695" s="696">
        <v>45906.0</v>
      </c>
    </row>
    <row r="1696">
      <c r="A1696" s="689">
        <v>5.0</v>
      </c>
      <c r="B1696" s="655" t="s">
        <v>5109</v>
      </c>
      <c r="C1696" s="689">
        <v>1.0</v>
      </c>
      <c r="D1696" s="678">
        <v>27.66</v>
      </c>
      <c r="E1696" s="669">
        <v>1.0</v>
      </c>
      <c r="F1696" s="655" t="s">
        <v>5111</v>
      </c>
      <c r="G1696" s="658" t="s">
        <v>1554</v>
      </c>
      <c r="H1696" s="696">
        <v>45906.0</v>
      </c>
    </row>
    <row r="1697">
      <c r="A1697" s="689">
        <v>6.0</v>
      </c>
      <c r="B1697" s="655" t="s">
        <v>1696</v>
      </c>
      <c r="C1697" s="689">
        <v>1.0</v>
      </c>
      <c r="D1697" s="678">
        <v>10.0</v>
      </c>
      <c r="E1697" s="669">
        <v>1.0</v>
      </c>
      <c r="F1697" s="655" t="s">
        <v>5112</v>
      </c>
      <c r="G1697" s="658" t="s">
        <v>1554</v>
      </c>
      <c r="H1697" s="696">
        <v>45906.0</v>
      </c>
    </row>
    <row r="1698">
      <c r="A1698" s="722">
        <v>7.0</v>
      </c>
      <c r="B1698" s="662" t="s">
        <v>5113</v>
      </c>
      <c r="C1698" s="722">
        <v>1.0</v>
      </c>
      <c r="D1698" s="673">
        <v>4.3</v>
      </c>
      <c r="E1698" s="723">
        <v>1.0</v>
      </c>
      <c r="F1698" s="662" t="s">
        <v>5114</v>
      </c>
      <c r="G1698" s="662" t="s">
        <v>1554</v>
      </c>
      <c r="H1698" s="698">
        <v>45906.0</v>
      </c>
    </row>
    <row r="1699">
      <c r="A1699" s="689">
        <v>8.0</v>
      </c>
      <c r="B1699" s="655" t="s">
        <v>5115</v>
      </c>
      <c r="C1699" s="689">
        <v>1.0</v>
      </c>
      <c r="D1699" s="678">
        <v>16.0</v>
      </c>
      <c r="E1699" s="676">
        <v>1.0</v>
      </c>
      <c r="F1699" s="655" t="s">
        <v>5110</v>
      </c>
      <c r="G1699" s="658" t="s">
        <v>1554</v>
      </c>
      <c r="H1699" s="696">
        <v>45933.0</v>
      </c>
    </row>
    <row r="1700">
      <c r="A1700" s="689"/>
      <c r="B1700" s="655" t="s">
        <v>5116</v>
      </c>
      <c r="C1700" s="689">
        <v>1.0</v>
      </c>
      <c r="D1700" s="678">
        <v>14.0</v>
      </c>
      <c r="E1700" s="676">
        <v>1.0</v>
      </c>
      <c r="F1700" s="655"/>
      <c r="G1700" s="658" t="s">
        <v>1554</v>
      </c>
      <c r="H1700" s="696">
        <v>45933.0</v>
      </c>
    </row>
    <row r="1701">
      <c r="A1701" s="689">
        <v>9.0</v>
      </c>
      <c r="B1701" s="655" t="s">
        <v>5116</v>
      </c>
      <c r="C1701" s="689">
        <v>1.0</v>
      </c>
      <c r="D1701" s="678">
        <v>14.0</v>
      </c>
      <c r="E1701" s="676">
        <v>1.0</v>
      </c>
      <c r="F1701" s="655" t="s">
        <v>5111</v>
      </c>
      <c r="G1701" s="658" t="s">
        <v>1554</v>
      </c>
      <c r="H1701" s="696">
        <v>45933.0</v>
      </c>
    </row>
    <row r="1702">
      <c r="A1702" s="655">
        <v>10.0</v>
      </c>
      <c r="B1702" s="806" t="s">
        <v>5117</v>
      </c>
      <c r="C1702" s="655">
        <v>1.0</v>
      </c>
      <c r="D1702" s="656">
        <v>10.9</v>
      </c>
      <c r="E1702" s="657">
        <v>2.0</v>
      </c>
      <c r="F1702" s="888" t="s">
        <v>5118</v>
      </c>
      <c r="G1702" s="392" t="s">
        <v>158</v>
      </c>
      <c r="H1702" s="659">
        <v>45936.0</v>
      </c>
    </row>
    <row r="1703">
      <c r="A1703" s="836">
        <v>11.0</v>
      </c>
      <c r="B1703" s="655" t="s">
        <v>5119</v>
      </c>
      <c r="C1703" s="655">
        <v>1.0</v>
      </c>
      <c r="D1703" s="655" t="s">
        <v>5120</v>
      </c>
      <c r="E1703" s="657">
        <v>1.0</v>
      </c>
      <c r="F1703" s="806" t="s">
        <v>5121</v>
      </c>
      <c r="G1703" s="655" t="s">
        <v>158</v>
      </c>
      <c r="H1703" s="659">
        <v>45936.0</v>
      </c>
    </row>
    <row r="1704">
      <c r="A1704" s="836">
        <v>12.0</v>
      </c>
      <c r="B1704" s="345" t="s">
        <v>1696</v>
      </c>
      <c r="C1704" s="345">
        <v>1.0</v>
      </c>
      <c r="D1704" s="757">
        <v>15.3</v>
      </c>
      <c r="E1704" s="657">
        <v>1.0</v>
      </c>
      <c r="F1704" s="807" t="s">
        <v>5122</v>
      </c>
      <c r="G1704" s="658" t="s">
        <v>1554</v>
      </c>
      <c r="H1704" s="659">
        <v>45959.0</v>
      </c>
    </row>
    <row r="1705">
      <c r="A1705" s="836">
        <v>13.0</v>
      </c>
      <c r="B1705" s="345" t="s">
        <v>5123</v>
      </c>
      <c r="C1705" s="345">
        <v>1.0</v>
      </c>
      <c r="D1705" s="757">
        <v>30.2</v>
      </c>
      <c r="E1705" s="657">
        <v>1.0</v>
      </c>
      <c r="F1705" s="807" t="s">
        <v>5124</v>
      </c>
      <c r="G1705" s="658" t="s">
        <v>1554</v>
      </c>
      <c r="H1705" s="659">
        <v>45959.0</v>
      </c>
    </row>
    <row r="1706">
      <c r="A1706" s="836">
        <v>14.0</v>
      </c>
      <c r="B1706" s="345" t="s">
        <v>5125</v>
      </c>
      <c r="C1706" s="345">
        <v>1.0</v>
      </c>
      <c r="D1706" s="757">
        <v>5.1</v>
      </c>
      <c r="E1706" s="657">
        <v>1.0</v>
      </c>
      <c r="F1706" s="807">
        <v>21011.0</v>
      </c>
      <c r="G1706" s="658" t="s">
        <v>1554</v>
      </c>
      <c r="H1706" s="659">
        <v>45959.0</v>
      </c>
    </row>
    <row r="1707">
      <c r="A1707" s="889">
        <v>15.0</v>
      </c>
      <c r="B1707" s="680" t="s">
        <v>2874</v>
      </c>
      <c r="C1707" s="680">
        <v>1.0</v>
      </c>
      <c r="D1707" s="890">
        <v>6.7</v>
      </c>
      <c r="E1707" s="665">
        <v>1.0</v>
      </c>
      <c r="F1707" s="891" t="s">
        <v>5126</v>
      </c>
      <c r="G1707" s="662" t="s">
        <v>1554</v>
      </c>
      <c r="H1707" s="681">
        <v>45976.0</v>
      </c>
    </row>
    <row r="1708">
      <c r="A1708" s="836">
        <v>16.0</v>
      </c>
      <c r="B1708" s="345" t="s">
        <v>5127</v>
      </c>
      <c r="C1708" s="345">
        <v>1.0</v>
      </c>
      <c r="D1708" s="757">
        <v>5.0</v>
      </c>
      <c r="E1708" s="657">
        <v>1.0</v>
      </c>
      <c r="F1708" s="807" t="s">
        <v>5128</v>
      </c>
      <c r="G1708" s="658" t="s">
        <v>1554</v>
      </c>
      <c r="H1708" s="659">
        <v>45976.0</v>
      </c>
    </row>
    <row r="1709">
      <c r="A1709" s="892">
        <v>17.0</v>
      </c>
      <c r="B1709" s="349" t="s">
        <v>5129</v>
      </c>
      <c r="C1709" s="349">
        <v>1.0</v>
      </c>
      <c r="D1709" s="893">
        <v>8.9</v>
      </c>
      <c r="E1709" s="189">
        <v>1.0</v>
      </c>
      <c r="F1709" s="894" t="s">
        <v>5130</v>
      </c>
      <c r="G1709" s="187" t="s">
        <v>158</v>
      </c>
      <c r="H1709" s="895">
        <v>46056.0</v>
      </c>
    </row>
    <row r="1710">
      <c r="A1710" s="732" t="s">
        <v>1562</v>
      </c>
      <c r="B1710" s="3"/>
      <c r="C1710" s="689">
        <f t="shared" ref="C1710:E1710" si="70">sum(C1692:C1703)</f>
        <v>12</v>
      </c>
      <c r="D1710" s="721">
        <f t="shared" si="70"/>
        <v>282.72</v>
      </c>
      <c r="E1710" s="669">
        <f t="shared" si="70"/>
        <v>11</v>
      </c>
      <c r="F1710" s="689"/>
      <c r="G1710" s="731"/>
      <c r="H1710" s="731"/>
    </row>
    <row r="1711">
      <c r="A1711" s="882"/>
      <c r="B1711" s="883"/>
      <c r="C1711" s="883"/>
      <c r="D1711" s="883"/>
      <c r="E1711" s="883"/>
      <c r="F1711" s="883"/>
      <c r="G1711" s="883"/>
      <c r="H1711" s="884"/>
    </row>
    <row r="1712">
      <c r="A1712" s="885"/>
      <c r="B1712" s="886"/>
      <c r="C1712" s="886"/>
      <c r="D1712" s="886"/>
      <c r="E1712" s="886"/>
      <c r="F1712" s="886"/>
      <c r="G1712" s="886"/>
      <c r="H1712" s="887"/>
    </row>
    <row r="1713">
      <c r="A1713" s="761" t="s">
        <v>5131</v>
      </c>
      <c r="B1713" s="2"/>
      <c r="C1713" s="2"/>
      <c r="D1713" s="2"/>
      <c r="E1713" s="2"/>
      <c r="F1713" s="2"/>
      <c r="G1713" s="2"/>
      <c r="H1713" s="3"/>
    </row>
    <row r="1714">
      <c r="A1714" s="762" t="s">
        <v>1435</v>
      </c>
      <c r="B1714" s="762" t="s">
        <v>1436</v>
      </c>
      <c r="C1714" s="762" t="s">
        <v>1843</v>
      </c>
      <c r="D1714" s="763" t="s">
        <v>1438</v>
      </c>
      <c r="E1714" s="764" t="s">
        <v>1564</v>
      </c>
      <c r="F1714" s="762" t="s">
        <v>1440</v>
      </c>
      <c r="G1714" s="762" t="s">
        <v>1844</v>
      </c>
      <c r="H1714" s="765" t="s">
        <v>1441</v>
      </c>
    </row>
    <row r="1715">
      <c r="A1715" s="579">
        <v>1.0</v>
      </c>
      <c r="B1715" s="579" t="s">
        <v>1443</v>
      </c>
      <c r="C1715" s="579">
        <v>1.0</v>
      </c>
      <c r="D1715" s="582">
        <v>150.0</v>
      </c>
      <c r="E1715" s="580"/>
      <c r="F1715" s="579" t="s">
        <v>1518</v>
      </c>
      <c r="G1715" s="525" t="s">
        <v>1554</v>
      </c>
      <c r="H1715" s="581">
        <v>45141.0</v>
      </c>
    </row>
    <row r="1716">
      <c r="A1716" s="579">
        <v>2.0</v>
      </c>
      <c r="B1716" s="579" t="s">
        <v>1444</v>
      </c>
      <c r="C1716" s="579">
        <v>1.0</v>
      </c>
      <c r="D1716" s="582">
        <v>3.2</v>
      </c>
      <c r="E1716" s="580"/>
      <c r="F1716" s="525" t="s">
        <v>1518</v>
      </c>
      <c r="G1716" s="525" t="s">
        <v>1554</v>
      </c>
      <c r="H1716" s="581">
        <v>45141.0</v>
      </c>
    </row>
    <row r="1717">
      <c r="A1717" s="579">
        <v>3.0</v>
      </c>
      <c r="B1717" s="579" t="s">
        <v>3673</v>
      </c>
      <c r="C1717" s="579">
        <v>1.0</v>
      </c>
      <c r="D1717" s="582">
        <v>5.0</v>
      </c>
      <c r="E1717" s="580">
        <v>1.0</v>
      </c>
      <c r="F1717" s="525" t="s">
        <v>1518</v>
      </c>
      <c r="G1717" s="525" t="s">
        <v>1554</v>
      </c>
      <c r="H1717" s="581">
        <v>45141.0</v>
      </c>
    </row>
    <row r="1718">
      <c r="A1718" s="583">
        <v>4.0</v>
      </c>
      <c r="B1718" s="240" t="s">
        <v>5132</v>
      </c>
      <c r="C1718" s="259">
        <v>1.0</v>
      </c>
      <c r="D1718" s="530">
        <v>23.6</v>
      </c>
      <c r="E1718" s="531">
        <v>2.0</v>
      </c>
      <c r="F1718" s="259" t="s">
        <v>5133</v>
      </c>
      <c r="G1718" s="259" t="s">
        <v>1554</v>
      </c>
      <c r="H1718" s="768">
        <v>45804.0</v>
      </c>
    </row>
    <row r="1719">
      <c r="A1719" s="766">
        <v>5.0</v>
      </c>
      <c r="B1719" s="542" t="s">
        <v>5134</v>
      </c>
      <c r="C1719" s="542">
        <v>1.0</v>
      </c>
      <c r="D1719" s="543">
        <v>26.4</v>
      </c>
      <c r="E1719" s="544">
        <v>1.0</v>
      </c>
      <c r="F1719" s="542" t="s">
        <v>5135</v>
      </c>
      <c r="G1719" s="525" t="s">
        <v>1554</v>
      </c>
      <c r="H1719" s="769">
        <v>45880.0</v>
      </c>
    </row>
    <row r="1720">
      <c r="A1720" s="579">
        <v>6.0</v>
      </c>
      <c r="B1720" s="437" t="s">
        <v>5136</v>
      </c>
      <c r="C1720" s="525">
        <v>1.0</v>
      </c>
      <c r="D1720" s="526">
        <v>26.9</v>
      </c>
      <c r="E1720" s="527">
        <v>2.0</v>
      </c>
      <c r="F1720" s="542" t="s">
        <v>5137</v>
      </c>
      <c r="G1720" s="525" t="s">
        <v>1554</v>
      </c>
      <c r="H1720" s="767">
        <v>46084.0</v>
      </c>
    </row>
    <row r="1721">
      <c r="A1721" s="579">
        <v>7.0</v>
      </c>
      <c r="B1721" s="437" t="s">
        <v>5138</v>
      </c>
      <c r="C1721" s="525">
        <v>1.0</v>
      </c>
      <c r="D1721" s="526">
        <v>27.6</v>
      </c>
      <c r="E1721" s="527">
        <v>2.0</v>
      </c>
      <c r="F1721" s="542" t="s">
        <v>5139</v>
      </c>
      <c r="G1721" s="525" t="s">
        <v>1554</v>
      </c>
      <c r="H1721" s="767">
        <v>46084.0</v>
      </c>
    </row>
    <row r="1722">
      <c r="A1722" s="579">
        <v>8.0</v>
      </c>
      <c r="B1722" s="896" t="s">
        <v>5140</v>
      </c>
      <c r="C1722" s="525">
        <v>1.0</v>
      </c>
      <c r="D1722" s="526">
        <v>23.6</v>
      </c>
      <c r="E1722" s="527">
        <v>2.0</v>
      </c>
      <c r="F1722" s="896" t="s">
        <v>5133</v>
      </c>
      <c r="G1722" s="525" t="s">
        <v>1554</v>
      </c>
      <c r="H1722" s="832">
        <v>46091.0</v>
      </c>
    </row>
    <row r="1723">
      <c r="A1723" s="579">
        <v>9.0</v>
      </c>
      <c r="B1723" s="766"/>
      <c r="C1723" s="579"/>
      <c r="D1723" s="526"/>
      <c r="E1723" s="580"/>
      <c r="F1723" s="766"/>
      <c r="G1723" s="579"/>
      <c r="H1723" s="897"/>
    </row>
    <row r="1724">
      <c r="A1724" s="898" t="s">
        <v>1562</v>
      </c>
      <c r="B1724" s="3"/>
      <c r="C1724" s="579">
        <f t="shared" ref="C1724:E1724" si="71">sum(C1715:C1723)</f>
        <v>8</v>
      </c>
      <c r="D1724" s="582">
        <f t="shared" si="71"/>
        <v>286.3</v>
      </c>
      <c r="E1724" s="580">
        <f t="shared" si="71"/>
        <v>10</v>
      </c>
      <c r="F1724" s="579"/>
      <c r="G1724" s="581"/>
      <c r="H1724" s="581"/>
    </row>
    <row r="1725">
      <c r="A1725" s="689"/>
      <c r="B1725" s="689"/>
      <c r="C1725" s="689"/>
      <c r="D1725" s="721"/>
      <c r="E1725" s="669"/>
      <c r="F1725" s="689"/>
      <c r="G1725" s="731"/>
      <c r="H1725" s="731"/>
    </row>
    <row r="1726">
      <c r="A1726" s="649" t="s">
        <v>5141</v>
      </c>
      <c r="B1726" s="2"/>
      <c r="C1726" s="2"/>
      <c r="D1726" s="2"/>
      <c r="E1726" s="2"/>
      <c r="F1726" s="2"/>
      <c r="G1726" s="2"/>
      <c r="H1726" s="3"/>
    </row>
    <row r="1727">
      <c r="A1727" s="690" t="s">
        <v>1435</v>
      </c>
      <c r="B1727" s="690" t="s">
        <v>1436</v>
      </c>
      <c r="C1727" s="690" t="s">
        <v>1843</v>
      </c>
      <c r="D1727" s="693" t="s">
        <v>1438</v>
      </c>
      <c r="E1727" s="694" t="s">
        <v>1564</v>
      </c>
      <c r="F1727" s="690" t="s">
        <v>1440</v>
      </c>
      <c r="G1727" s="690" t="s">
        <v>1844</v>
      </c>
      <c r="H1727" s="695" t="s">
        <v>1441</v>
      </c>
    </row>
    <row r="1728">
      <c r="A1728" s="689">
        <v>1.0</v>
      </c>
      <c r="B1728" s="689" t="s">
        <v>1443</v>
      </c>
      <c r="C1728" s="689">
        <v>1.0</v>
      </c>
      <c r="D1728" s="721">
        <v>150.0</v>
      </c>
      <c r="E1728" s="669"/>
      <c r="F1728" s="689" t="s">
        <v>1518</v>
      </c>
      <c r="G1728" s="658" t="s">
        <v>1446</v>
      </c>
      <c r="H1728" s="731">
        <v>45141.0</v>
      </c>
    </row>
    <row r="1729">
      <c r="A1729" s="689">
        <v>2.0</v>
      </c>
      <c r="B1729" s="689" t="s">
        <v>1444</v>
      </c>
      <c r="C1729" s="658">
        <v>2.0</v>
      </c>
      <c r="D1729" s="721">
        <f>C1729*3.2</f>
        <v>6.4</v>
      </c>
      <c r="E1729" s="669"/>
      <c r="F1729" s="689"/>
      <c r="G1729" s="658" t="s">
        <v>1446</v>
      </c>
      <c r="H1729" s="731">
        <v>45141.0</v>
      </c>
    </row>
    <row r="1730">
      <c r="A1730" s="689">
        <v>3.0</v>
      </c>
      <c r="B1730" s="689" t="s">
        <v>3673</v>
      </c>
      <c r="C1730" s="689">
        <v>1.0</v>
      </c>
      <c r="D1730" s="721">
        <v>5.0</v>
      </c>
      <c r="E1730" s="669">
        <v>1.0</v>
      </c>
      <c r="F1730" s="689"/>
      <c r="G1730" s="658" t="s">
        <v>1446</v>
      </c>
      <c r="H1730" s="731">
        <v>45141.0</v>
      </c>
    </row>
    <row r="1731">
      <c r="A1731" s="689">
        <v>4.0</v>
      </c>
      <c r="B1731" s="655" t="s">
        <v>5142</v>
      </c>
      <c r="C1731" s="658">
        <v>1.0</v>
      </c>
      <c r="D1731" s="678">
        <v>9.8</v>
      </c>
      <c r="E1731" s="676">
        <v>1.0</v>
      </c>
      <c r="F1731" s="655" t="s">
        <v>5143</v>
      </c>
      <c r="G1731" s="658" t="s">
        <v>1446</v>
      </c>
      <c r="H1731" s="696">
        <v>45805.0</v>
      </c>
    </row>
    <row r="1732">
      <c r="A1732" s="689">
        <v>5.0</v>
      </c>
      <c r="B1732" s="655" t="s">
        <v>5142</v>
      </c>
      <c r="C1732" s="658">
        <v>1.0</v>
      </c>
      <c r="D1732" s="678">
        <v>9.8</v>
      </c>
      <c r="E1732" s="676">
        <v>1.0</v>
      </c>
      <c r="F1732" s="655" t="s">
        <v>5144</v>
      </c>
      <c r="G1732" s="658" t="s">
        <v>1446</v>
      </c>
      <c r="H1732" s="696">
        <v>45805.0</v>
      </c>
    </row>
    <row r="1733">
      <c r="A1733" s="689">
        <v>6.0</v>
      </c>
      <c r="B1733" s="655" t="s">
        <v>5145</v>
      </c>
      <c r="C1733" s="658">
        <v>1.0</v>
      </c>
      <c r="D1733" s="678">
        <v>34.5</v>
      </c>
      <c r="E1733" s="676">
        <v>2.0</v>
      </c>
      <c r="F1733" s="655" t="s">
        <v>5146</v>
      </c>
      <c r="G1733" s="658" t="s">
        <v>1446</v>
      </c>
      <c r="H1733" s="696">
        <v>45805.0</v>
      </c>
    </row>
    <row r="1734">
      <c r="A1734" s="689">
        <v>7.0</v>
      </c>
      <c r="B1734" s="655" t="s">
        <v>5145</v>
      </c>
      <c r="C1734" s="658">
        <v>1.0</v>
      </c>
      <c r="D1734" s="678">
        <v>34.5</v>
      </c>
      <c r="E1734" s="676">
        <v>2.0</v>
      </c>
      <c r="F1734" s="655" t="s">
        <v>5147</v>
      </c>
      <c r="G1734" s="658" t="s">
        <v>1446</v>
      </c>
      <c r="H1734" s="696">
        <v>45805.0</v>
      </c>
    </row>
    <row r="1735">
      <c r="A1735" s="689">
        <v>8.0</v>
      </c>
      <c r="B1735" s="655" t="s">
        <v>5145</v>
      </c>
      <c r="C1735" s="658">
        <v>1.0</v>
      </c>
      <c r="D1735" s="678">
        <v>34.5</v>
      </c>
      <c r="E1735" s="676">
        <v>2.0</v>
      </c>
      <c r="F1735" s="655" t="s">
        <v>5148</v>
      </c>
      <c r="G1735" s="658" t="s">
        <v>1446</v>
      </c>
      <c r="H1735" s="696">
        <v>45805.0</v>
      </c>
    </row>
    <row r="1736">
      <c r="A1736" s="689">
        <v>9.0</v>
      </c>
      <c r="B1736" s="655" t="s">
        <v>5145</v>
      </c>
      <c r="C1736" s="658">
        <v>1.0</v>
      </c>
      <c r="D1736" s="678">
        <v>34.5</v>
      </c>
      <c r="E1736" s="676">
        <v>2.0</v>
      </c>
      <c r="F1736" s="655" t="s">
        <v>5149</v>
      </c>
      <c r="G1736" s="658" t="s">
        <v>1446</v>
      </c>
      <c r="H1736" s="696">
        <v>45805.0</v>
      </c>
    </row>
    <row r="1737">
      <c r="A1737" s="689">
        <v>10.0</v>
      </c>
      <c r="B1737" s="655" t="s">
        <v>5145</v>
      </c>
      <c r="C1737" s="658">
        <v>1.0</v>
      </c>
      <c r="D1737" s="678">
        <v>34.5</v>
      </c>
      <c r="E1737" s="676">
        <v>2.0</v>
      </c>
      <c r="F1737" s="655" t="s">
        <v>5150</v>
      </c>
      <c r="G1737" s="658" t="s">
        <v>1446</v>
      </c>
      <c r="H1737" s="696">
        <v>45805.0</v>
      </c>
    </row>
    <row r="1738">
      <c r="A1738" s="689">
        <v>11.0</v>
      </c>
      <c r="B1738" s="655" t="s">
        <v>5145</v>
      </c>
      <c r="C1738" s="658">
        <v>1.0</v>
      </c>
      <c r="D1738" s="678">
        <v>34.5</v>
      </c>
      <c r="E1738" s="676">
        <v>2.0</v>
      </c>
      <c r="F1738" s="655" t="s">
        <v>5151</v>
      </c>
      <c r="G1738" s="658" t="s">
        <v>1446</v>
      </c>
      <c r="H1738" s="696">
        <v>45805.0</v>
      </c>
    </row>
    <row r="1739">
      <c r="A1739" s="187">
        <v>12.0</v>
      </c>
      <c r="B1739" s="187" t="s">
        <v>5145</v>
      </c>
      <c r="C1739" s="187">
        <v>1.0</v>
      </c>
      <c r="D1739" s="188">
        <v>34.5</v>
      </c>
      <c r="E1739" s="189">
        <v>2.0</v>
      </c>
      <c r="F1739" s="187" t="s">
        <v>5152</v>
      </c>
      <c r="G1739" s="187" t="s">
        <v>214</v>
      </c>
      <c r="H1739" s="895">
        <v>46008.0</v>
      </c>
    </row>
    <row r="1740">
      <c r="A1740" s="187">
        <v>13.0</v>
      </c>
      <c r="B1740" s="187" t="s">
        <v>5145</v>
      </c>
      <c r="C1740" s="187">
        <v>1.0</v>
      </c>
      <c r="D1740" s="188">
        <v>34.5</v>
      </c>
      <c r="E1740" s="189">
        <v>2.0</v>
      </c>
      <c r="F1740" s="187" t="s">
        <v>5153</v>
      </c>
      <c r="G1740" s="187" t="s">
        <v>214</v>
      </c>
      <c r="H1740" s="895">
        <v>46008.0</v>
      </c>
    </row>
    <row r="1741">
      <c r="A1741" s="187">
        <v>14.0</v>
      </c>
      <c r="B1741" s="187" t="s">
        <v>5142</v>
      </c>
      <c r="C1741" s="187">
        <v>1.0</v>
      </c>
      <c r="D1741" s="188">
        <v>34.5</v>
      </c>
      <c r="E1741" s="189">
        <v>2.0</v>
      </c>
      <c r="F1741" s="187" t="s">
        <v>5154</v>
      </c>
      <c r="G1741" s="187" t="s">
        <v>214</v>
      </c>
      <c r="H1741" s="895">
        <v>46008.0</v>
      </c>
    </row>
    <row r="1742">
      <c r="A1742" s="898" t="s">
        <v>1562</v>
      </c>
      <c r="B1742" s="3"/>
      <c r="C1742" s="689">
        <f t="shared" ref="C1742:E1742" si="72">sum(C1728:C1738)</f>
        <v>12</v>
      </c>
      <c r="D1742" s="721">
        <f t="shared" si="72"/>
        <v>388</v>
      </c>
      <c r="E1742" s="669">
        <f t="shared" si="72"/>
        <v>15</v>
      </c>
      <c r="F1742" s="689"/>
      <c r="G1742" s="658"/>
      <c r="H1742" s="731"/>
    </row>
    <row r="1743">
      <c r="A1743" s="732"/>
      <c r="B1743" s="899"/>
      <c r="C1743" s="899"/>
      <c r="D1743" s="899"/>
      <c r="E1743" s="899"/>
      <c r="F1743" s="899"/>
      <c r="G1743" s="899"/>
      <c r="H1743" s="900"/>
    </row>
    <row r="1744">
      <c r="A1744" s="649" t="s">
        <v>5155</v>
      </c>
      <c r="B1744" s="2"/>
      <c r="C1744" s="2"/>
      <c r="D1744" s="2"/>
      <c r="E1744" s="2"/>
      <c r="F1744" s="2"/>
      <c r="G1744" s="2"/>
      <c r="H1744" s="3"/>
    </row>
    <row r="1745">
      <c r="A1745" s="690" t="s">
        <v>1435</v>
      </c>
      <c r="B1745" s="690" t="s">
        <v>1436</v>
      </c>
      <c r="C1745" s="690" t="s">
        <v>1843</v>
      </c>
      <c r="D1745" s="693" t="s">
        <v>1438</v>
      </c>
      <c r="E1745" s="694" t="s">
        <v>1564</v>
      </c>
      <c r="F1745" s="690" t="s">
        <v>1440</v>
      </c>
      <c r="G1745" s="690" t="s">
        <v>1844</v>
      </c>
      <c r="H1745" s="695" t="s">
        <v>1441</v>
      </c>
    </row>
    <row r="1746">
      <c r="A1746" s="689">
        <v>1.0</v>
      </c>
      <c r="B1746" s="689" t="s">
        <v>1443</v>
      </c>
      <c r="C1746" s="689">
        <v>1.0</v>
      </c>
      <c r="D1746" s="721">
        <v>150.0</v>
      </c>
      <c r="E1746" s="669"/>
      <c r="F1746" s="689" t="s">
        <v>1518</v>
      </c>
      <c r="G1746" s="658" t="s">
        <v>1446</v>
      </c>
      <c r="H1746" s="731">
        <v>45141.0</v>
      </c>
    </row>
    <row r="1747">
      <c r="A1747" s="689">
        <v>2.0</v>
      </c>
      <c r="B1747" s="689" t="s">
        <v>1444</v>
      </c>
      <c r="C1747" s="658">
        <v>2.0</v>
      </c>
      <c r="D1747" s="721">
        <f>C1747*3.2</f>
        <v>6.4</v>
      </c>
      <c r="E1747" s="669"/>
      <c r="F1747" s="689"/>
      <c r="G1747" s="658" t="s">
        <v>1446</v>
      </c>
      <c r="H1747" s="731">
        <v>45141.0</v>
      </c>
    </row>
    <row r="1748">
      <c r="A1748" s="689">
        <v>3.0</v>
      </c>
      <c r="B1748" s="689" t="s">
        <v>3673</v>
      </c>
      <c r="C1748" s="689">
        <v>1.0</v>
      </c>
      <c r="D1748" s="721">
        <v>5.0</v>
      </c>
      <c r="E1748" s="669">
        <v>1.0</v>
      </c>
      <c r="F1748" s="689"/>
      <c r="G1748" s="658" t="s">
        <v>1446</v>
      </c>
      <c r="H1748" s="731">
        <v>45141.0</v>
      </c>
    </row>
    <row r="1749">
      <c r="A1749" s="689">
        <v>4.0</v>
      </c>
      <c r="B1749" s="655" t="s">
        <v>5142</v>
      </c>
      <c r="C1749" s="658">
        <v>1.0</v>
      </c>
      <c r="D1749" s="678">
        <v>9.8</v>
      </c>
      <c r="E1749" s="676">
        <v>1.0</v>
      </c>
      <c r="F1749" s="655" t="s">
        <v>5156</v>
      </c>
      <c r="G1749" s="658" t="s">
        <v>1446</v>
      </c>
      <c r="H1749" s="696">
        <v>45805.0</v>
      </c>
    </row>
    <row r="1750">
      <c r="A1750" s="689">
        <v>5.0</v>
      </c>
      <c r="B1750" s="655" t="s">
        <v>5145</v>
      </c>
      <c r="C1750" s="658">
        <v>1.0</v>
      </c>
      <c r="D1750" s="678">
        <v>34.5</v>
      </c>
      <c r="E1750" s="676">
        <v>2.0</v>
      </c>
      <c r="F1750" s="655" t="s">
        <v>5157</v>
      </c>
      <c r="G1750" s="658" t="s">
        <v>1446</v>
      </c>
      <c r="H1750" s="696">
        <v>45805.0</v>
      </c>
    </row>
    <row r="1751">
      <c r="A1751" s="689">
        <v>6.0</v>
      </c>
      <c r="B1751" s="655" t="s">
        <v>5145</v>
      </c>
      <c r="C1751" s="658">
        <v>1.0</v>
      </c>
      <c r="D1751" s="678">
        <v>34.5</v>
      </c>
      <c r="E1751" s="676">
        <v>2.0</v>
      </c>
      <c r="F1751" s="655" t="s">
        <v>5158</v>
      </c>
      <c r="G1751" s="658" t="s">
        <v>1446</v>
      </c>
      <c r="H1751" s="696">
        <v>45805.0</v>
      </c>
    </row>
    <row r="1752">
      <c r="A1752" s="658">
        <v>7.0</v>
      </c>
      <c r="B1752" s="655" t="s">
        <v>5145</v>
      </c>
      <c r="C1752" s="658">
        <v>1.0</v>
      </c>
      <c r="D1752" s="678">
        <v>34.5</v>
      </c>
      <c r="E1752" s="676">
        <v>2.0</v>
      </c>
      <c r="F1752" s="655" t="s">
        <v>5159</v>
      </c>
      <c r="G1752" s="658" t="s">
        <v>1446</v>
      </c>
      <c r="H1752" s="696">
        <v>46810.0</v>
      </c>
    </row>
    <row r="1753">
      <c r="A1753" s="658">
        <v>8.0</v>
      </c>
      <c r="B1753" s="655" t="s">
        <v>5145</v>
      </c>
      <c r="C1753" s="658">
        <v>1.0</v>
      </c>
      <c r="D1753" s="678">
        <v>34.5</v>
      </c>
      <c r="E1753" s="676">
        <v>2.0</v>
      </c>
      <c r="F1753" s="655" t="s">
        <v>5160</v>
      </c>
      <c r="G1753" s="658" t="s">
        <v>1446</v>
      </c>
      <c r="H1753" s="696">
        <v>46810.0</v>
      </c>
    </row>
    <row r="1754">
      <c r="A1754" s="658">
        <v>9.0</v>
      </c>
      <c r="B1754" s="655" t="s">
        <v>5142</v>
      </c>
      <c r="C1754" s="658">
        <v>1.0</v>
      </c>
      <c r="D1754" s="678">
        <v>9.8</v>
      </c>
      <c r="E1754" s="676">
        <v>1.0</v>
      </c>
      <c r="F1754" s="655" t="s">
        <v>5161</v>
      </c>
      <c r="G1754" s="658" t="s">
        <v>1446</v>
      </c>
      <c r="H1754" s="696">
        <v>46810.0</v>
      </c>
    </row>
    <row r="1755">
      <c r="A1755" s="658">
        <v>10.0</v>
      </c>
      <c r="B1755" s="655"/>
      <c r="C1755" s="658"/>
      <c r="D1755" s="678"/>
      <c r="E1755" s="676"/>
      <c r="F1755" s="655"/>
      <c r="G1755" s="658"/>
      <c r="H1755" s="696"/>
    </row>
    <row r="1756">
      <c r="A1756" s="732" t="s">
        <v>1562</v>
      </c>
      <c r="B1756" s="3"/>
      <c r="C1756" s="689">
        <f t="shared" ref="C1756:E1756" si="73">sum(C1746:C1751)</f>
        <v>7</v>
      </c>
      <c r="D1756" s="721">
        <f t="shared" si="73"/>
        <v>240.2</v>
      </c>
      <c r="E1756" s="669">
        <f t="shared" si="73"/>
        <v>6</v>
      </c>
      <c r="F1756" s="689"/>
      <c r="G1756" s="731"/>
      <c r="H1756" s="731"/>
    </row>
    <row r="1757">
      <c r="A1757" s="689"/>
      <c r="B1757" s="689"/>
      <c r="C1757" s="689"/>
      <c r="D1757" s="721"/>
      <c r="E1757" s="669"/>
      <c r="F1757" s="689"/>
      <c r="G1757" s="731"/>
      <c r="H1757" s="731"/>
    </row>
    <row r="1758">
      <c r="A1758" s="649" t="s">
        <v>5162</v>
      </c>
      <c r="B1758" s="2"/>
      <c r="C1758" s="2"/>
      <c r="D1758" s="2"/>
      <c r="E1758" s="2"/>
      <c r="F1758" s="2"/>
      <c r="G1758" s="2"/>
      <c r="H1758" s="3"/>
    </row>
    <row r="1759">
      <c r="A1759" s="690" t="s">
        <v>1435</v>
      </c>
      <c r="B1759" s="690" t="s">
        <v>1436</v>
      </c>
      <c r="C1759" s="690" t="s">
        <v>1843</v>
      </c>
      <c r="D1759" s="693" t="s">
        <v>1438</v>
      </c>
      <c r="E1759" s="694" t="s">
        <v>1564</v>
      </c>
      <c r="F1759" s="690" t="s">
        <v>1440</v>
      </c>
      <c r="G1759" s="690" t="s">
        <v>1844</v>
      </c>
      <c r="H1759" s="695" t="s">
        <v>1441</v>
      </c>
    </row>
    <row r="1760">
      <c r="A1760" s="689">
        <v>1.0</v>
      </c>
      <c r="B1760" s="689" t="s">
        <v>1443</v>
      </c>
      <c r="C1760" s="689">
        <v>1.0</v>
      </c>
      <c r="D1760" s="721">
        <v>150.0</v>
      </c>
      <c r="E1760" s="669"/>
      <c r="F1760" s="689" t="s">
        <v>1518</v>
      </c>
      <c r="G1760" s="658" t="s">
        <v>1446</v>
      </c>
      <c r="H1760" s="731">
        <v>45141.0</v>
      </c>
    </row>
    <row r="1761">
      <c r="A1761" s="689">
        <v>2.0</v>
      </c>
      <c r="B1761" s="689" t="s">
        <v>1444</v>
      </c>
      <c r="C1761" s="658">
        <v>2.0</v>
      </c>
      <c r="D1761" s="721">
        <f>C1761*3.2</f>
        <v>6.4</v>
      </c>
      <c r="E1761" s="669"/>
      <c r="F1761" s="689"/>
      <c r="G1761" s="658" t="s">
        <v>1446</v>
      </c>
      <c r="H1761" s="679">
        <v>45141.0</v>
      </c>
    </row>
    <row r="1762">
      <c r="A1762" s="689">
        <v>3.0</v>
      </c>
      <c r="B1762" s="689" t="s">
        <v>3673</v>
      </c>
      <c r="C1762" s="689">
        <v>1.0</v>
      </c>
      <c r="D1762" s="678">
        <v>5.0</v>
      </c>
      <c r="E1762" s="669">
        <v>1.0</v>
      </c>
      <c r="F1762" s="689"/>
      <c r="G1762" s="658" t="s">
        <v>1446</v>
      </c>
      <c r="H1762" s="679">
        <v>45141.0</v>
      </c>
    </row>
    <row r="1763">
      <c r="A1763" s="689">
        <v>4.0</v>
      </c>
      <c r="B1763" s="655" t="s">
        <v>5163</v>
      </c>
      <c r="C1763" s="658">
        <v>1.0</v>
      </c>
      <c r="D1763" s="678">
        <v>21.3</v>
      </c>
      <c r="E1763" s="669">
        <v>1.0</v>
      </c>
      <c r="F1763" s="655" t="s">
        <v>5164</v>
      </c>
      <c r="G1763" s="658" t="s">
        <v>1446</v>
      </c>
      <c r="H1763" s="696">
        <v>45821.0</v>
      </c>
    </row>
    <row r="1764">
      <c r="A1764" s="689">
        <v>5.0</v>
      </c>
      <c r="B1764" s="655" t="s">
        <v>5163</v>
      </c>
      <c r="C1764" s="658">
        <v>1.0</v>
      </c>
      <c r="D1764" s="678">
        <v>21.3</v>
      </c>
      <c r="E1764" s="669">
        <v>1.0</v>
      </c>
      <c r="F1764" s="655" t="s">
        <v>5165</v>
      </c>
      <c r="G1764" s="658" t="s">
        <v>1446</v>
      </c>
      <c r="H1764" s="696">
        <v>45821.0</v>
      </c>
    </row>
    <row r="1765">
      <c r="A1765" s="689">
        <v>6.0</v>
      </c>
      <c r="B1765" s="655" t="s">
        <v>5166</v>
      </c>
      <c r="C1765" s="658">
        <v>1.0</v>
      </c>
      <c r="D1765" s="678">
        <v>8.7</v>
      </c>
      <c r="E1765" s="669">
        <v>1.0</v>
      </c>
      <c r="F1765" s="655">
        <v>2.2012241E7</v>
      </c>
      <c r="G1765" s="658" t="s">
        <v>1446</v>
      </c>
      <c r="H1765" s="696">
        <v>45821.0</v>
      </c>
    </row>
    <row r="1766">
      <c r="A1766" s="689">
        <v>7.0</v>
      </c>
      <c r="B1766" s="655" t="s">
        <v>5166</v>
      </c>
      <c r="C1766" s="658">
        <v>1.0</v>
      </c>
      <c r="D1766" s="678">
        <v>8.7</v>
      </c>
      <c r="E1766" s="669">
        <v>1.0</v>
      </c>
      <c r="F1766" s="655" t="s">
        <v>5167</v>
      </c>
      <c r="G1766" s="658" t="s">
        <v>1446</v>
      </c>
      <c r="H1766" s="696">
        <v>45821.0</v>
      </c>
    </row>
    <row r="1767">
      <c r="A1767" s="689">
        <v>8.0</v>
      </c>
      <c r="B1767" s="655" t="s">
        <v>5168</v>
      </c>
      <c r="C1767" s="658">
        <v>1.0</v>
      </c>
      <c r="D1767" s="678">
        <v>10.0</v>
      </c>
      <c r="E1767" s="669">
        <v>1.0</v>
      </c>
      <c r="F1767" s="655" t="s">
        <v>5169</v>
      </c>
      <c r="G1767" s="658" t="s">
        <v>1446</v>
      </c>
      <c r="H1767" s="696">
        <v>45821.0</v>
      </c>
    </row>
    <row r="1768">
      <c r="A1768" s="689">
        <v>9.0</v>
      </c>
      <c r="B1768" s="655" t="s">
        <v>5170</v>
      </c>
      <c r="C1768" s="658">
        <v>1.0</v>
      </c>
      <c r="D1768" s="678">
        <v>20.0</v>
      </c>
      <c r="E1768" s="669">
        <v>1.0</v>
      </c>
      <c r="F1768" s="655" t="s">
        <v>5171</v>
      </c>
      <c r="G1768" s="658" t="s">
        <v>1446</v>
      </c>
      <c r="H1768" s="696">
        <v>45821.0</v>
      </c>
    </row>
    <row r="1769">
      <c r="A1769" s="689">
        <v>10.0</v>
      </c>
      <c r="B1769" s="655" t="s">
        <v>5170</v>
      </c>
      <c r="C1769" s="658">
        <v>1.0</v>
      </c>
      <c r="D1769" s="678">
        <v>20.0</v>
      </c>
      <c r="E1769" s="669">
        <v>1.0</v>
      </c>
      <c r="F1769" s="655" t="s">
        <v>5172</v>
      </c>
      <c r="G1769" s="658" t="s">
        <v>1446</v>
      </c>
      <c r="H1769" s="696">
        <v>45821.0</v>
      </c>
    </row>
    <row r="1770">
      <c r="A1770" s="689">
        <v>11.0</v>
      </c>
      <c r="B1770" s="655" t="s">
        <v>5170</v>
      </c>
      <c r="C1770" s="658">
        <v>1.0</v>
      </c>
      <c r="D1770" s="678">
        <v>20.0</v>
      </c>
      <c r="E1770" s="669">
        <v>1.0</v>
      </c>
      <c r="F1770" s="847" t="s">
        <v>5173</v>
      </c>
      <c r="G1770" s="658" t="s">
        <v>1446</v>
      </c>
      <c r="H1770" s="696">
        <v>45821.0</v>
      </c>
    </row>
    <row r="1771">
      <c r="A1771" s="689">
        <v>12.0</v>
      </c>
      <c r="B1771" s="655" t="s">
        <v>5170</v>
      </c>
      <c r="C1771" s="658">
        <v>1.0</v>
      </c>
      <c r="D1771" s="678">
        <v>20.0</v>
      </c>
      <c r="E1771" s="669">
        <v>1.0</v>
      </c>
      <c r="F1771" s="655" t="s">
        <v>5174</v>
      </c>
      <c r="G1771" s="658" t="s">
        <v>1446</v>
      </c>
      <c r="H1771" s="696">
        <v>45821.0</v>
      </c>
    </row>
    <row r="1772">
      <c r="A1772" s="689">
        <v>13.0</v>
      </c>
      <c r="B1772" s="655" t="s">
        <v>5175</v>
      </c>
      <c r="C1772" s="658">
        <v>1.0</v>
      </c>
      <c r="D1772" s="678">
        <v>25.0</v>
      </c>
      <c r="E1772" s="669">
        <v>1.0</v>
      </c>
      <c r="F1772" s="655" t="s">
        <v>5176</v>
      </c>
      <c r="G1772" s="658" t="s">
        <v>1446</v>
      </c>
      <c r="H1772" s="696">
        <v>45821.0</v>
      </c>
    </row>
    <row r="1773">
      <c r="A1773" s="689">
        <v>14.0</v>
      </c>
      <c r="B1773" s="655" t="s">
        <v>5175</v>
      </c>
      <c r="C1773" s="658">
        <v>1.0</v>
      </c>
      <c r="D1773" s="678">
        <v>25.0</v>
      </c>
      <c r="E1773" s="669">
        <v>1.0</v>
      </c>
      <c r="F1773" s="655" t="s">
        <v>5177</v>
      </c>
      <c r="G1773" s="658" t="s">
        <v>1446</v>
      </c>
      <c r="H1773" s="696">
        <v>45821.0</v>
      </c>
    </row>
    <row r="1774">
      <c r="A1774" s="689">
        <v>15.0</v>
      </c>
      <c r="B1774" s="655" t="s">
        <v>5175</v>
      </c>
      <c r="C1774" s="658">
        <v>1.0</v>
      </c>
      <c r="D1774" s="678">
        <v>25.0</v>
      </c>
      <c r="E1774" s="669">
        <v>1.0</v>
      </c>
      <c r="F1774" s="655" t="s">
        <v>5178</v>
      </c>
      <c r="G1774" s="658" t="s">
        <v>1446</v>
      </c>
      <c r="H1774" s="696">
        <v>45821.0</v>
      </c>
    </row>
    <row r="1775">
      <c r="A1775" s="689">
        <v>16.0</v>
      </c>
      <c r="B1775" s="655" t="s">
        <v>5175</v>
      </c>
      <c r="C1775" s="658">
        <v>1.0</v>
      </c>
      <c r="D1775" s="678">
        <v>25.0</v>
      </c>
      <c r="E1775" s="669">
        <v>1.0</v>
      </c>
      <c r="F1775" s="655" t="s">
        <v>5179</v>
      </c>
      <c r="G1775" s="658" t="s">
        <v>1446</v>
      </c>
      <c r="H1775" s="696">
        <v>45821.0</v>
      </c>
    </row>
    <row r="1776">
      <c r="A1776" s="689">
        <v>17.0</v>
      </c>
      <c r="B1776" s="655" t="s">
        <v>5175</v>
      </c>
      <c r="C1776" s="658">
        <v>1.0</v>
      </c>
      <c r="D1776" s="678">
        <v>25.0</v>
      </c>
      <c r="E1776" s="669">
        <v>1.0</v>
      </c>
      <c r="F1776" s="655" t="s">
        <v>5180</v>
      </c>
      <c r="G1776" s="658" t="s">
        <v>1446</v>
      </c>
      <c r="H1776" s="696">
        <v>45821.0</v>
      </c>
    </row>
    <row r="1777">
      <c r="A1777" s="689">
        <v>18.0</v>
      </c>
      <c r="B1777" s="655" t="s">
        <v>5175</v>
      </c>
      <c r="C1777" s="658">
        <v>1.0</v>
      </c>
      <c r="D1777" s="678">
        <v>25.0</v>
      </c>
      <c r="E1777" s="669">
        <v>1.0</v>
      </c>
      <c r="F1777" s="655" t="s">
        <v>5181</v>
      </c>
      <c r="G1777" s="658" t="s">
        <v>1446</v>
      </c>
      <c r="H1777" s="696">
        <v>45821.0</v>
      </c>
    </row>
    <row r="1778">
      <c r="A1778" s="689">
        <v>19.0</v>
      </c>
      <c r="B1778" s="655" t="s">
        <v>5175</v>
      </c>
      <c r="C1778" s="658">
        <v>1.0</v>
      </c>
      <c r="D1778" s="678">
        <v>25.0</v>
      </c>
      <c r="E1778" s="669">
        <v>1.0</v>
      </c>
      <c r="F1778" s="655" t="s">
        <v>5182</v>
      </c>
      <c r="G1778" s="658" t="s">
        <v>1446</v>
      </c>
      <c r="H1778" s="696">
        <v>45821.0</v>
      </c>
    </row>
    <row r="1779">
      <c r="A1779" s="689">
        <v>20.0</v>
      </c>
      <c r="B1779" s="655" t="s">
        <v>5175</v>
      </c>
      <c r="C1779" s="658">
        <v>1.0</v>
      </c>
      <c r="D1779" s="678">
        <v>25.0</v>
      </c>
      <c r="E1779" s="669">
        <v>1.0</v>
      </c>
      <c r="F1779" s="655" t="s">
        <v>5183</v>
      </c>
      <c r="G1779" s="658" t="s">
        <v>1446</v>
      </c>
      <c r="H1779" s="696">
        <v>45821.0</v>
      </c>
    </row>
    <row r="1780">
      <c r="A1780" s="732" t="s">
        <v>1562</v>
      </c>
      <c r="B1780" s="3"/>
      <c r="C1780" s="689">
        <f t="shared" ref="C1780:E1780" si="74">sum(C1760:C1779)</f>
        <v>21</v>
      </c>
      <c r="D1780" s="721">
        <f t="shared" si="74"/>
        <v>511.4</v>
      </c>
      <c r="E1780" s="669">
        <f t="shared" si="74"/>
        <v>18</v>
      </c>
      <c r="F1780" s="689"/>
      <c r="G1780" s="731"/>
      <c r="H1780" s="731"/>
    </row>
    <row r="1781">
      <c r="A1781" s="689"/>
      <c r="B1781" s="689"/>
      <c r="C1781" s="689"/>
      <c r="D1781" s="721"/>
      <c r="E1781" s="669"/>
      <c r="F1781" s="689"/>
      <c r="G1781" s="731"/>
      <c r="H1781" s="731"/>
    </row>
    <row r="1782">
      <c r="A1782" s="649" t="s">
        <v>5184</v>
      </c>
      <c r="B1782" s="2"/>
      <c r="C1782" s="2"/>
      <c r="D1782" s="2"/>
      <c r="E1782" s="2"/>
      <c r="F1782" s="2"/>
      <c r="G1782" s="2"/>
      <c r="H1782" s="3"/>
    </row>
    <row r="1783">
      <c r="A1783" s="690" t="s">
        <v>1435</v>
      </c>
      <c r="B1783" s="690" t="s">
        <v>1436</v>
      </c>
      <c r="C1783" s="690" t="s">
        <v>1843</v>
      </c>
      <c r="D1783" s="693" t="s">
        <v>1438</v>
      </c>
      <c r="E1783" s="694" t="s">
        <v>1564</v>
      </c>
      <c r="F1783" s="690" t="s">
        <v>1440</v>
      </c>
      <c r="G1783" s="690" t="s">
        <v>1844</v>
      </c>
      <c r="H1783" s="695" t="s">
        <v>1441</v>
      </c>
    </row>
    <row r="1784">
      <c r="A1784" s="689">
        <v>1.0</v>
      </c>
      <c r="B1784" s="689" t="s">
        <v>1443</v>
      </c>
      <c r="C1784" s="689">
        <v>1.0</v>
      </c>
      <c r="D1784" s="721">
        <v>150.0</v>
      </c>
      <c r="E1784" s="669"/>
      <c r="F1784" s="689" t="s">
        <v>1518</v>
      </c>
      <c r="G1784" s="658" t="s">
        <v>1446</v>
      </c>
      <c r="H1784" s="731">
        <v>45141.0</v>
      </c>
    </row>
    <row r="1785">
      <c r="A1785" s="689">
        <v>2.0</v>
      </c>
      <c r="B1785" s="689" t="s">
        <v>1444</v>
      </c>
      <c r="C1785" s="658">
        <v>2.0</v>
      </c>
      <c r="D1785" s="721">
        <f>C1785*3.2</f>
        <v>6.4</v>
      </c>
      <c r="E1785" s="669"/>
      <c r="F1785" s="689"/>
      <c r="G1785" s="658" t="s">
        <v>1446</v>
      </c>
      <c r="H1785" s="731">
        <v>45141.0</v>
      </c>
    </row>
    <row r="1786">
      <c r="A1786" s="689">
        <v>3.0</v>
      </c>
      <c r="B1786" s="689" t="s">
        <v>3673</v>
      </c>
      <c r="C1786" s="689">
        <v>1.0</v>
      </c>
      <c r="D1786" s="721">
        <v>5.0</v>
      </c>
      <c r="E1786" s="669">
        <v>1.0</v>
      </c>
      <c r="F1786" s="689"/>
      <c r="G1786" s="658" t="s">
        <v>1446</v>
      </c>
      <c r="H1786" s="731">
        <v>45141.0</v>
      </c>
    </row>
    <row r="1787">
      <c r="A1787" s="689">
        <v>4.0</v>
      </c>
      <c r="B1787" s="655" t="s">
        <v>5185</v>
      </c>
      <c r="C1787" s="689">
        <v>1.0</v>
      </c>
      <c r="D1787" s="678">
        <v>6.2</v>
      </c>
      <c r="E1787" s="669">
        <v>1.0</v>
      </c>
      <c r="F1787" s="655" t="s">
        <v>5186</v>
      </c>
      <c r="G1787" s="658" t="s">
        <v>1446</v>
      </c>
      <c r="H1787" s="696">
        <v>45821.0</v>
      </c>
    </row>
    <row r="1788">
      <c r="A1788" s="689">
        <v>5.0</v>
      </c>
      <c r="B1788" s="655" t="s">
        <v>5168</v>
      </c>
      <c r="C1788" s="689">
        <v>1.0</v>
      </c>
      <c r="D1788" s="678">
        <v>10.0</v>
      </c>
      <c r="E1788" s="669">
        <v>1.0</v>
      </c>
      <c r="F1788" s="655" t="s">
        <v>5187</v>
      </c>
      <c r="G1788" s="658" t="s">
        <v>1446</v>
      </c>
      <c r="H1788" s="696">
        <v>45821.0</v>
      </c>
    </row>
    <row r="1789">
      <c r="A1789" s="689">
        <v>6.0</v>
      </c>
      <c r="B1789" s="655" t="s">
        <v>5170</v>
      </c>
      <c r="C1789" s="689">
        <v>1.0</v>
      </c>
      <c r="D1789" s="678">
        <v>20.0</v>
      </c>
      <c r="E1789" s="669">
        <v>1.0</v>
      </c>
      <c r="F1789" s="655" t="s">
        <v>5188</v>
      </c>
      <c r="G1789" s="658" t="s">
        <v>1446</v>
      </c>
      <c r="H1789" s="696">
        <v>45821.0</v>
      </c>
    </row>
    <row r="1790">
      <c r="A1790" s="689">
        <v>7.0</v>
      </c>
      <c r="B1790" s="655" t="s">
        <v>5170</v>
      </c>
      <c r="C1790" s="689">
        <v>1.0</v>
      </c>
      <c r="D1790" s="678">
        <v>20.0</v>
      </c>
      <c r="E1790" s="669">
        <v>1.0</v>
      </c>
      <c r="F1790" s="655" t="s">
        <v>5189</v>
      </c>
      <c r="G1790" s="658" t="s">
        <v>1446</v>
      </c>
      <c r="H1790" s="696">
        <v>45821.0</v>
      </c>
    </row>
    <row r="1791">
      <c r="A1791" s="689">
        <v>8.0</v>
      </c>
      <c r="B1791" s="655" t="s">
        <v>5170</v>
      </c>
      <c r="C1791" s="689">
        <v>1.0</v>
      </c>
      <c r="D1791" s="678">
        <v>20.0</v>
      </c>
      <c r="E1791" s="669">
        <v>1.0</v>
      </c>
      <c r="F1791" s="655" t="s">
        <v>5190</v>
      </c>
      <c r="G1791" s="658" t="s">
        <v>1446</v>
      </c>
      <c r="H1791" s="696">
        <v>45821.0</v>
      </c>
    </row>
    <row r="1792">
      <c r="A1792" s="689">
        <v>9.0</v>
      </c>
      <c r="B1792" s="655" t="s">
        <v>5170</v>
      </c>
      <c r="C1792" s="689">
        <v>1.0</v>
      </c>
      <c r="D1792" s="678">
        <v>20.0</v>
      </c>
      <c r="E1792" s="669">
        <v>1.0</v>
      </c>
      <c r="F1792" s="655" t="s">
        <v>5191</v>
      </c>
      <c r="G1792" s="658" t="s">
        <v>1446</v>
      </c>
      <c r="H1792" s="696">
        <v>45821.0</v>
      </c>
    </row>
    <row r="1793">
      <c r="A1793" s="689">
        <v>10.0</v>
      </c>
      <c r="B1793" s="655" t="s">
        <v>5170</v>
      </c>
      <c r="C1793" s="689">
        <v>1.0</v>
      </c>
      <c r="D1793" s="678">
        <v>20.0</v>
      </c>
      <c r="E1793" s="669">
        <v>1.0</v>
      </c>
      <c r="F1793" s="655" t="s">
        <v>5192</v>
      </c>
      <c r="G1793" s="658" t="s">
        <v>1446</v>
      </c>
      <c r="H1793" s="696">
        <v>45821.0</v>
      </c>
    </row>
    <row r="1794">
      <c r="A1794" s="689">
        <v>11.0</v>
      </c>
      <c r="B1794" s="655" t="s">
        <v>5170</v>
      </c>
      <c r="C1794" s="689">
        <v>1.0</v>
      </c>
      <c r="D1794" s="678">
        <v>20.0</v>
      </c>
      <c r="E1794" s="669">
        <v>1.0</v>
      </c>
      <c r="F1794" s="655" t="s">
        <v>5193</v>
      </c>
      <c r="G1794" s="658" t="s">
        <v>1446</v>
      </c>
      <c r="H1794" s="696">
        <v>45821.0</v>
      </c>
    </row>
    <row r="1795">
      <c r="A1795" s="689">
        <v>12.0</v>
      </c>
      <c r="B1795" s="655" t="s">
        <v>5170</v>
      </c>
      <c r="C1795" s="689">
        <v>1.0</v>
      </c>
      <c r="D1795" s="678">
        <v>20.0</v>
      </c>
      <c r="E1795" s="669">
        <v>1.0</v>
      </c>
      <c r="F1795" s="655" t="s">
        <v>5194</v>
      </c>
      <c r="G1795" s="658" t="s">
        <v>1446</v>
      </c>
      <c r="H1795" s="696">
        <v>45821.0</v>
      </c>
    </row>
    <row r="1796">
      <c r="A1796" s="689">
        <v>13.0</v>
      </c>
      <c r="B1796" s="655" t="s">
        <v>5170</v>
      </c>
      <c r="C1796" s="689">
        <v>1.0</v>
      </c>
      <c r="D1796" s="678">
        <v>20.0</v>
      </c>
      <c r="E1796" s="669">
        <v>1.0</v>
      </c>
      <c r="F1796" s="655" t="s">
        <v>5195</v>
      </c>
      <c r="G1796" s="658" t="s">
        <v>1446</v>
      </c>
      <c r="H1796" s="696">
        <v>45821.0</v>
      </c>
    </row>
    <row r="1797">
      <c r="A1797" s="689">
        <v>14.0</v>
      </c>
      <c r="B1797" s="655" t="s">
        <v>5170</v>
      </c>
      <c r="C1797" s="689">
        <v>1.0</v>
      </c>
      <c r="D1797" s="678">
        <v>20.0</v>
      </c>
      <c r="E1797" s="669">
        <v>1.0</v>
      </c>
      <c r="F1797" s="655" t="s">
        <v>5196</v>
      </c>
      <c r="G1797" s="658" t="s">
        <v>1446</v>
      </c>
      <c r="H1797" s="696">
        <v>45821.0</v>
      </c>
    </row>
    <row r="1798">
      <c r="A1798" s="689">
        <v>15.0</v>
      </c>
      <c r="B1798" s="655" t="s">
        <v>5170</v>
      </c>
      <c r="C1798" s="689">
        <v>1.0</v>
      </c>
      <c r="D1798" s="678">
        <v>20.0</v>
      </c>
      <c r="E1798" s="669">
        <v>1.0</v>
      </c>
      <c r="F1798" s="655" t="s">
        <v>5197</v>
      </c>
      <c r="G1798" s="658" t="s">
        <v>1446</v>
      </c>
      <c r="H1798" s="696">
        <v>45821.0</v>
      </c>
    </row>
    <row r="1799">
      <c r="A1799" s="689">
        <v>16.0</v>
      </c>
      <c r="B1799" s="655" t="s">
        <v>5170</v>
      </c>
      <c r="C1799" s="689">
        <v>1.0</v>
      </c>
      <c r="D1799" s="678">
        <v>20.0</v>
      </c>
      <c r="E1799" s="669">
        <v>1.0</v>
      </c>
      <c r="F1799" s="655" t="s">
        <v>5198</v>
      </c>
      <c r="G1799" s="658" t="s">
        <v>1446</v>
      </c>
      <c r="H1799" s="696">
        <v>45821.0</v>
      </c>
    </row>
    <row r="1800">
      <c r="A1800" s="689">
        <v>17.0</v>
      </c>
      <c r="B1800" s="655" t="s">
        <v>5170</v>
      </c>
      <c r="C1800" s="689">
        <v>1.0</v>
      </c>
      <c r="D1800" s="678">
        <v>20.0</v>
      </c>
      <c r="E1800" s="669">
        <v>1.0</v>
      </c>
      <c r="F1800" s="655" t="s">
        <v>5199</v>
      </c>
      <c r="G1800" s="658" t="s">
        <v>1446</v>
      </c>
      <c r="H1800" s="696">
        <v>45821.0</v>
      </c>
    </row>
    <row r="1801">
      <c r="A1801" s="689">
        <v>18.0</v>
      </c>
      <c r="B1801" s="655" t="s">
        <v>5170</v>
      </c>
      <c r="C1801" s="689">
        <v>1.0</v>
      </c>
      <c r="D1801" s="678">
        <v>20.0</v>
      </c>
      <c r="E1801" s="669">
        <v>1.0</v>
      </c>
      <c r="F1801" s="655" t="s">
        <v>5200</v>
      </c>
      <c r="G1801" s="658" t="s">
        <v>1446</v>
      </c>
      <c r="H1801" s="696">
        <v>45821.0</v>
      </c>
    </row>
    <row r="1802">
      <c r="A1802" s="732" t="s">
        <v>1562</v>
      </c>
      <c r="B1802" s="3"/>
      <c r="C1802" s="689">
        <f t="shared" ref="C1802:E1802" si="75">sum(C1784:C1801)</f>
        <v>19</v>
      </c>
      <c r="D1802" s="721">
        <f t="shared" si="75"/>
        <v>437.6</v>
      </c>
      <c r="E1802" s="669">
        <f t="shared" si="75"/>
        <v>16</v>
      </c>
      <c r="F1802" s="689"/>
      <c r="G1802" s="731"/>
      <c r="H1802" s="731"/>
    </row>
    <row r="1803">
      <c r="A1803" s="689"/>
      <c r="B1803" s="689"/>
      <c r="C1803" s="689"/>
      <c r="D1803" s="721"/>
      <c r="E1803" s="669"/>
      <c r="F1803" s="689"/>
      <c r="G1803" s="731"/>
      <c r="H1803" s="731"/>
    </row>
    <row r="1804">
      <c r="A1804" s="649" t="s">
        <v>5201</v>
      </c>
      <c r="B1804" s="2"/>
      <c r="C1804" s="2"/>
      <c r="D1804" s="2"/>
      <c r="E1804" s="2"/>
      <c r="F1804" s="2"/>
      <c r="G1804" s="2"/>
      <c r="H1804" s="3"/>
    </row>
    <row r="1805">
      <c r="A1805" s="690" t="s">
        <v>1435</v>
      </c>
      <c r="B1805" s="690" t="s">
        <v>1436</v>
      </c>
      <c r="C1805" s="690" t="s">
        <v>1843</v>
      </c>
      <c r="D1805" s="693" t="s">
        <v>1438</v>
      </c>
      <c r="E1805" s="694" t="s">
        <v>1564</v>
      </c>
      <c r="F1805" s="690" t="s">
        <v>1440</v>
      </c>
      <c r="G1805" s="690" t="s">
        <v>1844</v>
      </c>
      <c r="H1805" s="695" t="s">
        <v>1441</v>
      </c>
    </row>
    <row r="1806">
      <c r="A1806" s="689">
        <v>1.0</v>
      </c>
      <c r="B1806" s="689" t="s">
        <v>1443</v>
      </c>
      <c r="C1806" s="689">
        <v>1.0</v>
      </c>
      <c r="D1806" s="721">
        <v>150.0</v>
      </c>
      <c r="E1806" s="669"/>
      <c r="F1806" s="689" t="s">
        <v>1518</v>
      </c>
      <c r="G1806" s="658" t="s">
        <v>1446</v>
      </c>
      <c r="H1806" s="731">
        <v>45141.0</v>
      </c>
    </row>
    <row r="1807">
      <c r="A1807" s="689">
        <v>2.0</v>
      </c>
      <c r="B1807" s="689" t="s">
        <v>1444</v>
      </c>
      <c r="C1807" s="658">
        <v>2.0</v>
      </c>
      <c r="D1807" s="721">
        <f>C1807*3.2</f>
        <v>6.4</v>
      </c>
      <c r="E1807" s="669"/>
      <c r="F1807" s="689"/>
      <c r="G1807" s="658" t="s">
        <v>1446</v>
      </c>
      <c r="H1807" s="731">
        <v>45141.0</v>
      </c>
    </row>
    <row r="1808">
      <c r="A1808" s="689">
        <v>3.0</v>
      </c>
      <c r="B1808" s="689" t="s">
        <v>3673</v>
      </c>
      <c r="C1808" s="689">
        <v>1.0</v>
      </c>
      <c r="D1808" s="678">
        <v>5.0</v>
      </c>
      <c r="E1808" s="669">
        <v>1.0</v>
      </c>
      <c r="F1808" s="689"/>
      <c r="G1808" s="658" t="s">
        <v>1446</v>
      </c>
      <c r="H1808" s="731">
        <v>45141.0</v>
      </c>
    </row>
    <row r="1809">
      <c r="A1809" s="689">
        <v>4.0</v>
      </c>
      <c r="B1809" s="655" t="s">
        <v>5185</v>
      </c>
      <c r="C1809" s="689">
        <v>1.0</v>
      </c>
      <c r="D1809" s="678">
        <v>6.2</v>
      </c>
      <c r="E1809" s="669">
        <v>1.0</v>
      </c>
      <c r="F1809" s="655" t="s">
        <v>5202</v>
      </c>
      <c r="G1809" s="658" t="s">
        <v>1446</v>
      </c>
      <c r="H1809" s="696">
        <v>45821.0</v>
      </c>
    </row>
    <row r="1810">
      <c r="A1810" s="689">
        <v>5.0</v>
      </c>
      <c r="B1810" s="655" t="s">
        <v>5168</v>
      </c>
      <c r="C1810" s="689">
        <v>1.0</v>
      </c>
      <c r="D1810" s="678">
        <v>10.0</v>
      </c>
      <c r="E1810" s="669">
        <v>1.0</v>
      </c>
      <c r="F1810" s="655" t="s">
        <v>5203</v>
      </c>
      <c r="G1810" s="658" t="s">
        <v>1446</v>
      </c>
      <c r="H1810" s="696">
        <v>45821.0</v>
      </c>
    </row>
    <row r="1811">
      <c r="A1811" s="689">
        <v>6.0</v>
      </c>
      <c r="B1811" s="655" t="s">
        <v>5170</v>
      </c>
      <c r="C1811" s="689">
        <v>1.0</v>
      </c>
      <c r="D1811" s="678">
        <v>20.0</v>
      </c>
      <c r="E1811" s="669">
        <v>1.0</v>
      </c>
      <c r="F1811" s="655" t="s">
        <v>5204</v>
      </c>
      <c r="G1811" s="658" t="s">
        <v>1446</v>
      </c>
      <c r="H1811" s="696">
        <v>45821.0</v>
      </c>
    </row>
    <row r="1812">
      <c r="A1812" s="689">
        <v>7.0</v>
      </c>
      <c r="B1812" s="655" t="s">
        <v>5170</v>
      </c>
      <c r="C1812" s="689">
        <v>1.0</v>
      </c>
      <c r="D1812" s="678">
        <v>20.0</v>
      </c>
      <c r="E1812" s="669">
        <v>1.0</v>
      </c>
      <c r="F1812" s="655">
        <v>1.2116158E7</v>
      </c>
      <c r="G1812" s="658" t="s">
        <v>1446</v>
      </c>
      <c r="H1812" s="696">
        <v>45821.0</v>
      </c>
    </row>
    <row r="1813">
      <c r="A1813" s="689">
        <v>8.0</v>
      </c>
      <c r="B1813" s="655" t="s">
        <v>5170</v>
      </c>
      <c r="C1813" s="689">
        <v>1.0</v>
      </c>
      <c r="D1813" s="678">
        <v>20.0</v>
      </c>
      <c r="E1813" s="669">
        <v>1.0</v>
      </c>
      <c r="F1813" s="655" t="s">
        <v>5205</v>
      </c>
      <c r="G1813" s="658" t="s">
        <v>1446</v>
      </c>
      <c r="H1813" s="696">
        <v>45821.0</v>
      </c>
    </row>
    <row r="1814">
      <c r="A1814" s="689">
        <v>9.0</v>
      </c>
      <c r="B1814" s="655" t="s">
        <v>5170</v>
      </c>
      <c r="C1814" s="689">
        <v>1.0</v>
      </c>
      <c r="D1814" s="678">
        <v>20.0</v>
      </c>
      <c r="E1814" s="669">
        <v>1.0</v>
      </c>
      <c r="F1814" s="655" t="s">
        <v>5206</v>
      </c>
      <c r="G1814" s="658" t="s">
        <v>1446</v>
      </c>
      <c r="H1814" s="696">
        <v>45821.0</v>
      </c>
    </row>
    <row r="1815">
      <c r="A1815" s="689">
        <v>10.0</v>
      </c>
      <c r="B1815" s="655" t="s">
        <v>5170</v>
      </c>
      <c r="C1815" s="689">
        <v>1.0</v>
      </c>
      <c r="D1815" s="678">
        <v>20.0</v>
      </c>
      <c r="E1815" s="669">
        <v>1.0</v>
      </c>
      <c r="F1815" s="655" t="s">
        <v>5207</v>
      </c>
      <c r="G1815" s="658" t="s">
        <v>1446</v>
      </c>
      <c r="H1815" s="696">
        <v>45821.0</v>
      </c>
    </row>
    <row r="1816">
      <c r="A1816" s="689">
        <v>11.0</v>
      </c>
      <c r="B1816" s="655" t="s">
        <v>5170</v>
      </c>
      <c r="C1816" s="689">
        <v>1.0</v>
      </c>
      <c r="D1816" s="678">
        <v>20.0</v>
      </c>
      <c r="E1816" s="669">
        <v>1.0</v>
      </c>
      <c r="F1816" s="655">
        <v>1.2116122E7</v>
      </c>
      <c r="G1816" s="658" t="s">
        <v>1446</v>
      </c>
      <c r="H1816" s="696">
        <v>45821.0</v>
      </c>
    </row>
    <row r="1817">
      <c r="A1817" s="689">
        <v>12.0</v>
      </c>
      <c r="B1817" s="655" t="s">
        <v>5170</v>
      </c>
      <c r="C1817" s="689">
        <v>1.0</v>
      </c>
      <c r="D1817" s="678">
        <v>20.0</v>
      </c>
      <c r="E1817" s="669">
        <v>1.0</v>
      </c>
      <c r="F1817" s="655" t="s">
        <v>5208</v>
      </c>
      <c r="G1817" s="658" t="s">
        <v>1446</v>
      </c>
      <c r="H1817" s="696">
        <v>45821.0</v>
      </c>
    </row>
    <row r="1818">
      <c r="A1818" s="689">
        <v>13.0</v>
      </c>
      <c r="B1818" s="655" t="s">
        <v>5170</v>
      </c>
      <c r="C1818" s="689">
        <v>1.0</v>
      </c>
      <c r="D1818" s="678">
        <v>20.0</v>
      </c>
      <c r="E1818" s="669">
        <v>1.0</v>
      </c>
      <c r="F1818" s="655" t="s">
        <v>5209</v>
      </c>
      <c r="G1818" s="658" t="s">
        <v>1446</v>
      </c>
      <c r="H1818" s="696">
        <v>45821.0</v>
      </c>
    </row>
    <row r="1819">
      <c r="A1819" s="689">
        <v>14.0</v>
      </c>
      <c r="B1819" s="655" t="s">
        <v>5170</v>
      </c>
      <c r="C1819" s="689">
        <v>1.0</v>
      </c>
      <c r="D1819" s="678">
        <v>20.0</v>
      </c>
      <c r="E1819" s="669">
        <v>1.0</v>
      </c>
      <c r="F1819" s="655">
        <v>1.2143281E7</v>
      </c>
      <c r="G1819" s="658" t="s">
        <v>1446</v>
      </c>
      <c r="H1819" s="696">
        <v>45821.0</v>
      </c>
    </row>
    <row r="1820">
      <c r="A1820" s="689">
        <v>15.0</v>
      </c>
      <c r="B1820" s="655" t="s">
        <v>5170</v>
      </c>
      <c r="C1820" s="689">
        <v>1.0</v>
      </c>
      <c r="D1820" s="678">
        <v>20.0</v>
      </c>
      <c r="E1820" s="669">
        <v>1.0</v>
      </c>
      <c r="F1820" s="655" t="s">
        <v>5210</v>
      </c>
      <c r="G1820" s="658" t="s">
        <v>1446</v>
      </c>
      <c r="H1820" s="696">
        <v>45821.0</v>
      </c>
    </row>
    <row r="1821">
      <c r="A1821" s="689">
        <v>16.0</v>
      </c>
      <c r="B1821" s="655" t="s">
        <v>5170</v>
      </c>
      <c r="C1821" s="689">
        <v>1.0</v>
      </c>
      <c r="D1821" s="678">
        <v>20.0</v>
      </c>
      <c r="E1821" s="669">
        <v>1.0</v>
      </c>
      <c r="F1821" s="655" t="s">
        <v>5211</v>
      </c>
      <c r="G1821" s="658" t="s">
        <v>1446</v>
      </c>
      <c r="H1821" s="696">
        <v>45821.0</v>
      </c>
    </row>
    <row r="1822">
      <c r="A1822" s="689">
        <v>17.0</v>
      </c>
      <c r="B1822" s="655" t="s">
        <v>5170</v>
      </c>
      <c r="C1822" s="689">
        <v>1.0</v>
      </c>
      <c r="D1822" s="678">
        <v>20.0</v>
      </c>
      <c r="E1822" s="669">
        <v>1.0</v>
      </c>
      <c r="F1822" s="655">
        <v>1.2143311E7</v>
      </c>
      <c r="G1822" s="658" t="s">
        <v>1446</v>
      </c>
      <c r="H1822" s="696">
        <v>45821.0</v>
      </c>
    </row>
    <row r="1823">
      <c r="A1823" s="732" t="s">
        <v>1562</v>
      </c>
      <c r="B1823" s="3"/>
      <c r="C1823" s="689">
        <f t="shared" ref="C1823:E1823" si="76">sum(C1806:C1822)</f>
        <v>18</v>
      </c>
      <c r="D1823" s="721">
        <f t="shared" si="76"/>
        <v>417.6</v>
      </c>
      <c r="E1823" s="669">
        <f t="shared" si="76"/>
        <v>15</v>
      </c>
      <c r="F1823" s="689"/>
      <c r="G1823" s="658"/>
      <c r="H1823" s="731"/>
    </row>
    <row r="1824">
      <c r="A1824" s="689"/>
      <c r="B1824" s="689"/>
      <c r="C1824" s="689"/>
      <c r="D1824" s="721"/>
      <c r="E1824" s="669"/>
      <c r="F1824" s="689"/>
      <c r="G1824" s="731"/>
      <c r="H1824" s="731"/>
    </row>
    <row r="1825">
      <c r="A1825" s="649" t="s">
        <v>5212</v>
      </c>
      <c r="B1825" s="2"/>
      <c r="C1825" s="2"/>
      <c r="D1825" s="2"/>
      <c r="E1825" s="2"/>
      <c r="F1825" s="2"/>
      <c r="G1825" s="2"/>
      <c r="H1825" s="3"/>
    </row>
    <row r="1826">
      <c r="A1826" s="690" t="s">
        <v>1435</v>
      </c>
      <c r="B1826" s="690" t="s">
        <v>1436</v>
      </c>
      <c r="C1826" s="690" t="s">
        <v>1843</v>
      </c>
      <c r="D1826" s="693" t="s">
        <v>1438</v>
      </c>
      <c r="E1826" s="694" t="s">
        <v>1564</v>
      </c>
      <c r="F1826" s="690" t="s">
        <v>1440</v>
      </c>
      <c r="G1826" s="690" t="s">
        <v>1844</v>
      </c>
      <c r="H1826" s="695" t="s">
        <v>1441</v>
      </c>
    </row>
    <row r="1827">
      <c r="A1827" s="689">
        <v>1.0</v>
      </c>
      <c r="B1827" s="689" t="s">
        <v>1443</v>
      </c>
      <c r="C1827" s="689">
        <v>1.0</v>
      </c>
      <c r="D1827" s="721">
        <v>150.0</v>
      </c>
      <c r="E1827" s="669"/>
      <c r="F1827" s="689" t="s">
        <v>1518</v>
      </c>
      <c r="G1827" s="658" t="s">
        <v>1446</v>
      </c>
      <c r="H1827" s="731">
        <v>45141.0</v>
      </c>
    </row>
    <row r="1828">
      <c r="A1828" s="689">
        <v>2.0</v>
      </c>
      <c r="B1828" s="689" t="s">
        <v>1444</v>
      </c>
      <c r="C1828" s="658">
        <v>2.0</v>
      </c>
      <c r="D1828" s="721">
        <f>C1828*3.2</f>
        <v>6.4</v>
      </c>
      <c r="E1828" s="669"/>
      <c r="F1828" s="689"/>
      <c r="G1828" s="658" t="s">
        <v>1446</v>
      </c>
      <c r="H1828" s="731">
        <v>45141.0</v>
      </c>
    </row>
    <row r="1829">
      <c r="A1829" s="689">
        <v>3.0</v>
      </c>
      <c r="B1829" s="689" t="s">
        <v>3673</v>
      </c>
      <c r="C1829" s="689">
        <v>1.0</v>
      </c>
      <c r="D1829" s="721">
        <v>5.0</v>
      </c>
      <c r="E1829" s="669">
        <v>1.0</v>
      </c>
      <c r="F1829" s="689"/>
      <c r="G1829" s="658" t="s">
        <v>1446</v>
      </c>
      <c r="H1829" s="731">
        <v>45141.0</v>
      </c>
    </row>
    <row r="1830">
      <c r="A1830" s="689">
        <v>4.0</v>
      </c>
      <c r="B1830" s="655" t="s">
        <v>5185</v>
      </c>
      <c r="C1830" s="689">
        <v>1.0</v>
      </c>
      <c r="D1830" s="678">
        <v>6.2</v>
      </c>
      <c r="E1830" s="669">
        <v>1.0</v>
      </c>
      <c r="F1830" s="655" t="s">
        <v>5213</v>
      </c>
      <c r="G1830" s="658" t="s">
        <v>1446</v>
      </c>
      <c r="H1830" s="696">
        <v>45821.0</v>
      </c>
    </row>
    <row r="1831">
      <c r="A1831" s="689">
        <v>5.0</v>
      </c>
      <c r="B1831" s="655" t="s">
        <v>5168</v>
      </c>
      <c r="C1831" s="689">
        <v>1.0</v>
      </c>
      <c r="D1831" s="678">
        <v>10.0</v>
      </c>
      <c r="E1831" s="669">
        <v>1.0</v>
      </c>
      <c r="F1831" s="655" t="s">
        <v>5214</v>
      </c>
      <c r="G1831" s="658" t="s">
        <v>1446</v>
      </c>
      <c r="H1831" s="696">
        <v>45821.0</v>
      </c>
    </row>
    <row r="1832">
      <c r="A1832" s="689">
        <v>6.0</v>
      </c>
      <c r="B1832" s="655" t="s">
        <v>5170</v>
      </c>
      <c r="C1832" s="689">
        <v>1.0</v>
      </c>
      <c r="D1832" s="678">
        <v>20.0</v>
      </c>
      <c r="E1832" s="669">
        <v>1.0</v>
      </c>
      <c r="F1832" s="655" t="s">
        <v>5215</v>
      </c>
      <c r="G1832" s="658" t="s">
        <v>1446</v>
      </c>
      <c r="H1832" s="696">
        <v>45821.0</v>
      </c>
    </row>
    <row r="1833">
      <c r="A1833" s="689">
        <v>7.0</v>
      </c>
      <c r="B1833" s="655" t="s">
        <v>5170</v>
      </c>
      <c r="C1833" s="689">
        <v>1.0</v>
      </c>
      <c r="D1833" s="678">
        <v>20.0</v>
      </c>
      <c r="E1833" s="669">
        <v>1.0</v>
      </c>
      <c r="F1833" s="655" t="s">
        <v>5216</v>
      </c>
      <c r="G1833" s="658" t="s">
        <v>1446</v>
      </c>
      <c r="H1833" s="696">
        <v>45821.0</v>
      </c>
    </row>
    <row r="1834">
      <c r="A1834" s="689">
        <v>8.0</v>
      </c>
      <c r="B1834" s="655" t="s">
        <v>5170</v>
      </c>
      <c r="C1834" s="689">
        <v>1.0</v>
      </c>
      <c r="D1834" s="678">
        <v>20.0</v>
      </c>
      <c r="E1834" s="669">
        <v>1.0</v>
      </c>
      <c r="F1834" s="655" t="s">
        <v>5217</v>
      </c>
      <c r="G1834" s="658" t="s">
        <v>1446</v>
      </c>
      <c r="H1834" s="696">
        <v>45821.0</v>
      </c>
    </row>
    <row r="1835">
      <c r="A1835" s="689">
        <v>9.0</v>
      </c>
      <c r="B1835" s="655" t="s">
        <v>5170</v>
      </c>
      <c r="C1835" s="689">
        <v>1.0</v>
      </c>
      <c r="D1835" s="678">
        <v>20.0</v>
      </c>
      <c r="E1835" s="669">
        <v>1.0</v>
      </c>
      <c r="F1835" s="655" t="s">
        <v>5218</v>
      </c>
      <c r="G1835" s="658" t="s">
        <v>1446</v>
      </c>
      <c r="H1835" s="696">
        <v>45821.0</v>
      </c>
    </row>
    <row r="1836">
      <c r="A1836" s="689">
        <v>10.0</v>
      </c>
      <c r="B1836" s="655" t="s">
        <v>5170</v>
      </c>
      <c r="C1836" s="689">
        <v>1.0</v>
      </c>
      <c r="D1836" s="678">
        <v>20.0</v>
      </c>
      <c r="E1836" s="669">
        <v>1.0</v>
      </c>
      <c r="F1836" s="655" t="s">
        <v>5219</v>
      </c>
      <c r="G1836" s="658" t="s">
        <v>1446</v>
      </c>
      <c r="H1836" s="696">
        <v>45821.0</v>
      </c>
    </row>
    <row r="1837">
      <c r="A1837" s="689">
        <v>11.0</v>
      </c>
      <c r="B1837" s="655" t="s">
        <v>5170</v>
      </c>
      <c r="C1837" s="689">
        <v>1.0</v>
      </c>
      <c r="D1837" s="678">
        <v>20.0</v>
      </c>
      <c r="E1837" s="669">
        <v>1.0</v>
      </c>
      <c r="F1837" s="655" t="s">
        <v>5220</v>
      </c>
      <c r="G1837" s="658" t="s">
        <v>1446</v>
      </c>
      <c r="H1837" s="696">
        <v>45821.0</v>
      </c>
    </row>
    <row r="1838">
      <c r="A1838" s="689">
        <v>12.0</v>
      </c>
      <c r="B1838" s="655" t="s">
        <v>5170</v>
      </c>
      <c r="C1838" s="689">
        <v>1.0</v>
      </c>
      <c r="D1838" s="678">
        <v>20.0</v>
      </c>
      <c r="E1838" s="669">
        <v>1.0</v>
      </c>
      <c r="F1838" s="655" t="s">
        <v>5221</v>
      </c>
      <c r="G1838" s="658" t="s">
        <v>1446</v>
      </c>
      <c r="H1838" s="696">
        <v>45821.0</v>
      </c>
    </row>
    <row r="1839">
      <c r="A1839" s="689">
        <v>13.0</v>
      </c>
      <c r="B1839" s="655" t="s">
        <v>5170</v>
      </c>
      <c r="C1839" s="689">
        <v>1.0</v>
      </c>
      <c r="D1839" s="678">
        <v>20.0</v>
      </c>
      <c r="E1839" s="669">
        <v>1.0</v>
      </c>
      <c r="F1839" s="655" t="s">
        <v>5222</v>
      </c>
      <c r="G1839" s="658" t="s">
        <v>1446</v>
      </c>
      <c r="H1839" s="696">
        <v>45821.0</v>
      </c>
    </row>
    <row r="1840">
      <c r="A1840" s="689">
        <v>14.0</v>
      </c>
      <c r="B1840" s="655" t="s">
        <v>5170</v>
      </c>
      <c r="C1840" s="689">
        <v>1.0</v>
      </c>
      <c r="D1840" s="678">
        <v>20.0</v>
      </c>
      <c r="E1840" s="669">
        <v>1.0</v>
      </c>
      <c r="F1840" s="655" t="s">
        <v>5223</v>
      </c>
      <c r="G1840" s="658" t="s">
        <v>1446</v>
      </c>
      <c r="H1840" s="696">
        <v>45821.0</v>
      </c>
    </row>
    <row r="1841">
      <c r="A1841" s="689">
        <v>15.0</v>
      </c>
      <c r="B1841" s="655" t="s">
        <v>5170</v>
      </c>
      <c r="C1841" s="689">
        <v>1.0</v>
      </c>
      <c r="D1841" s="678">
        <v>20.0</v>
      </c>
      <c r="E1841" s="669">
        <v>1.0</v>
      </c>
      <c r="F1841" s="655" t="s">
        <v>5224</v>
      </c>
      <c r="G1841" s="658" t="s">
        <v>1446</v>
      </c>
      <c r="H1841" s="696">
        <v>45821.0</v>
      </c>
    </row>
    <row r="1842">
      <c r="A1842" s="689">
        <v>16.0</v>
      </c>
      <c r="B1842" s="655" t="s">
        <v>5170</v>
      </c>
      <c r="C1842" s="689">
        <v>1.0</v>
      </c>
      <c r="D1842" s="678">
        <v>20.0</v>
      </c>
      <c r="E1842" s="669">
        <v>1.0</v>
      </c>
      <c r="F1842" s="655" t="s">
        <v>5225</v>
      </c>
      <c r="G1842" s="658" t="s">
        <v>1446</v>
      </c>
      <c r="H1842" s="696">
        <v>45821.0</v>
      </c>
    </row>
    <row r="1843">
      <c r="A1843" s="689">
        <v>17.0</v>
      </c>
      <c r="B1843" s="655" t="s">
        <v>5170</v>
      </c>
      <c r="C1843" s="689">
        <v>1.0</v>
      </c>
      <c r="D1843" s="678">
        <v>20.0</v>
      </c>
      <c r="E1843" s="669">
        <v>1.0</v>
      </c>
      <c r="F1843" s="655">
        <v>1.2143309E7</v>
      </c>
      <c r="G1843" s="658" t="s">
        <v>1446</v>
      </c>
      <c r="H1843" s="696">
        <v>45821.0</v>
      </c>
    </row>
    <row r="1844">
      <c r="A1844" s="732" t="s">
        <v>1562</v>
      </c>
      <c r="B1844" s="3"/>
      <c r="C1844" s="689">
        <f t="shared" ref="C1844:E1844" si="77">sum(C1827:C1843)</f>
        <v>18</v>
      </c>
      <c r="D1844" s="721">
        <f t="shared" si="77"/>
        <v>417.6</v>
      </c>
      <c r="E1844" s="669">
        <f t="shared" si="77"/>
        <v>15</v>
      </c>
      <c r="F1844" s="689"/>
      <c r="G1844" s="731"/>
      <c r="H1844" s="731"/>
    </row>
    <row r="1845">
      <c r="A1845" s="689"/>
      <c r="B1845" s="689"/>
      <c r="C1845" s="689"/>
      <c r="D1845" s="721"/>
      <c r="E1845" s="669"/>
      <c r="F1845" s="689"/>
      <c r="G1845" s="731"/>
      <c r="H1845" s="731"/>
    </row>
    <row r="1846">
      <c r="A1846" s="649" t="s">
        <v>5226</v>
      </c>
      <c r="B1846" s="2"/>
      <c r="C1846" s="2"/>
      <c r="D1846" s="2"/>
      <c r="E1846" s="2"/>
      <c r="F1846" s="2"/>
      <c r="G1846" s="2"/>
      <c r="H1846" s="3"/>
    </row>
    <row r="1847">
      <c r="A1847" s="690" t="s">
        <v>1435</v>
      </c>
      <c r="B1847" s="690" t="s">
        <v>1436</v>
      </c>
      <c r="C1847" s="690" t="s">
        <v>1843</v>
      </c>
      <c r="D1847" s="693" t="s">
        <v>1438</v>
      </c>
      <c r="E1847" s="694" t="s">
        <v>1564</v>
      </c>
      <c r="F1847" s="690" t="s">
        <v>1440</v>
      </c>
      <c r="G1847" s="690" t="s">
        <v>1844</v>
      </c>
      <c r="H1847" s="695" t="s">
        <v>1441</v>
      </c>
    </row>
    <row r="1848">
      <c r="A1848" s="689">
        <v>1.0</v>
      </c>
      <c r="B1848" s="689" t="s">
        <v>1443</v>
      </c>
      <c r="C1848" s="689">
        <v>1.0</v>
      </c>
      <c r="D1848" s="721">
        <v>150.0</v>
      </c>
      <c r="E1848" s="669"/>
      <c r="F1848" s="689" t="s">
        <v>1518</v>
      </c>
      <c r="G1848" s="658" t="s">
        <v>1447</v>
      </c>
      <c r="H1848" s="731">
        <v>45141.0</v>
      </c>
    </row>
    <row r="1849">
      <c r="A1849" s="689">
        <v>2.0</v>
      </c>
      <c r="B1849" s="689" t="s">
        <v>1444</v>
      </c>
      <c r="C1849" s="658">
        <v>2.0</v>
      </c>
      <c r="D1849" s="721">
        <f>C1849*3.2</f>
        <v>6.4</v>
      </c>
      <c r="E1849" s="669"/>
      <c r="F1849" s="689"/>
      <c r="G1849" s="658" t="s">
        <v>1447</v>
      </c>
      <c r="H1849" s="731">
        <v>45141.0</v>
      </c>
    </row>
    <row r="1850">
      <c r="A1850" s="689">
        <v>3.0</v>
      </c>
      <c r="B1850" s="689" t="s">
        <v>3673</v>
      </c>
      <c r="C1850" s="689">
        <v>1.0</v>
      </c>
      <c r="D1850" s="721">
        <v>5.0</v>
      </c>
      <c r="E1850" s="669">
        <v>1.0</v>
      </c>
      <c r="F1850" s="689"/>
      <c r="G1850" s="658" t="s">
        <v>1447</v>
      </c>
      <c r="H1850" s="731"/>
    </row>
    <row r="1851">
      <c r="A1851" s="689">
        <v>4.0</v>
      </c>
      <c r="B1851" s="655" t="s">
        <v>5227</v>
      </c>
      <c r="C1851" s="658">
        <v>1.0</v>
      </c>
      <c r="D1851" s="658">
        <v>31.5</v>
      </c>
      <c r="E1851" s="676">
        <v>2.0</v>
      </c>
      <c r="F1851" s="655" t="s">
        <v>5228</v>
      </c>
      <c r="G1851" s="658" t="s">
        <v>1447</v>
      </c>
      <c r="H1851" s="696">
        <v>45834.0</v>
      </c>
    </row>
    <row r="1852">
      <c r="A1852" s="689">
        <v>5.0</v>
      </c>
      <c r="B1852" s="655" t="s">
        <v>5229</v>
      </c>
      <c r="C1852" s="658">
        <v>1.0</v>
      </c>
      <c r="D1852" s="658">
        <v>7.6</v>
      </c>
      <c r="E1852" s="676">
        <v>1.0</v>
      </c>
      <c r="F1852" s="655" t="s">
        <v>5230</v>
      </c>
      <c r="G1852" s="658" t="s">
        <v>1447</v>
      </c>
      <c r="H1852" s="696">
        <v>45834.0</v>
      </c>
    </row>
    <row r="1853">
      <c r="A1853" s="689">
        <v>6.0</v>
      </c>
      <c r="B1853" s="655" t="s">
        <v>5231</v>
      </c>
      <c r="C1853" s="658">
        <v>1.0</v>
      </c>
      <c r="D1853" s="658">
        <v>9.3</v>
      </c>
      <c r="E1853" s="676">
        <v>1.0</v>
      </c>
      <c r="F1853" s="655" t="s">
        <v>5232</v>
      </c>
      <c r="G1853" s="658" t="s">
        <v>1447</v>
      </c>
      <c r="H1853" s="696">
        <v>45834.0</v>
      </c>
    </row>
    <row r="1854">
      <c r="A1854" s="689">
        <v>7.0</v>
      </c>
      <c r="B1854" s="655" t="s">
        <v>3533</v>
      </c>
      <c r="C1854" s="658">
        <v>1.0</v>
      </c>
      <c r="D1854" s="678">
        <v>21.9</v>
      </c>
      <c r="E1854" s="676">
        <v>1.0</v>
      </c>
      <c r="F1854" s="655" t="s">
        <v>5233</v>
      </c>
      <c r="G1854" s="658" t="s">
        <v>1447</v>
      </c>
      <c r="H1854" s="696">
        <v>45834.0</v>
      </c>
    </row>
    <row r="1855">
      <c r="A1855" s="689">
        <v>8.0</v>
      </c>
      <c r="B1855" s="655" t="s">
        <v>3533</v>
      </c>
      <c r="C1855" s="658">
        <v>1.0</v>
      </c>
      <c r="D1855" s="678">
        <v>21.9</v>
      </c>
      <c r="E1855" s="676">
        <v>1.0</v>
      </c>
      <c r="F1855" s="655" t="s">
        <v>5234</v>
      </c>
      <c r="G1855" s="658" t="s">
        <v>1447</v>
      </c>
      <c r="H1855" s="696">
        <v>45834.0</v>
      </c>
    </row>
    <row r="1856">
      <c r="A1856" s="689">
        <v>9.0</v>
      </c>
      <c r="B1856" s="655" t="s">
        <v>3533</v>
      </c>
      <c r="C1856" s="658">
        <v>1.0</v>
      </c>
      <c r="D1856" s="678">
        <v>21.9</v>
      </c>
      <c r="E1856" s="676">
        <v>1.0</v>
      </c>
      <c r="F1856" s="655" t="s">
        <v>5235</v>
      </c>
      <c r="G1856" s="658" t="s">
        <v>1447</v>
      </c>
      <c r="H1856" s="696">
        <v>45834.0</v>
      </c>
    </row>
    <row r="1857">
      <c r="A1857" s="658">
        <v>10.0</v>
      </c>
      <c r="B1857" s="658" t="s">
        <v>5236</v>
      </c>
      <c r="C1857" s="658">
        <v>1.0</v>
      </c>
      <c r="D1857" s="678">
        <v>16.8</v>
      </c>
      <c r="E1857" s="676">
        <v>1.0</v>
      </c>
      <c r="F1857" s="658" t="s">
        <v>5237</v>
      </c>
      <c r="G1857" s="658" t="s">
        <v>1447</v>
      </c>
      <c r="H1857" s="696">
        <v>45834.0</v>
      </c>
    </row>
    <row r="1858">
      <c r="A1858" s="658">
        <v>11.0</v>
      </c>
      <c r="B1858" s="658" t="s">
        <v>5236</v>
      </c>
      <c r="C1858" s="658">
        <v>1.0</v>
      </c>
      <c r="D1858" s="678">
        <v>16.8</v>
      </c>
      <c r="E1858" s="676">
        <v>1.0</v>
      </c>
      <c r="F1858" s="658" t="s">
        <v>5238</v>
      </c>
      <c r="G1858" s="658" t="s">
        <v>1447</v>
      </c>
      <c r="H1858" s="696">
        <v>45834.0</v>
      </c>
    </row>
    <row r="1859">
      <c r="A1859" s="662">
        <v>12.0</v>
      </c>
      <c r="B1859" s="662" t="s">
        <v>5239</v>
      </c>
      <c r="C1859" s="662">
        <v>1.0</v>
      </c>
      <c r="D1859" s="673">
        <v>28.6</v>
      </c>
      <c r="E1859" s="665">
        <v>2.0</v>
      </c>
      <c r="F1859" s="662" t="s">
        <v>5240</v>
      </c>
      <c r="G1859" s="662" t="s">
        <v>1447</v>
      </c>
      <c r="H1859" s="662" t="s">
        <v>5241</v>
      </c>
    </row>
    <row r="1860">
      <c r="A1860" s="658">
        <v>13.0</v>
      </c>
      <c r="B1860" s="658" t="s">
        <v>5242</v>
      </c>
      <c r="C1860" s="658">
        <v>1.0</v>
      </c>
      <c r="D1860" s="678">
        <v>28.1</v>
      </c>
      <c r="E1860" s="676">
        <v>2.0</v>
      </c>
      <c r="F1860" s="658" t="s">
        <v>5243</v>
      </c>
      <c r="G1860" s="658" t="s">
        <v>1447</v>
      </c>
      <c r="H1860" s="696">
        <v>45846.0</v>
      </c>
    </row>
    <row r="1861">
      <c r="A1861" s="732" t="s">
        <v>1562</v>
      </c>
      <c r="B1861" s="3"/>
      <c r="C1861" s="689">
        <f t="shared" ref="C1861:E1861" si="78">sum(C1848:C1860)</f>
        <v>14</v>
      </c>
      <c r="D1861" s="721">
        <f t="shared" si="78"/>
        <v>365.8</v>
      </c>
      <c r="E1861" s="669">
        <f t="shared" si="78"/>
        <v>14</v>
      </c>
      <c r="F1861" s="689"/>
      <c r="G1861" s="731"/>
      <c r="H1861" s="804"/>
    </row>
    <row r="1862">
      <c r="A1862" s="689"/>
      <c r="B1862" s="689"/>
      <c r="C1862" s="689"/>
      <c r="D1862" s="721"/>
      <c r="E1862" s="669"/>
      <c r="F1862" s="689"/>
      <c r="G1862" s="731"/>
      <c r="H1862" s="731"/>
    </row>
    <row r="1863">
      <c r="A1863" s="649" t="s">
        <v>5244</v>
      </c>
      <c r="B1863" s="2"/>
      <c r="C1863" s="2"/>
      <c r="D1863" s="2"/>
      <c r="E1863" s="2"/>
      <c r="F1863" s="2"/>
      <c r="G1863" s="2"/>
      <c r="H1863" s="3"/>
    </row>
    <row r="1864">
      <c r="A1864" s="690" t="s">
        <v>1435</v>
      </c>
      <c r="B1864" s="690" t="s">
        <v>1436</v>
      </c>
      <c r="C1864" s="690" t="s">
        <v>1843</v>
      </c>
      <c r="D1864" s="693" t="s">
        <v>1438</v>
      </c>
      <c r="E1864" s="694" t="s">
        <v>1564</v>
      </c>
      <c r="F1864" s="690" t="s">
        <v>1440</v>
      </c>
      <c r="G1864" s="690" t="s">
        <v>1844</v>
      </c>
      <c r="H1864" s="695" t="s">
        <v>1441</v>
      </c>
    </row>
    <row r="1865">
      <c r="A1865" s="689">
        <v>1.0</v>
      </c>
      <c r="B1865" s="689" t="s">
        <v>1443</v>
      </c>
      <c r="C1865" s="689">
        <v>1.0</v>
      </c>
      <c r="D1865" s="721">
        <v>150.0</v>
      </c>
      <c r="E1865" s="669"/>
      <c r="F1865" s="689" t="s">
        <v>1518</v>
      </c>
      <c r="G1865" s="689" t="s">
        <v>1731</v>
      </c>
      <c r="H1865" s="731">
        <v>45141.0</v>
      </c>
    </row>
    <row r="1866">
      <c r="A1866" s="689">
        <v>2.0</v>
      </c>
      <c r="B1866" s="689" t="s">
        <v>1444</v>
      </c>
      <c r="C1866" s="658">
        <v>2.0</v>
      </c>
      <c r="D1866" s="721">
        <f>C1866*3.2</f>
        <v>6.4</v>
      </c>
      <c r="E1866" s="669"/>
      <c r="F1866" s="689"/>
      <c r="G1866" s="689"/>
      <c r="H1866" s="731">
        <v>45141.0</v>
      </c>
    </row>
    <row r="1867">
      <c r="A1867" s="689">
        <v>3.0</v>
      </c>
      <c r="B1867" s="689" t="s">
        <v>3673</v>
      </c>
      <c r="C1867" s="689">
        <v>1.0</v>
      </c>
      <c r="D1867" s="721">
        <v>5.0</v>
      </c>
      <c r="E1867" s="669">
        <v>1.0</v>
      </c>
      <c r="F1867" s="689"/>
      <c r="G1867" s="689"/>
      <c r="H1867" s="731">
        <v>45141.0</v>
      </c>
    </row>
    <row r="1868">
      <c r="A1868" s="689">
        <v>4.0</v>
      </c>
      <c r="B1868" s="730"/>
      <c r="C1868" s="689"/>
      <c r="D1868" s="689"/>
      <c r="E1868" s="669"/>
      <c r="F1868" s="730"/>
      <c r="G1868" s="689"/>
      <c r="H1868" s="679"/>
    </row>
    <row r="1869">
      <c r="A1869" s="689">
        <v>5.0</v>
      </c>
      <c r="B1869" s="730"/>
      <c r="C1869" s="689"/>
      <c r="D1869" s="689"/>
      <c r="E1869" s="669"/>
      <c r="F1869" s="730"/>
      <c r="G1869" s="689"/>
      <c r="H1869" s="679"/>
    </row>
    <row r="1870">
      <c r="A1870" s="689">
        <v>6.0</v>
      </c>
      <c r="B1870" s="730"/>
      <c r="C1870" s="689"/>
      <c r="D1870" s="689"/>
      <c r="E1870" s="669"/>
      <c r="F1870" s="730"/>
      <c r="G1870" s="689"/>
      <c r="H1870" s="679"/>
    </row>
    <row r="1871">
      <c r="A1871" s="689">
        <v>7.0</v>
      </c>
      <c r="B1871" s="730"/>
      <c r="C1871" s="689"/>
      <c r="D1871" s="721"/>
      <c r="E1871" s="669"/>
      <c r="F1871" s="730"/>
      <c r="G1871" s="689"/>
      <c r="H1871" s="679"/>
    </row>
    <row r="1872">
      <c r="A1872" s="689">
        <v>8.0</v>
      </c>
      <c r="B1872" s="730"/>
      <c r="C1872" s="689"/>
      <c r="D1872" s="721"/>
      <c r="E1872" s="669"/>
      <c r="F1872" s="730"/>
      <c r="G1872" s="689"/>
      <c r="H1872" s="679"/>
    </row>
    <row r="1873">
      <c r="A1873" s="689">
        <v>9.0</v>
      </c>
      <c r="B1873" s="730"/>
      <c r="C1873" s="689"/>
      <c r="D1873" s="721"/>
      <c r="E1873" s="669"/>
      <c r="F1873" s="730"/>
      <c r="G1873" s="689"/>
      <c r="H1873" s="679"/>
    </row>
    <row r="1874">
      <c r="A1874" s="732" t="s">
        <v>1562</v>
      </c>
      <c r="B1874" s="3"/>
      <c r="C1874" s="689">
        <f t="shared" ref="C1874:E1874" si="79">sum(C1865:C1873)</f>
        <v>4</v>
      </c>
      <c r="D1874" s="721">
        <f t="shared" si="79"/>
        <v>161.4</v>
      </c>
      <c r="E1874" s="669">
        <f t="shared" si="79"/>
        <v>1</v>
      </c>
      <c r="F1874" s="689"/>
      <c r="G1874" s="731"/>
      <c r="H1874" s="679"/>
    </row>
    <row r="1875" hidden="1">
      <c r="A1875" s="689"/>
      <c r="B1875" s="689"/>
      <c r="C1875" s="689"/>
      <c r="D1875" s="721"/>
      <c r="E1875" s="669"/>
      <c r="F1875" s="689"/>
      <c r="G1875" s="731"/>
      <c r="H1875" s="679"/>
    </row>
    <row r="1876" hidden="1">
      <c r="A1876" s="689"/>
      <c r="B1876" s="689"/>
      <c r="C1876" s="689"/>
      <c r="D1876" s="721"/>
      <c r="E1876" s="669"/>
      <c r="F1876" s="689"/>
      <c r="G1876" s="731"/>
      <c r="H1876" s="679"/>
    </row>
    <row r="1877">
      <c r="A1877" s="689"/>
      <c r="B1877" s="689"/>
      <c r="C1877" s="689"/>
      <c r="D1877" s="721"/>
      <c r="E1877" s="669"/>
      <c r="F1877" s="689"/>
      <c r="G1877" s="731"/>
      <c r="H1877" s="679"/>
    </row>
    <row r="1878">
      <c r="A1878" s="649" t="s">
        <v>5245</v>
      </c>
      <c r="B1878" s="2"/>
      <c r="C1878" s="2"/>
      <c r="D1878" s="2"/>
      <c r="E1878" s="2"/>
      <c r="F1878" s="2"/>
      <c r="G1878" s="2"/>
      <c r="H1878" s="3"/>
    </row>
    <row r="1879">
      <c r="A1879" s="690" t="s">
        <v>1435</v>
      </c>
      <c r="B1879" s="690" t="s">
        <v>1436</v>
      </c>
      <c r="C1879" s="690" t="s">
        <v>1843</v>
      </c>
      <c r="D1879" s="693" t="s">
        <v>1438</v>
      </c>
      <c r="E1879" s="694" t="s">
        <v>1564</v>
      </c>
      <c r="F1879" s="690" t="s">
        <v>1440</v>
      </c>
      <c r="G1879" s="690" t="s">
        <v>1844</v>
      </c>
      <c r="H1879" s="695" t="s">
        <v>1441</v>
      </c>
    </row>
    <row r="1880">
      <c r="A1880" s="689">
        <v>1.0</v>
      </c>
      <c r="B1880" s="689" t="s">
        <v>1443</v>
      </c>
      <c r="C1880" s="689">
        <v>1.0</v>
      </c>
      <c r="D1880" s="721">
        <v>150.0</v>
      </c>
      <c r="E1880" s="669"/>
      <c r="F1880" s="689" t="s">
        <v>1518</v>
      </c>
      <c r="G1880" s="658" t="s">
        <v>1554</v>
      </c>
      <c r="H1880" s="731">
        <v>45141.0</v>
      </c>
    </row>
    <row r="1881">
      <c r="A1881" s="689">
        <v>2.0</v>
      </c>
      <c r="B1881" s="689" t="s">
        <v>1444</v>
      </c>
      <c r="C1881" s="658">
        <v>2.0</v>
      </c>
      <c r="D1881" s="721">
        <f>C1881*3.2</f>
        <v>6.4</v>
      </c>
      <c r="E1881" s="669"/>
      <c r="F1881" s="689"/>
      <c r="G1881" s="658" t="s">
        <v>1554</v>
      </c>
      <c r="H1881" s="731">
        <v>45141.0</v>
      </c>
    </row>
    <row r="1882">
      <c r="A1882" s="689">
        <v>3.0</v>
      </c>
      <c r="B1882" s="689" t="s">
        <v>3673</v>
      </c>
      <c r="C1882" s="689">
        <v>1.0</v>
      </c>
      <c r="D1882" s="721">
        <v>5.0</v>
      </c>
      <c r="E1882" s="669">
        <v>1.0</v>
      </c>
      <c r="F1882" s="689"/>
      <c r="G1882" s="658" t="s">
        <v>1554</v>
      </c>
      <c r="H1882" s="731">
        <v>45141.0</v>
      </c>
    </row>
    <row r="1883">
      <c r="A1883" s="689">
        <v>4.0</v>
      </c>
      <c r="B1883" s="901" t="s">
        <v>5246</v>
      </c>
      <c r="C1883" s="658">
        <v>1.0</v>
      </c>
      <c r="D1883" s="678">
        <v>2.2</v>
      </c>
      <c r="E1883" s="676">
        <v>1.0</v>
      </c>
      <c r="F1883" s="745" t="s">
        <v>5247</v>
      </c>
      <c r="G1883" s="658" t="s">
        <v>1554</v>
      </c>
      <c r="H1883" s="679">
        <v>45904.0</v>
      </c>
    </row>
    <row r="1884">
      <c r="A1884" s="689">
        <v>5.0</v>
      </c>
      <c r="B1884" s="901" t="s">
        <v>5246</v>
      </c>
      <c r="C1884" s="658">
        <v>1.0</v>
      </c>
      <c r="D1884" s="678">
        <v>2.2</v>
      </c>
      <c r="E1884" s="676">
        <v>1.0</v>
      </c>
      <c r="F1884" s="745" t="s">
        <v>5248</v>
      </c>
      <c r="G1884" s="658" t="s">
        <v>1554</v>
      </c>
      <c r="H1884" s="679">
        <v>45904.0</v>
      </c>
    </row>
    <row r="1885">
      <c r="A1885" s="689">
        <v>6.0</v>
      </c>
      <c r="B1885" s="901" t="s">
        <v>5249</v>
      </c>
      <c r="C1885" s="658">
        <v>1.0</v>
      </c>
      <c r="D1885" s="678">
        <v>1.63</v>
      </c>
      <c r="E1885" s="676">
        <v>1.0</v>
      </c>
      <c r="F1885" s="745" t="s">
        <v>5250</v>
      </c>
      <c r="G1885" s="658" t="s">
        <v>1554</v>
      </c>
      <c r="H1885" s="679">
        <v>45904.0</v>
      </c>
    </row>
    <row r="1886">
      <c r="A1886" s="689">
        <v>7.0</v>
      </c>
      <c r="B1886" s="655" t="s">
        <v>5251</v>
      </c>
      <c r="C1886" s="658">
        <v>1.0</v>
      </c>
      <c r="D1886" s="678">
        <v>21.45</v>
      </c>
      <c r="E1886" s="676">
        <v>2.0</v>
      </c>
      <c r="F1886" s="24" t="s">
        <v>5252</v>
      </c>
      <c r="G1886" s="658" t="s">
        <v>1554</v>
      </c>
      <c r="H1886" s="679">
        <v>45904.0</v>
      </c>
    </row>
    <row r="1887">
      <c r="A1887" s="689">
        <v>8.0</v>
      </c>
      <c r="B1887" s="655" t="s">
        <v>5251</v>
      </c>
      <c r="C1887" s="658">
        <v>1.0</v>
      </c>
      <c r="D1887" s="678">
        <v>21.45</v>
      </c>
      <c r="E1887" s="676">
        <v>2.0</v>
      </c>
      <c r="F1887" s="24" t="s">
        <v>5253</v>
      </c>
      <c r="G1887" s="658" t="s">
        <v>1554</v>
      </c>
      <c r="H1887" s="679">
        <v>45904.0</v>
      </c>
    </row>
    <row r="1888">
      <c r="A1888" s="689">
        <v>9.0</v>
      </c>
      <c r="B1888" s="655" t="s">
        <v>5251</v>
      </c>
      <c r="C1888" s="658">
        <v>1.0</v>
      </c>
      <c r="D1888" s="678">
        <v>21.45</v>
      </c>
      <c r="E1888" s="676">
        <v>2.0</v>
      </c>
      <c r="F1888" s="24" t="s">
        <v>5254</v>
      </c>
      <c r="G1888" s="658" t="s">
        <v>1554</v>
      </c>
      <c r="H1888" s="679">
        <v>45904.0</v>
      </c>
    </row>
    <row r="1889">
      <c r="A1889" s="689">
        <v>10.0</v>
      </c>
      <c r="B1889" s="655" t="s">
        <v>5251</v>
      </c>
      <c r="C1889" s="658">
        <v>1.0</v>
      </c>
      <c r="D1889" s="678">
        <v>21.45</v>
      </c>
      <c r="E1889" s="676">
        <v>2.0</v>
      </c>
      <c r="F1889" s="24" t="s">
        <v>5255</v>
      </c>
      <c r="G1889" s="658" t="s">
        <v>1554</v>
      </c>
      <c r="H1889" s="679">
        <v>45904.0</v>
      </c>
    </row>
    <row r="1890">
      <c r="A1890" s="689">
        <v>11.0</v>
      </c>
      <c r="B1890" s="655" t="s">
        <v>5251</v>
      </c>
      <c r="C1890" s="658">
        <v>1.0</v>
      </c>
      <c r="D1890" s="678">
        <v>21.45</v>
      </c>
      <c r="E1890" s="676">
        <v>2.0</v>
      </c>
      <c r="F1890" s="24" t="s">
        <v>5256</v>
      </c>
      <c r="G1890" s="658" t="s">
        <v>1554</v>
      </c>
      <c r="H1890" s="679">
        <v>45904.0</v>
      </c>
    </row>
    <row r="1891">
      <c r="A1891" s="689">
        <v>12.0</v>
      </c>
      <c r="B1891" s="655" t="s">
        <v>5251</v>
      </c>
      <c r="C1891" s="658">
        <v>1.0</v>
      </c>
      <c r="D1891" s="678">
        <v>21.45</v>
      </c>
      <c r="E1891" s="676">
        <v>2.0</v>
      </c>
      <c r="F1891" s="24" t="s">
        <v>5257</v>
      </c>
      <c r="G1891" s="658" t="s">
        <v>1554</v>
      </c>
      <c r="H1891" s="679">
        <v>45904.0</v>
      </c>
    </row>
    <row r="1892">
      <c r="A1892" s="689">
        <v>13.0</v>
      </c>
      <c r="B1892" s="655" t="s">
        <v>5251</v>
      </c>
      <c r="C1892" s="658">
        <v>1.0</v>
      </c>
      <c r="D1892" s="678">
        <v>21.45</v>
      </c>
      <c r="E1892" s="676">
        <v>2.0</v>
      </c>
      <c r="F1892" s="24" t="s">
        <v>5258</v>
      </c>
      <c r="G1892" s="658" t="s">
        <v>1554</v>
      </c>
      <c r="H1892" s="679">
        <v>45904.0</v>
      </c>
    </row>
    <row r="1893">
      <c r="A1893" s="689">
        <v>14.0</v>
      </c>
      <c r="B1893" s="655" t="s">
        <v>5251</v>
      </c>
      <c r="C1893" s="658">
        <v>1.0</v>
      </c>
      <c r="D1893" s="678">
        <v>21.45</v>
      </c>
      <c r="E1893" s="676">
        <v>2.0</v>
      </c>
      <c r="F1893" s="24" t="s">
        <v>5259</v>
      </c>
      <c r="G1893" s="658" t="s">
        <v>1554</v>
      </c>
      <c r="H1893" s="679">
        <v>45904.0</v>
      </c>
    </row>
    <row r="1894">
      <c r="A1894" s="689">
        <v>15.0</v>
      </c>
      <c r="B1894" s="655" t="s">
        <v>5251</v>
      </c>
      <c r="C1894" s="658">
        <v>1.0</v>
      </c>
      <c r="D1894" s="678">
        <v>21.45</v>
      </c>
      <c r="E1894" s="676">
        <v>2.0</v>
      </c>
      <c r="F1894" s="24" t="s">
        <v>5260</v>
      </c>
      <c r="G1894" s="658" t="s">
        <v>1554</v>
      </c>
      <c r="H1894" s="679">
        <v>45904.0</v>
      </c>
    </row>
    <row r="1895">
      <c r="A1895" s="689">
        <v>16.0</v>
      </c>
      <c r="B1895" s="655" t="s">
        <v>5251</v>
      </c>
      <c r="C1895" s="658">
        <v>1.0</v>
      </c>
      <c r="D1895" s="678">
        <v>21.45</v>
      </c>
      <c r="E1895" s="676">
        <v>2.0</v>
      </c>
      <c r="F1895" s="24" t="s">
        <v>5261</v>
      </c>
      <c r="G1895" s="658" t="s">
        <v>1554</v>
      </c>
      <c r="H1895" s="679">
        <v>45904.0</v>
      </c>
    </row>
    <row r="1896">
      <c r="A1896" s="689">
        <v>17.0</v>
      </c>
      <c r="B1896" s="902" t="s">
        <v>5262</v>
      </c>
      <c r="C1896" s="658">
        <v>1.0</v>
      </c>
      <c r="D1896" s="678">
        <v>25.0</v>
      </c>
      <c r="E1896" s="676">
        <v>2.0</v>
      </c>
      <c r="F1896" s="24" t="s">
        <v>5263</v>
      </c>
      <c r="G1896" s="658" t="s">
        <v>1554</v>
      </c>
      <c r="H1896" s="679">
        <v>45904.0</v>
      </c>
    </row>
    <row r="1897">
      <c r="A1897" s="689">
        <v>18.0</v>
      </c>
      <c r="B1897" s="902" t="s">
        <v>5264</v>
      </c>
      <c r="C1897" s="658">
        <v>1.0</v>
      </c>
      <c r="D1897" s="678">
        <v>1.1</v>
      </c>
      <c r="E1897" s="676">
        <v>1.0</v>
      </c>
      <c r="F1897" s="302" t="s">
        <v>5265</v>
      </c>
      <c r="G1897" s="658" t="s">
        <v>1554</v>
      </c>
      <c r="H1897" s="679">
        <v>45904.0</v>
      </c>
    </row>
    <row r="1898">
      <c r="A1898" s="658">
        <v>19.0</v>
      </c>
      <c r="B1898" s="902" t="s">
        <v>2113</v>
      </c>
      <c r="C1898" s="658">
        <v>1.0</v>
      </c>
      <c r="D1898" s="678">
        <v>18.4</v>
      </c>
      <c r="E1898" s="676" t="s">
        <v>2077</v>
      </c>
      <c r="F1898" s="302" t="s">
        <v>5266</v>
      </c>
      <c r="G1898" s="658" t="s">
        <v>1554</v>
      </c>
      <c r="H1898" s="679">
        <v>45962.0</v>
      </c>
    </row>
    <row r="1899">
      <c r="A1899" s="732" t="s">
        <v>1562</v>
      </c>
      <c r="B1899" s="3"/>
      <c r="C1899" s="689">
        <f t="shared" ref="C1899:E1899" si="80">sum(C1880:C1898)</f>
        <v>20</v>
      </c>
      <c r="D1899" s="721">
        <f t="shared" si="80"/>
        <v>426.43</v>
      </c>
      <c r="E1899" s="669">
        <f t="shared" si="80"/>
        <v>27</v>
      </c>
      <c r="F1899" s="689"/>
      <c r="G1899" s="731"/>
      <c r="H1899" s="679"/>
    </row>
    <row r="1900">
      <c r="A1900" s="712"/>
      <c r="B1900" s="712"/>
      <c r="C1900" s="712"/>
      <c r="D1900" s="808"/>
      <c r="E1900" s="809"/>
      <c r="F1900" s="712"/>
      <c r="G1900" s="810"/>
      <c r="H1900" s="810"/>
    </row>
    <row r="1901">
      <c r="A1901" s="712"/>
      <c r="B1901" s="712"/>
      <c r="C1901" s="712"/>
      <c r="D1901" s="808"/>
      <c r="E1901" s="809"/>
      <c r="F1901" s="712"/>
      <c r="G1901" s="810"/>
      <c r="H1901" s="810"/>
    </row>
    <row r="1902">
      <c r="A1902" s="903" t="s">
        <v>5267</v>
      </c>
      <c r="B1902" s="293"/>
      <c r="C1902" s="293"/>
      <c r="D1902" s="293"/>
      <c r="E1902" s="293"/>
      <c r="F1902" s="293"/>
      <c r="G1902" s="293"/>
      <c r="H1902" s="294"/>
    </row>
    <row r="1903">
      <c r="A1903" s="904" t="s">
        <v>1435</v>
      </c>
      <c r="B1903" s="904" t="s">
        <v>1436</v>
      </c>
      <c r="C1903" s="904" t="s">
        <v>1843</v>
      </c>
      <c r="D1903" s="905" t="s">
        <v>1438</v>
      </c>
      <c r="E1903" s="906" t="s">
        <v>1564</v>
      </c>
      <c r="F1903" s="904" t="s">
        <v>1440</v>
      </c>
      <c r="G1903" s="907" t="s">
        <v>1844</v>
      </c>
      <c r="H1903" s="907" t="s">
        <v>1441</v>
      </c>
    </row>
    <row r="1904">
      <c r="A1904" s="755">
        <v>1.0</v>
      </c>
      <c r="B1904" s="755" t="s">
        <v>1443</v>
      </c>
      <c r="C1904" s="755">
        <v>1.0</v>
      </c>
      <c r="D1904" s="752">
        <v>150.0</v>
      </c>
      <c r="E1904" s="753"/>
      <c r="F1904" s="755" t="s">
        <v>1518</v>
      </c>
      <c r="G1904" s="908" t="s">
        <v>1731</v>
      </c>
      <c r="H1904" s="908">
        <v>45141.0</v>
      </c>
    </row>
    <row r="1905">
      <c r="A1905" s="755">
        <v>2.0</v>
      </c>
      <c r="B1905" s="755" t="s">
        <v>1444</v>
      </c>
      <c r="C1905" s="755">
        <v>2.0</v>
      </c>
      <c r="D1905" s="752">
        <f>C1905*3.2</f>
        <v>6.4</v>
      </c>
      <c r="E1905" s="753"/>
      <c r="F1905" s="755"/>
      <c r="G1905" s="908"/>
      <c r="H1905" s="908">
        <v>45141.0</v>
      </c>
    </row>
    <row r="1906">
      <c r="A1906" s="755">
        <v>3.0</v>
      </c>
      <c r="B1906" s="755" t="s">
        <v>3673</v>
      </c>
      <c r="C1906" s="755">
        <v>1.0</v>
      </c>
      <c r="D1906" s="752">
        <v>5.0</v>
      </c>
      <c r="E1906" s="753">
        <v>1.0</v>
      </c>
      <c r="F1906" s="755"/>
      <c r="G1906" s="908"/>
      <c r="H1906" s="908">
        <v>45141.0</v>
      </c>
    </row>
    <row r="1907">
      <c r="A1907" s="755">
        <v>4.0</v>
      </c>
      <c r="B1907" s="655" t="s">
        <v>5037</v>
      </c>
      <c r="C1907" s="655">
        <v>1.0</v>
      </c>
      <c r="D1907" s="656">
        <v>8.4</v>
      </c>
      <c r="E1907" s="657">
        <v>1.0</v>
      </c>
      <c r="F1907" s="655" t="s">
        <v>5038</v>
      </c>
      <c r="G1907" s="655" t="s">
        <v>5039</v>
      </c>
      <c r="H1907" s="661">
        <v>45755.0</v>
      </c>
    </row>
    <row r="1908">
      <c r="A1908" s="755">
        <v>6.0</v>
      </c>
      <c r="B1908" s="655" t="s">
        <v>2192</v>
      </c>
      <c r="C1908" s="655">
        <v>1.0</v>
      </c>
      <c r="D1908" s="656">
        <v>21.9</v>
      </c>
      <c r="E1908" s="657">
        <v>1.0</v>
      </c>
      <c r="F1908" s="655" t="s">
        <v>5044</v>
      </c>
      <c r="G1908" s="655" t="s">
        <v>5045</v>
      </c>
      <c r="H1908" s="661">
        <v>45811.0</v>
      </c>
    </row>
    <row r="1909">
      <c r="A1909" s="755">
        <v>8.0</v>
      </c>
      <c r="B1909" s="345" t="s">
        <v>5048</v>
      </c>
      <c r="C1909" s="655">
        <v>1.0</v>
      </c>
      <c r="D1909" s="656">
        <v>19.9</v>
      </c>
      <c r="E1909" s="657">
        <v>1.0</v>
      </c>
      <c r="F1909" s="345" t="s">
        <v>5049</v>
      </c>
      <c r="G1909" s="655" t="s">
        <v>5050</v>
      </c>
      <c r="H1909" s="659">
        <v>45769.0</v>
      </c>
    </row>
    <row r="1910">
      <c r="A1910" s="755">
        <v>9.0</v>
      </c>
      <c r="B1910" s="345" t="s">
        <v>5051</v>
      </c>
      <c r="C1910" s="655">
        <v>1.0</v>
      </c>
      <c r="D1910" s="656">
        <v>12.7</v>
      </c>
      <c r="E1910" s="657">
        <v>1.0</v>
      </c>
      <c r="F1910" s="345" t="s">
        <v>5052</v>
      </c>
      <c r="G1910" s="655" t="s">
        <v>5053</v>
      </c>
      <c r="H1910" s="655" t="s">
        <v>5054</v>
      </c>
    </row>
    <row r="1911">
      <c r="A1911" s="340">
        <v>11.0</v>
      </c>
      <c r="B1911" s="345" t="s">
        <v>2534</v>
      </c>
      <c r="C1911" s="655">
        <v>1.0</v>
      </c>
      <c r="D1911" s="656">
        <v>19.9</v>
      </c>
      <c r="E1911" s="657">
        <v>1.0</v>
      </c>
      <c r="F1911" s="345" t="s">
        <v>5057</v>
      </c>
      <c r="G1911" s="655" t="s">
        <v>5050</v>
      </c>
      <c r="H1911" s="659">
        <v>45770.0</v>
      </c>
    </row>
    <row r="1912">
      <c r="A1912" s="340">
        <v>12.0</v>
      </c>
      <c r="B1912" s="909" t="s">
        <v>5268</v>
      </c>
      <c r="C1912" s="803">
        <v>1.0</v>
      </c>
      <c r="D1912" s="910">
        <v>2.0</v>
      </c>
      <c r="E1912" s="911">
        <v>1.0</v>
      </c>
      <c r="F1912" s="909"/>
      <c r="G1912" s="803" t="s">
        <v>1554</v>
      </c>
      <c r="H1912" s="912"/>
    </row>
    <row r="1913">
      <c r="A1913" s="755"/>
      <c r="B1913" s="758"/>
      <c r="C1913" s="755"/>
      <c r="D1913" s="752"/>
      <c r="E1913" s="753"/>
      <c r="F1913" s="758"/>
      <c r="G1913" s="908"/>
      <c r="H1913" s="908"/>
    </row>
    <row r="1914">
      <c r="A1914" s="913" t="s">
        <v>1562</v>
      </c>
      <c r="B1914" s="3"/>
      <c r="C1914" s="755">
        <f t="shared" ref="C1914:E1914" si="81">sum(C1904:C1910)</f>
        <v>8</v>
      </c>
      <c r="D1914" s="752">
        <f t="shared" si="81"/>
        <v>224.3</v>
      </c>
      <c r="E1914" s="753">
        <f t="shared" si="81"/>
        <v>5</v>
      </c>
      <c r="F1914" s="755"/>
      <c r="G1914" s="908"/>
      <c r="H1914" s="908"/>
    </row>
    <row r="1915">
      <c r="A1915" s="689"/>
      <c r="B1915" s="689"/>
      <c r="C1915" s="689"/>
      <c r="D1915" s="721"/>
      <c r="E1915" s="669"/>
      <c r="F1915" s="689"/>
      <c r="G1915" s="731"/>
      <c r="H1915" s="731"/>
    </row>
    <row r="1916">
      <c r="A1916" s="689"/>
      <c r="B1916" s="689"/>
      <c r="C1916" s="689"/>
      <c r="D1916" s="721"/>
      <c r="E1916" s="669"/>
      <c r="F1916" s="689"/>
      <c r="G1916" s="731"/>
      <c r="H1916" s="731"/>
    </row>
    <row r="1917">
      <c r="A1917" s="914" t="s">
        <v>5269</v>
      </c>
      <c r="B1917" s="2"/>
      <c r="C1917" s="2"/>
      <c r="D1917" s="2"/>
      <c r="E1917" s="2"/>
      <c r="F1917" s="2"/>
      <c r="G1917" s="2"/>
      <c r="H1917" s="3"/>
    </row>
    <row r="1918">
      <c r="A1918" s="904" t="s">
        <v>1435</v>
      </c>
      <c r="B1918" s="904" t="s">
        <v>1436</v>
      </c>
      <c r="C1918" s="904" t="s">
        <v>1843</v>
      </c>
      <c r="D1918" s="905" t="s">
        <v>1438</v>
      </c>
      <c r="E1918" s="906" t="s">
        <v>1564</v>
      </c>
      <c r="F1918" s="904" t="s">
        <v>1440</v>
      </c>
      <c r="G1918" s="907" t="s">
        <v>1844</v>
      </c>
      <c r="H1918" s="907" t="s">
        <v>1441</v>
      </c>
    </row>
    <row r="1919">
      <c r="A1919" s="755">
        <v>1.0</v>
      </c>
      <c r="B1919" s="755" t="s">
        <v>1443</v>
      </c>
      <c r="C1919" s="755">
        <v>1.0</v>
      </c>
      <c r="D1919" s="752">
        <v>150.0</v>
      </c>
      <c r="E1919" s="753"/>
      <c r="F1919" s="755" t="s">
        <v>1518</v>
      </c>
      <c r="G1919" s="908" t="s">
        <v>1731</v>
      </c>
      <c r="H1919" s="908">
        <v>45141.0</v>
      </c>
    </row>
    <row r="1920">
      <c r="A1920" s="755">
        <v>2.0</v>
      </c>
      <c r="B1920" s="755" t="s">
        <v>1444</v>
      </c>
      <c r="C1920" s="755">
        <v>2.0</v>
      </c>
      <c r="D1920" s="752">
        <f>C1920*3.2</f>
        <v>6.4</v>
      </c>
      <c r="E1920" s="753"/>
      <c r="F1920" s="755"/>
      <c r="G1920" s="908"/>
      <c r="H1920" s="908">
        <v>45141.0</v>
      </c>
    </row>
    <row r="1921">
      <c r="A1921" s="755">
        <v>3.0</v>
      </c>
      <c r="B1921" s="755" t="s">
        <v>3673</v>
      </c>
      <c r="C1921" s="755">
        <v>1.0</v>
      </c>
      <c r="D1921" s="752">
        <v>5.0</v>
      </c>
      <c r="E1921" s="753">
        <v>1.0</v>
      </c>
      <c r="F1921" s="755"/>
      <c r="G1921" s="908"/>
      <c r="H1921" s="908">
        <v>45141.0</v>
      </c>
    </row>
    <row r="1922">
      <c r="A1922" s="755">
        <v>4.0</v>
      </c>
      <c r="B1922" s="345" t="s">
        <v>5270</v>
      </c>
      <c r="C1922" s="340">
        <v>1.0</v>
      </c>
      <c r="D1922" s="752"/>
      <c r="E1922" s="342">
        <v>1.0</v>
      </c>
      <c r="F1922" s="758"/>
      <c r="G1922" s="340" t="s">
        <v>1554</v>
      </c>
      <c r="H1922" s="915">
        <v>45901.0</v>
      </c>
    </row>
    <row r="1923">
      <c r="A1923" s="755">
        <v>5.0</v>
      </c>
      <c r="B1923" s="345" t="s">
        <v>2019</v>
      </c>
      <c r="C1923" s="340">
        <v>1.0</v>
      </c>
      <c r="D1923" s="752"/>
      <c r="E1923" s="342">
        <v>1.0</v>
      </c>
      <c r="F1923" s="758"/>
      <c r="G1923" s="340" t="s">
        <v>1554</v>
      </c>
      <c r="H1923" s="915">
        <v>45901.0</v>
      </c>
    </row>
    <row r="1924">
      <c r="A1924" s="755">
        <v>6.0</v>
      </c>
      <c r="B1924" s="345" t="s">
        <v>5271</v>
      </c>
      <c r="C1924" s="340">
        <v>1.0</v>
      </c>
      <c r="D1924" s="752"/>
      <c r="E1924" s="342">
        <v>1.0</v>
      </c>
      <c r="F1924" s="758"/>
      <c r="G1924" s="340" t="s">
        <v>1554</v>
      </c>
      <c r="H1924" s="915">
        <v>45901.0</v>
      </c>
    </row>
    <row r="1925">
      <c r="A1925" s="755">
        <v>7.0</v>
      </c>
      <c r="B1925" s="758"/>
      <c r="C1925" s="755"/>
      <c r="D1925" s="752"/>
      <c r="E1925" s="753"/>
      <c r="F1925" s="758"/>
      <c r="G1925" s="908"/>
      <c r="H1925" s="908"/>
    </row>
    <row r="1926">
      <c r="A1926" s="755">
        <v>8.0</v>
      </c>
      <c r="B1926" s="758"/>
      <c r="C1926" s="755"/>
      <c r="D1926" s="752"/>
      <c r="E1926" s="753"/>
      <c r="F1926" s="758"/>
      <c r="G1926" s="908"/>
      <c r="H1926" s="908"/>
    </row>
    <row r="1927">
      <c r="A1927" s="916">
        <v>9.0</v>
      </c>
      <c r="B1927" s="917"/>
      <c r="C1927" s="916"/>
      <c r="D1927" s="918"/>
      <c r="E1927" s="919"/>
      <c r="F1927" s="917"/>
      <c r="G1927" s="920"/>
      <c r="H1927" s="920"/>
    </row>
    <row r="1928">
      <c r="A1928" s="913" t="s">
        <v>1562</v>
      </c>
      <c r="B1928" s="3"/>
      <c r="C1928" s="755">
        <f t="shared" ref="C1928:E1928" si="82">sum(C1919:C1927)</f>
        <v>7</v>
      </c>
      <c r="D1928" s="752">
        <f t="shared" si="82"/>
        <v>161.4</v>
      </c>
      <c r="E1928" s="753">
        <f t="shared" si="82"/>
        <v>4</v>
      </c>
      <c r="F1928" s="755"/>
      <c r="G1928" s="908"/>
      <c r="H1928" s="908"/>
    </row>
    <row r="1929">
      <c r="A1929" s="712"/>
      <c r="B1929" s="712"/>
      <c r="C1929" s="712"/>
      <c r="D1929" s="808"/>
      <c r="E1929" s="809"/>
      <c r="F1929" s="712"/>
      <c r="G1929" s="810"/>
      <c r="H1929" s="810"/>
    </row>
    <row r="1930">
      <c r="A1930" s="712"/>
      <c r="B1930" s="712"/>
      <c r="C1930" s="712"/>
      <c r="D1930" s="808"/>
      <c r="E1930" s="809"/>
      <c r="F1930" s="712"/>
      <c r="G1930" s="810"/>
      <c r="H1930" s="810"/>
    </row>
    <row r="1931">
      <c r="A1931" s="921" t="s">
        <v>5272</v>
      </c>
      <c r="B1931" s="2"/>
      <c r="C1931" s="2"/>
      <c r="D1931" s="2"/>
      <c r="E1931" s="2"/>
      <c r="F1931" s="2"/>
      <c r="G1931" s="2"/>
      <c r="H1931" s="3"/>
    </row>
    <row r="1932">
      <c r="A1932" s="922" t="s">
        <v>1435</v>
      </c>
      <c r="B1932" s="922" t="s">
        <v>1436</v>
      </c>
      <c r="C1932" s="922" t="s">
        <v>1843</v>
      </c>
      <c r="D1932" s="923" t="s">
        <v>1438</v>
      </c>
      <c r="E1932" s="924" t="s">
        <v>1564</v>
      </c>
      <c r="F1932" s="922" t="s">
        <v>1440</v>
      </c>
      <c r="G1932" s="925" t="s">
        <v>1844</v>
      </c>
      <c r="H1932" s="925" t="s">
        <v>1441</v>
      </c>
    </row>
    <row r="1933">
      <c r="A1933" s="489">
        <v>1.0</v>
      </c>
      <c r="B1933" s="489" t="s">
        <v>1443</v>
      </c>
      <c r="C1933" s="489">
        <v>1.0</v>
      </c>
      <c r="D1933" s="926">
        <v>150.0</v>
      </c>
      <c r="E1933" s="122"/>
      <c r="F1933" s="489" t="s">
        <v>1518</v>
      </c>
      <c r="G1933" s="927" t="s">
        <v>1731</v>
      </c>
      <c r="H1933" s="927">
        <v>45141.0</v>
      </c>
    </row>
    <row r="1934">
      <c r="A1934" s="489">
        <v>2.0</v>
      </c>
      <c r="B1934" s="489" t="s">
        <v>1444</v>
      </c>
      <c r="C1934" s="489">
        <v>2.0</v>
      </c>
      <c r="D1934" s="926">
        <f>C1934*3.2</f>
        <v>6.4</v>
      </c>
      <c r="E1934" s="122"/>
      <c r="F1934" s="489"/>
      <c r="G1934" s="927"/>
      <c r="H1934" s="927">
        <v>45141.0</v>
      </c>
    </row>
    <row r="1935">
      <c r="A1935" s="489">
        <v>3.0</v>
      </c>
      <c r="B1935" s="489" t="s">
        <v>3673</v>
      </c>
      <c r="C1935" s="489">
        <v>1.0</v>
      </c>
      <c r="D1935" s="926">
        <v>5.0</v>
      </c>
      <c r="E1935" s="122">
        <v>1.0</v>
      </c>
      <c r="F1935" s="489"/>
      <c r="G1935" s="927"/>
      <c r="H1935" s="927">
        <v>45141.0</v>
      </c>
    </row>
    <row r="1936">
      <c r="A1936" s="489">
        <v>4.0</v>
      </c>
      <c r="B1936" s="120" t="s">
        <v>1872</v>
      </c>
      <c r="C1936" s="120">
        <v>1.0</v>
      </c>
      <c r="D1936" s="121">
        <v>10.1</v>
      </c>
      <c r="E1936" s="126">
        <v>1.0</v>
      </c>
      <c r="F1936" s="489"/>
      <c r="G1936" s="120" t="s">
        <v>1446</v>
      </c>
      <c r="H1936" s="124">
        <v>45856.0</v>
      </c>
    </row>
    <row r="1937">
      <c r="A1937" s="489">
        <v>5.0</v>
      </c>
      <c r="B1937" s="120" t="s">
        <v>5273</v>
      </c>
      <c r="C1937" s="120">
        <v>1.0</v>
      </c>
      <c r="D1937" s="121">
        <v>8.0</v>
      </c>
      <c r="E1937" s="126">
        <v>1.0</v>
      </c>
      <c r="F1937" s="489"/>
      <c r="G1937" s="120" t="s">
        <v>1446</v>
      </c>
      <c r="H1937" s="124">
        <v>45856.0</v>
      </c>
    </row>
    <row r="1938">
      <c r="A1938" s="489">
        <v>6.0</v>
      </c>
      <c r="B1938" s="120" t="s">
        <v>5274</v>
      </c>
      <c r="C1938" s="120">
        <v>1.0</v>
      </c>
      <c r="D1938" s="121">
        <v>8.6</v>
      </c>
      <c r="E1938" s="126">
        <v>1.0</v>
      </c>
      <c r="F1938" s="489"/>
      <c r="G1938" s="120" t="s">
        <v>1446</v>
      </c>
      <c r="H1938" s="124">
        <v>45856.0</v>
      </c>
    </row>
    <row r="1939">
      <c r="A1939" s="928">
        <v>7.0</v>
      </c>
      <c r="B1939" s="127" t="s">
        <v>2929</v>
      </c>
      <c r="C1939" s="127"/>
      <c r="D1939" s="128"/>
      <c r="E1939" s="129"/>
      <c r="F1939" s="928"/>
      <c r="G1939" s="127" t="s">
        <v>1848</v>
      </c>
      <c r="H1939" s="130">
        <v>45856.0</v>
      </c>
    </row>
    <row r="1940">
      <c r="A1940" s="489">
        <v>8.0</v>
      </c>
      <c r="B1940" s="121" t="s">
        <v>5275</v>
      </c>
      <c r="C1940" s="120">
        <v>1.0</v>
      </c>
      <c r="D1940" s="121">
        <v>6.7</v>
      </c>
      <c r="E1940" s="126">
        <v>1.0</v>
      </c>
      <c r="F1940" s="489"/>
      <c r="G1940" s="120" t="s">
        <v>1446</v>
      </c>
      <c r="H1940" s="124">
        <v>45856.0</v>
      </c>
    </row>
    <row r="1941">
      <c r="A1941" s="489">
        <v>9.0</v>
      </c>
      <c r="B1941" s="120" t="s">
        <v>1550</v>
      </c>
      <c r="C1941" s="120">
        <v>1.0</v>
      </c>
      <c r="D1941" s="121">
        <v>18.6</v>
      </c>
      <c r="E1941" s="126">
        <v>1.0</v>
      </c>
      <c r="F1941" s="120" t="s">
        <v>5276</v>
      </c>
      <c r="G1941" s="120" t="s">
        <v>1446</v>
      </c>
      <c r="H1941" s="124">
        <v>45869.0</v>
      </c>
    </row>
    <row r="1942">
      <c r="A1942" s="120">
        <v>10.0</v>
      </c>
      <c r="B1942" s="120" t="s">
        <v>2393</v>
      </c>
      <c r="C1942" s="120">
        <v>1.0</v>
      </c>
      <c r="D1942" s="121">
        <v>17.4</v>
      </c>
      <c r="E1942" s="126">
        <v>1.0</v>
      </c>
      <c r="F1942" s="120" t="s">
        <v>5277</v>
      </c>
      <c r="G1942" s="120" t="s">
        <v>1446</v>
      </c>
      <c r="H1942" s="124">
        <v>45869.0</v>
      </c>
    </row>
    <row r="1943">
      <c r="A1943" s="120">
        <v>11.0</v>
      </c>
      <c r="B1943" s="120" t="s">
        <v>1550</v>
      </c>
      <c r="C1943" s="120">
        <v>1.0</v>
      </c>
      <c r="D1943" s="121">
        <v>18.6</v>
      </c>
      <c r="E1943" s="126">
        <v>1.0</v>
      </c>
      <c r="F1943" s="120" t="s">
        <v>5278</v>
      </c>
      <c r="G1943" s="120" t="s">
        <v>1446</v>
      </c>
      <c r="H1943" s="124">
        <v>45869.0</v>
      </c>
    </row>
    <row r="1944">
      <c r="A1944" s="120">
        <v>12.0</v>
      </c>
      <c r="B1944" s="120" t="s">
        <v>5048</v>
      </c>
      <c r="C1944" s="120">
        <v>1.0</v>
      </c>
      <c r="D1944" s="121">
        <v>20.0</v>
      </c>
      <c r="E1944" s="126">
        <v>1.0</v>
      </c>
      <c r="F1944" s="120" t="s">
        <v>5279</v>
      </c>
      <c r="G1944" s="120" t="s">
        <v>1446</v>
      </c>
      <c r="H1944" s="124">
        <v>45869.0</v>
      </c>
    </row>
    <row r="1945">
      <c r="A1945" s="127">
        <v>13.0</v>
      </c>
      <c r="B1945" s="127" t="s">
        <v>5280</v>
      </c>
      <c r="C1945" s="127"/>
      <c r="D1945" s="128"/>
      <c r="E1945" s="129"/>
      <c r="F1945" s="127" t="s">
        <v>5281</v>
      </c>
      <c r="G1945" s="127" t="s">
        <v>1848</v>
      </c>
      <c r="H1945" s="130">
        <v>45883.0</v>
      </c>
    </row>
    <row r="1946">
      <c r="A1946" s="120">
        <v>14.0</v>
      </c>
      <c r="B1946" s="120" t="s">
        <v>5282</v>
      </c>
      <c r="C1946" s="120">
        <v>1.0</v>
      </c>
      <c r="D1946" s="121">
        <v>10.2</v>
      </c>
      <c r="E1946" s="126">
        <v>2.0</v>
      </c>
      <c r="F1946" s="120" t="s">
        <v>5283</v>
      </c>
      <c r="G1946" s="120" t="s">
        <v>1446</v>
      </c>
      <c r="H1946" s="124">
        <v>45883.0</v>
      </c>
    </row>
    <row r="1947">
      <c r="A1947" s="120">
        <v>15.0</v>
      </c>
      <c r="B1947" s="120" t="s">
        <v>5284</v>
      </c>
      <c r="C1947" s="120">
        <v>1.0</v>
      </c>
      <c r="D1947" s="121">
        <v>11.9</v>
      </c>
      <c r="E1947" s="126">
        <v>2.0</v>
      </c>
      <c r="F1947" s="120"/>
      <c r="G1947" s="120" t="s">
        <v>1446</v>
      </c>
      <c r="H1947" s="124">
        <v>45957.0</v>
      </c>
    </row>
    <row r="1948">
      <c r="A1948" s="120">
        <v>16.0</v>
      </c>
      <c r="B1948" s="120" t="s">
        <v>2016</v>
      </c>
      <c r="C1948" s="120">
        <v>1.0</v>
      </c>
      <c r="D1948" s="121">
        <v>14.1</v>
      </c>
      <c r="E1948" s="126">
        <v>1.0</v>
      </c>
      <c r="F1948" s="120"/>
      <c r="G1948" s="120" t="s">
        <v>5285</v>
      </c>
      <c r="H1948" s="124">
        <v>45957.0</v>
      </c>
    </row>
    <row r="1949">
      <c r="A1949" s="120">
        <v>17.0</v>
      </c>
      <c r="B1949" s="120" t="s">
        <v>2016</v>
      </c>
      <c r="C1949" s="120">
        <v>1.0</v>
      </c>
      <c r="D1949" s="121">
        <v>14.1</v>
      </c>
      <c r="E1949" s="126">
        <v>1.0</v>
      </c>
      <c r="F1949" s="120" t="s">
        <v>5286</v>
      </c>
      <c r="G1949" s="120" t="s">
        <v>1554</v>
      </c>
      <c r="H1949" s="124">
        <v>45975.0</v>
      </c>
    </row>
    <row r="1950">
      <c r="A1950" s="120">
        <v>18.0</v>
      </c>
      <c r="B1950" s="120" t="s">
        <v>2534</v>
      </c>
      <c r="C1950" s="120">
        <v>1.0</v>
      </c>
      <c r="D1950" s="121">
        <v>20.0</v>
      </c>
      <c r="E1950" s="126">
        <v>1.0</v>
      </c>
      <c r="F1950" s="120" t="s">
        <v>5287</v>
      </c>
      <c r="G1950" s="120" t="s">
        <v>1554</v>
      </c>
      <c r="H1950" s="124">
        <v>46019.0</v>
      </c>
    </row>
    <row r="1951">
      <c r="A1951" s="929">
        <v>19.0</v>
      </c>
      <c r="B1951" s="120" t="s">
        <v>1872</v>
      </c>
      <c r="C1951" s="120">
        <v>1.0</v>
      </c>
      <c r="D1951" s="121">
        <v>10.0</v>
      </c>
      <c r="E1951" s="126">
        <v>1.0</v>
      </c>
      <c r="F1951" s="120" t="s">
        <v>5288</v>
      </c>
      <c r="G1951" s="120" t="s">
        <v>1554</v>
      </c>
      <c r="H1951" s="124">
        <v>46054.0</v>
      </c>
    </row>
    <row r="1952">
      <c r="A1952" s="120">
        <v>12.0</v>
      </c>
      <c r="B1952" s="135" t="s">
        <v>3195</v>
      </c>
      <c r="C1952" s="120">
        <v>1.0</v>
      </c>
      <c r="D1952" s="121">
        <v>31.5</v>
      </c>
      <c r="E1952" s="126">
        <v>2.0</v>
      </c>
      <c r="F1952" s="120" t="s">
        <v>5289</v>
      </c>
      <c r="G1952" s="135" t="s">
        <v>1554</v>
      </c>
      <c r="H1952" s="124">
        <v>46081.0</v>
      </c>
    </row>
    <row r="1953">
      <c r="A1953" s="930" t="s">
        <v>1562</v>
      </c>
      <c r="B1953" s="3"/>
      <c r="C1953" s="489">
        <f t="shared" ref="C1953:E1953" si="83">sum(C1933:C1952)</f>
        <v>19</v>
      </c>
      <c r="D1953" s="926">
        <f t="shared" si="83"/>
        <v>381.2</v>
      </c>
      <c r="E1953" s="122">
        <f t="shared" si="83"/>
        <v>19</v>
      </c>
      <c r="F1953" s="489"/>
      <c r="G1953" s="927"/>
      <c r="H1953" s="927"/>
    </row>
    <row r="1954">
      <c r="A1954" s="712"/>
      <c r="B1954" s="712"/>
      <c r="C1954" s="712"/>
      <c r="D1954" s="808"/>
      <c r="E1954" s="809"/>
      <c r="F1954" s="712"/>
      <c r="G1954" s="810"/>
      <c r="H1954" s="810"/>
    </row>
    <row r="1955">
      <c r="A1955" s="712"/>
      <c r="B1955" s="712"/>
      <c r="C1955" s="712"/>
      <c r="D1955" s="808"/>
      <c r="E1955" s="809"/>
      <c r="F1955" s="712"/>
      <c r="G1955" s="810"/>
      <c r="H1955" s="810"/>
    </row>
    <row r="1956">
      <c r="A1956" s="699" t="s">
        <v>5290</v>
      </c>
      <c r="B1956" s="2"/>
      <c r="C1956" s="2"/>
      <c r="D1956" s="2"/>
      <c r="E1956" s="2"/>
      <c r="F1956" s="2"/>
      <c r="G1956" s="2"/>
      <c r="H1956" s="3"/>
    </row>
    <row r="1957">
      <c r="A1957" s="738" t="s">
        <v>1435</v>
      </c>
      <c r="B1957" s="738" t="s">
        <v>1436</v>
      </c>
      <c r="C1957" s="738" t="s">
        <v>1843</v>
      </c>
      <c r="D1957" s="702" t="s">
        <v>1438</v>
      </c>
      <c r="E1957" s="703" t="s">
        <v>1564</v>
      </c>
      <c r="F1957" s="738" t="s">
        <v>1440</v>
      </c>
      <c r="G1957" s="738" t="s">
        <v>1844</v>
      </c>
      <c r="H1957" s="704" t="s">
        <v>1441</v>
      </c>
    </row>
    <row r="1958">
      <c r="A1958" s="87">
        <v>1.0</v>
      </c>
      <c r="B1958" s="87" t="s">
        <v>1443</v>
      </c>
      <c r="C1958" s="87">
        <v>1.0</v>
      </c>
      <c r="D1958" s="705">
        <v>150.0</v>
      </c>
      <c r="E1958" s="709"/>
      <c r="F1958" s="739" t="s">
        <v>1518</v>
      </c>
      <c r="G1958" s="87" t="s">
        <v>1554</v>
      </c>
      <c r="H1958" s="741">
        <v>45141.0</v>
      </c>
    </row>
    <row r="1959">
      <c r="A1959" s="87">
        <v>2.0</v>
      </c>
      <c r="B1959" s="87" t="s">
        <v>1444</v>
      </c>
      <c r="C1959" s="87">
        <v>2.0</v>
      </c>
      <c r="D1959" s="705">
        <v>3.2</v>
      </c>
      <c r="E1959" s="706" t="s">
        <v>1518</v>
      </c>
      <c r="F1959" s="87" t="s">
        <v>1518</v>
      </c>
      <c r="G1959" s="87"/>
      <c r="H1959" s="707"/>
    </row>
    <row r="1960">
      <c r="A1960" s="87">
        <v>3.0</v>
      </c>
      <c r="B1960" s="739" t="s">
        <v>3673</v>
      </c>
      <c r="C1960" s="739">
        <v>1.0</v>
      </c>
      <c r="D1960" s="740">
        <v>5.0</v>
      </c>
      <c r="E1960" s="706">
        <v>1.0</v>
      </c>
      <c r="F1960" s="87" t="s">
        <v>1518</v>
      </c>
      <c r="G1960" s="87" t="s">
        <v>1518</v>
      </c>
      <c r="H1960" s="707"/>
    </row>
    <row r="1961">
      <c r="A1961" s="87">
        <v>4.0</v>
      </c>
      <c r="B1961" s="87" t="s">
        <v>5291</v>
      </c>
      <c r="C1961" s="87">
        <v>1.0</v>
      </c>
      <c r="D1961" s="705">
        <v>6.0</v>
      </c>
      <c r="E1961" s="706">
        <v>1.0</v>
      </c>
      <c r="F1961" s="87">
        <v>1.02375038387E11</v>
      </c>
      <c r="G1961" s="87" t="s">
        <v>2904</v>
      </c>
      <c r="H1961" s="707">
        <v>45915.0</v>
      </c>
    </row>
    <row r="1962">
      <c r="A1962" s="87">
        <v>5.0</v>
      </c>
      <c r="B1962" s="97" t="s">
        <v>5292</v>
      </c>
      <c r="C1962" s="97">
        <v>1.0</v>
      </c>
      <c r="D1962" s="742">
        <v>2.0</v>
      </c>
      <c r="E1962" s="748">
        <v>1.0</v>
      </c>
      <c r="F1962" s="97" t="s">
        <v>5293</v>
      </c>
      <c r="G1962" s="97" t="s">
        <v>1554</v>
      </c>
      <c r="H1962" s="708">
        <v>45922.0</v>
      </c>
    </row>
    <row r="1963">
      <c r="A1963" s="87">
        <v>6.0</v>
      </c>
      <c r="B1963" s="97" t="s">
        <v>5294</v>
      </c>
      <c r="C1963" s="97">
        <v>1.0</v>
      </c>
      <c r="D1963" s="742">
        <v>2.0</v>
      </c>
      <c r="E1963" s="748"/>
      <c r="F1963" s="814"/>
      <c r="G1963" s="97" t="s">
        <v>1554</v>
      </c>
      <c r="H1963" s="708">
        <v>45922.0</v>
      </c>
    </row>
    <row r="1964">
      <c r="A1964" s="87">
        <v>7.0</v>
      </c>
      <c r="B1964" s="758" t="s">
        <v>2016</v>
      </c>
      <c r="C1964" s="758">
        <v>1.0</v>
      </c>
      <c r="D1964" s="346">
        <v>17.5</v>
      </c>
      <c r="E1964" s="337">
        <v>1.0</v>
      </c>
      <c r="F1964" s="758" t="s">
        <v>3984</v>
      </c>
      <c r="G1964" s="345" t="s">
        <v>5295</v>
      </c>
      <c r="H1964" s="931">
        <v>45944.0</v>
      </c>
    </row>
    <row r="1965">
      <c r="A1965" s="87">
        <v>8.0</v>
      </c>
      <c r="B1965" s="655" t="s">
        <v>1635</v>
      </c>
      <c r="C1965" s="655">
        <v>1.0</v>
      </c>
      <c r="D1965" s="656">
        <v>17.5</v>
      </c>
      <c r="E1965" s="657">
        <v>1.0</v>
      </c>
      <c r="F1965" s="655" t="s">
        <v>3988</v>
      </c>
      <c r="G1965" s="345" t="s">
        <v>5295</v>
      </c>
      <c r="H1965" s="931">
        <v>45944.0</v>
      </c>
    </row>
    <row r="1966">
      <c r="A1966" s="87">
        <v>9.0</v>
      </c>
      <c r="B1966" s="655" t="s">
        <v>1635</v>
      </c>
      <c r="C1966" s="655">
        <v>1.0</v>
      </c>
      <c r="D1966" s="656">
        <v>17.5</v>
      </c>
      <c r="E1966" s="657">
        <v>1.0</v>
      </c>
      <c r="F1966" s="655" t="s">
        <v>3991</v>
      </c>
      <c r="G1966" s="345" t="s">
        <v>5295</v>
      </c>
      <c r="H1966" s="931">
        <v>45944.0</v>
      </c>
    </row>
    <row r="1967">
      <c r="A1967" s="87">
        <v>10.0</v>
      </c>
      <c r="B1967" s="655" t="s">
        <v>1635</v>
      </c>
      <c r="C1967" s="655">
        <v>1.0</v>
      </c>
      <c r="D1967" s="656">
        <v>17.5</v>
      </c>
      <c r="E1967" s="657">
        <v>1.0</v>
      </c>
      <c r="F1967" s="87" t="s">
        <v>5296</v>
      </c>
      <c r="G1967" s="97" t="s">
        <v>1554</v>
      </c>
      <c r="H1967" s="931">
        <v>46007.0</v>
      </c>
    </row>
    <row r="1968">
      <c r="A1968" s="87">
        <v>11.0</v>
      </c>
      <c r="B1968" s="655" t="s">
        <v>1635</v>
      </c>
      <c r="C1968" s="655">
        <v>1.0</v>
      </c>
      <c r="D1968" s="656">
        <v>17.5</v>
      </c>
      <c r="E1968" s="657">
        <v>1.0</v>
      </c>
      <c r="F1968" s="87" t="s">
        <v>5297</v>
      </c>
      <c r="G1968" s="97" t="s">
        <v>1554</v>
      </c>
      <c r="H1968" s="931">
        <v>46007.0</v>
      </c>
    </row>
    <row r="1969">
      <c r="A1969" s="750" t="s">
        <v>1562</v>
      </c>
      <c r="B1969" s="3"/>
      <c r="C1969" s="739">
        <f t="shared" ref="C1969:E1969" si="84">sum(C1958:C1968)</f>
        <v>12</v>
      </c>
      <c r="D1969" s="740">
        <f t="shared" si="84"/>
        <v>255.7</v>
      </c>
      <c r="E1969" s="709">
        <f t="shared" si="84"/>
        <v>8</v>
      </c>
      <c r="F1969" s="739"/>
      <c r="G1969" s="741"/>
      <c r="H1969" s="741"/>
    </row>
    <row r="1970">
      <c r="A1970" s="801"/>
      <c r="B1970" s="801"/>
      <c r="C1970" s="801"/>
      <c r="D1970" s="932"/>
      <c r="E1970" s="933"/>
      <c r="F1970" s="801"/>
      <c r="G1970" s="934"/>
      <c r="H1970" s="934"/>
    </row>
    <row r="1971">
      <c r="A1971" s="935"/>
      <c r="B1971" s="935"/>
      <c r="C1971" s="935"/>
      <c r="D1971" s="936"/>
      <c r="E1971" s="937"/>
      <c r="F1971" s="935"/>
      <c r="G1971" s="938"/>
      <c r="H1971" s="938"/>
    </row>
    <row r="1972">
      <c r="A1972" s="939" t="s">
        <v>5298</v>
      </c>
      <c r="B1972" s="293"/>
      <c r="C1972" s="293"/>
      <c r="D1972" s="293"/>
      <c r="E1972" s="293"/>
      <c r="F1972" s="293"/>
      <c r="G1972" s="293"/>
      <c r="H1972" s="294"/>
    </row>
    <row r="1973">
      <c r="A1973" s="904" t="s">
        <v>1435</v>
      </c>
      <c r="B1973" s="904" t="s">
        <v>1436</v>
      </c>
      <c r="C1973" s="904" t="s">
        <v>1843</v>
      </c>
      <c r="D1973" s="905" t="s">
        <v>1438</v>
      </c>
      <c r="E1973" s="906" t="s">
        <v>1564</v>
      </c>
      <c r="F1973" s="904" t="s">
        <v>1440</v>
      </c>
      <c r="G1973" s="907" t="s">
        <v>1844</v>
      </c>
      <c r="H1973" s="907" t="s">
        <v>1441</v>
      </c>
    </row>
    <row r="1974">
      <c r="A1974" s="755">
        <v>1.0</v>
      </c>
      <c r="B1974" s="755" t="s">
        <v>1443</v>
      </c>
      <c r="C1974" s="755">
        <v>1.0</v>
      </c>
      <c r="D1974" s="752">
        <v>150.0</v>
      </c>
      <c r="E1974" s="753"/>
      <c r="F1974" s="755" t="s">
        <v>1518</v>
      </c>
      <c r="G1974" s="908" t="s">
        <v>1554</v>
      </c>
      <c r="H1974" s="908">
        <v>45141.0</v>
      </c>
    </row>
    <row r="1975">
      <c r="A1975" s="755">
        <v>2.0</v>
      </c>
      <c r="B1975" s="755" t="s">
        <v>1444</v>
      </c>
      <c r="C1975" s="755">
        <v>2.0</v>
      </c>
      <c r="D1975" s="752">
        <v>3.2</v>
      </c>
      <c r="E1975" s="753" t="s">
        <v>1518</v>
      </c>
      <c r="F1975" s="755" t="s">
        <v>1518</v>
      </c>
      <c r="G1975" s="908"/>
      <c r="H1975" s="908"/>
    </row>
    <row r="1976">
      <c r="A1976" s="755">
        <v>3.0</v>
      </c>
      <c r="B1976" s="755" t="s">
        <v>3673</v>
      </c>
      <c r="C1976" s="755">
        <v>1.0</v>
      </c>
      <c r="D1976" s="752">
        <v>5.0</v>
      </c>
      <c r="E1976" s="753">
        <v>1.0</v>
      </c>
      <c r="F1976" s="755" t="s">
        <v>1518</v>
      </c>
      <c r="G1976" s="908" t="s">
        <v>1518</v>
      </c>
      <c r="H1976" s="908"/>
    </row>
    <row r="1977">
      <c r="A1977" s="755"/>
      <c r="B1977" s="755"/>
      <c r="C1977" s="755"/>
      <c r="D1977" s="752"/>
      <c r="E1977" s="753"/>
      <c r="F1977" s="755"/>
      <c r="G1977" s="908"/>
      <c r="H1977" s="908"/>
    </row>
    <row r="1978">
      <c r="A1978" s="755"/>
      <c r="B1978" s="755"/>
      <c r="C1978" s="755"/>
      <c r="D1978" s="752"/>
      <c r="E1978" s="753"/>
      <c r="F1978" s="755"/>
      <c r="G1978" s="908"/>
      <c r="H1978" s="908"/>
    </row>
    <row r="1979">
      <c r="A1979" s="755"/>
      <c r="B1979" s="755"/>
      <c r="C1979" s="755"/>
      <c r="D1979" s="752"/>
      <c r="E1979" s="753"/>
      <c r="F1979" s="755"/>
      <c r="G1979" s="908"/>
      <c r="H1979" s="908"/>
    </row>
    <row r="1980">
      <c r="A1980" s="755"/>
      <c r="B1980" s="755"/>
      <c r="C1980" s="755"/>
      <c r="D1980" s="752"/>
      <c r="E1980" s="753"/>
      <c r="F1980" s="755"/>
      <c r="G1980" s="908"/>
      <c r="H1980" s="908"/>
    </row>
    <row r="1981">
      <c r="A1981" s="755"/>
      <c r="B1981" s="755"/>
      <c r="C1981" s="755"/>
      <c r="D1981" s="752"/>
      <c r="E1981" s="753"/>
      <c r="F1981" s="755"/>
      <c r="G1981" s="908"/>
      <c r="H1981" s="908"/>
    </row>
    <row r="1982">
      <c r="A1982" s="940" t="s">
        <v>1562</v>
      </c>
      <c r="B1982" s="3"/>
      <c r="C1982" s="941">
        <f t="shared" ref="C1982:E1982" si="85">sum(C1974:C1981)</f>
        <v>4</v>
      </c>
      <c r="D1982" s="942">
        <f t="shared" si="85"/>
        <v>158.2</v>
      </c>
      <c r="E1982" s="943">
        <f t="shared" si="85"/>
        <v>1</v>
      </c>
      <c r="F1982" s="941"/>
      <c r="G1982" s="944"/>
      <c r="H1982" s="944"/>
    </row>
    <row r="1983">
      <c r="A1983" s="689"/>
      <c r="B1983" s="689"/>
      <c r="C1983" s="689"/>
      <c r="D1983" s="721"/>
      <c r="E1983" s="669"/>
      <c r="F1983" s="689"/>
      <c r="G1983" s="731"/>
      <c r="H1983" s="731"/>
    </row>
    <row r="1984">
      <c r="A1984" s="689"/>
      <c r="B1984" s="689"/>
      <c r="C1984" s="689"/>
      <c r="D1984" s="721"/>
      <c r="E1984" s="669"/>
      <c r="F1984" s="689"/>
      <c r="G1984" s="731"/>
      <c r="H1984" s="731"/>
    </row>
    <row r="1985">
      <c r="A1985" s="945" t="s">
        <v>5299</v>
      </c>
      <c r="B1985" s="2"/>
      <c r="C1985" s="2"/>
      <c r="D1985" s="2"/>
      <c r="E1985" s="2"/>
      <c r="F1985" s="2"/>
      <c r="G1985" s="2"/>
      <c r="H1985" s="3"/>
    </row>
    <row r="1986">
      <c r="A1986" s="946" t="s">
        <v>1435</v>
      </c>
      <c r="B1986" s="946" t="s">
        <v>1436</v>
      </c>
      <c r="C1986" s="946" t="s">
        <v>1843</v>
      </c>
      <c r="D1986" s="947" t="s">
        <v>1438</v>
      </c>
      <c r="E1986" s="948" t="s">
        <v>1564</v>
      </c>
      <c r="F1986" s="946" t="s">
        <v>1440</v>
      </c>
      <c r="G1986" s="949" t="s">
        <v>1844</v>
      </c>
      <c r="H1986" s="949" t="s">
        <v>1441</v>
      </c>
    </row>
    <row r="1987">
      <c r="A1987" s="950">
        <v>1.0</v>
      </c>
      <c r="B1987" s="950" t="s">
        <v>1443</v>
      </c>
      <c r="C1987" s="950">
        <v>1.0</v>
      </c>
      <c r="D1987" s="951">
        <v>150.0</v>
      </c>
      <c r="E1987" s="952"/>
      <c r="F1987" s="950" t="s">
        <v>1518</v>
      </c>
      <c r="G1987" s="953" t="s">
        <v>1554</v>
      </c>
      <c r="H1987" s="953">
        <v>45141.0</v>
      </c>
    </row>
    <row r="1988">
      <c r="A1988" s="950">
        <v>2.0</v>
      </c>
      <c r="B1988" s="950" t="s">
        <v>1444</v>
      </c>
      <c r="C1988" s="950">
        <v>2.0</v>
      </c>
      <c r="D1988" s="951">
        <v>3.2</v>
      </c>
      <c r="E1988" s="952" t="s">
        <v>1518</v>
      </c>
      <c r="F1988" s="950" t="s">
        <v>1518</v>
      </c>
      <c r="G1988" s="953"/>
      <c r="H1988" s="953">
        <v>45141.0</v>
      </c>
    </row>
    <row r="1989">
      <c r="A1989" s="950">
        <v>3.0</v>
      </c>
      <c r="B1989" s="950" t="s">
        <v>3673</v>
      </c>
      <c r="C1989" s="950">
        <v>1.0</v>
      </c>
      <c r="D1989" s="951">
        <v>5.0</v>
      </c>
      <c r="E1989" s="952">
        <v>1.0</v>
      </c>
      <c r="F1989" s="950" t="s">
        <v>1518</v>
      </c>
      <c r="G1989" s="953" t="s">
        <v>1518</v>
      </c>
      <c r="H1989" s="953">
        <v>45141.0</v>
      </c>
    </row>
    <row r="1990">
      <c r="A1990" s="302">
        <v>4.0</v>
      </c>
      <c r="B1990" s="302" t="s">
        <v>1444</v>
      </c>
      <c r="C1990" s="302">
        <v>2.0</v>
      </c>
      <c r="D1990" s="954">
        <v>4.0</v>
      </c>
      <c r="E1990" s="952"/>
      <c r="F1990" s="950"/>
      <c r="G1990" s="953"/>
      <c r="H1990" s="953">
        <v>45141.0</v>
      </c>
    </row>
    <row r="1991">
      <c r="A1991" s="302">
        <v>5.0</v>
      </c>
      <c r="B1991" s="302" t="s">
        <v>1813</v>
      </c>
      <c r="C1991" s="302">
        <v>1.0</v>
      </c>
      <c r="D1991" s="954">
        <v>6.6</v>
      </c>
      <c r="E1991" s="955">
        <v>1.0</v>
      </c>
      <c r="F1991" s="950"/>
      <c r="G1991" s="953" t="s">
        <v>1554</v>
      </c>
      <c r="H1991" s="956">
        <v>45922.0</v>
      </c>
    </row>
    <row r="1992">
      <c r="A1992" s="302">
        <v>6.0</v>
      </c>
      <c r="B1992" s="302" t="s">
        <v>5300</v>
      </c>
      <c r="C1992" s="302">
        <v>1.0</v>
      </c>
      <c r="D1992" s="954">
        <v>5.3</v>
      </c>
      <c r="E1992" s="955">
        <v>2.0</v>
      </c>
      <c r="F1992" s="302" t="s">
        <v>5301</v>
      </c>
      <c r="G1992" s="302" t="s">
        <v>1554</v>
      </c>
      <c r="H1992" s="956">
        <v>45922.0</v>
      </c>
    </row>
    <row r="1993">
      <c r="A1993" s="302">
        <v>7.0</v>
      </c>
      <c r="B1993" s="302" t="s">
        <v>5300</v>
      </c>
      <c r="C1993" s="302">
        <v>1.0</v>
      </c>
      <c r="D1993" s="954">
        <v>5.3</v>
      </c>
      <c r="E1993" s="955">
        <v>2.0</v>
      </c>
      <c r="F1993" s="302" t="s">
        <v>5302</v>
      </c>
      <c r="G1993" s="302" t="s">
        <v>1554</v>
      </c>
      <c r="H1993" s="956">
        <v>45922.0</v>
      </c>
    </row>
    <row r="1994">
      <c r="A1994" s="302">
        <v>8.0</v>
      </c>
      <c r="B1994" s="302" t="s">
        <v>5300</v>
      </c>
      <c r="C1994" s="302">
        <v>1.0</v>
      </c>
      <c r="D1994" s="954">
        <v>27.4</v>
      </c>
      <c r="E1994" s="955">
        <v>2.0</v>
      </c>
      <c r="F1994" s="302" t="s">
        <v>5303</v>
      </c>
      <c r="G1994" s="302" t="s">
        <v>1554</v>
      </c>
      <c r="H1994" s="956">
        <v>45922.0</v>
      </c>
    </row>
    <row r="1995">
      <c r="A1995" s="957">
        <v>9.0</v>
      </c>
      <c r="B1995" s="302" t="s">
        <v>5300</v>
      </c>
      <c r="C1995" s="302">
        <v>1.0</v>
      </c>
      <c r="D1995" s="958">
        <v>22.4</v>
      </c>
      <c r="E1995" s="959">
        <v>2.0</v>
      </c>
      <c r="F1995" s="957" t="s">
        <v>5304</v>
      </c>
      <c r="G1995" s="302" t="s">
        <v>1554</v>
      </c>
      <c r="H1995" s="956">
        <v>45922.0</v>
      </c>
    </row>
    <row r="1996">
      <c r="A1996" s="957">
        <v>10.0</v>
      </c>
      <c r="B1996" s="302" t="s">
        <v>5300</v>
      </c>
      <c r="C1996" s="302">
        <v>1.0</v>
      </c>
      <c r="D1996" s="958">
        <v>17.0</v>
      </c>
      <c r="E1996" s="959">
        <v>2.0</v>
      </c>
      <c r="F1996" s="302" t="s">
        <v>5305</v>
      </c>
      <c r="G1996" s="302" t="s">
        <v>1554</v>
      </c>
      <c r="H1996" s="956">
        <v>45922.0</v>
      </c>
    </row>
    <row r="1997">
      <c r="A1997" s="960">
        <v>11.0</v>
      </c>
      <c r="B1997" s="960" t="s">
        <v>5306</v>
      </c>
      <c r="C1997" s="206"/>
      <c r="D1997" s="961" t="s">
        <v>1518</v>
      </c>
      <c r="E1997" s="962" t="s">
        <v>1518</v>
      </c>
      <c r="F1997" s="960" t="s">
        <v>1518</v>
      </c>
      <c r="G1997" s="206" t="s">
        <v>1554</v>
      </c>
      <c r="H1997" s="206" t="s">
        <v>5307</v>
      </c>
    </row>
    <row r="1998">
      <c r="A1998" s="957">
        <v>12.0</v>
      </c>
      <c r="B1998" s="957" t="s">
        <v>5308</v>
      </c>
      <c r="C1998" s="957">
        <v>1.0</v>
      </c>
      <c r="D1998" s="958">
        <v>16.8</v>
      </c>
      <c r="E1998" s="959">
        <v>1.0</v>
      </c>
      <c r="F1998" s="957" t="s">
        <v>5309</v>
      </c>
      <c r="G1998" s="957" t="s">
        <v>1554</v>
      </c>
      <c r="H1998" s="963">
        <v>45929.0</v>
      </c>
    </row>
    <row r="1999">
      <c r="A1999" s="964">
        <v>13.0</v>
      </c>
      <c r="B1999" s="957" t="s">
        <v>5310</v>
      </c>
      <c r="C1999" s="957">
        <v>1.0</v>
      </c>
      <c r="D1999" s="958">
        <v>23.6</v>
      </c>
      <c r="E1999" s="959">
        <v>2.0</v>
      </c>
      <c r="F1999" s="957" t="s">
        <v>5311</v>
      </c>
      <c r="G1999" s="957" t="s">
        <v>1554</v>
      </c>
      <c r="H1999" s="963">
        <v>45929.0</v>
      </c>
    </row>
    <row r="2000">
      <c r="A2000" s="957">
        <v>14.0</v>
      </c>
      <c r="B2000" s="957" t="s">
        <v>5312</v>
      </c>
      <c r="C2000" s="957">
        <v>2.0</v>
      </c>
      <c r="D2000" s="958">
        <v>8.6</v>
      </c>
      <c r="E2000" s="959">
        <v>2.0</v>
      </c>
      <c r="F2000" s="965"/>
      <c r="G2000" s="957" t="s">
        <v>1554</v>
      </c>
      <c r="H2000" s="963">
        <v>45987.0</v>
      </c>
    </row>
    <row r="2001">
      <c r="A2001" s="965"/>
      <c r="B2001" s="302" t="s">
        <v>5300</v>
      </c>
      <c r="C2001" s="302">
        <v>1.0</v>
      </c>
      <c r="D2001" s="954">
        <v>27.4</v>
      </c>
      <c r="E2001" s="955">
        <v>2.0</v>
      </c>
      <c r="F2001" s="965"/>
      <c r="G2001" s="966"/>
      <c r="H2001" s="966"/>
    </row>
    <row r="2002">
      <c r="A2002" s="967" t="s">
        <v>1562</v>
      </c>
      <c r="B2002" s="3"/>
      <c r="C2002" s="965">
        <f t="shared" ref="C2002:E2002" si="86">sum(C1987:C1994)</f>
        <v>10</v>
      </c>
      <c r="D2002" s="968">
        <f t="shared" si="86"/>
        <v>206.8</v>
      </c>
      <c r="E2002" s="969">
        <f t="shared" si="86"/>
        <v>8</v>
      </c>
      <c r="F2002" s="965"/>
      <c r="G2002" s="957" t="s">
        <v>1554</v>
      </c>
      <c r="H2002" s="963">
        <v>46003.0</v>
      </c>
    </row>
    <row r="2003">
      <c r="A2003" s="689"/>
      <c r="B2003" s="689"/>
      <c r="C2003" s="689"/>
      <c r="D2003" s="721"/>
      <c r="E2003" s="669"/>
      <c r="F2003" s="689"/>
      <c r="G2003" s="731"/>
      <c r="H2003" s="731"/>
    </row>
    <row r="2004">
      <c r="A2004" s="689"/>
      <c r="B2004" s="689"/>
      <c r="C2004" s="689"/>
      <c r="D2004" s="721"/>
      <c r="E2004" s="669"/>
      <c r="F2004" s="689"/>
      <c r="G2004" s="731"/>
      <c r="H2004" s="731"/>
    </row>
    <row r="2005">
      <c r="A2005" s="970" t="s">
        <v>5313</v>
      </c>
      <c r="B2005" s="2"/>
      <c r="C2005" s="2"/>
      <c r="D2005" s="2"/>
      <c r="E2005" s="2"/>
      <c r="F2005" s="2"/>
      <c r="G2005" s="2"/>
      <c r="H2005" s="3"/>
    </row>
    <row r="2006">
      <c r="A2006" s="971" t="s">
        <v>1435</v>
      </c>
      <c r="B2006" s="971" t="s">
        <v>1436</v>
      </c>
      <c r="C2006" s="971" t="s">
        <v>1843</v>
      </c>
      <c r="D2006" s="972" t="s">
        <v>1438</v>
      </c>
      <c r="E2006" s="973" t="s">
        <v>1564</v>
      </c>
      <c r="F2006" s="971" t="s">
        <v>1440</v>
      </c>
      <c r="G2006" s="974" t="s">
        <v>1844</v>
      </c>
      <c r="H2006" s="974" t="s">
        <v>1441</v>
      </c>
    </row>
    <row r="2007">
      <c r="A2007" s="28">
        <v>1.0</v>
      </c>
      <c r="B2007" s="28" t="s">
        <v>1443</v>
      </c>
      <c r="C2007" s="28">
        <v>1.0</v>
      </c>
      <c r="D2007" s="975">
        <v>150.0</v>
      </c>
      <c r="E2007" s="976"/>
      <c r="F2007" s="28" t="s">
        <v>1518</v>
      </c>
      <c r="G2007" s="977" t="s">
        <v>1554</v>
      </c>
      <c r="H2007" s="977">
        <v>45141.0</v>
      </c>
    </row>
    <row r="2008">
      <c r="A2008" s="28">
        <v>2.0</v>
      </c>
      <c r="B2008" s="28" t="s">
        <v>1444</v>
      </c>
      <c r="C2008" s="28">
        <v>2.0</v>
      </c>
      <c r="D2008" s="975">
        <v>3.2</v>
      </c>
      <c r="E2008" s="976" t="s">
        <v>1518</v>
      </c>
      <c r="F2008" s="28" t="s">
        <v>1518</v>
      </c>
      <c r="G2008" s="977" t="s">
        <v>1554</v>
      </c>
      <c r="H2008" s="977">
        <v>45141.0</v>
      </c>
    </row>
    <row r="2009">
      <c r="A2009" s="28">
        <v>3.0</v>
      </c>
      <c r="B2009" s="28" t="s">
        <v>3673</v>
      </c>
      <c r="C2009" s="28">
        <v>1.0</v>
      </c>
      <c r="D2009" s="975">
        <v>5.0</v>
      </c>
      <c r="E2009" s="976">
        <v>1.0</v>
      </c>
      <c r="F2009" s="28" t="s">
        <v>1518</v>
      </c>
      <c r="G2009" s="977" t="s">
        <v>1554</v>
      </c>
      <c r="H2009" s="977">
        <v>45141.0</v>
      </c>
    </row>
    <row r="2010">
      <c r="A2010" s="978">
        <v>4.0</v>
      </c>
      <c r="B2010" s="207" t="s">
        <v>3336</v>
      </c>
      <c r="C2010" s="978">
        <v>1.0</v>
      </c>
      <c r="D2010" s="979">
        <v>18.0</v>
      </c>
      <c r="E2010" s="980">
        <v>1.0</v>
      </c>
      <c r="F2010" s="207" t="s">
        <v>3337</v>
      </c>
      <c r="G2010" s="207" t="s">
        <v>5314</v>
      </c>
      <c r="H2010" s="981">
        <v>45885.0</v>
      </c>
    </row>
    <row r="2011">
      <c r="A2011" s="28">
        <v>5.0</v>
      </c>
      <c r="B2011" s="982" t="s">
        <v>5315</v>
      </c>
      <c r="C2011" s="26">
        <v>1.0</v>
      </c>
      <c r="D2011" s="983">
        <v>10.0</v>
      </c>
      <c r="E2011" s="984">
        <v>1.0</v>
      </c>
      <c r="F2011" s="982" t="s">
        <v>5316</v>
      </c>
      <c r="G2011" s="977" t="s">
        <v>1554</v>
      </c>
      <c r="H2011" s="985">
        <v>45901.0</v>
      </c>
    </row>
    <row r="2012">
      <c r="A2012" s="28">
        <v>6.0</v>
      </c>
      <c r="B2012" s="982" t="s">
        <v>1867</v>
      </c>
      <c r="C2012" s="26">
        <v>1.0</v>
      </c>
      <c r="D2012" s="983">
        <v>4.2</v>
      </c>
      <c r="E2012" s="984">
        <v>1.0</v>
      </c>
      <c r="F2012" s="982" t="s">
        <v>3819</v>
      </c>
      <c r="G2012" s="977" t="s">
        <v>1554</v>
      </c>
      <c r="H2012" s="985">
        <v>45901.0</v>
      </c>
    </row>
    <row r="2013">
      <c r="A2013" s="28">
        <v>7.0</v>
      </c>
      <c r="B2013" s="982" t="s">
        <v>5317</v>
      </c>
      <c r="C2013" s="26">
        <v>1.0</v>
      </c>
      <c r="D2013" s="983">
        <v>5.0</v>
      </c>
      <c r="E2013" s="984">
        <v>1.0</v>
      </c>
      <c r="F2013" s="982">
        <v>2.10118999527E11</v>
      </c>
      <c r="G2013" s="977" t="s">
        <v>1554</v>
      </c>
      <c r="H2013" s="985">
        <v>45901.0</v>
      </c>
    </row>
    <row r="2014">
      <c r="A2014" s="28">
        <v>8.0</v>
      </c>
      <c r="B2014" s="982" t="s">
        <v>5318</v>
      </c>
      <c r="C2014" s="26">
        <v>1.0</v>
      </c>
      <c r="D2014" s="983">
        <v>1.0</v>
      </c>
      <c r="E2014" s="984">
        <v>1.0</v>
      </c>
      <c r="F2014" s="982" t="s">
        <v>5319</v>
      </c>
      <c r="G2014" s="977" t="s">
        <v>1554</v>
      </c>
      <c r="H2014" s="985">
        <v>45901.0</v>
      </c>
    </row>
    <row r="2015">
      <c r="A2015" s="28">
        <v>9.0</v>
      </c>
      <c r="B2015" s="26" t="s">
        <v>1550</v>
      </c>
      <c r="C2015" s="26">
        <v>1.0</v>
      </c>
      <c r="D2015" s="983">
        <v>17.1</v>
      </c>
      <c r="E2015" s="984">
        <v>1.0</v>
      </c>
      <c r="F2015" s="982" t="s">
        <v>5320</v>
      </c>
      <c r="G2015" s="977" t="s">
        <v>1554</v>
      </c>
      <c r="H2015" s="985">
        <v>45901.0</v>
      </c>
    </row>
    <row r="2016">
      <c r="A2016" s="978">
        <v>10.0</v>
      </c>
      <c r="B2016" s="207" t="s">
        <v>3336</v>
      </c>
      <c r="C2016" s="986">
        <v>1.0</v>
      </c>
      <c r="D2016" s="987">
        <v>18.0</v>
      </c>
      <c r="E2016" s="988">
        <v>2.0</v>
      </c>
      <c r="F2016" s="207" t="s">
        <v>5321</v>
      </c>
      <c r="G2016" s="207" t="s">
        <v>5314</v>
      </c>
      <c r="H2016" s="981">
        <v>45901.0</v>
      </c>
    </row>
    <row r="2017">
      <c r="A2017" s="28">
        <v>11.0</v>
      </c>
      <c r="B2017" s="15" t="s">
        <v>5322</v>
      </c>
      <c r="C2017" s="15">
        <v>1.0</v>
      </c>
      <c r="D2017" s="989">
        <v>28.0</v>
      </c>
      <c r="E2017" s="990">
        <v>4.0</v>
      </c>
      <c r="F2017" s="982" t="s">
        <v>5323</v>
      </c>
      <c r="G2017" s="15" t="s">
        <v>1554</v>
      </c>
      <c r="H2017" s="18">
        <v>45953.0</v>
      </c>
    </row>
    <row r="2018">
      <c r="A2018" s="28">
        <v>12.0</v>
      </c>
      <c r="B2018" s="15" t="s">
        <v>2393</v>
      </c>
      <c r="C2018" s="15" t="s">
        <v>5324</v>
      </c>
      <c r="D2018" s="989">
        <v>17.4</v>
      </c>
      <c r="E2018" s="990">
        <v>1.0</v>
      </c>
      <c r="F2018" s="982">
        <v>7.362405686E9</v>
      </c>
      <c r="G2018" s="15" t="s">
        <v>1554</v>
      </c>
      <c r="H2018" s="18">
        <v>45953.0</v>
      </c>
    </row>
    <row r="2019">
      <c r="A2019" s="28">
        <v>13.0</v>
      </c>
      <c r="B2019" s="16" t="s">
        <v>2016</v>
      </c>
      <c r="C2019" s="16">
        <v>1.0</v>
      </c>
      <c r="D2019" s="991">
        <v>17.4</v>
      </c>
      <c r="E2019" s="992">
        <v>1.0</v>
      </c>
      <c r="F2019" s="982" t="s">
        <v>5325</v>
      </c>
      <c r="G2019" s="15" t="s">
        <v>1554</v>
      </c>
      <c r="H2019" s="17">
        <v>45960.0</v>
      </c>
    </row>
    <row r="2020">
      <c r="A2020" s="28">
        <v>14.0</v>
      </c>
      <c r="B2020" s="16" t="s">
        <v>5326</v>
      </c>
      <c r="C2020" s="16">
        <v>1.0</v>
      </c>
      <c r="D2020" s="991">
        <v>1.2</v>
      </c>
      <c r="E2020" s="992">
        <v>1.0</v>
      </c>
      <c r="F2020" s="982" t="s">
        <v>5327</v>
      </c>
      <c r="G2020" s="16" t="s">
        <v>5328</v>
      </c>
      <c r="H2020" s="17">
        <v>45961.0</v>
      </c>
    </row>
    <row r="2021">
      <c r="A2021" s="28">
        <v>15.0</v>
      </c>
      <c r="B2021" s="16" t="s">
        <v>5329</v>
      </c>
      <c r="C2021" s="16">
        <v>1.0</v>
      </c>
      <c r="D2021" s="991">
        <v>17.0</v>
      </c>
      <c r="E2021" s="992">
        <v>1.0</v>
      </c>
      <c r="F2021" s="982" t="s">
        <v>5330</v>
      </c>
      <c r="G2021" s="16" t="s">
        <v>5328</v>
      </c>
      <c r="H2021" s="17">
        <v>45961.0</v>
      </c>
    </row>
    <row r="2022">
      <c r="A2022" s="28">
        <v>16.0</v>
      </c>
      <c r="B2022" s="16" t="s">
        <v>5331</v>
      </c>
      <c r="C2022" s="16">
        <v>1.0</v>
      </c>
      <c r="D2022" s="991">
        <v>18.5</v>
      </c>
      <c r="E2022" s="992">
        <v>1.0</v>
      </c>
      <c r="F2022" s="982" t="s">
        <v>5332</v>
      </c>
      <c r="G2022" s="16" t="s">
        <v>5328</v>
      </c>
      <c r="H2022" s="17">
        <v>45961.0</v>
      </c>
    </row>
    <row r="2023">
      <c r="A2023" s="28">
        <v>17.0</v>
      </c>
      <c r="B2023" s="16" t="s">
        <v>3231</v>
      </c>
      <c r="C2023" s="16">
        <v>1.0</v>
      </c>
      <c r="D2023" s="991">
        <v>3.2</v>
      </c>
      <c r="E2023" s="992">
        <v>1.0</v>
      </c>
      <c r="F2023" s="982" t="s">
        <v>5333</v>
      </c>
      <c r="G2023" s="16" t="s">
        <v>5328</v>
      </c>
      <c r="H2023" s="17">
        <v>45961.0</v>
      </c>
    </row>
    <row r="2024">
      <c r="A2024" s="28">
        <v>18.0</v>
      </c>
      <c r="B2024" s="16" t="s">
        <v>5334</v>
      </c>
      <c r="C2024" s="16">
        <v>1.0</v>
      </c>
      <c r="D2024" s="991">
        <v>8.9</v>
      </c>
      <c r="E2024" s="992">
        <v>1.0</v>
      </c>
      <c r="F2024" s="982" t="s">
        <v>5335</v>
      </c>
      <c r="G2024" s="16" t="s">
        <v>1554</v>
      </c>
      <c r="H2024" s="17">
        <v>45987.0</v>
      </c>
    </row>
    <row r="2025">
      <c r="A2025" s="28">
        <v>19.0</v>
      </c>
      <c r="B2025" s="982" t="s">
        <v>2113</v>
      </c>
      <c r="C2025" s="15">
        <v>1.0</v>
      </c>
      <c r="D2025" s="989">
        <v>17.4</v>
      </c>
      <c r="E2025" s="990">
        <v>1.0</v>
      </c>
      <c r="F2025" s="982" t="s">
        <v>5336</v>
      </c>
      <c r="G2025" s="15" t="s">
        <v>1554</v>
      </c>
      <c r="H2025" s="18">
        <v>45995.0</v>
      </c>
    </row>
    <row r="2026">
      <c r="A2026" s="28">
        <v>20.0</v>
      </c>
      <c r="B2026" s="15" t="s">
        <v>5337</v>
      </c>
      <c r="C2026" s="15">
        <v>1.0</v>
      </c>
      <c r="D2026" s="989">
        <v>4.3</v>
      </c>
      <c r="E2026" s="990">
        <v>1.0</v>
      </c>
      <c r="F2026" s="15" t="s">
        <v>5338</v>
      </c>
      <c r="G2026" s="15" t="s">
        <v>1554</v>
      </c>
      <c r="H2026" s="18">
        <v>45673.0</v>
      </c>
    </row>
    <row r="2027">
      <c r="A2027" s="28">
        <v>21.0</v>
      </c>
      <c r="B2027" s="15" t="s">
        <v>1872</v>
      </c>
      <c r="C2027" s="15">
        <v>1.0</v>
      </c>
      <c r="D2027" s="989">
        <v>10.3</v>
      </c>
      <c r="E2027" s="990">
        <v>1.0</v>
      </c>
      <c r="F2027" s="15" t="s">
        <v>5339</v>
      </c>
      <c r="G2027" s="15" t="s">
        <v>1554</v>
      </c>
      <c r="H2027" s="18">
        <v>46089.0</v>
      </c>
    </row>
    <row r="2028">
      <c r="A2028" s="28">
        <v>22.0</v>
      </c>
      <c r="B2028" s="15" t="s">
        <v>3673</v>
      </c>
      <c r="C2028" s="15">
        <v>1.0</v>
      </c>
      <c r="D2028" s="989"/>
      <c r="E2028" s="990">
        <v>1.0</v>
      </c>
      <c r="F2028" s="15" t="s">
        <v>1518</v>
      </c>
      <c r="G2028" s="15" t="s">
        <v>1554</v>
      </c>
      <c r="H2028" s="18">
        <v>46125.0</v>
      </c>
    </row>
    <row r="2029">
      <c r="A2029" s="26">
        <v>23.0</v>
      </c>
      <c r="B2029" s="15" t="s">
        <v>5340</v>
      </c>
      <c r="C2029" s="15">
        <v>1.0</v>
      </c>
      <c r="D2029" s="989">
        <v>18.3</v>
      </c>
      <c r="E2029" s="990">
        <v>4.0</v>
      </c>
      <c r="F2029" s="15" t="s">
        <v>5341</v>
      </c>
      <c r="G2029" s="16" t="s">
        <v>5342</v>
      </c>
      <c r="H2029" s="18">
        <v>46125.0</v>
      </c>
    </row>
    <row r="2030">
      <c r="A2030" s="26">
        <v>24.0</v>
      </c>
      <c r="B2030" s="15" t="s">
        <v>5343</v>
      </c>
      <c r="C2030" s="15">
        <v>1.0</v>
      </c>
      <c r="D2030" s="989">
        <v>54.43</v>
      </c>
      <c r="E2030" s="990">
        <v>4.0</v>
      </c>
      <c r="F2030" s="15" t="s">
        <v>5344</v>
      </c>
      <c r="G2030" s="16" t="s">
        <v>5342</v>
      </c>
      <c r="H2030" s="18">
        <v>46125.0</v>
      </c>
    </row>
    <row r="2031">
      <c r="A2031" s="993" t="s">
        <v>1562</v>
      </c>
      <c r="B2031" s="3"/>
      <c r="C2031" s="8">
        <f>sum(C2007:C2016)</f>
        <v>11</v>
      </c>
      <c r="D2031" s="994">
        <f>sum(D2007:D2027)</f>
        <v>375.1</v>
      </c>
      <c r="E2031" s="995">
        <f>sum(E2007:E2028)</f>
        <v>24</v>
      </c>
      <c r="F2031" s="8"/>
      <c r="G2031" s="9"/>
      <c r="H2031" s="9"/>
    </row>
    <row r="2032">
      <c r="A2032" s="712"/>
      <c r="B2032" s="712"/>
      <c r="C2032" s="712"/>
      <c r="D2032" s="808"/>
      <c r="E2032" s="809"/>
      <c r="F2032" s="712"/>
      <c r="G2032" s="810"/>
      <c r="H2032" s="810"/>
    </row>
    <row r="2033">
      <c r="A2033" s="712"/>
      <c r="B2033" s="712"/>
      <c r="C2033" s="712"/>
      <c r="D2033" s="808"/>
      <c r="E2033" s="809"/>
      <c r="F2033" s="712"/>
      <c r="G2033" s="810"/>
      <c r="H2033" s="810"/>
    </row>
    <row r="2034">
      <c r="A2034" s="996" t="s">
        <v>5345</v>
      </c>
      <c r="B2034" s="293"/>
      <c r="C2034" s="293"/>
      <c r="D2034" s="293"/>
      <c r="E2034" s="293"/>
      <c r="F2034" s="293"/>
      <c r="G2034" s="293"/>
      <c r="H2034" s="294"/>
    </row>
    <row r="2035">
      <c r="A2035" s="840" t="s">
        <v>1435</v>
      </c>
      <c r="B2035" s="840" t="s">
        <v>1436</v>
      </c>
      <c r="C2035" s="840" t="s">
        <v>1843</v>
      </c>
      <c r="D2035" s="841" t="s">
        <v>1438</v>
      </c>
      <c r="E2035" s="842" t="s">
        <v>1564</v>
      </c>
      <c r="F2035" s="840" t="s">
        <v>1440</v>
      </c>
      <c r="G2035" s="843" t="s">
        <v>1844</v>
      </c>
      <c r="H2035" s="843" t="s">
        <v>1441</v>
      </c>
    </row>
    <row r="2036">
      <c r="A2036" s="364">
        <v>1.0</v>
      </c>
      <c r="B2036" s="364" t="s">
        <v>1443</v>
      </c>
      <c r="C2036" s="364">
        <v>1.0</v>
      </c>
      <c r="D2036" s="427">
        <v>150.0</v>
      </c>
      <c r="E2036" s="360"/>
      <c r="F2036" s="364" t="s">
        <v>1518</v>
      </c>
      <c r="G2036" s="428" t="s">
        <v>1554</v>
      </c>
      <c r="H2036" s="428">
        <v>45141.0</v>
      </c>
    </row>
    <row r="2037">
      <c r="A2037" s="364">
        <v>2.0</v>
      </c>
      <c r="B2037" s="364" t="s">
        <v>1444</v>
      </c>
      <c r="C2037" s="364">
        <v>2.0</v>
      </c>
      <c r="D2037" s="427">
        <v>3.2</v>
      </c>
      <c r="E2037" s="360" t="s">
        <v>1518</v>
      </c>
      <c r="F2037" s="364" t="s">
        <v>1518</v>
      </c>
      <c r="G2037" s="428" t="s">
        <v>1554</v>
      </c>
      <c r="H2037" s="301">
        <v>45901.0</v>
      </c>
    </row>
    <row r="2038">
      <c r="A2038" s="364">
        <v>3.0</v>
      </c>
      <c r="B2038" s="364" t="s">
        <v>3673</v>
      </c>
      <c r="C2038" s="364">
        <v>1.0</v>
      </c>
      <c r="D2038" s="427">
        <v>5.0</v>
      </c>
      <c r="E2038" s="360">
        <v>1.0</v>
      </c>
      <c r="F2038" s="364" t="s">
        <v>1518</v>
      </c>
      <c r="G2038" s="428" t="s">
        <v>1554</v>
      </c>
      <c r="H2038" s="301">
        <v>45901.0</v>
      </c>
    </row>
    <row r="2039">
      <c r="A2039" s="303">
        <v>4.0</v>
      </c>
      <c r="B2039" s="303" t="s">
        <v>5340</v>
      </c>
      <c r="C2039" s="303">
        <v>1.0</v>
      </c>
      <c r="D2039" s="304">
        <v>18.3</v>
      </c>
      <c r="E2039" s="327">
        <v>4.0</v>
      </c>
      <c r="F2039" s="303" t="s">
        <v>5341</v>
      </c>
      <c r="G2039" s="207" t="s">
        <v>5346</v>
      </c>
      <c r="H2039" s="305">
        <v>46125.0</v>
      </c>
    </row>
    <row r="2040">
      <c r="A2040" s="308">
        <v>5.0</v>
      </c>
      <c r="B2040" s="308" t="s">
        <v>5347</v>
      </c>
      <c r="C2040" s="308">
        <v>1.0</v>
      </c>
      <c r="D2040" s="314">
        <v>8.1</v>
      </c>
      <c r="E2040" s="365">
        <v>1.0</v>
      </c>
      <c r="F2040" s="308">
        <v>2.1011320459E11</v>
      </c>
      <c r="G2040" s="428" t="s">
        <v>1554</v>
      </c>
      <c r="H2040" s="315">
        <v>46125.0</v>
      </c>
    </row>
    <row r="2041">
      <c r="A2041" s="303">
        <v>6.0</v>
      </c>
      <c r="B2041" s="303" t="s">
        <v>5343</v>
      </c>
      <c r="C2041" s="303">
        <v>1.0</v>
      </c>
      <c r="D2041" s="673">
        <v>54.43</v>
      </c>
      <c r="E2041" s="327">
        <v>4.0</v>
      </c>
      <c r="F2041" s="303" t="s">
        <v>5344</v>
      </c>
      <c r="G2041" s="207" t="s">
        <v>5346</v>
      </c>
      <c r="H2041" s="305">
        <v>46125.0</v>
      </c>
    </row>
    <row r="2042">
      <c r="A2042" s="308">
        <v>7.0</v>
      </c>
      <c r="B2042" s="308" t="s">
        <v>3336</v>
      </c>
      <c r="C2042" s="463">
        <v>1.0</v>
      </c>
      <c r="D2042" s="314">
        <v>18.0</v>
      </c>
      <c r="E2042" s="464">
        <v>1.0</v>
      </c>
      <c r="F2042" s="308" t="s">
        <v>3337</v>
      </c>
      <c r="G2042" s="16" t="s">
        <v>5348</v>
      </c>
      <c r="H2042" s="315">
        <v>46125.0</v>
      </c>
    </row>
    <row r="2043">
      <c r="A2043" s="308">
        <v>8.0</v>
      </c>
      <c r="B2043" s="308" t="s">
        <v>3336</v>
      </c>
      <c r="C2043" s="308">
        <v>1.0</v>
      </c>
      <c r="D2043" s="314">
        <v>18.0</v>
      </c>
      <c r="E2043" s="365">
        <v>2.0</v>
      </c>
      <c r="F2043" s="308" t="s">
        <v>5321</v>
      </c>
      <c r="G2043" s="16" t="s">
        <v>5348</v>
      </c>
      <c r="H2043" s="315">
        <v>46125.0</v>
      </c>
    </row>
    <row r="2044">
      <c r="A2044" s="308"/>
      <c r="B2044" s="308"/>
      <c r="C2044" s="308"/>
      <c r="D2044" s="314"/>
      <c r="E2044" s="365"/>
      <c r="F2044" s="308"/>
      <c r="G2044" s="491"/>
      <c r="H2044" s="315"/>
    </row>
    <row r="2045">
      <c r="A2045" s="940" t="s">
        <v>1562</v>
      </c>
      <c r="B2045" s="3"/>
      <c r="C2045" s="941">
        <f t="shared" ref="C2045:E2045" si="87">sum(C2036:C2044)</f>
        <v>9</v>
      </c>
      <c r="D2045" s="942">
        <f t="shared" si="87"/>
        <v>275.03</v>
      </c>
      <c r="E2045" s="943">
        <f t="shared" si="87"/>
        <v>13</v>
      </c>
      <c r="F2045" s="941"/>
      <c r="G2045" s="944"/>
      <c r="H2045" s="944"/>
    </row>
    <row r="2046">
      <c r="A2046" s="712"/>
      <c r="B2046" s="712"/>
      <c r="C2046" s="712"/>
      <c r="D2046" s="808"/>
      <c r="E2046" s="809"/>
      <c r="F2046" s="712"/>
      <c r="G2046" s="810"/>
      <c r="H2046" s="810"/>
    </row>
    <row r="2047">
      <c r="A2047" s="712"/>
      <c r="B2047" s="712"/>
      <c r="C2047" s="712"/>
      <c r="D2047" s="808"/>
      <c r="E2047" s="809"/>
      <c r="F2047" s="712"/>
      <c r="G2047" s="810"/>
      <c r="H2047" s="810"/>
    </row>
    <row r="2048">
      <c r="A2048" s="914" t="s">
        <v>5349</v>
      </c>
      <c r="B2048" s="2"/>
      <c r="C2048" s="2"/>
      <c r="D2048" s="2"/>
      <c r="E2048" s="2"/>
      <c r="F2048" s="2"/>
      <c r="G2048" s="2"/>
      <c r="H2048" s="3"/>
    </row>
    <row r="2049">
      <c r="A2049" s="904" t="s">
        <v>1435</v>
      </c>
      <c r="B2049" s="904" t="s">
        <v>1436</v>
      </c>
      <c r="C2049" s="904" t="s">
        <v>1843</v>
      </c>
      <c r="D2049" s="905" t="s">
        <v>1438</v>
      </c>
      <c r="E2049" s="906" t="s">
        <v>1564</v>
      </c>
      <c r="F2049" s="904" t="s">
        <v>1440</v>
      </c>
      <c r="G2049" s="907" t="s">
        <v>1844</v>
      </c>
      <c r="H2049" s="907" t="s">
        <v>1441</v>
      </c>
    </row>
    <row r="2050">
      <c r="A2050" s="755">
        <v>1.0</v>
      </c>
      <c r="B2050" s="755" t="s">
        <v>1443</v>
      </c>
      <c r="C2050" s="755">
        <v>1.0</v>
      </c>
      <c r="D2050" s="752">
        <v>150.0</v>
      </c>
      <c r="E2050" s="753"/>
      <c r="F2050" s="755" t="s">
        <v>1518</v>
      </c>
      <c r="G2050" s="908" t="s">
        <v>1554</v>
      </c>
      <c r="H2050" s="908">
        <v>45141.0</v>
      </c>
    </row>
    <row r="2051">
      <c r="A2051" s="755">
        <v>2.0</v>
      </c>
      <c r="B2051" s="755" t="s">
        <v>1444</v>
      </c>
      <c r="C2051" s="755">
        <v>2.0</v>
      </c>
      <c r="D2051" s="752">
        <v>3.2</v>
      </c>
      <c r="E2051" s="753" t="s">
        <v>1518</v>
      </c>
      <c r="F2051" s="755" t="s">
        <v>1518</v>
      </c>
      <c r="G2051" s="908" t="s">
        <v>1554</v>
      </c>
      <c r="H2051" s="908"/>
    </row>
    <row r="2052">
      <c r="A2052" s="755">
        <v>3.0</v>
      </c>
      <c r="B2052" s="755" t="s">
        <v>3673</v>
      </c>
      <c r="C2052" s="755">
        <v>1.0</v>
      </c>
      <c r="D2052" s="752">
        <v>5.0</v>
      </c>
      <c r="E2052" s="753">
        <v>1.0</v>
      </c>
      <c r="F2052" s="755" t="s">
        <v>1518</v>
      </c>
      <c r="G2052" s="908" t="s">
        <v>1554</v>
      </c>
      <c r="H2052" s="908"/>
    </row>
    <row r="2053">
      <c r="A2053" s="340">
        <v>4.0</v>
      </c>
      <c r="B2053" s="340" t="s">
        <v>5350</v>
      </c>
      <c r="C2053" s="340">
        <v>1.0</v>
      </c>
      <c r="D2053" s="341">
        <v>10.5</v>
      </c>
      <c r="E2053" s="342">
        <v>1.0</v>
      </c>
      <c r="F2053" s="340" t="s">
        <v>5351</v>
      </c>
      <c r="G2053" s="908" t="s">
        <v>1554</v>
      </c>
      <c r="H2053" s="915">
        <v>46046.0</v>
      </c>
    </row>
    <row r="2054">
      <c r="A2054" s="340">
        <v>5.0</v>
      </c>
      <c r="B2054" s="340" t="s">
        <v>5352</v>
      </c>
      <c r="C2054" s="340">
        <v>1.0</v>
      </c>
      <c r="D2054" s="341">
        <v>36.1</v>
      </c>
      <c r="E2054" s="342">
        <v>2.0</v>
      </c>
      <c r="F2054" s="340" t="s">
        <v>5353</v>
      </c>
      <c r="G2054" s="908" t="s">
        <v>1554</v>
      </c>
      <c r="H2054" s="915">
        <v>46046.0</v>
      </c>
    </row>
    <row r="2055">
      <c r="A2055" s="755">
        <v>6.0</v>
      </c>
      <c r="B2055" s="340" t="s">
        <v>5354</v>
      </c>
      <c r="C2055" s="340">
        <v>1.0</v>
      </c>
      <c r="D2055" s="341">
        <v>36.1</v>
      </c>
      <c r="E2055" s="342">
        <v>2.0</v>
      </c>
      <c r="F2055" s="340" t="s">
        <v>5355</v>
      </c>
      <c r="G2055" s="908" t="s">
        <v>1554</v>
      </c>
      <c r="H2055" s="915">
        <v>46046.0</v>
      </c>
    </row>
    <row r="2056">
      <c r="A2056" s="340">
        <v>7.0</v>
      </c>
      <c r="B2056" s="340" t="s">
        <v>5356</v>
      </c>
      <c r="C2056" s="340">
        <v>1.0</v>
      </c>
      <c r="D2056" s="341">
        <v>12.5</v>
      </c>
      <c r="E2056" s="342">
        <v>1.0</v>
      </c>
      <c r="F2056" s="340" t="s">
        <v>5357</v>
      </c>
      <c r="G2056" s="908" t="s">
        <v>1554</v>
      </c>
      <c r="H2056" s="915">
        <v>46046.0</v>
      </c>
    </row>
    <row r="2057">
      <c r="A2057" s="340">
        <v>8.0</v>
      </c>
      <c r="B2057" s="340" t="s">
        <v>5358</v>
      </c>
      <c r="C2057" s="340">
        <v>1.0</v>
      </c>
      <c r="D2057" s="341">
        <v>20.5</v>
      </c>
      <c r="E2057" s="342">
        <v>1.0</v>
      </c>
      <c r="F2057" s="340" t="s">
        <v>5359</v>
      </c>
      <c r="G2057" s="908" t="s">
        <v>1554</v>
      </c>
      <c r="H2057" s="915">
        <v>46046.0</v>
      </c>
    </row>
    <row r="2058">
      <c r="A2058" s="758">
        <v>9.0</v>
      </c>
      <c r="B2058" s="345" t="s">
        <v>5360</v>
      </c>
      <c r="C2058" s="345">
        <v>1.0</v>
      </c>
      <c r="D2058" s="757">
        <v>20.0</v>
      </c>
      <c r="E2058" s="347">
        <v>1.0</v>
      </c>
      <c r="F2058" s="345" t="s">
        <v>5361</v>
      </c>
      <c r="G2058" s="908" t="s">
        <v>1554</v>
      </c>
      <c r="H2058" s="931">
        <v>46125.0</v>
      </c>
    </row>
    <row r="2059">
      <c r="A2059" s="345">
        <v>10.0</v>
      </c>
      <c r="B2059" s="997" t="s">
        <v>5362</v>
      </c>
      <c r="C2059" s="345">
        <v>1.0</v>
      </c>
      <c r="D2059" s="757">
        <v>43.0</v>
      </c>
      <c r="E2059" s="347">
        <v>2.0</v>
      </c>
      <c r="F2059" s="997" t="s">
        <v>5363</v>
      </c>
      <c r="G2059" s="908" t="s">
        <v>1554</v>
      </c>
      <c r="H2059" s="931">
        <v>46125.0</v>
      </c>
    </row>
    <row r="2060">
      <c r="A2060" s="340"/>
      <c r="B2060" s="340"/>
      <c r="C2060" s="340"/>
      <c r="D2060" s="752"/>
      <c r="E2060" s="342"/>
      <c r="F2060" s="340"/>
      <c r="G2060" s="908"/>
      <c r="H2060" s="915"/>
    </row>
    <row r="2061">
      <c r="A2061" s="940" t="s">
        <v>1562</v>
      </c>
      <c r="B2061" s="3"/>
      <c r="C2061" s="941">
        <f t="shared" ref="C2061:E2061" si="88">sum(C2050:C2060)</f>
        <v>11</v>
      </c>
      <c r="D2061" s="942">
        <f t="shared" si="88"/>
        <v>336.9</v>
      </c>
      <c r="E2061" s="943">
        <f t="shared" si="88"/>
        <v>11</v>
      </c>
      <c r="F2061" s="941"/>
      <c r="G2061" s="944"/>
      <c r="H2061" s="944"/>
    </row>
    <row r="2062">
      <c r="A2062" s="712"/>
      <c r="B2062" s="712"/>
      <c r="C2062" s="712"/>
      <c r="D2062" s="808"/>
      <c r="E2062" s="809"/>
      <c r="F2062" s="712"/>
      <c r="G2062" s="810"/>
      <c r="H2062" s="810"/>
    </row>
    <row r="2063">
      <c r="A2063" s="712"/>
      <c r="B2063" s="712"/>
      <c r="C2063" s="712"/>
      <c r="D2063" s="808"/>
      <c r="E2063" s="809"/>
      <c r="F2063" s="712"/>
      <c r="G2063" s="810"/>
      <c r="H2063" s="810"/>
    </row>
    <row r="2064">
      <c r="A2064" s="649" t="s">
        <v>5364</v>
      </c>
      <c r="B2064" s="2"/>
      <c r="C2064" s="2"/>
      <c r="D2064" s="2"/>
      <c r="E2064" s="2"/>
      <c r="F2064" s="2"/>
      <c r="G2064" s="2"/>
      <c r="H2064" s="3"/>
    </row>
    <row r="2065">
      <c r="A2065" s="690" t="s">
        <v>1435</v>
      </c>
      <c r="B2065" s="690" t="s">
        <v>1436</v>
      </c>
      <c r="C2065" s="690" t="s">
        <v>1843</v>
      </c>
      <c r="D2065" s="693" t="s">
        <v>1438</v>
      </c>
      <c r="E2065" s="694" t="s">
        <v>1564</v>
      </c>
      <c r="F2065" s="690" t="s">
        <v>1440</v>
      </c>
      <c r="G2065" s="695" t="s">
        <v>1844</v>
      </c>
      <c r="H2065" s="695" t="s">
        <v>1441</v>
      </c>
    </row>
    <row r="2066">
      <c r="A2066" s="689">
        <v>1.0</v>
      </c>
      <c r="B2066" s="689" t="s">
        <v>1443</v>
      </c>
      <c r="C2066" s="689">
        <v>1.0</v>
      </c>
      <c r="D2066" s="721">
        <v>150.0</v>
      </c>
      <c r="E2066" s="669"/>
      <c r="F2066" s="689" t="s">
        <v>1518</v>
      </c>
      <c r="G2066" s="731" t="s">
        <v>1554</v>
      </c>
      <c r="H2066" s="731">
        <v>45141.0</v>
      </c>
    </row>
    <row r="2067">
      <c r="A2067" s="689">
        <v>2.0</v>
      </c>
      <c r="B2067" s="689" t="s">
        <v>1444</v>
      </c>
      <c r="C2067" s="689">
        <v>2.0</v>
      </c>
      <c r="D2067" s="721">
        <v>3.2</v>
      </c>
      <c r="E2067" s="669" t="s">
        <v>1518</v>
      </c>
      <c r="F2067" s="689" t="s">
        <v>1518</v>
      </c>
      <c r="G2067" s="731" t="s">
        <v>1554</v>
      </c>
      <c r="H2067" s="679"/>
    </row>
    <row r="2068">
      <c r="A2068" s="689">
        <v>3.0</v>
      </c>
      <c r="B2068" s="689" t="s">
        <v>3673</v>
      </c>
      <c r="C2068" s="689">
        <v>1.0</v>
      </c>
      <c r="D2068" s="721">
        <v>5.0</v>
      </c>
      <c r="E2068" s="669">
        <v>1.0</v>
      </c>
      <c r="F2068" s="689" t="s">
        <v>1518</v>
      </c>
      <c r="G2068" s="731" t="s">
        <v>1554</v>
      </c>
      <c r="H2068" s="679"/>
    </row>
    <row r="2069">
      <c r="A2069" s="658">
        <v>4.0</v>
      </c>
      <c r="B2069" s="998" t="s">
        <v>5365</v>
      </c>
      <c r="C2069" s="689">
        <v>1.0</v>
      </c>
      <c r="D2069" s="678">
        <v>18.5</v>
      </c>
      <c r="E2069" s="669">
        <v>1.0</v>
      </c>
      <c r="F2069" s="998" t="s">
        <v>5366</v>
      </c>
      <c r="G2069" s="731" t="s">
        <v>1554</v>
      </c>
      <c r="H2069" s="679">
        <v>45898.0</v>
      </c>
    </row>
    <row r="2070">
      <c r="A2070" s="658">
        <v>5.0</v>
      </c>
      <c r="B2070" s="998" t="s">
        <v>5365</v>
      </c>
      <c r="C2070" s="689">
        <v>1.0</v>
      </c>
      <c r="D2070" s="678">
        <v>18.1</v>
      </c>
      <c r="E2070" s="669">
        <v>1.0</v>
      </c>
      <c r="F2070" s="998" t="s">
        <v>5367</v>
      </c>
      <c r="G2070" s="731" t="s">
        <v>1554</v>
      </c>
      <c r="H2070" s="679">
        <v>45898.0</v>
      </c>
    </row>
    <row r="2071">
      <c r="A2071" s="658">
        <v>6.0</v>
      </c>
      <c r="B2071" s="998" t="s">
        <v>5368</v>
      </c>
      <c r="C2071" s="689">
        <v>1.0</v>
      </c>
      <c r="D2071" s="678">
        <v>9.1</v>
      </c>
      <c r="E2071" s="669">
        <v>1.0</v>
      </c>
      <c r="F2071" s="998" t="s">
        <v>5369</v>
      </c>
      <c r="G2071" s="731" t="s">
        <v>1554</v>
      </c>
      <c r="H2071" s="679">
        <v>45898.0</v>
      </c>
    </row>
    <row r="2072">
      <c r="A2072" s="689"/>
      <c r="B2072" s="689"/>
      <c r="C2072" s="689"/>
      <c r="D2072" s="721"/>
      <c r="E2072" s="669"/>
      <c r="F2072" s="689"/>
      <c r="G2072" s="731"/>
      <c r="H2072" s="731"/>
    </row>
    <row r="2073">
      <c r="A2073" s="689"/>
      <c r="B2073" s="689"/>
      <c r="C2073" s="689"/>
      <c r="D2073" s="721"/>
      <c r="E2073" s="669"/>
      <c r="F2073" s="689"/>
      <c r="G2073" s="731"/>
      <c r="H2073" s="731"/>
    </row>
    <row r="2074">
      <c r="A2074" s="732" t="s">
        <v>1562</v>
      </c>
      <c r="B2074" s="3"/>
      <c r="C2074" s="689">
        <f t="shared" ref="C2074:E2074" si="89">sum(C2066:C2073)</f>
        <v>7</v>
      </c>
      <c r="D2074" s="721">
        <f t="shared" si="89"/>
        <v>203.9</v>
      </c>
      <c r="E2074" s="669">
        <f t="shared" si="89"/>
        <v>4</v>
      </c>
      <c r="F2074" s="689"/>
      <c r="G2074" s="731"/>
      <c r="H2074" s="731"/>
    </row>
    <row r="2075">
      <c r="A2075" s="712"/>
      <c r="B2075" s="712"/>
      <c r="C2075" s="712"/>
      <c r="D2075" s="808"/>
      <c r="E2075" s="809"/>
      <c r="F2075" s="712"/>
      <c r="G2075" s="810"/>
      <c r="H2075" s="819" t="s">
        <v>5036</v>
      </c>
    </row>
    <row r="2076">
      <c r="A2076" s="712"/>
      <c r="B2076" s="712"/>
      <c r="C2076" s="712"/>
      <c r="D2076" s="808"/>
      <c r="E2076" s="809"/>
      <c r="F2076" s="712"/>
      <c r="G2076" s="810"/>
      <c r="H2076" s="810"/>
    </row>
    <row r="2077">
      <c r="A2077" s="999" t="s">
        <v>5370</v>
      </c>
      <c r="B2077" s="293"/>
      <c r="C2077" s="293"/>
      <c r="D2077" s="293"/>
      <c r="E2077" s="293"/>
      <c r="F2077" s="293"/>
      <c r="G2077" s="293"/>
      <c r="H2077" s="294"/>
    </row>
    <row r="2078">
      <c r="A2078" s="946" t="s">
        <v>1435</v>
      </c>
      <c r="B2078" s="946" t="s">
        <v>1436</v>
      </c>
      <c r="C2078" s="946" t="s">
        <v>1843</v>
      </c>
      <c r="D2078" s="947" t="s">
        <v>1438</v>
      </c>
      <c r="E2078" s="948" t="s">
        <v>1564</v>
      </c>
      <c r="F2078" s="946" t="s">
        <v>1440</v>
      </c>
      <c r="G2078" s="949" t="s">
        <v>1844</v>
      </c>
      <c r="H2078" s="949" t="s">
        <v>1441</v>
      </c>
    </row>
    <row r="2079">
      <c r="A2079" s="950">
        <v>1.0</v>
      </c>
      <c r="B2079" s="950" t="s">
        <v>1443</v>
      </c>
      <c r="C2079" s="950">
        <v>1.0</v>
      </c>
      <c r="D2079" s="951">
        <v>150.0</v>
      </c>
      <c r="E2079" s="952"/>
      <c r="F2079" s="950" t="s">
        <v>1518</v>
      </c>
      <c r="G2079" s="953" t="s">
        <v>1554</v>
      </c>
      <c r="H2079" s="953">
        <v>45141.0</v>
      </c>
    </row>
    <row r="2080">
      <c r="A2080" s="950">
        <v>2.0</v>
      </c>
      <c r="B2080" s="950" t="s">
        <v>1444</v>
      </c>
      <c r="C2080" s="950">
        <v>2.0</v>
      </c>
      <c r="D2080" s="951">
        <v>3.2</v>
      </c>
      <c r="E2080" s="952" t="s">
        <v>1518</v>
      </c>
      <c r="F2080" s="302" t="s">
        <v>1518</v>
      </c>
      <c r="G2080" s="953"/>
      <c r="H2080" s="953">
        <v>45141.0</v>
      </c>
    </row>
    <row r="2081">
      <c r="A2081" s="950">
        <v>3.0</v>
      </c>
      <c r="B2081" s="950" t="s">
        <v>3673</v>
      </c>
      <c r="C2081" s="950">
        <v>1.0</v>
      </c>
      <c r="D2081" s="951">
        <v>5.0</v>
      </c>
      <c r="E2081" s="952">
        <v>1.0</v>
      </c>
      <c r="F2081" s="302" t="s">
        <v>1518</v>
      </c>
      <c r="G2081" s="953" t="s">
        <v>1518</v>
      </c>
      <c r="H2081" s="953">
        <v>45141.0</v>
      </c>
    </row>
    <row r="2082">
      <c r="A2082" s="302">
        <v>4.0</v>
      </c>
      <c r="B2082" s="1000" t="s">
        <v>1813</v>
      </c>
      <c r="C2082" s="302">
        <v>1.0</v>
      </c>
      <c r="D2082" s="954">
        <v>6.0</v>
      </c>
      <c r="E2082" s="955">
        <v>1.0</v>
      </c>
      <c r="F2082" s="302"/>
      <c r="G2082" s="302" t="s">
        <v>1554</v>
      </c>
      <c r="H2082" s="956">
        <v>45999.0</v>
      </c>
    </row>
    <row r="2083">
      <c r="A2083" s="302">
        <v>4.0</v>
      </c>
      <c r="B2083" s="1000" t="s">
        <v>2393</v>
      </c>
      <c r="C2083" s="302">
        <v>1.0</v>
      </c>
      <c r="D2083" s="954">
        <v>17.4</v>
      </c>
      <c r="E2083" s="955">
        <v>1.0</v>
      </c>
      <c r="F2083" s="302"/>
      <c r="G2083" s="302" t="s">
        <v>5371</v>
      </c>
      <c r="H2083" s="956">
        <v>45888.0</v>
      </c>
    </row>
    <row r="2084">
      <c r="A2084" s="1001">
        <v>5.0</v>
      </c>
      <c r="B2084" s="24" t="s">
        <v>2917</v>
      </c>
      <c r="C2084" s="1002">
        <v>1.0</v>
      </c>
      <c r="D2084" s="954">
        <v>2.7</v>
      </c>
      <c r="E2084" s="955">
        <v>1.0</v>
      </c>
      <c r="F2084" s="302"/>
      <c r="G2084" s="302" t="s">
        <v>5371</v>
      </c>
      <c r="H2084" s="956">
        <v>45888.0</v>
      </c>
    </row>
    <row r="2085">
      <c r="A2085" s="1001">
        <v>6.0</v>
      </c>
      <c r="B2085" s="24" t="s">
        <v>3347</v>
      </c>
      <c r="C2085" s="1002">
        <v>1.0</v>
      </c>
      <c r="D2085" s="954">
        <v>1.3</v>
      </c>
      <c r="E2085" s="955">
        <v>1.0</v>
      </c>
      <c r="F2085" s="302"/>
      <c r="G2085" s="302" t="s">
        <v>5371</v>
      </c>
      <c r="H2085" s="956">
        <v>45888.0</v>
      </c>
    </row>
    <row r="2086">
      <c r="A2086" s="302">
        <v>7.0</v>
      </c>
      <c r="B2086" s="24" t="s">
        <v>2917</v>
      </c>
      <c r="C2086" s="1002">
        <v>1.0</v>
      </c>
      <c r="D2086" s="954">
        <v>2.7</v>
      </c>
      <c r="E2086" s="955">
        <v>1.0</v>
      </c>
      <c r="F2086" s="1003" t="s">
        <v>5372</v>
      </c>
      <c r="G2086" s="302" t="s">
        <v>5373</v>
      </c>
      <c r="H2086" s="956">
        <v>45903.0</v>
      </c>
    </row>
    <row r="2087">
      <c r="A2087" s="302">
        <v>8.0</v>
      </c>
      <c r="B2087" s="302" t="s">
        <v>4062</v>
      </c>
      <c r="C2087" s="302">
        <v>1.0</v>
      </c>
      <c r="D2087" s="954">
        <v>2.0</v>
      </c>
      <c r="E2087" s="955">
        <v>1.0</v>
      </c>
      <c r="F2087" s="950"/>
      <c r="G2087" s="302" t="s">
        <v>5374</v>
      </c>
      <c r="H2087" s="956">
        <v>45918.0</v>
      </c>
    </row>
    <row r="2088">
      <c r="A2088" s="302">
        <v>9.0</v>
      </c>
      <c r="B2088" s="302" t="s">
        <v>5375</v>
      </c>
      <c r="C2088" s="302">
        <v>1.0</v>
      </c>
      <c r="D2088" s="954">
        <v>13.0</v>
      </c>
      <c r="E2088" s="955">
        <v>1.0</v>
      </c>
      <c r="F2088" s="950"/>
      <c r="G2088" s="302" t="s">
        <v>5376</v>
      </c>
      <c r="H2088" s="956">
        <v>45937.0</v>
      </c>
    </row>
    <row r="2089">
      <c r="A2089" s="302">
        <v>10.0</v>
      </c>
      <c r="B2089" s="302" t="s">
        <v>2393</v>
      </c>
      <c r="C2089" s="302">
        <v>1.0</v>
      </c>
      <c r="D2089" s="958">
        <v>17.5</v>
      </c>
      <c r="E2089" s="955">
        <v>1.0</v>
      </c>
      <c r="F2089" s="302"/>
      <c r="G2089" s="302" t="s">
        <v>5377</v>
      </c>
      <c r="H2089" s="956">
        <v>45980.0</v>
      </c>
    </row>
    <row r="2090">
      <c r="A2090" s="960"/>
      <c r="B2090" s="206" t="s">
        <v>2393</v>
      </c>
      <c r="C2090" s="960"/>
      <c r="D2090" s="961"/>
      <c r="E2090" s="962"/>
      <c r="F2090" s="1004"/>
      <c r="G2090" s="1005" t="s">
        <v>5378</v>
      </c>
      <c r="H2090" s="1006"/>
    </row>
    <row r="2091">
      <c r="A2091" s="957">
        <v>11.0</v>
      </c>
      <c r="B2091" s="437" t="s">
        <v>5379</v>
      </c>
      <c r="C2091" s="957">
        <v>1.0</v>
      </c>
      <c r="D2091" s="958">
        <v>3.0</v>
      </c>
      <c r="E2091" s="959">
        <v>1.0</v>
      </c>
      <c r="F2091" s="437" t="s">
        <v>5380</v>
      </c>
      <c r="G2091" s="1007" t="s">
        <v>5381</v>
      </c>
      <c r="H2091" s="963">
        <v>45985.0</v>
      </c>
    </row>
    <row r="2092">
      <c r="A2092" s="960">
        <v>12.0</v>
      </c>
      <c r="B2092" s="1004" t="s">
        <v>3982</v>
      </c>
      <c r="C2092" s="960">
        <v>1.0</v>
      </c>
      <c r="D2092" s="961">
        <v>10.2</v>
      </c>
      <c r="E2092" s="962">
        <v>1.0</v>
      </c>
      <c r="F2092" s="1004" t="s">
        <v>5382</v>
      </c>
      <c r="G2092" s="1005" t="s">
        <v>5383</v>
      </c>
      <c r="H2092" s="1006">
        <v>45994.0</v>
      </c>
    </row>
    <row r="2093">
      <c r="A2093" s="15">
        <v>13.0</v>
      </c>
      <c r="B2093" s="15" t="s">
        <v>2198</v>
      </c>
      <c r="C2093" s="15">
        <v>1.0</v>
      </c>
      <c r="D2093" s="989">
        <v>2.0</v>
      </c>
      <c r="E2093" s="989">
        <v>1.0</v>
      </c>
      <c r="F2093" s="8"/>
      <c r="G2093" s="15" t="s">
        <v>5384</v>
      </c>
      <c r="H2093" s="9"/>
    </row>
    <row r="2094">
      <c r="A2094" s="960">
        <v>14.0</v>
      </c>
      <c r="B2094" s="960" t="s">
        <v>3347</v>
      </c>
      <c r="C2094" s="960">
        <v>1.0</v>
      </c>
      <c r="D2094" s="961">
        <v>3.0</v>
      </c>
      <c r="E2094" s="961">
        <v>1.0</v>
      </c>
      <c r="F2094" s="1008"/>
      <c r="G2094" s="960" t="s">
        <v>5385</v>
      </c>
      <c r="H2094" s="1006">
        <v>46011.0</v>
      </c>
    </row>
    <row r="2095">
      <c r="A2095" s="957">
        <v>15.0</v>
      </c>
      <c r="B2095" s="957" t="s">
        <v>5386</v>
      </c>
      <c r="C2095" s="957">
        <v>1.0</v>
      </c>
      <c r="D2095" s="958">
        <v>8.5</v>
      </c>
      <c r="E2095" s="959">
        <v>1.0</v>
      </c>
      <c r="F2095" s="957" t="s">
        <v>1518</v>
      </c>
      <c r="G2095" s="957" t="s">
        <v>5387</v>
      </c>
      <c r="H2095" s="963">
        <v>46015.0</v>
      </c>
    </row>
    <row r="2096">
      <c r="A2096" s="957">
        <v>16.0</v>
      </c>
      <c r="B2096" s="957" t="s">
        <v>4049</v>
      </c>
      <c r="C2096" s="957">
        <v>1.0</v>
      </c>
      <c r="D2096" s="958">
        <v>10.3</v>
      </c>
      <c r="E2096" s="959">
        <v>1.0</v>
      </c>
      <c r="F2096" s="957" t="s">
        <v>5388</v>
      </c>
      <c r="G2096" s="957" t="s">
        <v>5389</v>
      </c>
      <c r="H2096" s="963">
        <v>46024.0</v>
      </c>
    </row>
    <row r="2097">
      <c r="A2097" s="957">
        <v>16.0</v>
      </c>
      <c r="B2097" s="957" t="s">
        <v>4049</v>
      </c>
      <c r="C2097" s="957">
        <v>1.0</v>
      </c>
      <c r="D2097" s="958">
        <v>10.3</v>
      </c>
      <c r="E2097" s="959">
        <v>1.0</v>
      </c>
      <c r="F2097" s="957" t="s">
        <v>5390</v>
      </c>
      <c r="G2097" s="957" t="s">
        <v>5391</v>
      </c>
      <c r="H2097" s="963">
        <v>46031.0</v>
      </c>
    </row>
    <row r="2098">
      <c r="A2098" s="957">
        <v>17.0</v>
      </c>
      <c r="B2098" s="957" t="s">
        <v>5392</v>
      </c>
      <c r="C2098" s="957">
        <v>1.0</v>
      </c>
      <c r="D2098" s="958"/>
      <c r="E2098" s="959">
        <v>1.0</v>
      </c>
      <c r="F2098" s="957" t="s">
        <v>5393</v>
      </c>
      <c r="G2098" s="957" t="s">
        <v>5394</v>
      </c>
      <c r="H2098" s="1009">
        <v>46065.0</v>
      </c>
    </row>
    <row r="2099">
      <c r="A2099" s="967" t="s">
        <v>1562</v>
      </c>
      <c r="B2099" s="3"/>
      <c r="C2099" s="965">
        <f t="shared" ref="C2099:E2099" si="90">sum(C2079:C2092)</f>
        <v>14</v>
      </c>
      <c r="D2099" s="968">
        <f t="shared" si="90"/>
        <v>234</v>
      </c>
      <c r="E2099" s="969">
        <f t="shared" si="90"/>
        <v>11</v>
      </c>
      <c r="F2099" s="965"/>
      <c r="G2099" s="966"/>
      <c r="H2099" s="966"/>
    </row>
    <row r="2100">
      <c r="A2100" s="712"/>
      <c r="B2100" s="712"/>
      <c r="C2100" s="712"/>
      <c r="D2100" s="808"/>
      <c r="E2100" s="809"/>
      <c r="F2100" s="712"/>
      <c r="G2100" s="810"/>
      <c r="H2100" s="810"/>
    </row>
    <row r="2101">
      <c r="A2101" s="1010" t="s">
        <v>5395</v>
      </c>
      <c r="B2101" s="2"/>
      <c r="C2101" s="2"/>
      <c r="D2101" s="2"/>
      <c r="E2101" s="2"/>
      <c r="F2101" s="2"/>
      <c r="G2101" s="2"/>
      <c r="H2101" s="3"/>
    </row>
    <row r="2102">
      <c r="A2102" s="904" t="s">
        <v>1435</v>
      </c>
      <c r="B2102" s="904" t="s">
        <v>1436</v>
      </c>
      <c r="C2102" s="904" t="s">
        <v>1843</v>
      </c>
      <c r="D2102" s="905" t="s">
        <v>1438</v>
      </c>
      <c r="E2102" s="906" t="s">
        <v>1564</v>
      </c>
      <c r="F2102" s="904" t="s">
        <v>1440</v>
      </c>
      <c r="G2102" s="907" t="s">
        <v>1844</v>
      </c>
      <c r="H2102" s="907" t="s">
        <v>1441</v>
      </c>
    </row>
    <row r="2103">
      <c r="A2103" s="340" t="s">
        <v>215</v>
      </c>
      <c r="B2103" s="755" t="s">
        <v>1443</v>
      </c>
      <c r="C2103" s="755">
        <v>1.0</v>
      </c>
      <c r="D2103" s="752">
        <v>150.0</v>
      </c>
      <c r="E2103" s="753"/>
      <c r="F2103" s="755" t="s">
        <v>1518</v>
      </c>
      <c r="G2103" s="908" t="s">
        <v>1554</v>
      </c>
      <c r="H2103" s="908">
        <v>45141.0</v>
      </c>
    </row>
    <row r="2104">
      <c r="A2104" s="755">
        <v>2.0</v>
      </c>
      <c r="B2104" s="755" t="s">
        <v>1444</v>
      </c>
      <c r="C2104" s="755">
        <v>2.0</v>
      </c>
      <c r="D2104" s="752">
        <v>3.2</v>
      </c>
      <c r="E2104" s="753" t="s">
        <v>1518</v>
      </c>
      <c r="F2104" s="755" t="s">
        <v>1518</v>
      </c>
      <c r="G2104" s="908"/>
      <c r="H2104" s="908"/>
    </row>
    <row r="2105">
      <c r="A2105" s="755">
        <v>3.0</v>
      </c>
      <c r="B2105" s="755" t="s">
        <v>3673</v>
      </c>
      <c r="C2105" s="755">
        <v>1.0</v>
      </c>
      <c r="D2105" s="752">
        <v>5.0</v>
      </c>
      <c r="E2105" s="753">
        <v>1.0</v>
      </c>
      <c r="F2105" s="755" t="s">
        <v>1518</v>
      </c>
      <c r="G2105" s="908" t="s">
        <v>1518</v>
      </c>
      <c r="H2105" s="908"/>
    </row>
    <row r="2106">
      <c r="A2106" s="755"/>
      <c r="B2106" s="340" t="s">
        <v>1506</v>
      </c>
      <c r="C2106" s="755">
        <v>1.0</v>
      </c>
      <c r="D2106" s="341">
        <v>2.6</v>
      </c>
      <c r="E2106" s="753">
        <v>1.0</v>
      </c>
      <c r="F2106" s="340" t="s">
        <v>5396</v>
      </c>
      <c r="G2106" s="908" t="s">
        <v>1554</v>
      </c>
      <c r="H2106" s="915">
        <v>45918.0</v>
      </c>
    </row>
    <row r="2107">
      <c r="A2107" s="755"/>
      <c r="B2107" s="435" t="s">
        <v>1506</v>
      </c>
      <c r="C2107" s="755">
        <v>1.0</v>
      </c>
      <c r="D2107" s="341">
        <v>2.6</v>
      </c>
      <c r="E2107" s="753">
        <v>1.0</v>
      </c>
      <c r="F2107" s="340" t="s">
        <v>5397</v>
      </c>
      <c r="G2107" s="908" t="s">
        <v>1554</v>
      </c>
      <c r="H2107" s="915">
        <v>45918.0</v>
      </c>
    </row>
    <row r="2108">
      <c r="A2108" s="755"/>
      <c r="B2108" s="435" t="s">
        <v>1506</v>
      </c>
      <c r="C2108" s="755">
        <v>1.0</v>
      </c>
      <c r="D2108" s="341">
        <v>2.6</v>
      </c>
      <c r="E2108" s="753">
        <v>1.0</v>
      </c>
      <c r="F2108" s="340" t="s">
        <v>5398</v>
      </c>
      <c r="G2108" s="908" t="s">
        <v>1554</v>
      </c>
      <c r="H2108" s="915">
        <v>45918.0</v>
      </c>
    </row>
    <row r="2109">
      <c r="A2109" s="755"/>
      <c r="B2109" s="1011" t="s">
        <v>5399</v>
      </c>
      <c r="C2109" s="1012">
        <v>1.0</v>
      </c>
      <c r="D2109" s="942">
        <v>9.1</v>
      </c>
      <c r="E2109" s="753">
        <v>1.0</v>
      </c>
      <c r="F2109" s="340" t="s">
        <v>5400</v>
      </c>
      <c r="G2109" s="908" t="s">
        <v>1554</v>
      </c>
      <c r="H2109" s="915">
        <v>45918.0</v>
      </c>
    </row>
    <row r="2110">
      <c r="A2110" s="755"/>
      <c r="B2110" s="755"/>
      <c r="C2110" s="755"/>
      <c r="D2110" s="752"/>
      <c r="E2110" s="753"/>
      <c r="F2110" s="755"/>
      <c r="G2110" s="908"/>
      <c r="H2110" s="908"/>
    </row>
    <row r="2111">
      <c r="A2111" s="940" t="s">
        <v>1562</v>
      </c>
      <c r="B2111" s="3"/>
      <c r="C2111" s="941">
        <f t="shared" ref="C2111:E2111" si="91">sum(C2103:C2110)</f>
        <v>8</v>
      </c>
      <c r="D2111" s="942">
        <f t="shared" si="91"/>
        <v>175.1</v>
      </c>
      <c r="E2111" s="943">
        <f t="shared" si="91"/>
        <v>5</v>
      </c>
      <c r="F2111" s="941"/>
      <c r="G2111" s="944"/>
      <c r="H2111" s="944"/>
    </row>
    <row r="2112">
      <c r="A2112" s="712"/>
      <c r="B2112" s="712"/>
      <c r="C2112" s="712"/>
      <c r="D2112" s="808"/>
      <c r="E2112" s="809"/>
      <c r="F2112" s="712"/>
      <c r="G2112" s="810"/>
      <c r="H2112" s="810"/>
    </row>
    <row r="2113">
      <c r="A2113" s="712"/>
      <c r="B2113" s="712"/>
      <c r="C2113" s="712"/>
      <c r="D2113" s="808"/>
      <c r="E2113" s="809"/>
      <c r="F2113" s="712"/>
      <c r="G2113" s="810"/>
      <c r="H2113" s="810"/>
    </row>
    <row r="2114">
      <c r="A2114" s="839" t="s">
        <v>5401</v>
      </c>
      <c r="B2114" s="2"/>
      <c r="C2114" s="2"/>
      <c r="D2114" s="2"/>
      <c r="E2114" s="2"/>
      <c r="F2114" s="2"/>
      <c r="G2114" s="2"/>
      <c r="H2114" s="3"/>
    </row>
    <row r="2115">
      <c r="A2115" s="840" t="s">
        <v>1435</v>
      </c>
      <c r="B2115" s="840" t="s">
        <v>1436</v>
      </c>
      <c r="C2115" s="840" t="s">
        <v>1843</v>
      </c>
      <c r="D2115" s="841" t="s">
        <v>1438</v>
      </c>
      <c r="E2115" s="842" t="s">
        <v>1564</v>
      </c>
      <c r="F2115" s="840" t="s">
        <v>1440</v>
      </c>
      <c r="G2115" s="843" t="s">
        <v>1844</v>
      </c>
      <c r="H2115" s="843" t="s">
        <v>1441</v>
      </c>
    </row>
    <row r="2116">
      <c r="A2116" s="364">
        <v>1.0</v>
      </c>
      <c r="B2116" s="364" t="s">
        <v>1443</v>
      </c>
      <c r="C2116" s="364">
        <v>1.0</v>
      </c>
      <c r="D2116" s="427">
        <v>150.0</v>
      </c>
      <c r="E2116" s="360"/>
      <c r="F2116" s="364" t="s">
        <v>1518</v>
      </c>
      <c r="G2116" s="428" t="s">
        <v>1554</v>
      </c>
      <c r="H2116" s="428">
        <v>45141.0</v>
      </c>
    </row>
    <row r="2117">
      <c r="A2117" s="364">
        <v>2.0</v>
      </c>
      <c r="B2117" s="364" t="s">
        <v>1444</v>
      </c>
      <c r="C2117" s="364">
        <v>2.0</v>
      </c>
      <c r="D2117" s="427">
        <v>3.2</v>
      </c>
      <c r="E2117" s="360" t="s">
        <v>1518</v>
      </c>
      <c r="F2117" s="364" t="s">
        <v>1518</v>
      </c>
      <c r="G2117" s="428" t="s">
        <v>1554</v>
      </c>
      <c r="H2117" s="301">
        <v>45141.0</v>
      </c>
    </row>
    <row r="2118">
      <c r="A2118" s="364">
        <v>3.0</v>
      </c>
      <c r="B2118" s="364" t="s">
        <v>3673</v>
      </c>
      <c r="C2118" s="364">
        <v>1.0</v>
      </c>
      <c r="D2118" s="427">
        <v>5.0</v>
      </c>
      <c r="E2118" s="360">
        <v>1.0</v>
      </c>
      <c r="F2118" s="364" t="s">
        <v>1518</v>
      </c>
      <c r="G2118" s="428" t="s">
        <v>1554</v>
      </c>
      <c r="H2118" s="301">
        <v>45141.0</v>
      </c>
    </row>
    <row r="2119">
      <c r="A2119" s="364">
        <v>4.0</v>
      </c>
      <c r="B2119" s="299" t="s">
        <v>5402</v>
      </c>
      <c r="C2119" s="364">
        <v>1.0</v>
      </c>
      <c r="D2119" s="300">
        <v>11.5</v>
      </c>
      <c r="E2119" s="331">
        <v>1.0</v>
      </c>
      <c r="F2119" s="299" t="s">
        <v>5403</v>
      </c>
      <c r="G2119" s="428" t="s">
        <v>1554</v>
      </c>
      <c r="H2119" s="301">
        <v>45927.0</v>
      </c>
    </row>
    <row r="2120">
      <c r="A2120" s="364">
        <v>5.0</v>
      </c>
      <c r="B2120" s="299" t="s">
        <v>5404</v>
      </c>
      <c r="C2120" s="364">
        <v>1.0</v>
      </c>
      <c r="D2120" s="300">
        <v>17.0</v>
      </c>
      <c r="E2120" s="331">
        <v>1.0</v>
      </c>
      <c r="F2120" s="299" t="s">
        <v>5405</v>
      </c>
      <c r="G2120" s="428" t="s">
        <v>1554</v>
      </c>
      <c r="H2120" s="301">
        <v>45927.0</v>
      </c>
    </row>
    <row r="2121">
      <c r="A2121" s="364">
        <v>6.0</v>
      </c>
      <c r="B2121" s="299" t="s">
        <v>5406</v>
      </c>
      <c r="C2121" s="364">
        <v>1.0</v>
      </c>
      <c r="D2121" s="300">
        <v>20.0</v>
      </c>
      <c r="E2121" s="331">
        <v>2.0</v>
      </c>
      <c r="F2121" s="299" t="s">
        <v>5407</v>
      </c>
      <c r="G2121" s="428" t="s">
        <v>1554</v>
      </c>
      <c r="H2121" s="301">
        <v>45927.0</v>
      </c>
    </row>
    <row r="2122">
      <c r="A2122" s="364">
        <v>7.0</v>
      </c>
      <c r="B2122" s="299" t="s">
        <v>5406</v>
      </c>
      <c r="C2122" s="364">
        <v>1.0</v>
      </c>
      <c r="D2122" s="300">
        <v>20.0</v>
      </c>
      <c r="E2122" s="331">
        <v>2.0</v>
      </c>
      <c r="F2122" s="299" t="s">
        <v>5408</v>
      </c>
      <c r="G2122" s="428" t="s">
        <v>1554</v>
      </c>
      <c r="H2122" s="301">
        <v>45927.0</v>
      </c>
    </row>
    <row r="2123">
      <c r="A2123" s="364">
        <v>8.0</v>
      </c>
      <c r="B2123" s="299" t="s">
        <v>5409</v>
      </c>
      <c r="C2123" s="364">
        <v>1.0</v>
      </c>
      <c r="D2123" s="300">
        <v>17.0</v>
      </c>
      <c r="E2123" s="331">
        <v>2.0</v>
      </c>
      <c r="F2123" s="299" t="s">
        <v>5410</v>
      </c>
      <c r="G2123" s="428" t="s">
        <v>1554</v>
      </c>
      <c r="H2123" s="301">
        <v>45927.0</v>
      </c>
    </row>
    <row r="2124">
      <c r="A2124" s="364">
        <v>9.0</v>
      </c>
      <c r="B2124" s="299" t="s">
        <v>5411</v>
      </c>
      <c r="C2124" s="364">
        <v>1.0</v>
      </c>
      <c r="D2124" s="300">
        <v>18.4</v>
      </c>
      <c r="E2124" s="331">
        <v>2.0</v>
      </c>
      <c r="F2124" s="299" t="s">
        <v>5412</v>
      </c>
      <c r="G2124" s="428" t="s">
        <v>1554</v>
      </c>
      <c r="H2124" s="301">
        <v>45927.0</v>
      </c>
    </row>
    <row r="2125">
      <c r="A2125" s="364">
        <v>10.0</v>
      </c>
      <c r="B2125" s="299" t="s">
        <v>5413</v>
      </c>
      <c r="C2125" s="364">
        <v>1.0</v>
      </c>
      <c r="D2125" s="300">
        <v>17.0</v>
      </c>
      <c r="E2125" s="331">
        <v>1.0</v>
      </c>
      <c r="F2125" s="299" t="s">
        <v>5414</v>
      </c>
      <c r="G2125" s="428" t="s">
        <v>1554</v>
      </c>
      <c r="H2125" s="301">
        <v>45927.0</v>
      </c>
    </row>
    <row r="2126">
      <c r="A2126" s="364">
        <v>11.0</v>
      </c>
      <c r="B2126" s="299" t="s">
        <v>5413</v>
      </c>
      <c r="C2126" s="364">
        <v>1.0</v>
      </c>
      <c r="D2126" s="300">
        <v>17.0</v>
      </c>
      <c r="E2126" s="331">
        <v>1.0</v>
      </c>
      <c r="F2126" s="299" t="s">
        <v>5415</v>
      </c>
      <c r="G2126" s="428" t="s">
        <v>1554</v>
      </c>
      <c r="H2126" s="301">
        <v>45927.0</v>
      </c>
    </row>
    <row r="2127">
      <c r="A2127" s="364">
        <v>12.0</v>
      </c>
      <c r="B2127" s="299" t="s">
        <v>5416</v>
      </c>
      <c r="C2127" s="364">
        <v>1.0</v>
      </c>
      <c r="D2127" s="300">
        <v>5.6</v>
      </c>
      <c r="E2127" s="331">
        <v>1.0</v>
      </c>
      <c r="F2127" s="299" t="s">
        <v>5417</v>
      </c>
      <c r="G2127" s="428" t="s">
        <v>1554</v>
      </c>
      <c r="H2127" s="301">
        <v>45927.0</v>
      </c>
    </row>
    <row r="2128">
      <c r="A2128" s="364">
        <v>13.0</v>
      </c>
      <c r="B2128" s="299" t="s">
        <v>5416</v>
      </c>
      <c r="C2128" s="364">
        <v>1.0</v>
      </c>
      <c r="D2128" s="300">
        <v>5.6</v>
      </c>
      <c r="E2128" s="331">
        <v>1.0</v>
      </c>
      <c r="F2128" s="299" t="s">
        <v>5418</v>
      </c>
      <c r="G2128" s="428" t="s">
        <v>1554</v>
      </c>
      <c r="H2128" s="301">
        <v>45927.0</v>
      </c>
    </row>
    <row r="2129">
      <c r="A2129" s="364">
        <v>14.0</v>
      </c>
      <c r="B2129" s="299" t="s">
        <v>5419</v>
      </c>
      <c r="C2129" s="364">
        <v>1.0</v>
      </c>
      <c r="D2129" s="300">
        <v>5.5</v>
      </c>
      <c r="E2129" s="331">
        <v>1.0</v>
      </c>
      <c r="F2129" s="299" t="s">
        <v>5420</v>
      </c>
      <c r="G2129" s="428" t="s">
        <v>1554</v>
      </c>
      <c r="H2129" s="301">
        <v>45927.0</v>
      </c>
    </row>
    <row r="2130">
      <c r="A2130" s="364">
        <v>15.0</v>
      </c>
      <c r="B2130" s="299" t="s">
        <v>5419</v>
      </c>
      <c r="C2130" s="364">
        <v>1.0</v>
      </c>
      <c r="D2130" s="300">
        <v>5.5</v>
      </c>
      <c r="E2130" s="331">
        <v>1.0</v>
      </c>
      <c r="F2130" s="299" t="s">
        <v>5421</v>
      </c>
      <c r="G2130" s="428" t="s">
        <v>1554</v>
      </c>
      <c r="H2130" s="301">
        <v>45927.0</v>
      </c>
    </row>
    <row r="2131">
      <c r="A2131" s="364">
        <v>16.0</v>
      </c>
      <c r="B2131" s="299" t="s">
        <v>5422</v>
      </c>
      <c r="C2131" s="364">
        <v>1.0</v>
      </c>
      <c r="D2131" s="300">
        <v>4.5</v>
      </c>
      <c r="E2131" s="331">
        <v>1.0</v>
      </c>
      <c r="F2131" s="299" t="s">
        <v>5423</v>
      </c>
      <c r="G2131" s="428" t="s">
        <v>1554</v>
      </c>
      <c r="H2131" s="301">
        <v>45927.0</v>
      </c>
    </row>
    <row r="2132">
      <c r="A2132" s="364">
        <v>17.0</v>
      </c>
      <c r="B2132" s="299" t="s">
        <v>5424</v>
      </c>
      <c r="C2132" s="364">
        <v>1.0</v>
      </c>
      <c r="D2132" s="300">
        <v>5.0</v>
      </c>
      <c r="E2132" s="331">
        <v>1.0</v>
      </c>
      <c r="F2132" s="299" t="s">
        <v>5425</v>
      </c>
      <c r="G2132" s="428" t="s">
        <v>1554</v>
      </c>
      <c r="H2132" s="301">
        <v>45927.0</v>
      </c>
    </row>
    <row r="2133">
      <c r="A2133" s="308">
        <v>18.0</v>
      </c>
      <c r="B2133" s="308" t="s">
        <v>5426</v>
      </c>
      <c r="C2133" s="308">
        <v>1.0</v>
      </c>
      <c r="D2133" s="314">
        <v>34.0</v>
      </c>
      <c r="E2133" s="365">
        <v>1.0</v>
      </c>
      <c r="F2133" s="308" t="s">
        <v>5427</v>
      </c>
      <c r="G2133" s="428" t="s">
        <v>1554</v>
      </c>
      <c r="H2133" s="315">
        <v>45975.0</v>
      </c>
    </row>
    <row r="2134">
      <c r="A2134" s="308">
        <v>19.0</v>
      </c>
      <c r="B2134" s="308" t="s">
        <v>5426</v>
      </c>
      <c r="C2134" s="308">
        <v>1.0</v>
      </c>
      <c r="D2134" s="314">
        <v>34.0</v>
      </c>
      <c r="E2134" s="365">
        <v>1.0</v>
      </c>
      <c r="F2134" s="308" t="s">
        <v>5428</v>
      </c>
      <c r="G2134" s="428" t="s">
        <v>1554</v>
      </c>
      <c r="H2134" s="315">
        <v>45975.0</v>
      </c>
    </row>
    <row r="2135">
      <c r="A2135" s="308">
        <v>20.0</v>
      </c>
      <c r="B2135" s="308" t="s">
        <v>5429</v>
      </c>
      <c r="C2135" s="308">
        <v>1.0</v>
      </c>
      <c r="D2135" s="314">
        <v>30.0</v>
      </c>
      <c r="E2135" s="365">
        <v>1.0</v>
      </c>
      <c r="F2135" s="308" t="s">
        <v>5430</v>
      </c>
      <c r="G2135" s="428" t="s">
        <v>1554</v>
      </c>
      <c r="H2135" s="315">
        <v>45975.0</v>
      </c>
    </row>
    <row r="2136">
      <c r="A2136" s="308">
        <v>21.0</v>
      </c>
      <c r="B2136" s="308" t="s">
        <v>5431</v>
      </c>
      <c r="C2136" s="308">
        <v>1.0</v>
      </c>
      <c r="D2136" s="314">
        <v>36.0</v>
      </c>
      <c r="E2136" s="365">
        <v>1.0</v>
      </c>
      <c r="F2136" s="308" t="s">
        <v>5432</v>
      </c>
      <c r="G2136" s="428" t="s">
        <v>1554</v>
      </c>
      <c r="H2136" s="315">
        <v>45975.0</v>
      </c>
    </row>
    <row r="2137">
      <c r="A2137" s="308">
        <v>22.0</v>
      </c>
      <c r="B2137" s="308" t="s">
        <v>5433</v>
      </c>
      <c r="C2137" s="308">
        <v>1.0</v>
      </c>
      <c r="D2137" s="314">
        <v>5.0</v>
      </c>
      <c r="E2137" s="365">
        <v>1.0</v>
      </c>
      <c r="F2137" s="308" t="s">
        <v>5434</v>
      </c>
      <c r="G2137" s="428" t="s">
        <v>1554</v>
      </c>
      <c r="H2137" s="315">
        <v>45975.0</v>
      </c>
    </row>
    <row r="2138">
      <c r="A2138" s="505" t="s">
        <v>1562</v>
      </c>
      <c r="B2138" s="3"/>
      <c r="C2138" s="364">
        <f t="shared" ref="C2138:E2138" si="92">sum(C2116:C2132)</f>
        <v>18</v>
      </c>
      <c r="D2138" s="427">
        <f t="shared" si="92"/>
        <v>327.8</v>
      </c>
      <c r="E2138" s="360">
        <f t="shared" si="92"/>
        <v>19</v>
      </c>
      <c r="F2138" s="364"/>
      <c r="G2138" s="428"/>
      <c r="H2138" s="428"/>
    </row>
    <row r="2139">
      <c r="A2139" s="712"/>
      <c r="B2139" s="712"/>
      <c r="C2139" s="712"/>
      <c r="D2139" s="808"/>
      <c r="E2139" s="809"/>
      <c r="F2139" s="712"/>
      <c r="G2139" s="810"/>
      <c r="H2139" s="810"/>
    </row>
    <row r="2140">
      <c r="A2140" s="712"/>
      <c r="B2140" s="712"/>
      <c r="C2140" s="712"/>
      <c r="D2140" s="808"/>
      <c r="E2140" s="809"/>
      <c r="F2140" s="712"/>
      <c r="G2140" s="810"/>
      <c r="H2140" s="810"/>
    </row>
    <row r="2141">
      <c r="A2141" s="699" t="s">
        <v>5435</v>
      </c>
      <c r="B2141" s="2"/>
      <c r="C2141" s="2"/>
      <c r="D2141" s="2"/>
      <c r="E2141" s="2"/>
      <c r="F2141" s="2"/>
      <c r="G2141" s="2"/>
      <c r="H2141" s="3"/>
    </row>
    <row r="2142">
      <c r="A2142" s="738" t="s">
        <v>1435</v>
      </c>
      <c r="B2142" s="738" t="s">
        <v>1436</v>
      </c>
      <c r="C2142" s="738" t="s">
        <v>1843</v>
      </c>
      <c r="D2142" s="702" t="s">
        <v>1438</v>
      </c>
      <c r="E2142" s="703" t="s">
        <v>1564</v>
      </c>
      <c r="F2142" s="738" t="s">
        <v>1440</v>
      </c>
      <c r="G2142" s="704" t="s">
        <v>1844</v>
      </c>
      <c r="H2142" s="704" t="s">
        <v>1441</v>
      </c>
    </row>
    <row r="2143">
      <c r="A2143" s="739">
        <v>1.0</v>
      </c>
      <c r="B2143" s="739" t="s">
        <v>1443</v>
      </c>
      <c r="C2143" s="739">
        <v>1.0</v>
      </c>
      <c r="D2143" s="740">
        <v>150.0</v>
      </c>
      <c r="E2143" s="709"/>
      <c r="F2143" s="739" t="s">
        <v>1518</v>
      </c>
      <c r="G2143" s="741" t="s">
        <v>1554</v>
      </c>
      <c r="H2143" s="741">
        <v>45141.0</v>
      </c>
    </row>
    <row r="2144">
      <c r="A2144" s="739">
        <v>2.0</v>
      </c>
      <c r="B2144" s="739" t="s">
        <v>1444</v>
      </c>
      <c r="C2144" s="739">
        <v>2.0</v>
      </c>
      <c r="D2144" s="740">
        <v>3.2</v>
      </c>
      <c r="E2144" s="709" t="s">
        <v>1518</v>
      </c>
      <c r="F2144" s="739" t="s">
        <v>1518</v>
      </c>
      <c r="G2144" s="741"/>
      <c r="H2144" s="741"/>
    </row>
    <row r="2145">
      <c r="A2145" s="739">
        <v>3.0</v>
      </c>
      <c r="B2145" s="739" t="s">
        <v>3673</v>
      </c>
      <c r="C2145" s="739">
        <v>1.0</v>
      </c>
      <c r="D2145" s="740">
        <v>5.0</v>
      </c>
      <c r="E2145" s="709">
        <v>1.0</v>
      </c>
      <c r="F2145" s="739" t="s">
        <v>1518</v>
      </c>
      <c r="G2145" s="741" t="s">
        <v>1518</v>
      </c>
      <c r="H2145" s="741"/>
    </row>
    <row r="2146">
      <c r="A2146" s="739">
        <v>4.0</v>
      </c>
      <c r="B2146" s="87" t="s">
        <v>1741</v>
      </c>
      <c r="C2146" s="739">
        <v>1.0</v>
      </c>
      <c r="D2146" s="705">
        <v>9.0</v>
      </c>
      <c r="E2146" s="709">
        <v>1.0</v>
      </c>
      <c r="F2146" s="87">
        <v>2.267035366E9</v>
      </c>
      <c r="G2146" s="87" t="s">
        <v>1554</v>
      </c>
      <c r="H2146" s="707">
        <v>45923.0</v>
      </c>
    </row>
    <row r="2147">
      <c r="A2147" s="739">
        <v>5.0</v>
      </c>
      <c r="B2147" s="87" t="s">
        <v>1741</v>
      </c>
      <c r="C2147" s="739">
        <v>1.0</v>
      </c>
      <c r="D2147" s="705">
        <v>9.0</v>
      </c>
      <c r="E2147" s="709">
        <v>1.0</v>
      </c>
      <c r="F2147" s="87" t="s">
        <v>5436</v>
      </c>
      <c r="G2147" s="87" t="s">
        <v>1554</v>
      </c>
      <c r="H2147" s="707">
        <v>45923.0</v>
      </c>
    </row>
    <row r="2148">
      <c r="A2148" s="739">
        <v>6.0</v>
      </c>
      <c r="B2148" s="87" t="s">
        <v>1741</v>
      </c>
      <c r="C2148" s="739">
        <v>1.0</v>
      </c>
      <c r="D2148" s="705">
        <v>9.0</v>
      </c>
      <c r="E2148" s="709">
        <v>1.0</v>
      </c>
      <c r="F2148" s="87">
        <v>1.02266331366E11</v>
      </c>
      <c r="G2148" s="87" t="s">
        <v>1554</v>
      </c>
      <c r="H2148" s="707">
        <v>45923.0</v>
      </c>
    </row>
    <row r="2149">
      <c r="A2149" s="739">
        <v>7.0</v>
      </c>
      <c r="B2149" s="87" t="s">
        <v>1741</v>
      </c>
      <c r="C2149" s="739">
        <v>1.0</v>
      </c>
      <c r="D2149" s="705">
        <v>9.0</v>
      </c>
      <c r="E2149" s="709">
        <v>1.0</v>
      </c>
      <c r="F2149" s="87">
        <v>1.02266331245E11</v>
      </c>
      <c r="G2149" s="87" t="s">
        <v>1554</v>
      </c>
      <c r="H2149" s="707">
        <v>45923.0</v>
      </c>
    </row>
    <row r="2150">
      <c r="A2150" s="739">
        <v>8.0</v>
      </c>
      <c r="B2150" s="87" t="s">
        <v>1741</v>
      </c>
      <c r="C2150" s="739">
        <v>1.0</v>
      </c>
      <c r="D2150" s="705">
        <v>9.0</v>
      </c>
      <c r="E2150" s="709">
        <v>1.0</v>
      </c>
      <c r="F2150" s="87" t="s">
        <v>5437</v>
      </c>
      <c r="G2150" s="87" t="s">
        <v>1554</v>
      </c>
      <c r="H2150" s="707">
        <v>45923.0</v>
      </c>
    </row>
    <row r="2151">
      <c r="A2151" s="739">
        <v>9.0</v>
      </c>
      <c r="B2151" s="87" t="s">
        <v>1741</v>
      </c>
      <c r="C2151" s="739">
        <v>1.0</v>
      </c>
      <c r="D2151" s="705">
        <v>9.0</v>
      </c>
      <c r="E2151" s="709">
        <v>1.0</v>
      </c>
      <c r="F2151" s="87">
        <v>1.02266013065E11</v>
      </c>
      <c r="G2151" s="87" t="s">
        <v>1554</v>
      </c>
      <c r="H2151" s="707">
        <v>45923.0</v>
      </c>
    </row>
    <row r="2152">
      <c r="A2152" s="739">
        <v>10.0</v>
      </c>
      <c r="B2152" s="87" t="s">
        <v>2553</v>
      </c>
      <c r="C2152" s="739">
        <v>1.0</v>
      </c>
      <c r="D2152" s="705">
        <v>2.0</v>
      </c>
      <c r="E2152" s="709">
        <v>1.0</v>
      </c>
      <c r="F2152" s="87" t="s">
        <v>5438</v>
      </c>
      <c r="G2152" s="87" t="s">
        <v>1554</v>
      </c>
      <c r="H2152" s="707">
        <v>45923.0</v>
      </c>
    </row>
    <row r="2153">
      <c r="A2153" s="739">
        <v>11.0</v>
      </c>
      <c r="B2153" s="87" t="s">
        <v>2553</v>
      </c>
      <c r="C2153" s="739">
        <v>1.0</v>
      </c>
      <c r="D2153" s="705">
        <v>2.0</v>
      </c>
      <c r="E2153" s="709">
        <v>1.0</v>
      </c>
      <c r="F2153" s="87" t="s">
        <v>5439</v>
      </c>
      <c r="G2153" s="87" t="s">
        <v>1554</v>
      </c>
      <c r="H2153" s="707">
        <v>45923.0</v>
      </c>
    </row>
    <row r="2154">
      <c r="A2154" s="87">
        <v>12.0</v>
      </c>
      <c r="B2154" s="87" t="s">
        <v>2113</v>
      </c>
      <c r="C2154" s="87">
        <v>1.0</v>
      </c>
      <c r="D2154" s="705">
        <v>14.6</v>
      </c>
      <c r="E2154" s="706">
        <v>1.0</v>
      </c>
      <c r="F2154" s="87" t="s">
        <v>5440</v>
      </c>
      <c r="G2154" s="87" t="s">
        <v>1554</v>
      </c>
      <c r="H2154" s="707">
        <v>45958.0</v>
      </c>
    </row>
    <row r="2155">
      <c r="A2155" s="87">
        <v>13.0</v>
      </c>
      <c r="B2155" s="87" t="s">
        <v>2113</v>
      </c>
      <c r="C2155" s="87">
        <v>1.0</v>
      </c>
      <c r="D2155" s="705">
        <v>14.6</v>
      </c>
      <c r="E2155" s="706">
        <v>1.0</v>
      </c>
      <c r="F2155" s="87" t="s">
        <v>5441</v>
      </c>
      <c r="G2155" s="87" t="s">
        <v>1554</v>
      </c>
      <c r="H2155" s="707">
        <v>45958.0</v>
      </c>
    </row>
    <row r="2156">
      <c r="A2156" s="87">
        <v>14.0</v>
      </c>
      <c r="B2156" s="87" t="s">
        <v>2113</v>
      </c>
      <c r="C2156" s="87">
        <v>1.0</v>
      </c>
      <c r="D2156" s="705">
        <v>14.6</v>
      </c>
      <c r="E2156" s="706">
        <v>1.0</v>
      </c>
      <c r="F2156" s="87" t="s">
        <v>5442</v>
      </c>
      <c r="G2156" s="87" t="s">
        <v>1554</v>
      </c>
      <c r="H2156" s="707">
        <v>45958.0</v>
      </c>
    </row>
    <row r="2157">
      <c r="A2157" s="87">
        <v>15.0</v>
      </c>
      <c r="B2157" s="87" t="s">
        <v>5443</v>
      </c>
      <c r="C2157" s="87">
        <v>1.0</v>
      </c>
      <c r="D2157" s="705">
        <v>18.2</v>
      </c>
      <c r="E2157" s="706">
        <v>1.0</v>
      </c>
      <c r="F2157" s="87" t="s">
        <v>5444</v>
      </c>
      <c r="G2157" s="87" t="s">
        <v>1554</v>
      </c>
      <c r="H2157" s="707">
        <v>45958.0</v>
      </c>
    </row>
    <row r="2158">
      <c r="A2158" s="87">
        <v>16.0</v>
      </c>
      <c r="B2158" s="87" t="s">
        <v>5443</v>
      </c>
      <c r="C2158" s="87">
        <v>1.0</v>
      </c>
      <c r="D2158" s="705">
        <v>18.2</v>
      </c>
      <c r="E2158" s="706">
        <v>1.0</v>
      </c>
      <c r="F2158" s="87" t="s">
        <v>5445</v>
      </c>
      <c r="G2158" s="87" t="s">
        <v>1554</v>
      </c>
      <c r="H2158" s="707">
        <v>45958.0</v>
      </c>
    </row>
    <row r="2159">
      <c r="A2159" s="87">
        <v>17.0</v>
      </c>
      <c r="B2159" s="87" t="s">
        <v>5443</v>
      </c>
      <c r="C2159" s="87">
        <v>1.0</v>
      </c>
      <c r="D2159" s="705">
        <v>18.2</v>
      </c>
      <c r="E2159" s="706">
        <v>1.0</v>
      </c>
      <c r="F2159" s="87" t="s">
        <v>5446</v>
      </c>
      <c r="G2159" s="87" t="s">
        <v>1554</v>
      </c>
      <c r="H2159" s="707">
        <v>45958.0</v>
      </c>
    </row>
    <row r="2160">
      <c r="A2160" s="750" t="s">
        <v>1562</v>
      </c>
      <c r="B2160" s="3"/>
      <c r="C2160" s="739">
        <f t="shared" ref="C2160:E2160" si="93">sum(C2143:C2154)</f>
        <v>13</v>
      </c>
      <c r="D2160" s="740">
        <f t="shared" si="93"/>
        <v>230.8</v>
      </c>
      <c r="E2160" s="709">
        <f t="shared" si="93"/>
        <v>10</v>
      </c>
      <c r="F2160" s="739"/>
      <c r="G2160" s="741"/>
      <c r="H2160" s="741"/>
    </row>
    <row r="2161">
      <c r="A2161" s="712"/>
      <c r="B2161" s="712"/>
      <c r="C2161" s="712"/>
      <c r="D2161" s="808"/>
      <c r="E2161" s="809"/>
      <c r="F2161" s="712"/>
      <c r="G2161" s="810"/>
      <c r="H2161" s="810"/>
    </row>
    <row r="2162">
      <c r="A2162" s="712"/>
      <c r="B2162" s="712"/>
      <c r="C2162" s="712"/>
      <c r="D2162" s="808"/>
      <c r="E2162" s="809"/>
      <c r="F2162" s="712"/>
      <c r="G2162" s="810"/>
      <c r="H2162" s="810"/>
    </row>
    <row r="2163">
      <c r="A2163" s="914" t="s">
        <v>5447</v>
      </c>
      <c r="B2163" s="2"/>
      <c r="C2163" s="2"/>
      <c r="D2163" s="2"/>
      <c r="E2163" s="2"/>
      <c r="F2163" s="2"/>
      <c r="G2163" s="2"/>
      <c r="H2163" s="3"/>
    </row>
    <row r="2164">
      <c r="A2164" s="904" t="s">
        <v>1435</v>
      </c>
      <c r="B2164" s="904" t="s">
        <v>1436</v>
      </c>
      <c r="C2164" s="904" t="s">
        <v>1843</v>
      </c>
      <c r="D2164" s="905" t="s">
        <v>1438</v>
      </c>
      <c r="E2164" s="906" t="s">
        <v>1564</v>
      </c>
      <c r="F2164" s="904" t="s">
        <v>1440</v>
      </c>
      <c r="G2164" s="907" t="s">
        <v>1844</v>
      </c>
      <c r="H2164" s="907" t="s">
        <v>1441</v>
      </c>
    </row>
    <row r="2165">
      <c r="A2165" s="755">
        <v>1.0</v>
      </c>
      <c r="B2165" s="755" t="s">
        <v>1443</v>
      </c>
      <c r="C2165" s="755">
        <v>1.0</v>
      </c>
      <c r="D2165" s="752">
        <v>150.0</v>
      </c>
      <c r="E2165" s="753"/>
      <c r="F2165" s="755" t="s">
        <v>1518</v>
      </c>
      <c r="G2165" s="908" t="s">
        <v>1554</v>
      </c>
      <c r="H2165" s="908">
        <v>45141.0</v>
      </c>
    </row>
    <row r="2166">
      <c r="A2166" s="755">
        <v>2.0</v>
      </c>
      <c r="B2166" s="755" t="s">
        <v>1444</v>
      </c>
      <c r="C2166" s="755">
        <v>2.0</v>
      </c>
      <c r="D2166" s="752">
        <v>3.2</v>
      </c>
      <c r="E2166" s="753" t="s">
        <v>1518</v>
      </c>
      <c r="F2166" s="755" t="s">
        <v>1518</v>
      </c>
      <c r="G2166" s="908"/>
      <c r="H2166" s="908"/>
    </row>
    <row r="2167">
      <c r="A2167" s="755">
        <v>3.0</v>
      </c>
      <c r="B2167" s="755" t="s">
        <v>3673</v>
      </c>
      <c r="C2167" s="755">
        <v>1.0</v>
      </c>
      <c r="D2167" s="752">
        <v>5.0</v>
      </c>
      <c r="E2167" s="753">
        <v>1.0</v>
      </c>
      <c r="F2167" s="755" t="s">
        <v>1518</v>
      </c>
      <c r="G2167" s="908" t="s">
        <v>1518</v>
      </c>
      <c r="H2167" s="908"/>
    </row>
    <row r="2168">
      <c r="A2168" s="340">
        <v>4.0</v>
      </c>
      <c r="B2168" s="345" t="s">
        <v>5448</v>
      </c>
      <c r="C2168" s="345">
        <v>1.0</v>
      </c>
      <c r="D2168" s="757"/>
      <c r="E2168" s="347">
        <v>1.0</v>
      </c>
      <c r="F2168" s="807" t="s">
        <v>5449</v>
      </c>
      <c r="G2168" s="345" t="s">
        <v>1554</v>
      </c>
      <c r="H2168" s="931">
        <v>45976.0</v>
      </c>
    </row>
    <row r="2169">
      <c r="A2169" s="340">
        <v>5.0</v>
      </c>
      <c r="B2169" s="345" t="s">
        <v>5450</v>
      </c>
      <c r="C2169" s="345">
        <v>1.0</v>
      </c>
      <c r="D2169" s="757">
        <v>16.7</v>
      </c>
      <c r="E2169" s="347">
        <v>1.0</v>
      </c>
      <c r="F2169" s="807" t="s">
        <v>5451</v>
      </c>
      <c r="G2169" s="345" t="s">
        <v>1554</v>
      </c>
      <c r="H2169" s="931">
        <v>45976.0</v>
      </c>
    </row>
    <row r="2170">
      <c r="A2170" s="340">
        <v>6.0</v>
      </c>
      <c r="B2170" s="345" t="s">
        <v>5450</v>
      </c>
      <c r="C2170" s="345">
        <v>1.0</v>
      </c>
      <c r="D2170" s="757">
        <v>16.7</v>
      </c>
      <c r="E2170" s="347">
        <v>1.0</v>
      </c>
      <c r="F2170" s="807" t="s">
        <v>5452</v>
      </c>
      <c r="G2170" s="345" t="s">
        <v>1554</v>
      </c>
      <c r="H2170" s="931">
        <v>45976.0</v>
      </c>
    </row>
    <row r="2171">
      <c r="A2171" s="340">
        <v>7.0</v>
      </c>
      <c r="B2171" s="345" t="s">
        <v>5450</v>
      </c>
      <c r="C2171" s="345">
        <v>1.0</v>
      </c>
      <c r="D2171" s="757">
        <v>16.7</v>
      </c>
      <c r="E2171" s="347">
        <v>1.0</v>
      </c>
      <c r="F2171" s="807" t="s">
        <v>5453</v>
      </c>
      <c r="G2171" s="345" t="s">
        <v>1554</v>
      </c>
      <c r="H2171" s="931">
        <v>45976.0</v>
      </c>
    </row>
    <row r="2172">
      <c r="A2172" s="340">
        <v>8.0</v>
      </c>
      <c r="B2172" s="345" t="s">
        <v>5454</v>
      </c>
      <c r="C2172" s="345">
        <v>1.0</v>
      </c>
      <c r="D2172" s="757">
        <v>18.2</v>
      </c>
      <c r="E2172" s="347">
        <v>2.0</v>
      </c>
      <c r="F2172" s="807" t="s">
        <v>5455</v>
      </c>
      <c r="G2172" s="345" t="s">
        <v>1554</v>
      </c>
      <c r="H2172" s="1013">
        <v>46003.0</v>
      </c>
    </row>
    <row r="2173">
      <c r="A2173" s="683">
        <v>9.0</v>
      </c>
      <c r="B2173" s="345" t="s">
        <v>5456</v>
      </c>
      <c r="C2173" s="345">
        <v>1.0</v>
      </c>
      <c r="D2173" s="757">
        <v>1.3</v>
      </c>
      <c r="E2173" s="347">
        <v>1.0</v>
      </c>
      <c r="F2173" s="807" t="s">
        <v>5457</v>
      </c>
      <c r="G2173" s="345" t="s">
        <v>1554</v>
      </c>
      <c r="H2173" s="1013">
        <v>46003.0</v>
      </c>
    </row>
    <row r="2174">
      <c r="A2174" s="1014">
        <v>10.0</v>
      </c>
      <c r="B2174" s="807" t="s">
        <v>5454</v>
      </c>
      <c r="C2174" s="345">
        <v>1.0</v>
      </c>
      <c r="D2174" s="866">
        <v>18.2</v>
      </c>
      <c r="E2174" s="347">
        <v>2.0</v>
      </c>
      <c r="F2174" s="807" t="s">
        <v>5458</v>
      </c>
      <c r="G2174" s="345" t="s">
        <v>1554</v>
      </c>
      <c r="H2174" s="931">
        <v>46004.0</v>
      </c>
    </row>
    <row r="2175">
      <c r="A2175" s="1014">
        <v>11.0</v>
      </c>
      <c r="B2175" s="807" t="s">
        <v>5459</v>
      </c>
      <c r="C2175" s="345">
        <v>1.0</v>
      </c>
      <c r="D2175" s="866">
        <v>7.0</v>
      </c>
      <c r="E2175" s="347">
        <v>1.0</v>
      </c>
      <c r="F2175" s="807" t="s">
        <v>5460</v>
      </c>
      <c r="G2175" s="345" t="s">
        <v>1554</v>
      </c>
      <c r="H2175" s="931">
        <v>46004.0</v>
      </c>
    </row>
    <row r="2176">
      <c r="A2176" s="683">
        <v>12.0</v>
      </c>
      <c r="B2176" s="1015" t="s">
        <v>5461</v>
      </c>
      <c r="C2176" s="345">
        <v>1.0</v>
      </c>
      <c r="D2176" s="866">
        <v>9.8</v>
      </c>
      <c r="E2176" s="347">
        <v>1.0</v>
      </c>
      <c r="F2176" s="807" t="s">
        <v>5462</v>
      </c>
      <c r="G2176" s="345" t="s">
        <v>1554</v>
      </c>
      <c r="H2176" s="931">
        <v>46091.0</v>
      </c>
    </row>
    <row r="2177">
      <c r="A2177" s="1014">
        <v>13.0</v>
      </c>
      <c r="B2177" s="1015" t="s">
        <v>5463</v>
      </c>
      <c r="C2177" s="345">
        <v>1.0</v>
      </c>
      <c r="D2177" s="866">
        <v>34.5</v>
      </c>
      <c r="E2177" s="347">
        <v>1.0</v>
      </c>
      <c r="F2177" s="807" t="s">
        <v>5464</v>
      </c>
      <c r="G2177" s="345" t="s">
        <v>1554</v>
      </c>
      <c r="H2177" s="931">
        <v>46091.0</v>
      </c>
    </row>
    <row r="2178">
      <c r="A2178" s="1014">
        <v>14.0</v>
      </c>
      <c r="B2178" s="1015" t="s">
        <v>5463</v>
      </c>
      <c r="C2178" s="345">
        <v>1.0</v>
      </c>
      <c r="D2178" s="866">
        <v>34.5</v>
      </c>
      <c r="E2178" s="347">
        <v>1.0</v>
      </c>
      <c r="F2178" s="807" t="s">
        <v>5465</v>
      </c>
      <c r="G2178" s="345" t="s">
        <v>1554</v>
      </c>
      <c r="H2178" s="931">
        <v>46091.0</v>
      </c>
    </row>
    <row r="2179">
      <c r="A2179" s="683">
        <v>15.0</v>
      </c>
      <c r="B2179" s="1015" t="s">
        <v>5466</v>
      </c>
      <c r="C2179" s="345">
        <v>1.0</v>
      </c>
      <c r="D2179" s="866">
        <v>23.6</v>
      </c>
      <c r="E2179" s="347">
        <v>1.0</v>
      </c>
      <c r="F2179" s="807" t="s">
        <v>5467</v>
      </c>
      <c r="G2179" s="345" t="s">
        <v>1554</v>
      </c>
      <c r="H2179" s="931">
        <v>46091.0</v>
      </c>
    </row>
    <row r="2180">
      <c r="A2180" s="940" t="s">
        <v>1562</v>
      </c>
      <c r="B2180" s="3"/>
      <c r="C2180" s="739">
        <f t="shared" ref="C2180:E2180" si="94">sum(C2165:C2179)</f>
        <v>16</v>
      </c>
      <c r="D2180" s="942">
        <f t="shared" si="94"/>
        <v>355.4</v>
      </c>
      <c r="E2180" s="709">
        <f t="shared" si="94"/>
        <v>15</v>
      </c>
      <c r="F2180" s="941"/>
      <c r="G2180" s="944"/>
      <c r="H2180" s="944"/>
    </row>
    <row r="2181">
      <c r="A2181" s="712"/>
      <c r="B2181" s="712"/>
      <c r="C2181" s="712"/>
      <c r="D2181" s="808"/>
      <c r="E2181" s="809"/>
      <c r="F2181" s="712"/>
      <c r="G2181" s="810"/>
      <c r="H2181" s="810"/>
    </row>
    <row r="2182">
      <c r="A2182" s="712"/>
      <c r="B2182" s="712"/>
      <c r="C2182" s="712"/>
      <c r="D2182" s="808"/>
      <c r="E2182" s="809"/>
      <c r="F2182" s="712"/>
      <c r="G2182" s="810"/>
      <c r="H2182" s="810"/>
    </row>
    <row r="2183">
      <c r="A2183" s="699" t="s">
        <v>5468</v>
      </c>
      <c r="B2183" s="2"/>
      <c r="C2183" s="2"/>
      <c r="D2183" s="2"/>
      <c r="E2183" s="2"/>
      <c r="F2183" s="2"/>
      <c r="G2183" s="2"/>
      <c r="H2183" s="3"/>
    </row>
    <row r="2184">
      <c r="A2184" s="738" t="s">
        <v>1435</v>
      </c>
      <c r="B2184" s="738" t="s">
        <v>1436</v>
      </c>
      <c r="C2184" s="738" t="s">
        <v>1843</v>
      </c>
      <c r="D2184" s="702" t="s">
        <v>1438</v>
      </c>
      <c r="E2184" s="703" t="s">
        <v>1564</v>
      </c>
      <c r="F2184" s="738" t="s">
        <v>1440</v>
      </c>
      <c r="G2184" s="704" t="s">
        <v>1844</v>
      </c>
      <c r="H2184" s="704" t="s">
        <v>1441</v>
      </c>
    </row>
    <row r="2185">
      <c r="A2185" s="739">
        <v>1.0</v>
      </c>
      <c r="B2185" s="739" t="s">
        <v>1443</v>
      </c>
      <c r="C2185" s="739">
        <v>1.0</v>
      </c>
      <c r="D2185" s="740">
        <v>150.0</v>
      </c>
      <c r="E2185" s="709"/>
      <c r="F2185" s="739" t="s">
        <v>1518</v>
      </c>
      <c r="G2185" s="741" t="s">
        <v>1554</v>
      </c>
      <c r="H2185" s="741">
        <v>45141.0</v>
      </c>
    </row>
    <row r="2186">
      <c r="A2186" s="739">
        <v>2.0</v>
      </c>
      <c r="B2186" s="739" t="s">
        <v>1444</v>
      </c>
      <c r="C2186" s="739">
        <v>2.0</v>
      </c>
      <c r="D2186" s="740">
        <f>3.2*C2186</f>
        <v>6.4</v>
      </c>
      <c r="E2186" s="709" t="s">
        <v>1518</v>
      </c>
      <c r="F2186" s="739" t="s">
        <v>1518</v>
      </c>
      <c r="G2186" s="87" t="s">
        <v>1554</v>
      </c>
      <c r="H2186" s="707">
        <v>45872.0</v>
      </c>
    </row>
    <row r="2187">
      <c r="A2187" s="739">
        <v>3.0</v>
      </c>
      <c r="B2187" s="739" t="s">
        <v>3673</v>
      </c>
      <c r="C2187" s="739">
        <v>1.0</v>
      </c>
      <c r="D2187" s="740">
        <v>5.0</v>
      </c>
      <c r="E2187" s="709">
        <v>1.0</v>
      </c>
      <c r="F2187" s="739" t="s">
        <v>1518</v>
      </c>
      <c r="G2187" s="87" t="s">
        <v>1554</v>
      </c>
      <c r="H2187" s="707">
        <v>45872.0</v>
      </c>
    </row>
    <row r="2188">
      <c r="A2188" s="739">
        <v>4.0</v>
      </c>
      <c r="B2188" s="87" t="s">
        <v>5469</v>
      </c>
      <c r="C2188" s="87">
        <v>1.0</v>
      </c>
      <c r="D2188" s="705">
        <v>16.7</v>
      </c>
      <c r="E2188" s="706">
        <v>1.0</v>
      </c>
      <c r="F2188" s="87" t="s">
        <v>5470</v>
      </c>
      <c r="G2188" s="87" t="s">
        <v>1554</v>
      </c>
      <c r="H2188" s="707">
        <v>45959.0</v>
      </c>
    </row>
    <row r="2189">
      <c r="A2189" s="739">
        <v>5.0</v>
      </c>
      <c r="B2189" s="1016" t="s">
        <v>3487</v>
      </c>
      <c r="C2189" s="1016">
        <v>1.0</v>
      </c>
      <c r="D2189" s="1017">
        <v>20.0</v>
      </c>
      <c r="E2189" s="1018">
        <v>1.0</v>
      </c>
      <c r="F2189" s="1016" t="s">
        <v>4164</v>
      </c>
      <c r="G2189" s="1019" t="s">
        <v>1554</v>
      </c>
      <c r="H2189" s="707">
        <v>45959.0</v>
      </c>
    </row>
    <row r="2190">
      <c r="A2190" s="739">
        <v>6.0</v>
      </c>
      <c r="B2190" s="1016" t="s">
        <v>3487</v>
      </c>
      <c r="C2190" s="1016">
        <v>1.0</v>
      </c>
      <c r="D2190" s="1017">
        <v>20.0</v>
      </c>
      <c r="E2190" s="1018">
        <v>1.0</v>
      </c>
      <c r="F2190" s="1016" t="s">
        <v>5471</v>
      </c>
      <c r="G2190" s="1019" t="s">
        <v>1554</v>
      </c>
      <c r="H2190" s="707">
        <v>45959.0</v>
      </c>
    </row>
    <row r="2191">
      <c r="A2191" s="739">
        <v>7.0</v>
      </c>
      <c r="B2191" s="1016" t="s">
        <v>3487</v>
      </c>
      <c r="C2191" s="1016">
        <v>1.0</v>
      </c>
      <c r="D2191" s="1017">
        <v>20.0</v>
      </c>
      <c r="E2191" s="1018">
        <v>1.0</v>
      </c>
      <c r="F2191" s="1016" t="s">
        <v>4167</v>
      </c>
      <c r="G2191" s="1019" t="s">
        <v>1554</v>
      </c>
      <c r="H2191" s="707">
        <v>45959.0</v>
      </c>
    </row>
    <row r="2192">
      <c r="A2192" s="739">
        <v>8.0</v>
      </c>
      <c r="B2192" s="1016" t="s">
        <v>3487</v>
      </c>
      <c r="C2192" s="1016">
        <v>1.0</v>
      </c>
      <c r="D2192" s="1017">
        <v>20.0</v>
      </c>
      <c r="E2192" s="1018">
        <v>1.0</v>
      </c>
      <c r="F2192" s="1020" t="s">
        <v>4168</v>
      </c>
      <c r="G2192" s="1019" t="s">
        <v>1554</v>
      </c>
      <c r="H2192" s="707">
        <v>45959.0</v>
      </c>
    </row>
    <row r="2193">
      <c r="A2193" s="739">
        <v>9.0</v>
      </c>
      <c r="B2193" s="1016" t="s">
        <v>3487</v>
      </c>
      <c r="C2193" s="1016">
        <v>1.0</v>
      </c>
      <c r="D2193" s="1017">
        <v>20.0</v>
      </c>
      <c r="E2193" s="1018">
        <v>1.0</v>
      </c>
      <c r="F2193" s="1020" t="s">
        <v>4169</v>
      </c>
      <c r="G2193" s="1019" t="s">
        <v>1554</v>
      </c>
      <c r="H2193" s="707">
        <v>45959.0</v>
      </c>
    </row>
    <row r="2194">
      <c r="A2194" s="739">
        <v>10.0</v>
      </c>
      <c r="B2194" s="1016" t="s">
        <v>3487</v>
      </c>
      <c r="C2194" s="87">
        <v>1.0</v>
      </c>
      <c r="D2194" s="705">
        <v>12.6</v>
      </c>
      <c r="E2194" s="706">
        <v>1.0</v>
      </c>
      <c r="F2194" s="87" t="s">
        <v>5472</v>
      </c>
      <c r="G2194" s="87" t="s">
        <v>1554</v>
      </c>
      <c r="H2194" s="707">
        <v>45962.0</v>
      </c>
    </row>
    <row r="2195">
      <c r="A2195" s="739">
        <v>11.0</v>
      </c>
      <c r="B2195" s="1016" t="s">
        <v>3487</v>
      </c>
      <c r="C2195" s="87">
        <v>1.0</v>
      </c>
      <c r="D2195" s="705">
        <v>12.6</v>
      </c>
      <c r="E2195" s="706">
        <v>1.0</v>
      </c>
      <c r="F2195" s="87" t="s">
        <v>5473</v>
      </c>
      <c r="G2195" s="87" t="s">
        <v>1554</v>
      </c>
      <c r="H2195" s="707">
        <v>45962.0</v>
      </c>
    </row>
    <row r="2196">
      <c r="A2196" s="739">
        <v>12.0</v>
      </c>
      <c r="B2196" s="1016" t="s">
        <v>3487</v>
      </c>
      <c r="C2196" s="87">
        <v>1.0</v>
      </c>
      <c r="D2196" s="705">
        <v>12.6</v>
      </c>
      <c r="E2196" s="706">
        <v>1.0</v>
      </c>
      <c r="F2196" s="87" t="s">
        <v>5474</v>
      </c>
      <c r="G2196" s="87" t="s">
        <v>1554</v>
      </c>
      <c r="H2196" s="707">
        <v>45962.0</v>
      </c>
    </row>
    <row r="2197">
      <c r="A2197" s="739">
        <v>13.0</v>
      </c>
      <c r="B2197" s="1016" t="s">
        <v>3487</v>
      </c>
      <c r="C2197" s="87">
        <v>1.0</v>
      </c>
      <c r="D2197" s="705">
        <v>12.6</v>
      </c>
      <c r="E2197" s="706">
        <v>1.0</v>
      </c>
      <c r="F2197" s="87" t="s">
        <v>5475</v>
      </c>
      <c r="G2197" s="87" t="s">
        <v>1554</v>
      </c>
      <c r="H2197" s="707">
        <v>45962.0</v>
      </c>
    </row>
    <row r="2198">
      <c r="A2198" s="739">
        <v>14.0</v>
      </c>
      <c r="B2198" s="87" t="s">
        <v>5476</v>
      </c>
      <c r="C2198" s="87">
        <v>1.0</v>
      </c>
      <c r="D2198" s="705">
        <v>15.5</v>
      </c>
      <c r="E2198" s="706">
        <v>1.0</v>
      </c>
      <c r="F2198" s="87" t="s">
        <v>5477</v>
      </c>
      <c r="G2198" s="87" t="s">
        <v>1554</v>
      </c>
      <c r="H2198" s="707">
        <v>45962.0</v>
      </c>
    </row>
    <row r="2199">
      <c r="A2199" s="739">
        <v>15.0</v>
      </c>
      <c r="B2199" s="87" t="s">
        <v>5476</v>
      </c>
      <c r="C2199" s="87">
        <v>1.0</v>
      </c>
      <c r="D2199" s="705">
        <v>15.5</v>
      </c>
      <c r="E2199" s="706">
        <v>1.0</v>
      </c>
      <c r="F2199" s="87" t="s">
        <v>5478</v>
      </c>
      <c r="G2199" s="87" t="s">
        <v>1554</v>
      </c>
      <c r="H2199" s="707">
        <v>45962.0</v>
      </c>
    </row>
    <row r="2200">
      <c r="A2200" s="739">
        <v>16.0</v>
      </c>
      <c r="B2200" s="87" t="s">
        <v>5476</v>
      </c>
      <c r="C2200" s="87">
        <v>1.0</v>
      </c>
      <c r="D2200" s="705">
        <v>15.5</v>
      </c>
      <c r="E2200" s="706">
        <v>1.0</v>
      </c>
      <c r="F2200" s="87" t="s">
        <v>5479</v>
      </c>
      <c r="G2200" s="87" t="s">
        <v>1554</v>
      </c>
      <c r="H2200" s="707">
        <v>45962.0</v>
      </c>
    </row>
    <row r="2201">
      <c r="A2201" s="739">
        <v>17.0</v>
      </c>
      <c r="B2201" s="87" t="s">
        <v>5476</v>
      </c>
      <c r="C2201" s="87">
        <v>1.0</v>
      </c>
      <c r="D2201" s="705">
        <v>15.5</v>
      </c>
      <c r="E2201" s="706">
        <v>1.0</v>
      </c>
      <c r="F2201" s="87" t="s">
        <v>5480</v>
      </c>
      <c r="G2201" s="87" t="s">
        <v>1554</v>
      </c>
      <c r="H2201" s="707">
        <v>45962.0</v>
      </c>
    </row>
    <row r="2202">
      <c r="A2202" s="739">
        <v>18.0</v>
      </c>
      <c r="B2202" s="87" t="s">
        <v>5481</v>
      </c>
      <c r="C2202" s="87">
        <v>1.0</v>
      </c>
      <c r="D2202" s="705">
        <v>17.4</v>
      </c>
      <c r="E2202" s="706">
        <v>2.0</v>
      </c>
      <c r="F2202" s="87" t="s">
        <v>5482</v>
      </c>
      <c r="G2202" s="87" t="s">
        <v>1554</v>
      </c>
      <c r="H2202" s="707">
        <v>45962.0</v>
      </c>
    </row>
    <row r="2203">
      <c r="A2203" s="739">
        <v>19.0</v>
      </c>
      <c r="B2203" s="1021" t="s">
        <v>5483</v>
      </c>
      <c r="C2203" s="87">
        <v>1.0</v>
      </c>
      <c r="D2203" s="705">
        <v>15.5</v>
      </c>
      <c r="E2203" s="706">
        <v>1.0</v>
      </c>
      <c r="F2203" s="87" t="s">
        <v>5484</v>
      </c>
      <c r="G2203" s="87" t="s">
        <v>1554</v>
      </c>
      <c r="H2203" s="707">
        <v>45984.0</v>
      </c>
    </row>
    <row r="2204">
      <c r="A2204" s="87">
        <v>20.0</v>
      </c>
      <c r="B2204" s="1021" t="s">
        <v>5485</v>
      </c>
      <c r="C2204" s="87">
        <v>1.0</v>
      </c>
      <c r="D2204" s="705">
        <v>17.5</v>
      </c>
      <c r="E2204" s="706">
        <v>1.0</v>
      </c>
      <c r="F2204" s="87" t="s">
        <v>5486</v>
      </c>
      <c r="G2204" s="87" t="s">
        <v>1554</v>
      </c>
      <c r="H2204" s="707">
        <v>46098.0</v>
      </c>
    </row>
    <row r="2205">
      <c r="A2205" s="750" t="s">
        <v>1562</v>
      </c>
      <c r="B2205" s="3"/>
      <c r="C2205" s="739">
        <f>sum(C2185:C2200)</f>
        <v>17</v>
      </c>
      <c r="D2205" s="740">
        <f t="shared" ref="D2205:E2205" si="95">sum(D2185:D2204)</f>
        <v>440.9</v>
      </c>
      <c r="E2205" s="709">
        <f t="shared" si="95"/>
        <v>19</v>
      </c>
      <c r="F2205" s="739"/>
      <c r="G2205" s="741"/>
      <c r="H2205" s="741"/>
    </row>
    <row r="2206">
      <c r="A2206" s="712"/>
      <c r="B2206" s="712"/>
      <c r="C2206" s="712"/>
      <c r="D2206" s="808"/>
      <c r="E2206" s="809"/>
      <c r="F2206" s="712"/>
      <c r="G2206" s="810"/>
      <c r="H2206" s="810"/>
    </row>
    <row r="2207">
      <c r="A2207" s="712"/>
      <c r="B2207" s="712"/>
      <c r="C2207" s="712"/>
      <c r="D2207" s="808"/>
      <c r="E2207" s="809"/>
      <c r="F2207" s="712"/>
      <c r="G2207" s="810"/>
      <c r="H2207" s="810"/>
    </row>
    <row r="2208">
      <c r="A2208" s="771" t="s">
        <v>5487</v>
      </c>
      <c r="B2208" s="2"/>
      <c r="C2208" s="2"/>
      <c r="D2208" s="2"/>
      <c r="E2208" s="2"/>
      <c r="F2208" s="2"/>
      <c r="G2208" s="2"/>
      <c r="H2208" s="3"/>
    </row>
    <row r="2209">
      <c r="A2209" s="772" t="s">
        <v>1435</v>
      </c>
      <c r="B2209" s="772" t="s">
        <v>1436</v>
      </c>
      <c r="C2209" s="772" t="s">
        <v>1843</v>
      </c>
      <c r="D2209" s="773" t="s">
        <v>1438</v>
      </c>
      <c r="E2209" s="774" t="s">
        <v>1564</v>
      </c>
      <c r="F2209" s="772" t="s">
        <v>1440</v>
      </c>
      <c r="G2209" s="775" t="s">
        <v>1844</v>
      </c>
      <c r="H2209" s="775" t="s">
        <v>1441</v>
      </c>
    </row>
    <row r="2210">
      <c r="A2210" s="71">
        <v>1.0</v>
      </c>
      <c r="B2210" s="71" t="s">
        <v>1443</v>
      </c>
      <c r="C2210" s="71">
        <v>1.0</v>
      </c>
      <c r="D2210" s="777">
        <v>150.0</v>
      </c>
      <c r="E2210" s="776"/>
      <c r="F2210" s="71" t="s">
        <v>1518</v>
      </c>
      <c r="G2210" s="77" t="s">
        <v>1554</v>
      </c>
      <c r="H2210" s="77">
        <v>45141.0</v>
      </c>
    </row>
    <row r="2211">
      <c r="A2211" s="71">
        <v>2.0</v>
      </c>
      <c r="B2211" s="71" t="s">
        <v>1444</v>
      </c>
      <c r="C2211" s="71">
        <v>2.0</v>
      </c>
      <c r="D2211" s="777">
        <v>3.2</v>
      </c>
      <c r="E2211" s="776" t="s">
        <v>1518</v>
      </c>
      <c r="F2211" s="71" t="s">
        <v>1518</v>
      </c>
      <c r="G2211" s="77" t="s">
        <v>1554</v>
      </c>
      <c r="H2211" s="77">
        <v>45141.0</v>
      </c>
    </row>
    <row r="2212">
      <c r="A2212" s="71">
        <v>3.0</v>
      </c>
      <c r="B2212" s="71" t="s">
        <v>3673</v>
      </c>
      <c r="C2212" s="71">
        <v>1.0</v>
      </c>
      <c r="D2212" s="777">
        <v>5.0</v>
      </c>
      <c r="E2212" s="776">
        <v>1.0</v>
      </c>
      <c r="F2212" s="71" t="s">
        <v>1518</v>
      </c>
      <c r="G2212" s="77" t="s">
        <v>1554</v>
      </c>
      <c r="H2212" s="77">
        <v>45141.0</v>
      </c>
    </row>
    <row r="2213">
      <c r="A2213" s="68">
        <v>4.0</v>
      </c>
      <c r="B2213" s="68" t="s">
        <v>5488</v>
      </c>
      <c r="C2213" s="68">
        <v>1.0</v>
      </c>
      <c r="D2213" s="69">
        <v>9.4</v>
      </c>
      <c r="E2213" s="70">
        <v>1.0</v>
      </c>
      <c r="F2213" s="68" t="s">
        <v>5489</v>
      </c>
      <c r="G2213" s="77" t="s">
        <v>1554</v>
      </c>
      <c r="H2213" s="72">
        <v>45931.0</v>
      </c>
    </row>
    <row r="2214">
      <c r="A2214" s="68">
        <v>5.0</v>
      </c>
      <c r="B2214" s="68" t="s">
        <v>2756</v>
      </c>
      <c r="C2214" s="68">
        <v>1.0</v>
      </c>
      <c r="D2214" s="69">
        <v>10.0</v>
      </c>
      <c r="E2214" s="70">
        <v>1.0</v>
      </c>
      <c r="F2214" s="68" t="s">
        <v>5490</v>
      </c>
      <c r="G2214" s="77" t="s">
        <v>1554</v>
      </c>
      <c r="H2214" s="72">
        <v>45931.0</v>
      </c>
    </row>
    <row r="2215">
      <c r="A2215" s="68">
        <v>6.0</v>
      </c>
      <c r="B2215" s="68" t="s">
        <v>5491</v>
      </c>
      <c r="C2215" s="68">
        <v>1.0</v>
      </c>
      <c r="D2215" s="69">
        <v>9.3</v>
      </c>
      <c r="E2215" s="70">
        <v>1.0</v>
      </c>
      <c r="F2215" s="1022">
        <v>1.02528444402E11</v>
      </c>
      <c r="G2215" s="77" t="s">
        <v>1554</v>
      </c>
      <c r="H2215" s="72">
        <v>46078.0</v>
      </c>
    </row>
    <row r="2216">
      <c r="A2216" s="68">
        <v>7.0</v>
      </c>
      <c r="B2216" s="68" t="s">
        <v>2016</v>
      </c>
      <c r="C2216" s="68">
        <v>1.0</v>
      </c>
      <c r="D2216" s="69">
        <v>17.4</v>
      </c>
      <c r="E2216" s="70">
        <v>1.0</v>
      </c>
      <c r="F2216" s="68" t="s">
        <v>5492</v>
      </c>
      <c r="G2216" s="68" t="s">
        <v>1554</v>
      </c>
      <c r="H2216" s="72">
        <v>46121.0</v>
      </c>
    </row>
    <row r="2217">
      <c r="A2217" s="68">
        <v>8.0</v>
      </c>
      <c r="B2217" s="68" t="s">
        <v>2016</v>
      </c>
      <c r="C2217" s="68">
        <v>1.0</v>
      </c>
      <c r="D2217" s="69">
        <v>17.4</v>
      </c>
      <c r="E2217" s="70">
        <v>1.0</v>
      </c>
      <c r="F2217" s="68" t="s">
        <v>5493</v>
      </c>
      <c r="G2217" s="68" t="s">
        <v>1554</v>
      </c>
      <c r="H2217" s="72">
        <v>46121.0</v>
      </c>
    </row>
    <row r="2218">
      <c r="A2218" s="785" t="s">
        <v>1562</v>
      </c>
      <c r="B2218" s="3"/>
      <c r="C2218" s="71">
        <f t="shared" ref="C2218:E2218" si="96">sum(C2210:C2217)</f>
        <v>9</v>
      </c>
      <c r="D2218" s="777">
        <f t="shared" si="96"/>
        <v>221.7</v>
      </c>
      <c r="E2218" s="776">
        <f t="shared" si="96"/>
        <v>6</v>
      </c>
      <c r="F2218" s="71"/>
      <c r="G2218" s="77"/>
      <c r="H2218" s="77"/>
    </row>
    <row r="2219">
      <c r="A2219" s="712"/>
      <c r="B2219" s="712"/>
      <c r="C2219" s="712"/>
      <c r="D2219" s="808"/>
      <c r="E2219" s="809"/>
      <c r="F2219" s="712"/>
      <c r="G2219" s="810"/>
      <c r="H2219" s="810"/>
    </row>
    <row r="2220">
      <c r="A2220" s="712"/>
      <c r="B2220" s="712"/>
      <c r="C2220" s="712"/>
      <c r="D2220" s="808"/>
      <c r="E2220" s="809"/>
      <c r="F2220" s="712"/>
      <c r="G2220" s="810"/>
      <c r="H2220" s="810"/>
    </row>
    <row r="2221">
      <c r="A2221" s="712"/>
      <c r="B2221" s="712"/>
      <c r="C2221" s="712"/>
      <c r="D2221" s="808"/>
      <c r="E2221" s="809"/>
      <c r="F2221" s="712"/>
      <c r="G2221" s="810"/>
      <c r="H2221" s="810"/>
    </row>
    <row r="2222">
      <c r="A2222" s="914" t="s">
        <v>5494</v>
      </c>
      <c r="B2222" s="2"/>
      <c r="C2222" s="2"/>
      <c r="D2222" s="2"/>
      <c r="E2222" s="2"/>
      <c r="F2222" s="2"/>
      <c r="G2222" s="2"/>
      <c r="H2222" s="3"/>
    </row>
    <row r="2223">
      <c r="A2223" s="904" t="s">
        <v>1435</v>
      </c>
      <c r="B2223" s="904" t="s">
        <v>1436</v>
      </c>
      <c r="C2223" s="904" t="s">
        <v>1843</v>
      </c>
      <c r="D2223" s="905" t="s">
        <v>1438</v>
      </c>
      <c r="E2223" s="906" t="s">
        <v>1564</v>
      </c>
      <c r="F2223" s="904" t="s">
        <v>1440</v>
      </c>
      <c r="G2223" s="907" t="s">
        <v>1844</v>
      </c>
      <c r="H2223" s="907" t="s">
        <v>1441</v>
      </c>
    </row>
    <row r="2224">
      <c r="A2224" s="755">
        <v>1.0</v>
      </c>
      <c r="B2224" s="755" t="s">
        <v>1443</v>
      </c>
      <c r="C2224" s="755">
        <v>1.0</v>
      </c>
      <c r="D2224" s="752">
        <v>150.0</v>
      </c>
      <c r="E2224" s="753"/>
      <c r="F2224" s="755" t="s">
        <v>1518</v>
      </c>
      <c r="G2224" s="908" t="s">
        <v>1554</v>
      </c>
      <c r="H2224" s="908">
        <v>45141.0</v>
      </c>
    </row>
    <row r="2225">
      <c r="A2225" s="755">
        <v>2.0</v>
      </c>
      <c r="B2225" s="755" t="s">
        <v>1444</v>
      </c>
      <c r="C2225" s="755">
        <v>2.0</v>
      </c>
      <c r="D2225" s="752">
        <v>3.2</v>
      </c>
      <c r="E2225" s="753" t="s">
        <v>1518</v>
      </c>
      <c r="F2225" s="755" t="s">
        <v>1518</v>
      </c>
      <c r="G2225" s="908"/>
      <c r="H2225" s="908"/>
    </row>
    <row r="2226">
      <c r="A2226" s="755">
        <v>3.0</v>
      </c>
      <c r="B2226" s="755" t="s">
        <v>3673</v>
      </c>
      <c r="C2226" s="755">
        <v>1.0</v>
      </c>
      <c r="D2226" s="752">
        <v>5.0</v>
      </c>
      <c r="E2226" s="753">
        <v>1.0</v>
      </c>
      <c r="F2226" s="755" t="s">
        <v>1518</v>
      </c>
      <c r="G2226" s="908" t="s">
        <v>1518</v>
      </c>
      <c r="H2226" s="908"/>
    </row>
    <row r="2227">
      <c r="A2227" s="340">
        <v>4.0</v>
      </c>
      <c r="B2227" s="340" t="s">
        <v>5495</v>
      </c>
      <c r="C2227" s="340">
        <v>1.0</v>
      </c>
      <c r="D2227" s="341">
        <v>12.7</v>
      </c>
      <c r="E2227" s="342">
        <v>1.0</v>
      </c>
      <c r="F2227" s="340" t="s">
        <v>5496</v>
      </c>
      <c r="G2227" s="340" t="s">
        <v>1554</v>
      </c>
      <c r="H2227" s="915">
        <v>45998.0</v>
      </c>
    </row>
    <row r="2228">
      <c r="A2228" s="340">
        <v>5.0</v>
      </c>
      <c r="B2228" s="340" t="s">
        <v>1862</v>
      </c>
      <c r="C2228" s="340">
        <v>1.0</v>
      </c>
      <c r="D2228" s="341">
        <v>17.5</v>
      </c>
      <c r="E2228" s="342">
        <v>1.0</v>
      </c>
      <c r="F2228" s="340" t="s">
        <v>5497</v>
      </c>
      <c r="G2228" s="340" t="s">
        <v>1554</v>
      </c>
      <c r="H2228" s="915">
        <v>45998.0</v>
      </c>
    </row>
    <row r="2229">
      <c r="A2229" s="755">
        <v>6.0</v>
      </c>
      <c r="B2229" s="340" t="s">
        <v>2756</v>
      </c>
      <c r="C2229" s="340">
        <v>1.0</v>
      </c>
      <c r="D2229" s="341">
        <v>10.0</v>
      </c>
      <c r="E2229" s="342">
        <v>1.0</v>
      </c>
      <c r="F2229" s="340" t="s">
        <v>5498</v>
      </c>
      <c r="G2229" s="340" t="s">
        <v>1554</v>
      </c>
      <c r="H2229" s="915">
        <v>46042.0</v>
      </c>
    </row>
    <row r="2230">
      <c r="A2230" s="1023">
        <v>7.0</v>
      </c>
      <c r="B2230" s="1024" t="s">
        <v>5499</v>
      </c>
      <c r="C2230" s="1024">
        <v>1.0</v>
      </c>
      <c r="D2230" s="1025">
        <v>3.0</v>
      </c>
      <c r="E2230" s="1026">
        <v>1.0</v>
      </c>
      <c r="F2230" s="1024" t="s">
        <v>5500</v>
      </c>
      <c r="G2230" s="1024" t="s">
        <v>155</v>
      </c>
      <c r="H2230" s="1027">
        <v>46054.0</v>
      </c>
    </row>
    <row r="2231">
      <c r="A2231" s="755">
        <v>8.0</v>
      </c>
      <c r="B2231" s="755"/>
      <c r="C2231" s="755"/>
      <c r="D2231" s="752"/>
      <c r="E2231" s="753"/>
      <c r="F2231" s="755"/>
      <c r="G2231" s="908"/>
      <c r="H2231" s="908"/>
    </row>
    <row r="2232">
      <c r="A2232" s="940" t="s">
        <v>1562</v>
      </c>
      <c r="B2232" s="3"/>
      <c r="C2232" s="941">
        <f t="shared" ref="C2232:E2232" si="97">sum(C2224:C2231)</f>
        <v>8</v>
      </c>
      <c r="D2232" s="942">
        <f t="shared" si="97"/>
        <v>201.4</v>
      </c>
      <c r="E2232" s="943">
        <f t="shared" si="97"/>
        <v>5</v>
      </c>
      <c r="F2232" s="941"/>
      <c r="G2232" s="944"/>
      <c r="H2232" s="944"/>
    </row>
    <row r="2233">
      <c r="A2233" s="712"/>
      <c r="B2233" s="712"/>
      <c r="C2233" s="712"/>
      <c r="D2233" s="808"/>
      <c r="E2233" s="809"/>
      <c r="F2233" s="712"/>
      <c r="G2233" s="810"/>
      <c r="H2233" s="810"/>
    </row>
    <row r="2234">
      <c r="A2234" s="712"/>
      <c r="B2234" s="712"/>
      <c r="C2234" s="712"/>
      <c r="D2234" s="808"/>
      <c r="E2234" s="809"/>
      <c r="F2234" s="712"/>
      <c r="G2234" s="810"/>
      <c r="H2234" s="810"/>
    </row>
    <row r="2235">
      <c r="A2235" s="771" t="s">
        <v>5501</v>
      </c>
      <c r="B2235" s="2"/>
      <c r="C2235" s="2"/>
      <c r="D2235" s="2"/>
      <c r="E2235" s="2"/>
      <c r="F2235" s="2"/>
      <c r="G2235" s="2"/>
      <c r="H2235" s="3"/>
    </row>
    <row r="2236">
      <c r="A2236" s="772" t="s">
        <v>1435</v>
      </c>
      <c r="B2236" s="772" t="s">
        <v>1436</v>
      </c>
      <c r="C2236" s="772" t="s">
        <v>1843</v>
      </c>
      <c r="D2236" s="773" t="s">
        <v>1438</v>
      </c>
      <c r="E2236" s="774" t="s">
        <v>1564</v>
      </c>
      <c r="F2236" s="772" t="s">
        <v>1440</v>
      </c>
      <c r="G2236" s="775" t="s">
        <v>1844</v>
      </c>
      <c r="H2236" s="775" t="s">
        <v>1441</v>
      </c>
    </row>
    <row r="2237">
      <c r="A2237" s="71">
        <v>1.0</v>
      </c>
      <c r="B2237" s="71" t="s">
        <v>1443</v>
      </c>
      <c r="C2237" s="71">
        <v>1.0</v>
      </c>
      <c r="D2237" s="777">
        <v>150.0</v>
      </c>
      <c r="E2237" s="776"/>
      <c r="F2237" s="71" t="s">
        <v>1518</v>
      </c>
      <c r="G2237" s="77" t="s">
        <v>1554</v>
      </c>
      <c r="H2237" s="77">
        <v>45141.0</v>
      </c>
    </row>
    <row r="2238">
      <c r="A2238" s="71">
        <v>2.0</v>
      </c>
      <c r="B2238" s="71" t="s">
        <v>1444</v>
      </c>
      <c r="C2238" s="71">
        <v>2.0</v>
      </c>
      <c r="D2238" s="777">
        <v>3.2</v>
      </c>
      <c r="E2238" s="776" t="s">
        <v>1518</v>
      </c>
      <c r="F2238" s="71" t="s">
        <v>1518</v>
      </c>
      <c r="G2238" s="77"/>
      <c r="H2238" s="77"/>
    </row>
    <row r="2239">
      <c r="A2239" s="71">
        <v>3.0</v>
      </c>
      <c r="B2239" s="71" t="s">
        <v>3673</v>
      </c>
      <c r="C2239" s="71">
        <v>1.0</v>
      </c>
      <c r="D2239" s="777">
        <v>5.0</v>
      </c>
      <c r="E2239" s="776">
        <v>1.0</v>
      </c>
      <c r="F2239" s="71" t="s">
        <v>1518</v>
      </c>
      <c r="G2239" s="77" t="s">
        <v>1518</v>
      </c>
      <c r="H2239" s="77"/>
    </row>
    <row r="2240">
      <c r="A2240" s="68">
        <v>4.0</v>
      </c>
      <c r="B2240" s="68" t="s">
        <v>1862</v>
      </c>
      <c r="C2240" s="68">
        <v>1.0</v>
      </c>
      <c r="D2240" s="69">
        <v>17.5</v>
      </c>
      <c r="E2240" s="70">
        <v>1.0</v>
      </c>
      <c r="F2240" s="68" t="s">
        <v>5502</v>
      </c>
      <c r="G2240" s="68" t="s">
        <v>5503</v>
      </c>
      <c r="H2240" s="72">
        <v>46007.0</v>
      </c>
    </row>
    <row r="2241">
      <c r="A2241" s="68">
        <v>5.0</v>
      </c>
      <c r="B2241" s="68" t="s">
        <v>2756</v>
      </c>
      <c r="C2241" s="68">
        <v>1.0</v>
      </c>
      <c r="D2241" s="69">
        <v>10.0</v>
      </c>
      <c r="E2241" s="70">
        <v>1.0</v>
      </c>
      <c r="F2241" s="68" t="s">
        <v>5504</v>
      </c>
      <c r="G2241" s="68" t="s">
        <v>5503</v>
      </c>
      <c r="H2241" s="72">
        <v>46007.0</v>
      </c>
    </row>
    <row r="2242">
      <c r="A2242" s="68">
        <v>6.0</v>
      </c>
      <c r="B2242" s="68" t="s">
        <v>5505</v>
      </c>
      <c r="C2242" s="68">
        <v>1.0</v>
      </c>
      <c r="D2242" s="69">
        <v>8.0</v>
      </c>
      <c r="E2242" s="70">
        <v>1.0</v>
      </c>
      <c r="F2242" s="68" t="s">
        <v>5506</v>
      </c>
      <c r="G2242" s="68" t="s">
        <v>5503</v>
      </c>
      <c r="H2242" s="72">
        <v>46007.0</v>
      </c>
    </row>
    <row r="2243">
      <c r="A2243" s="68">
        <v>7.0</v>
      </c>
      <c r="B2243" s="68" t="s">
        <v>3193</v>
      </c>
      <c r="C2243" s="68">
        <v>1.0</v>
      </c>
      <c r="D2243" s="69">
        <v>1.9</v>
      </c>
      <c r="E2243" s="70">
        <v>1.0</v>
      </c>
      <c r="F2243" s="68" t="s">
        <v>5507</v>
      </c>
      <c r="G2243" s="68" t="s">
        <v>5508</v>
      </c>
      <c r="H2243" s="108">
        <v>46108.0</v>
      </c>
    </row>
    <row r="2244">
      <c r="A2244" s="68">
        <v>8.0</v>
      </c>
      <c r="B2244" s="68" t="s">
        <v>2484</v>
      </c>
      <c r="C2244" s="68">
        <v>1.0</v>
      </c>
      <c r="D2244" s="69">
        <v>1.0</v>
      </c>
      <c r="E2244" s="70">
        <v>1.0</v>
      </c>
      <c r="F2244" s="68" t="s">
        <v>5509</v>
      </c>
      <c r="G2244" s="68" t="s">
        <v>5508</v>
      </c>
      <c r="H2244" s="108">
        <v>46108.0</v>
      </c>
    </row>
    <row r="2245">
      <c r="A2245" s="68">
        <v>9.0</v>
      </c>
      <c r="B2245" s="68" t="s">
        <v>4829</v>
      </c>
      <c r="C2245" s="68">
        <v>1.0</v>
      </c>
      <c r="D2245" s="69">
        <v>7.0</v>
      </c>
      <c r="E2245" s="70">
        <v>1.0</v>
      </c>
      <c r="F2245" s="68" t="s">
        <v>5510</v>
      </c>
      <c r="G2245" s="68" t="s">
        <v>5508</v>
      </c>
      <c r="H2245" s="72">
        <v>46108.0</v>
      </c>
    </row>
    <row r="2246">
      <c r="A2246" s="785" t="s">
        <v>1562</v>
      </c>
      <c r="B2246" s="3"/>
      <c r="C2246" s="71">
        <f t="shared" ref="C2246:E2246" si="98">sum(C2237:C2245)</f>
        <v>10</v>
      </c>
      <c r="D2246" s="777">
        <f t="shared" si="98"/>
        <v>203.6</v>
      </c>
      <c r="E2246" s="776">
        <f t="shared" si="98"/>
        <v>7</v>
      </c>
      <c r="F2246" s="71"/>
      <c r="G2246" s="77"/>
      <c r="H2246" s="77"/>
    </row>
    <row r="2247">
      <c r="A2247" s="712"/>
      <c r="B2247" s="712"/>
      <c r="C2247" s="712"/>
      <c r="D2247" s="808"/>
      <c r="E2247" s="809"/>
      <c r="F2247" s="712"/>
      <c r="G2247" s="810"/>
      <c r="H2247" s="810"/>
    </row>
    <row r="2248">
      <c r="A2248" s="712"/>
      <c r="B2248" s="712"/>
      <c r="C2248" s="712"/>
      <c r="D2248" s="808"/>
      <c r="E2248" s="809"/>
      <c r="F2248" s="712"/>
      <c r="G2248" s="810"/>
      <c r="H2248" s="810"/>
    </row>
    <row r="2249">
      <c r="A2249" s="771" t="s">
        <v>5511</v>
      </c>
      <c r="B2249" s="2"/>
      <c r="C2249" s="2"/>
      <c r="D2249" s="2"/>
      <c r="E2249" s="2"/>
      <c r="F2249" s="2"/>
      <c r="G2249" s="2"/>
      <c r="H2249" s="3"/>
    </row>
    <row r="2250">
      <c r="A2250" s="772" t="s">
        <v>1435</v>
      </c>
      <c r="B2250" s="772" t="s">
        <v>1436</v>
      </c>
      <c r="C2250" s="772" t="s">
        <v>1843</v>
      </c>
      <c r="D2250" s="773" t="s">
        <v>1438</v>
      </c>
      <c r="E2250" s="1028" t="s">
        <v>1564</v>
      </c>
      <c r="F2250" s="772" t="s">
        <v>1440</v>
      </c>
      <c r="G2250" s="775" t="s">
        <v>1844</v>
      </c>
      <c r="H2250" s="775" t="s">
        <v>1441</v>
      </c>
    </row>
    <row r="2251">
      <c r="A2251" s="71">
        <v>1.0</v>
      </c>
      <c r="B2251" s="71" t="s">
        <v>1443</v>
      </c>
      <c r="C2251" s="71">
        <v>1.0</v>
      </c>
      <c r="D2251" s="777">
        <v>150.0</v>
      </c>
      <c r="E2251" s="777"/>
      <c r="F2251" s="71" t="s">
        <v>1518</v>
      </c>
      <c r="G2251" s="77" t="s">
        <v>1554</v>
      </c>
      <c r="H2251" s="77">
        <v>45141.0</v>
      </c>
    </row>
    <row r="2252">
      <c r="A2252" s="71">
        <v>2.0</v>
      </c>
      <c r="B2252" s="71" t="s">
        <v>1444</v>
      </c>
      <c r="C2252" s="71">
        <v>2.0</v>
      </c>
      <c r="D2252" s="777">
        <v>3.2</v>
      </c>
      <c r="E2252" s="777"/>
      <c r="F2252" s="71" t="s">
        <v>1518</v>
      </c>
      <c r="G2252" s="77" t="s">
        <v>1554</v>
      </c>
      <c r="H2252" s="72">
        <v>45141.0</v>
      </c>
    </row>
    <row r="2253">
      <c r="A2253" s="71">
        <v>3.0</v>
      </c>
      <c r="B2253" s="71" t="s">
        <v>3673</v>
      </c>
      <c r="C2253" s="71">
        <v>1.0</v>
      </c>
      <c r="D2253" s="777">
        <v>5.0</v>
      </c>
      <c r="E2253" s="70">
        <v>1.0</v>
      </c>
      <c r="F2253" s="71" t="s">
        <v>1518</v>
      </c>
      <c r="G2253" s="77" t="s">
        <v>1554</v>
      </c>
      <c r="H2253" s="72">
        <v>45141.0</v>
      </c>
    </row>
    <row r="2254">
      <c r="A2254" s="71">
        <v>4.0</v>
      </c>
      <c r="B2254" s="94" t="s">
        <v>3982</v>
      </c>
      <c r="C2254" s="68">
        <v>1.0</v>
      </c>
      <c r="D2254" s="69">
        <v>10.2</v>
      </c>
      <c r="E2254" s="70">
        <v>1.0</v>
      </c>
      <c r="F2254" s="94" t="s">
        <v>5382</v>
      </c>
      <c r="G2254" s="1029" t="s">
        <v>5512</v>
      </c>
      <c r="H2254" s="72">
        <v>45994.0</v>
      </c>
    </row>
    <row r="2255">
      <c r="A2255" s="71">
        <v>5.0</v>
      </c>
      <c r="B2255" s="68" t="s">
        <v>5513</v>
      </c>
      <c r="C2255" s="68">
        <v>1.0</v>
      </c>
      <c r="D2255" s="69">
        <v>7.7</v>
      </c>
      <c r="E2255" s="70">
        <v>1.0</v>
      </c>
      <c r="F2255" s="68" t="s">
        <v>4513</v>
      </c>
      <c r="G2255" s="68" t="s">
        <v>5512</v>
      </c>
      <c r="H2255" s="72">
        <v>46008.0</v>
      </c>
    </row>
    <row r="2256">
      <c r="A2256" s="71">
        <v>6.0</v>
      </c>
      <c r="B2256" s="68" t="s">
        <v>2007</v>
      </c>
      <c r="C2256" s="68">
        <v>1.0</v>
      </c>
      <c r="D2256" s="69">
        <v>2.0</v>
      </c>
      <c r="E2256" s="70">
        <v>1.0</v>
      </c>
      <c r="F2256" s="68" t="s">
        <v>5514</v>
      </c>
      <c r="G2256" s="68" t="s">
        <v>5515</v>
      </c>
      <c r="H2256" s="72">
        <v>46055.0</v>
      </c>
    </row>
    <row r="2257">
      <c r="A2257" s="71">
        <v>7.0</v>
      </c>
      <c r="B2257" s="68" t="s">
        <v>5516</v>
      </c>
      <c r="C2257" s="68">
        <v>1.0</v>
      </c>
      <c r="D2257" s="69">
        <v>6.8</v>
      </c>
      <c r="E2257" s="70">
        <v>1.0</v>
      </c>
      <c r="F2257" s="68" t="s">
        <v>5517</v>
      </c>
      <c r="G2257" s="68" t="s">
        <v>5518</v>
      </c>
      <c r="H2257" s="72">
        <v>46055.0</v>
      </c>
    </row>
    <row r="2258">
      <c r="A2258" s="71">
        <v>8.0</v>
      </c>
      <c r="B2258" s="68" t="s">
        <v>5519</v>
      </c>
      <c r="C2258" s="68">
        <v>1.0</v>
      </c>
      <c r="D2258" s="69">
        <v>4.4</v>
      </c>
      <c r="E2258" s="70">
        <v>1.0</v>
      </c>
      <c r="F2258" s="68" t="s">
        <v>5520</v>
      </c>
      <c r="G2258" s="68" t="s">
        <v>5518</v>
      </c>
      <c r="H2258" s="72">
        <v>46055.0</v>
      </c>
    </row>
    <row r="2259">
      <c r="A2259" s="94">
        <v>9.0</v>
      </c>
      <c r="B2259" s="94" t="s">
        <v>1620</v>
      </c>
      <c r="C2259" s="94">
        <v>1.0</v>
      </c>
      <c r="D2259" s="95">
        <v>2.6</v>
      </c>
      <c r="E2259" s="70">
        <v>1.0</v>
      </c>
      <c r="F2259" s="745" t="s">
        <v>5521</v>
      </c>
      <c r="G2259" s="94" t="s">
        <v>5522</v>
      </c>
      <c r="H2259" s="98">
        <v>46063.0</v>
      </c>
    </row>
    <row r="2260">
      <c r="A2260" s="94">
        <v>10.0</v>
      </c>
      <c r="B2260" s="94" t="s">
        <v>5523</v>
      </c>
      <c r="C2260" s="94">
        <v>1.0</v>
      </c>
      <c r="D2260" s="95">
        <v>2.6</v>
      </c>
      <c r="E2260" s="70">
        <v>1.0</v>
      </c>
      <c r="F2260" s="745" t="s">
        <v>5524</v>
      </c>
      <c r="G2260" s="94" t="s">
        <v>5522</v>
      </c>
      <c r="H2260" s="98">
        <v>46072.0</v>
      </c>
    </row>
    <row r="2261">
      <c r="A2261" s="94">
        <v>11.0</v>
      </c>
      <c r="B2261" s="94" t="s">
        <v>5525</v>
      </c>
      <c r="C2261" s="94">
        <v>1.0</v>
      </c>
      <c r="D2261" s="95">
        <v>2.6</v>
      </c>
      <c r="E2261" s="70">
        <v>1.0</v>
      </c>
      <c r="F2261" s="745" t="s">
        <v>5526</v>
      </c>
      <c r="G2261" s="94" t="s">
        <v>5522</v>
      </c>
      <c r="H2261" s="98">
        <v>46072.0</v>
      </c>
    </row>
    <row r="2262">
      <c r="A2262" s="94">
        <v>12.0</v>
      </c>
      <c r="B2262" s="94" t="s">
        <v>5249</v>
      </c>
      <c r="C2262" s="94">
        <v>1.0</v>
      </c>
      <c r="D2262" s="95">
        <v>2.6</v>
      </c>
      <c r="E2262" s="70">
        <v>1.0</v>
      </c>
      <c r="F2262" s="745" t="s">
        <v>5527</v>
      </c>
      <c r="G2262" s="94" t="s">
        <v>5522</v>
      </c>
      <c r="H2262" s="98">
        <v>46072.0</v>
      </c>
    </row>
    <row r="2263">
      <c r="A2263" s="94">
        <v>13.0</v>
      </c>
      <c r="B2263" s="94" t="s">
        <v>5528</v>
      </c>
      <c r="C2263" s="94">
        <v>1.0</v>
      </c>
      <c r="D2263" s="95">
        <v>6.9</v>
      </c>
      <c r="E2263" s="70">
        <v>1.0</v>
      </c>
      <c r="F2263" s="745" t="s">
        <v>5529</v>
      </c>
      <c r="G2263" s="94" t="s">
        <v>5522</v>
      </c>
      <c r="H2263" s="98">
        <v>46072.0</v>
      </c>
    </row>
    <row r="2264">
      <c r="A2264" s="94">
        <v>14.0</v>
      </c>
      <c r="B2264" s="94" t="s">
        <v>5530</v>
      </c>
      <c r="C2264" s="94">
        <v>1.0</v>
      </c>
      <c r="D2264" s="95">
        <v>16.58</v>
      </c>
      <c r="E2264" s="70">
        <v>1.0</v>
      </c>
      <c r="F2264" s="745" t="s">
        <v>5531</v>
      </c>
      <c r="G2264" s="94" t="s">
        <v>5522</v>
      </c>
      <c r="H2264" s="98">
        <v>46072.0</v>
      </c>
    </row>
    <row r="2265">
      <c r="A2265" s="94">
        <v>15.0</v>
      </c>
      <c r="B2265" s="94" t="s">
        <v>5532</v>
      </c>
      <c r="C2265" s="94">
        <v>1.0</v>
      </c>
      <c r="D2265" s="95">
        <v>4.0</v>
      </c>
      <c r="E2265" s="70">
        <v>1.0</v>
      </c>
      <c r="F2265" s="745" t="s">
        <v>2471</v>
      </c>
      <c r="G2265" s="94" t="s">
        <v>5533</v>
      </c>
      <c r="H2265" s="98">
        <v>46095.0</v>
      </c>
    </row>
    <row r="2266">
      <c r="A2266" s="94">
        <v>16.0</v>
      </c>
      <c r="B2266" s="94" t="s">
        <v>5534</v>
      </c>
      <c r="C2266" s="94">
        <v>1.0</v>
      </c>
      <c r="D2266" s="95">
        <v>7.0</v>
      </c>
      <c r="E2266" s="70">
        <v>1.0</v>
      </c>
      <c r="F2266" s="745"/>
      <c r="G2266" s="94" t="s">
        <v>5533</v>
      </c>
      <c r="H2266" s="98">
        <v>46095.0</v>
      </c>
    </row>
    <row r="2267">
      <c r="A2267" s="94">
        <v>17.0</v>
      </c>
      <c r="B2267" s="94" t="s">
        <v>5535</v>
      </c>
      <c r="C2267" s="94">
        <v>1.0</v>
      </c>
      <c r="D2267" s="95">
        <v>2.5</v>
      </c>
      <c r="E2267" s="70">
        <v>1.0</v>
      </c>
      <c r="F2267" s="745"/>
      <c r="G2267" s="94" t="s">
        <v>5533</v>
      </c>
      <c r="H2267" s="98">
        <v>46095.0</v>
      </c>
    </row>
    <row r="2268">
      <c r="A2268" s="94">
        <v>18.0</v>
      </c>
      <c r="B2268" s="94" t="s">
        <v>5535</v>
      </c>
      <c r="C2268" s="94">
        <v>1.0</v>
      </c>
      <c r="D2268" s="95">
        <v>2.5</v>
      </c>
      <c r="E2268" s="70">
        <v>1.0</v>
      </c>
      <c r="F2268" s="745"/>
      <c r="G2268" s="94" t="s">
        <v>5533</v>
      </c>
      <c r="H2268" s="98">
        <v>46095.0</v>
      </c>
    </row>
    <row r="2269">
      <c r="A2269" s="94">
        <v>19.0</v>
      </c>
      <c r="B2269" s="94" t="s">
        <v>2026</v>
      </c>
      <c r="C2269" s="94">
        <v>1.0</v>
      </c>
      <c r="D2269" s="95">
        <v>2.0</v>
      </c>
      <c r="E2269" s="70">
        <v>1.0</v>
      </c>
      <c r="F2269" s="745"/>
      <c r="G2269" s="94" t="s">
        <v>5533</v>
      </c>
      <c r="H2269" s="98">
        <v>46095.0</v>
      </c>
    </row>
    <row r="2270">
      <c r="A2270" s="94">
        <v>20.0</v>
      </c>
      <c r="B2270" s="94" t="s">
        <v>5536</v>
      </c>
      <c r="C2270" s="94">
        <v>1.0</v>
      </c>
      <c r="D2270" s="95">
        <v>1.0</v>
      </c>
      <c r="E2270" s="70">
        <v>1.0</v>
      </c>
      <c r="F2270" s="745"/>
      <c r="G2270" s="94" t="s">
        <v>5533</v>
      </c>
      <c r="H2270" s="98">
        <v>46095.0</v>
      </c>
    </row>
    <row r="2271">
      <c r="A2271" s="94">
        <v>21.0</v>
      </c>
      <c r="B2271" s="94" t="s">
        <v>2004</v>
      </c>
      <c r="C2271" s="94">
        <v>1.0</v>
      </c>
      <c r="D2271" s="95">
        <v>1.0</v>
      </c>
      <c r="E2271" s="70">
        <v>1.0</v>
      </c>
      <c r="F2271" s="745"/>
      <c r="G2271" s="94" t="s">
        <v>5533</v>
      </c>
      <c r="H2271" s="98">
        <v>46095.0</v>
      </c>
    </row>
    <row r="2272">
      <c r="A2272" s="94">
        <v>22.0</v>
      </c>
      <c r="B2272" s="94" t="s">
        <v>3673</v>
      </c>
      <c r="C2272" s="94">
        <v>1.0</v>
      </c>
      <c r="D2272" s="95">
        <v>5.0</v>
      </c>
      <c r="E2272" s="70">
        <v>1.0</v>
      </c>
      <c r="F2272" s="745"/>
      <c r="G2272" s="94" t="s">
        <v>1554</v>
      </c>
      <c r="H2272" s="98">
        <v>46098.0</v>
      </c>
    </row>
    <row r="2273">
      <c r="A2273" s="785" t="s">
        <v>1562</v>
      </c>
      <c r="B2273" s="3"/>
      <c r="C2273" s="71">
        <f t="shared" ref="C2273:D2273" si="99">sum(C2251:C2264)</f>
        <v>15</v>
      </c>
      <c r="D2273" s="777">
        <f t="shared" si="99"/>
        <v>223.18</v>
      </c>
      <c r="E2273" s="776">
        <f>sum(E2253:E2271)</f>
        <v>19</v>
      </c>
      <c r="F2273" s="71"/>
      <c r="G2273" s="77"/>
      <c r="H2273" s="77"/>
    </row>
    <row r="2274">
      <c r="A2274" s="712"/>
      <c r="B2274" s="712"/>
      <c r="C2274" s="712"/>
      <c r="D2274" s="808"/>
      <c r="E2274" s="809"/>
      <c r="F2274" s="712"/>
      <c r="G2274" s="810"/>
      <c r="H2274" s="810"/>
    </row>
    <row r="2275">
      <c r="A2275" s="712"/>
      <c r="B2275" s="712"/>
      <c r="C2275" s="712"/>
      <c r="D2275" s="808"/>
      <c r="E2275" s="809"/>
      <c r="F2275" s="712"/>
      <c r="G2275" s="810"/>
      <c r="H2275" s="810"/>
    </row>
    <row r="2276">
      <c r="A2276" s="712"/>
      <c r="B2276" s="712"/>
      <c r="C2276" s="712"/>
      <c r="D2276" s="808"/>
      <c r="E2276" s="809"/>
      <c r="F2276" s="712"/>
      <c r="G2276" s="810"/>
      <c r="H2276" s="810"/>
    </row>
    <row r="2277">
      <c r="A2277" s="712"/>
      <c r="B2277" s="712"/>
      <c r="C2277" s="712"/>
      <c r="D2277" s="808"/>
      <c r="E2277" s="809"/>
      <c r="F2277" s="712"/>
      <c r="G2277" s="810"/>
      <c r="H2277" s="810"/>
    </row>
    <row r="2278">
      <c r="A2278" s="771" t="s">
        <v>5537</v>
      </c>
      <c r="B2278" s="2"/>
      <c r="C2278" s="2"/>
      <c r="D2278" s="2"/>
      <c r="E2278" s="2"/>
      <c r="F2278" s="2"/>
      <c r="G2278" s="2"/>
      <c r="H2278" s="3"/>
    </row>
    <row r="2279">
      <c r="A2279" s="772" t="s">
        <v>1435</v>
      </c>
      <c r="B2279" s="772" t="s">
        <v>1436</v>
      </c>
      <c r="C2279" s="772" t="s">
        <v>1843</v>
      </c>
      <c r="D2279" s="773" t="s">
        <v>1438</v>
      </c>
      <c r="E2279" s="774" t="s">
        <v>1564</v>
      </c>
      <c r="F2279" s="772" t="s">
        <v>1440</v>
      </c>
      <c r="G2279" s="775" t="s">
        <v>1844</v>
      </c>
      <c r="H2279" s="775" t="s">
        <v>1441</v>
      </c>
    </row>
    <row r="2280">
      <c r="A2280" s="71">
        <v>1.0</v>
      </c>
      <c r="B2280" s="71" t="s">
        <v>1443</v>
      </c>
      <c r="C2280" s="71">
        <v>1.0</v>
      </c>
      <c r="D2280" s="777">
        <v>150.0</v>
      </c>
      <c r="E2280" s="776"/>
      <c r="F2280" s="71" t="s">
        <v>1518</v>
      </c>
      <c r="G2280" s="77" t="s">
        <v>1554</v>
      </c>
      <c r="H2280" s="77">
        <v>45141.0</v>
      </c>
    </row>
    <row r="2281">
      <c r="A2281" s="71">
        <v>2.0</v>
      </c>
      <c r="B2281" s="71" t="s">
        <v>1444</v>
      </c>
      <c r="C2281" s="71">
        <v>2.0</v>
      </c>
      <c r="D2281" s="777">
        <v>3.2</v>
      </c>
      <c r="E2281" s="776" t="s">
        <v>1518</v>
      </c>
      <c r="F2281" s="71" t="s">
        <v>1518</v>
      </c>
      <c r="G2281" s="77"/>
      <c r="H2281" s="77"/>
    </row>
    <row r="2282">
      <c r="A2282" s="71">
        <v>3.0</v>
      </c>
      <c r="B2282" s="71" t="s">
        <v>3673</v>
      </c>
      <c r="C2282" s="71">
        <v>1.0</v>
      </c>
      <c r="D2282" s="777">
        <v>5.0</v>
      </c>
      <c r="E2282" s="776">
        <v>1.0</v>
      </c>
      <c r="F2282" s="71" t="s">
        <v>1518</v>
      </c>
      <c r="G2282" s="77" t="s">
        <v>1518</v>
      </c>
      <c r="H2282" s="77"/>
    </row>
    <row r="2283">
      <c r="A2283" s="94">
        <v>4.0</v>
      </c>
      <c r="B2283" s="94" t="s">
        <v>5538</v>
      </c>
      <c r="C2283" s="94">
        <v>1.0</v>
      </c>
      <c r="D2283" s="95">
        <v>33.1</v>
      </c>
      <c r="E2283" s="96">
        <v>2.0</v>
      </c>
      <c r="F2283" s="94" t="s">
        <v>5539</v>
      </c>
      <c r="G2283" s="94" t="s">
        <v>1446</v>
      </c>
      <c r="H2283" s="98">
        <v>45977.0</v>
      </c>
    </row>
    <row r="2284">
      <c r="A2284" s="94">
        <v>5.0</v>
      </c>
      <c r="B2284" s="94" t="s">
        <v>5538</v>
      </c>
      <c r="C2284" s="94">
        <v>1.0</v>
      </c>
      <c r="D2284" s="95">
        <v>33.1</v>
      </c>
      <c r="E2284" s="96">
        <v>2.0</v>
      </c>
      <c r="F2284" s="94" t="s">
        <v>5540</v>
      </c>
      <c r="G2284" s="94" t="s">
        <v>1446</v>
      </c>
      <c r="H2284" s="98">
        <v>45977.0</v>
      </c>
    </row>
    <row r="2285">
      <c r="A2285" s="94">
        <v>6.0</v>
      </c>
      <c r="B2285" s="94" t="s">
        <v>5538</v>
      </c>
      <c r="C2285" s="94">
        <v>1.0</v>
      </c>
      <c r="D2285" s="95">
        <v>33.1</v>
      </c>
      <c r="E2285" s="96">
        <v>2.0</v>
      </c>
      <c r="F2285" s="94" t="s">
        <v>5541</v>
      </c>
      <c r="G2285" s="94" t="s">
        <v>1446</v>
      </c>
      <c r="H2285" s="98">
        <v>45977.0</v>
      </c>
    </row>
    <row r="2286">
      <c r="A2286" s="68">
        <v>7.0</v>
      </c>
      <c r="B2286" s="94" t="s">
        <v>5538</v>
      </c>
      <c r="C2286" s="68">
        <v>1.0</v>
      </c>
      <c r="D2286" s="95">
        <v>33.1</v>
      </c>
      <c r="E2286" s="70">
        <v>2.0</v>
      </c>
      <c r="F2286" s="68" t="s">
        <v>5542</v>
      </c>
      <c r="G2286" s="68" t="s">
        <v>1446</v>
      </c>
      <c r="H2286" s="72">
        <v>45976.0</v>
      </c>
    </row>
    <row r="2287">
      <c r="A2287" s="68">
        <v>8.0</v>
      </c>
      <c r="B2287" s="94" t="s">
        <v>5538</v>
      </c>
      <c r="C2287" s="68">
        <v>1.0</v>
      </c>
      <c r="D2287" s="95">
        <v>33.1</v>
      </c>
      <c r="E2287" s="70">
        <v>2.0</v>
      </c>
      <c r="F2287" s="68" t="s">
        <v>5543</v>
      </c>
      <c r="G2287" s="68" t="s">
        <v>1446</v>
      </c>
      <c r="H2287" s="72">
        <v>45976.0</v>
      </c>
    </row>
    <row r="2288">
      <c r="A2288" s="68">
        <v>9.0</v>
      </c>
      <c r="B2288" s="94" t="s">
        <v>5544</v>
      </c>
      <c r="C2288" s="68">
        <v>1.0</v>
      </c>
      <c r="D2288" s="69">
        <v>9.1</v>
      </c>
      <c r="E2288" s="70">
        <v>1.0</v>
      </c>
      <c r="F2288" s="94" t="s">
        <v>5545</v>
      </c>
      <c r="G2288" s="68" t="s">
        <v>5546</v>
      </c>
      <c r="H2288" s="72">
        <v>45988.0</v>
      </c>
    </row>
    <row r="2289">
      <c r="A2289" s="68">
        <v>10.0</v>
      </c>
      <c r="B2289" s="68" t="s">
        <v>2030</v>
      </c>
      <c r="C2289" s="68">
        <v>1.0</v>
      </c>
      <c r="D2289" s="69">
        <v>17.5</v>
      </c>
      <c r="E2289" s="70">
        <v>1.0</v>
      </c>
      <c r="F2289" s="94" t="s">
        <v>5547</v>
      </c>
      <c r="G2289" s="68" t="s">
        <v>5546</v>
      </c>
      <c r="H2289" s="72">
        <v>45988.0</v>
      </c>
    </row>
    <row r="2290">
      <c r="A2290" s="68">
        <v>11.0</v>
      </c>
      <c r="B2290" s="68" t="s">
        <v>2030</v>
      </c>
      <c r="C2290" s="68">
        <v>1.0</v>
      </c>
      <c r="D2290" s="69">
        <v>17.5</v>
      </c>
      <c r="E2290" s="70">
        <v>1.0</v>
      </c>
      <c r="F2290" s="94" t="s">
        <v>5548</v>
      </c>
      <c r="G2290" s="68" t="s">
        <v>5546</v>
      </c>
      <c r="H2290" s="72">
        <v>45988.0</v>
      </c>
    </row>
    <row r="2291">
      <c r="A2291" s="68">
        <v>12.0</v>
      </c>
      <c r="B2291" s="68" t="s">
        <v>2030</v>
      </c>
      <c r="C2291" s="68">
        <v>1.0</v>
      </c>
      <c r="D2291" s="69">
        <v>17.5</v>
      </c>
      <c r="E2291" s="70">
        <v>1.0</v>
      </c>
      <c r="F2291" s="94" t="s">
        <v>5549</v>
      </c>
      <c r="G2291" s="68" t="s">
        <v>5546</v>
      </c>
      <c r="H2291" s="72">
        <v>45988.0</v>
      </c>
    </row>
    <row r="2292">
      <c r="A2292" s="68">
        <v>13.0</v>
      </c>
      <c r="B2292" s="68" t="s">
        <v>2030</v>
      </c>
      <c r="C2292" s="68">
        <v>1.0</v>
      </c>
      <c r="D2292" s="69">
        <v>17.5</v>
      </c>
      <c r="E2292" s="70">
        <v>1.0</v>
      </c>
      <c r="F2292" s="94" t="s">
        <v>5550</v>
      </c>
      <c r="G2292" s="68" t="s">
        <v>5546</v>
      </c>
      <c r="H2292" s="72">
        <v>45988.0</v>
      </c>
    </row>
    <row r="2293">
      <c r="A2293" s="68">
        <v>14.0</v>
      </c>
      <c r="B2293" s="68" t="s">
        <v>2030</v>
      </c>
      <c r="C2293" s="68">
        <v>1.0</v>
      </c>
      <c r="D2293" s="69">
        <v>17.5</v>
      </c>
      <c r="E2293" s="70">
        <v>1.0</v>
      </c>
      <c r="F2293" s="94" t="s">
        <v>5551</v>
      </c>
      <c r="G2293" s="68" t="s">
        <v>5546</v>
      </c>
      <c r="H2293" s="72">
        <v>45988.0</v>
      </c>
    </row>
    <row r="2294">
      <c r="A2294" s="68">
        <v>15.0</v>
      </c>
      <c r="B2294" s="68" t="s">
        <v>2030</v>
      </c>
      <c r="C2294" s="68">
        <v>1.0</v>
      </c>
      <c r="D2294" s="69">
        <v>17.5</v>
      </c>
      <c r="E2294" s="70">
        <v>1.0</v>
      </c>
      <c r="F2294" s="94" t="s">
        <v>5552</v>
      </c>
      <c r="G2294" s="68" t="s">
        <v>5546</v>
      </c>
      <c r="H2294" s="72">
        <v>45988.0</v>
      </c>
    </row>
    <row r="2295">
      <c r="A2295" s="68">
        <v>16.0</v>
      </c>
      <c r="B2295" s="68" t="s">
        <v>2751</v>
      </c>
      <c r="C2295" s="68">
        <v>1.0</v>
      </c>
      <c r="D2295" s="69">
        <v>1.0</v>
      </c>
      <c r="E2295" s="70">
        <v>1.0</v>
      </c>
      <c r="F2295" s="94" t="s">
        <v>5553</v>
      </c>
      <c r="G2295" s="68" t="s">
        <v>5546</v>
      </c>
      <c r="H2295" s="72">
        <v>45988.0</v>
      </c>
    </row>
    <row r="2296">
      <c r="A2296" s="68">
        <v>17.0</v>
      </c>
      <c r="B2296" s="68" t="s">
        <v>1696</v>
      </c>
      <c r="C2296" s="68">
        <v>1.0</v>
      </c>
      <c r="D2296" s="69">
        <v>10.0</v>
      </c>
      <c r="E2296" s="70">
        <v>1.0</v>
      </c>
      <c r="F2296" s="94" t="s">
        <v>5554</v>
      </c>
      <c r="G2296" s="68" t="s">
        <v>5546</v>
      </c>
      <c r="H2296" s="72">
        <v>45988.0</v>
      </c>
    </row>
    <row r="2297">
      <c r="A2297" s="68">
        <v>18.0</v>
      </c>
      <c r="B2297" s="68" t="s">
        <v>5555</v>
      </c>
      <c r="C2297" s="68">
        <v>1.0</v>
      </c>
      <c r="D2297" s="69">
        <v>8.8</v>
      </c>
      <c r="E2297" s="70">
        <v>1.0</v>
      </c>
      <c r="F2297" s="94" t="s">
        <v>5556</v>
      </c>
      <c r="G2297" s="68" t="s">
        <v>5546</v>
      </c>
      <c r="H2297" s="72">
        <v>45988.0</v>
      </c>
    </row>
    <row r="2298">
      <c r="A2298" s="68">
        <v>19.0</v>
      </c>
      <c r="B2298" s="68" t="s">
        <v>5557</v>
      </c>
      <c r="C2298" s="68">
        <v>1.0</v>
      </c>
      <c r="D2298" s="69">
        <v>2.0</v>
      </c>
      <c r="E2298" s="70">
        <v>1.0</v>
      </c>
      <c r="F2298" s="94" t="s">
        <v>5558</v>
      </c>
      <c r="G2298" s="68" t="s">
        <v>1446</v>
      </c>
      <c r="H2298" s="72">
        <v>45991.0</v>
      </c>
    </row>
    <row r="2299">
      <c r="A2299" s="68">
        <v>20.0</v>
      </c>
      <c r="B2299" s="68" t="s">
        <v>2030</v>
      </c>
      <c r="C2299" s="68">
        <v>1.0</v>
      </c>
      <c r="D2299" s="69">
        <v>17.5</v>
      </c>
      <c r="E2299" s="70">
        <v>1.0</v>
      </c>
      <c r="F2299" s="94" t="s">
        <v>5559</v>
      </c>
      <c r="G2299" s="68" t="s">
        <v>5560</v>
      </c>
      <c r="H2299" s="72">
        <v>45665.0</v>
      </c>
    </row>
    <row r="2300">
      <c r="A2300" s="68">
        <v>21.0</v>
      </c>
      <c r="B2300" s="68" t="s">
        <v>2030</v>
      </c>
      <c r="C2300" s="68">
        <v>1.0</v>
      </c>
      <c r="D2300" s="69">
        <v>17.5</v>
      </c>
      <c r="E2300" s="70">
        <v>1.0</v>
      </c>
      <c r="F2300" s="1030" t="s">
        <v>5561</v>
      </c>
      <c r="G2300" s="68" t="s">
        <v>158</v>
      </c>
      <c r="H2300" s="72">
        <v>46062.0</v>
      </c>
    </row>
    <row r="2301">
      <c r="A2301" s="785" t="s">
        <v>1562</v>
      </c>
      <c r="B2301" s="3"/>
      <c r="C2301" s="71">
        <f t="shared" ref="C2301:E2301" si="100">sum(C2280:C2299)</f>
        <v>21</v>
      </c>
      <c r="D2301" s="777">
        <f t="shared" si="100"/>
        <v>477.1</v>
      </c>
      <c r="E2301" s="776">
        <f t="shared" si="100"/>
        <v>23</v>
      </c>
      <c r="F2301" s="71"/>
      <c r="G2301" s="77"/>
      <c r="H2301" s="77"/>
    </row>
    <row r="2302">
      <c r="A2302" s="712"/>
      <c r="B2302" s="712"/>
      <c r="C2302" s="712"/>
      <c r="D2302" s="808"/>
      <c r="E2302" s="809"/>
      <c r="F2302" s="712"/>
      <c r="G2302" s="810"/>
      <c r="H2302" s="810"/>
    </row>
    <row r="2303">
      <c r="A2303" s="712"/>
      <c r="B2303" s="712"/>
      <c r="C2303" s="712"/>
      <c r="D2303" s="808"/>
      <c r="E2303" s="809"/>
      <c r="F2303" s="712"/>
      <c r="G2303" s="810"/>
      <c r="H2303" s="810"/>
    </row>
    <row r="2304">
      <c r="A2304" s="771" t="s">
        <v>5562</v>
      </c>
      <c r="B2304" s="2"/>
      <c r="C2304" s="2"/>
      <c r="D2304" s="2"/>
      <c r="E2304" s="2"/>
      <c r="F2304" s="2"/>
      <c r="G2304" s="2"/>
      <c r="H2304" s="3"/>
    </row>
    <row r="2305">
      <c r="A2305" s="772" t="s">
        <v>1435</v>
      </c>
      <c r="B2305" s="772" t="s">
        <v>1436</v>
      </c>
      <c r="C2305" s="772" t="s">
        <v>1843</v>
      </c>
      <c r="D2305" s="773" t="s">
        <v>1438</v>
      </c>
      <c r="E2305" s="774" t="s">
        <v>1564</v>
      </c>
      <c r="F2305" s="772" t="s">
        <v>1440</v>
      </c>
      <c r="G2305" s="775" t="s">
        <v>1844</v>
      </c>
      <c r="H2305" s="775" t="s">
        <v>1441</v>
      </c>
    </row>
    <row r="2306">
      <c r="A2306" s="71">
        <v>1.0</v>
      </c>
      <c r="B2306" s="71" t="s">
        <v>1443</v>
      </c>
      <c r="C2306" s="71">
        <v>1.0</v>
      </c>
      <c r="D2306" s="777">
        <v>150.0</v>
      </c>
      <c r="E2306" s="776"/>
      <c r="F2306" s="71" t="s">
        <v>1518</v>
      </c>
      <c r="G2306" s="77" t="s">
        <v>1554</v>
      </c>
      <c r="H2306" s="77">
        <v>45141.0</v>
      </c>
    </row>
    <row r="2307">
      <c r="A2307" s="71">
        <v>2.0</v>
      </c>
      <c r="B2307" s="71" t="s">
        <v>1444</v>
      </c>
      <c r="C2307" s="71">
        <v>2.0</v>
      </c>
      <c r="D2307" s="777">
        <v>3.2</v>
      </c>
      <c r="E2307" s="776" t="s">
        <v>1518</v>
      </c>
      <c r="F2307" s="71" t="s">
        <v>1518</v>
      </c>
      <c r="G2307" s="77" t="s">
        <v>1554</v>
      </c>
      <c r="H2307" s="72">
        <v>45141.0</v>
      </c>
    </row>
    <row r="2308">
      <c r="A2308" s="71">
        <v>3.0</v>
      </c>
      <c r="B2308" s="71" t="s">
        <v>3673</v>
      </c>
      <c r="C2308" s="71">
        <v>1.0</v>
      </c>
      <c r="D2308" s="777">
        <v>5.0</v>
      </c>
      <c r="E2308" s="776">
        <v>1.0</v>
      </c>
      <c r="F2308" s="71" t="s">
        <v>1518</v>
      </c>
      <c r="G2308" s="77" t="s">
        <v>1554</v>
      </c>
      <c r="H2308" s="72">
        <v>45141.0</v>
      </c>
    </row>
    <row r="2309">
      <c r="A2309" s="68">
        <v>4.0</v>
      </c>
      <c r="B2309" s="68" t="s">
        <v>5563</v>
      </c>
      <c r="C2309" s="68">
        <v>1.0</v>
      </c>
      <c r="D2309" s="69">
        <v>10.0</v>
      </c>
      <c r="E2309" s="70">
        <v>1.0</v>
      </c>
      <c r="F2309" s="94" t="s">
        <v>5564</v>
      </c>
      <c r="G2309" s="77" t="s">
        <v>1554</v>
      </c>
      <c r="H2309" s="72">
        <v>45927.0</v>
      </c>
    </row>
    <row r="2310">
      <c r="A2310" s="68">
        <v>5.0</v>
      </c>
      <c r="B2310" s="68" t="s">
        <v>5538</v>
      </c>
      <c r="C2310" s="68">
        <v>1.0</v>
      </c>
      <c r="D2310" s="69">
        <v>28.6</v>
      </c>
      <c r="E2310" s="70">
        <v>2.0</v>
      </c>
      <c r="F2310" s="68" t="s">
        <v>5565</v>
      </c>
      <c r="G2310" s="77" t="s">
        <v>1554</v>
      </c>
      <c r="H2310" s="72">
        <v>45938.0</v>
      </c>
    </row>
    <row r="2311">
      <c r="A2311" s="68">
        <v>6.0</v>
      </c>
      <c r="B2311" s="68" t="s">
        <v>5566</v>
      </c>
      <c r="C2311" s="68">
        <v>1.0</v>
      </c>
      <c r="D2311" s="69">
        <v>8.8</v>
      </c>
      <c r="E2311" s="70">
        <v>1.0</v>
      </c>
      <c r="F2311" s="68" t="s">
        <v>5567</v>
      </c>
      <c r="G2311" s="68" t="s">
        <v>1554</v>
      </c>
      <c r="H2311" s="72">
        <v>45940.0</v>
      </c>
    </row>
    <row r="2312">
      <c r="A2312" s="68">
        <v>7.0</v>
      </c>
      <c r="B2312" s="68" t="s">
        <v>5568</v>
      </c>
      <c r="C2312" s="68">
        <v>1.0</v>
      </c>
      <c r="D2312" s="69">
        <v>9.3</v>
      </c>
      <c r="E2312" s="70">
        <v>1.0</v>
      </c>
      <c r="F2312" s="68" t="s">
        <v>5569</v>
      </c>
      <c r="G2312" s="68" t="s">
        <v>1554</v>
      </c>
      <c r="H2312" s="72">
        <v>45940.0</v>
      </c>
    </row>
    <row r="2313">
      <c r="A2313" s="78">
        <v>8.0</v>
      </c>
      <c r="B2313" s="78" t="s">
        <v>5570</v>
      </c>
      <c r="C2313" s="78"/>
      <c r="D2313" s="79"/>
      <c r="E2313" s="80"/>
      <c r="F2313" s="78" t="s">
        <v>5571</v>
      </c>
      <c r="G2313" s="78" t="s">
        <v>1554</v>
      </c>
      <c r="H2313" s="78" t="s">
        <v>5572</v>
      </c>
    </row>
    <row r="2314">
      <c r="A2314" s="68">
        <v>11.0</v>
      </c>
      <c r="B2314" s="94" t="s">
        <v>2030</v>
      </c>
      <c r="C2314" s="68">
        <v>1.0</v>
      </c>
      <c r="D2314" s="69">
        <v>17.4</v>
      </c>
      <c r="E2314" s="70">
        <v>1.0</v>
      </c>
      <c r="F2314" s="68" t="s">
        <v>5573</v>
      </c>
      <c r="G2314" s="68" t="s">
        <v>1554</v>
      </c>
      <c r="H2314" s="72">
        <v>45957.0</v>
      </c>
    </row>
    <row r="2315">
      <c r="A2315" s="78">
        <v>12.0</v>
      </c>
      <c r="B2315" s="78" t="s">
        <v>5574</v>
      </c>
      <c r="C2315" s="78"/>
      <c r="D2315" s="79"/>
      <c r="E2315" s="80"/>
      <c r="F2315" s="78"/>
      <c r="G2315" s="78" t="s">
        <v>5575</v>
      </c>
      <c r="H2315" s="81">
        <v>45957.0</v>
      </c>
    </row>
    <row r="2316">
      <c r="A2316" s="78">
        <v>13.0</v>
      </c>
      <c r="B2316" s="78" t="s">
        <v>5576</v>
      </c>
      <c r="C2316" s="78"/>
      <c r="D2316" s="79"/>
      <c r="E2316" s="80"/>
      <c r="F2316" s="78"/>
      <c r="G2316" s="78" t="s">
        <v>425</v>
      </c>
      <c r="H2316" s="81">
        <v>45966.0</v>
      </c>
    </row>
    <row r="2317">
      <c r="A2317" s="78">
        <v>14.0</v>
      </c>
      <c r="B2317" s="78" t="s">
        <v>5576</v>
      </c>
      <c r="C2317" s="78"/>
      <c r="D2317" s="79"/>
      <c r="E2317" s="80"/>
      <c r="F2317" s="78"/>
      <c r="G2317" s="78" t="s">
        <v>425</v>
      </c>
      <c r="H2317" s="81">
        <v>45966.0</v>
      </c>
    </row>
    <row r="2318">
      <c r="A2318" s="68">
        <v>15.0</v>
      </c>
      <c r="B2318" s="94" t="s">
        <v>4628</v>
      </c>
      <c r="C2318" s="68">
        <v>1.0</v>
      </c>
      <c r="D2318" s="69">
        <v>4.5</v>
      </c>
      <c r="E2318" s="70">
        <v>1.0</v>
      </c>
      <c r="F2318" s="94" t="s">
        <v>5577</v>
      </c>
      <c r="G2318" s="68" t="s">
        <v>1554</v>
      </c>
      <c r="H2318" s="72">
        <v>45957.0</v>
      </c>
    </row>
    <row r="2319">
      <c r="A2319" s="68">
        <v>16.0</v>
      </c>
      <c r="B2319" s="94" t="s">
        <v>5578</v>
      </c>
      <c r="C2319" s="68">
        <v>1.0</v>
      </c>
      <c r="D2319" s="69">
        <v>21.9</v>
      </c>
      <c r="E2319" s="70">
        <v>1.0</v>
      </c>
      <c r="F2319" s="94" t="s">
        <v>5579</v>
      </c>
      <c r="G2319" s="68" t="s">
        <v>1554</v>
      </c>
      <c r="H2319" s="72">
        <v>45968.0</v>
      </c>
    </row>
    <row r="2320">
      <c r="A2320" s="68">
        <v>17.0</v>
      </c>
      <c r="B2320" s="94" t="s">
        <v>5578</v>
      </c>
      <c r="C2320" s="68">
        <v>1.0</v>
      </c>
      <c r="D2320" s="69">
        <v>21.9</v>
      </c>
      <c r="E2320" s="70">
        <v>1.0</v>
      </c>
      <c r="F2320" s="94" t="s">
        <v>5580</v>
      </c>
      <c r="G2320" s="68" t="s">
        <v>1554</v>
      </c>
      <c r="H2320" s="72">
        <v>45968.0</v>
      </c>
    </row>
    <row r="2321">
      <c r="A2321" s="68">
        <v>18.0</v>
      </c>
      <c r="B2321" s="94" t="s">
        <v>5578</v>
      </c>
      <c r="C2321" s="68">
        <v>1.0</v>
      </c>
      <c r="D2321" s="69">
        <v>21.9</v>
      </c>
      <c r="E2321" s="70">
        <v>1.0</v>
      </c>
      <c r="F2321" s="94" t="s">
        <v>5581</v>
      </c>
      <c r="G2321" s="68" t="s">
        <v>1554</v>
      </c>
      <c r="H2321" s="72">
        <v>45976.0</v>
      </c>
    </row>
    <row r="2322">
      <c r="A2322" s="68">
        <v>19.0</v>
      </c>
      <c r="B2322" s="68" t="s">
        <v>5538</v>
      </c>
      <c r="C2322" s="68">
        <v>1.0</v>
      </c>
      <c r="D2322" s="69">
        <v>28.6</v>
      </c>
      <c r="E2322" s="70">
        <v>2.0</v>
      </c>
      <c r="F2322" s="1031" t="s">
        <v>215</v>
      </c>
      <c r="G2322" s="68" t="s">
        <v>1554</v>
      </c>
      <c r="H2322" s="72">
        <v>45979.0</v>
      </c>
    </row>
    <row r="2323">
      <c r="A2323" s="68">
        <v>20.0</v>
      </c>
      <c r="B2323" s="68" t="s">
        <v>5538</v>
      </c>
      <c r="C2323" s="68">
        <v>1.0</v>
      </c>
      <c r="D2323" s="69">
        <v>28.6</v>
      </c>
      <c r="E2323" s="70">
        <v>2.0</v>
      </c>
      <c r="F2323" s="1031" t="s">
        <v>5582</v>
      </c>
      <c r="G2323" s="68" t="s">
        <v>1554</v>
      </c>
      <c r="H2323" s="72">
        <v>45979.0</v>
      </c>
    </row>
    <row r="2324">
      <c r="A2324" s="68">
        <v>21.0</v>
      </c>
      <c r="B2324" s="68" t="s">
        <v>5538</v>
      </c>
      <c r="C2324" s="68">
        <v>1.0</v>
      </c>
      <c r="D2324" s="69">
        <v>28.6</v>
      </c>
      <c r="E2324" s="70">
        <v>2.0</v>
      </c>
      <c r="F2324" s="1031" t="s">
        <v>5583</v>
      </c>
      <c r="G2324" s="68" t="s">
        <v>1554</v>
      </c>
      <c r="H2324" s="72">
        <v>45979.0</v>
      </c>
    </row>
    <row r="2325">
      <c r="A2325" s="68">
        <v>22.0</v>
      </c>
      <c r="B2325" s="68" t="s">
        <v>5538</v>
      </c>
      <c r="C2325" s="68">
        <v>1.0</v>
      </c>
      <c r="D2325" s="69">
        <v>28.6</v>
      </c>
      <c r="E2325" s="70">
        <v>2.0</v>
      </c>
      <c r="F2325" s="94" t="s">
        <v>5584</v>
      </c>
      <c r="G2325" s="68" t="s">
        <v>1554</v>
      </c>
      <c r="H2325" s="72">
        <v>45979.0</v>
      </c>
    </row>
    <row r="2326">
      <c r="A2326" s="68">
        <v>23.0</v>
      </c>
      <c r="B2326" s="94" t="s">
        <v>5585</v>
      </c>
      <c r="C2326" s="68">
        <v>1.0</v>
      </c>
      <c r="D2326" s="69">
        <v>8.4</v>
      </c>
      <c r="E2326" s="70">
        <v>1.0</v>
      </c>
      <c r="F2326" s="94" t="s">
        <v>5586</v>
      </c>
      <c r="G2326" s="68" t="s">
        <v>1554</v>
      </c>
      <c r="H2326" s="72">
        <v>45981.0</v>
      </c>
    </row>
    <row r="2327">
      <c r="A2327" s="78">
        <v>24.0</v>
      </c>
      <c r="B2327" s="78" t="s">
        <v>5587</v>
      </c>
      <c r="C2327" s="78"/>
      <c r="D2327" s="79"/>
      <c r="E2327" s="80"/>
      <c r="F2327" s="78" t="s">
        <v>5588</v>
      </c>
      <c r="G2327" s="78" t="s">
        <v>5589</v>
      </c>
      <c r="H2327" s="81"/>
    </row>
    <row r="2328">
      <c r="A2328" s="94">
        <v>25.0</v>
      </c>
      <c r="B2328" s="94" t="s">
        <v>2016</v>
      </c>
      <c r="C2328" s="94">
        <v>1.0</v>
      </c>
      <c r="D2328" s="95">
        <v>17.4</v>
      </c>
      <c r="E2328" s="96">
        <v>1.0</v>
      </c>
      <c r="F2328" s="94" t="s">
        <v>5590</v>
      </c>
      <c r="G2328" s="94" t="s">
        <v>1554</v>
      </c>
      <c r="H2328" s="98">
        <v>46030.0</v>
      </c>
    </row>
    <row r="2329">
      <c r="A2329" s="94">
        <v>26.0</v>
      </c>
      <c r="B2329" s="94" t="s">
        <v>4411</v>
      </c>
      <c r="C2329" s="94">
        <v>1.0</v>
      </c>
      <c r="D2329" s="95">
        <v>8.8</v>
      </c>
      <c r="E2329" s="96">
        <v>1.0</v>
      </c>
      <c r="F2329" s="94" t="s">
        <v>5591</v>
      </c>
      <c r="G2329" s="94" t="s">
        <v>1554</v>
      </c>
      <c r="H2329" s="98">
        <v>46030.0</v>
      </c>
    </row>
    <row r="2330">
      <c r="A2330" s="785" t="s">
        <v>1562</v>
      </c>
      <c r="B2330" s="3"/>
      <c r="C2330" s="71">
        <f t="shared" ref="C2330:E2330" si="101">sum(C2306:C2329)</f>
        <v>20</v>
      </c>
      <c r="D2330" s="777">
        <f t="shared" si="101"/>
        <v>451.5</v>
      </c>
      <c r="E2330" s="776">
        <f t="shared" si="101"/>
        <v>22</v>
      </c>
      <c r="F2330" s="71"/>
      <c r="G2330" s="77"/>
      <c r="H2330" s="77"/>
    </row>
    <row r="2331">
      <c r="A2331" s="712"/>
      <c r="B2331" s="712"/>
      <c r="C2331" s="712"/>
      <c r="D2331" s="808"/>
      <c r="E2331" s="809"/>
      <c r="F2331" s="712"/>
      <c r="G2331" s="810"/>
      <c r="H2331" s="810"/>
    </row>
    <row r="2332">
      <c r="A2332" s="712"/>
      <c r="B2332" s="712"/>
      <c r="C2332" s="712"/>
      <c r="D2332" s="808"/>
      <c r="E2332" s="809"/>
      <c r="F2332" s="712"/>
      <c r="G2332" s="810"/>
      <c r="H2332" s="810"/>
    </row>
    <row r="2333">
      <c r="A2333" s="914" t="s">
        <v>5592</v>
      </c>
      <c r="B2333" s="2"/>
      <c r="C2333" s="2"/>
      <c r="D2333" s="2"/>
      <c r="E2333" s="2"/>
      <c r="F2333" s="2"/>
      <c r="G2333" s="2"/>
      <c r="H2333" s="3"/>
    </row>
    <row r="2334">
      <c r="A2334" s="904" t="s">
        <v>1435</v>
      </c>
      <c r="B2334" s="904" t="s">
        <v>1436</v>
      </c>
      <c r="C2334" s="904" t="s">
        <v>1843</v>
      </c>
      <c r="D2334" s="905" t="s">
        <v>1438</v>
      </c>
      <c r="E2334" s="906" t="s">
        <v>1564</v>
      </c>
      <c r="F2334" s="904" t="s">
        <v>1440</v>
      </c>
      <c r="G2334" s="907" t="s">
        <v>1844</v>
      </c>
      <c r="H2334" s="907" t="s">
        <v>1441</v>
      </c>
    </row>
    <row r="2335">
      <c r="A2335" s="755">
        <v>1.0</v>
      </c>
      <c r="B2335" s="755" t="s">
        <v>1443</v>
      </c>
      <c r="C2335" s="755">
        <v>1.0</v>
      </c>
      <c r="D2335" s="752">
        <v>150.0</v>
      </c>
      <c r="E2335" s="753"/>
      <c r="F2335" s="755" t="s">
        <v>1518</v>
      </c>
      <c r="G2335" s="908" t="s">
        <v>1554</v>
      </c>
      <c r="H2335" s="908">
        <v>45141.0</v>
      </c>
    </row>
    <row r="2336">
      <c r="A2336" s="755">
        <v>2.0</v>
      </c>
      <c r="B2336" s="755" t="s">
        <v>1444</v>
      </c>
      <c r="C2336" s="755">
        <v>2.0</v>
      </c>
      <c r="D2336" s="752">
        <v>3.2</v>
      </c>
      <c r="E2336" s="753" t="s">
        <v>1518</v>
      </c>
      <c r="F2336" s="755" t="s">
        <v>1518</v>
      </c>
      <c r="G2336" s="908" t="s">
        <v>1554</v>
      </c>
      <c r="H2336" s="908">
        <v>45141.0</v>
      </c>
    </row>
    <row r="2337">
      <c r="A2337" s="755">
        <v>3.0</v>
      </c>
      <c r="B2337" s="755" t="s">
        <v>3673</v>
      </c>
      <c r="C2337" s="755">
        <v>1.0</v>
      </c>
      <c r="D2337" s="752">
        <v>5.0</v>
      </c>
      <c r="E2337" s="753">
        <v>1.0</v>
      </c>
      <c r="F2337" s="755" t="s">
        <v>1518</v>
      </c>
      <c r="G2337" s="908" t="s">
        <v>1554</v>
      </c>
      <c r="H2337" s="908">
        <v>45141.0</v>
      </c>
    </row>
    <row r="2338">
      <c r="A2338" s="340">
        <v>4.0</v>
      </c>
      <c r="B2338" s="340" t="s">
        <v>5593</v>
      </c>
      <c r="C2338" s="340">
        <v>1.0</v>
      </c>
      <c r="D2338" s="341">
        <v>28.9</v>
      </c>
      <c r="E2338" s="342">
        <v>2.0</v>
      </c>
      <c r="F2338" s="340" t="s">
        <v>5594</v>
      </c>
      <c r="G2338" s="908" t="s">
        <v>1554</v>
      </c>
      <c r="H2338" s="915">
        <v>46064.0</v>
      </c>
    </row>
    <row r="2339">
      <c r="A2339" s="755">
        <v>5.0</v>
      </c>
      <c r="B2339" s="340" t="s">
        <v>5593</v>
      </c>
      <c r="C2339" s="340">
        <v>1.0</v>
      </c>
      <c r="D2339" s="341">
        <v>28.9</v>
      </c>
      <c r="E2339" s="342">
        <v>2.0</v>
      </c>
      <c r="F2339" s="340" t="s">
        <v>5595</v>
      </c>
      <c r="G2339" s="908" t="s">
        <v>1554</v>
      </c>
      <c r="H2339" s="915">
        <v>46064.0</v>
      </c>
    </row>
    <row r="2340">
      <c r="A2340" s="340">
        <v>6.0</v>
      </c>
      <c r="B2340" s="340" t="s">
        <v>5593</v>
      </c>
      <c r="C2340" s="340">
        <v>1.0</v>
      </c>
      <c r="D2340" s="341">
        <v>28.9</v>
      </c>
      <c r="E2340" s="342">
        <v>2.0</v>
      </c>
      <c r="F2340" s="340" t="s">
        <v>5596</v>
      </c>
      <c r="G2340" s="908" t="s">
        <v>1554</v>
      </c>
      <c r="H2340" s="915">
        <v>46064.0</v>
      </c>
    </row>
    <row r="2341">
      <c r="A2341" s="340">
        <v>7.0</v>
      </c>
      <c r="B2341" s="340" t="s">
        <v>5593</v>
      </c>
      <c r="C2341" s="340">
        <v>1.0</v>
      </c>
      <c r="D2341" s="341">
        <v>28.9</v>
      </c>
      <c r="E2341" s="342">
        <v>2.0</v>
      </c>
      <c r="F2341" s="340" t="s">
        <v>5597</v>
      </c>
      <c r="G2341" s="908" t="s">
        <v>1554</v>
      </c>
      <c r="H2341" s="915">
        <v>46064.0</v>
      </c>
    </row>
    <row r="2342">
      <c r="A2342" s="340">
        <v>9.0</v>
      </c>
      <c r="B2342" s="340" t="s">
        <v>5593</v>
      </c>
      <c r="C2342" s="340">
        <v>1.0</v>
      </c>
      <c r="D2342" s="341">
        <v>28.9</v>
      </c>
      <c r="E2342" s="342">
        <v>2.0</v>
      </c>
      <c r="F2342" s="340" t="s">
        <v>5598</v>
      </c>
      <c r="G2342" s="908" t="s">
        <v>1554</v>
      </c>
      <c r="H2342" s="915">
        <v>46064.0</v>
      </c>
    </row>
    <row r="2343">
      <c r="A2343" s="340">
        <v>10.0</v>
      </c>
      <c r="B2343" s="340" t="s">
        <v>5599</v>
      </c>
      <c r="C2343" s="340">
        <v>1.0</v>
      </c>
      <c r="D2343" s="341">
        <v>12.2</v>
      </c>
      <c r="E2343" s="342">
        <v>1.0</v>
      </c>
      <c r="F2343" s="340" t="s">
        <v>5600</v>
      </c>
      <c r="G2343" s="908" t="s">
        <v>1554</v>
      </c>
      <c r="H2343" s="915">
        <v>46064.0</v>
      </c>
    </row>
    <row r="2344">
      <c r="A2344" s="340">
        <v>11.0</v>
      </c>
      <c r="B2344" s="755"/>
      <c r="C2344" s="755"/>
      <c r="D2344" s="752"/>
      <c r="E2344" s="753"/>
      <c r="F2344" s="755"/>
      <c r="G2344" s="908"/>
      <c r="H2344" s="915"/>
    </row>
    <row r="2345">
      <c r="A2345" s="340">
        <v>12.0</v>
      </c>
      <c r="B2345" s="755"/>
      <c r="C2345" s="755"/>
      <c r="D2345" s="752"/>
      <c r="E2345" s="753"/>
      <c r="F2345" s="755"/>
      <c r="G2345" s="908"/>
      <c r="H2345" s="915"/>
    </row>
    <row r="2346">
      <c r="A2346" s="477">
        <v>13.0</v>
      </c>
      <c r="B2346" s="941"/>
      <c r="C2346" s="941"/>
      <c r="D2346" s="942"/>
      <c r="E2346" s="943"/>
      <c r="F2346" s="941"/>
      <c r="G2346" s="908"/>
      <c r="H2346" s="915"/>
    </row>
    <row r="2347">
      <c r="A2347" s="940" t="s">
        <v>1562</v>
      </c>
      <c r="B2347" s="3"/>
      <c r="C2347" s="941">
        <f t="shared" ref="C2347:E2347" si="102">sum(C2335:C2345)</f>
        <v>10</v>
      </c>
      <c r="D2347" s="942">
        <f t="shared" si="102"/>
        <v>314.9</v>
      </c>
      <c r="E2347" s="943">
        <f t="shared" si="102"/>
        <v>12</v>
      </c>
      <c r="F2347" s="941"/>
      <c r="G2347" s="944"/>
      <c r="H2347" s="944"/>
    </row>
    <row r="2348">
      <c r="A2348" s="712"/>
      <c r="B2348" s="712"/>
      <c r="C2348" s="712"/>
      <c r="D2348" s="808"/>
      <c r="E2348" s="809"/>
      <c r="F2348" s="712"/>
      <c r="G2348" s="810"/>
      <c r="H2348" s="810"/>
    </row>
    <row r="2349">
      <c r="A2349" s="712"/>
      <c r="B2349" s="712"/>
      <c r="C2349" s="712"/>
      <c r="D2349" s="808"/>
      <c r="E2349" s="809"/>
      <c r="F2349" s="712"/>
      <c r="G2349" s="810"/>
      <c r="H2349" s="810"/>
    </row>
    <row r="2350">
      <c r="A2350" s="914" t="s">
        <v>5601</v>
      </c>
      <c r="B2350" s="2"/>
      <c r="C2350" s="2"/>
      <c r="D2350" s="2"/>
      <c r="E2350" s="2"/>
      <c r="F2350" s="2"/>
      <c r="G2350" s="2"/>
      <c r="H2350" s="3"/>
    </row>
    <row r="2351">
      <c r="A2351" s="904" t="s">
        <v>1435</v>
      </c>
      <c r="B2351" s="904" t="s">
        <v>1436</v>
      </c>
      <c r="C2351" s="904" t="s">
        <v>1843</v>
      </c>
      <c r="D2351" s="905" t="s">
        <v>1438</v>
      </c>
      <c r="E2351" s="906" t="s">
        <v>1564</v>
      </c>
      <c r="F2351" s="904" t="s">
        <v>1440</v>
      </c>
      <c r="G2351" s="907" t="s">
        <v>1844</v>
      </c>
      <c r="H2351" s="907" t="s">
        <v>1441</v>
      </c>
    </row>
    <row r="2352">
      <c r="A2352" s="755">
        <v>1.0</v>
      </c>
      <c r="B2352" s="755" t="s">
        <v>1443</v>
      </c>
      <c r="C2352" s="755">
        <v>1.0</v>
      </c>
      <c r="D2352" s="752">
        <v>150.0</v>
      </c>
      <c r="E2352" s="753"/>
      <c r="F2352" s="755" t="s">
        <v>1518</v>
      </c>
      <c r="G2352" s="908" t="s">
        <v>1554</v>
      </c>
      <c r="H2352" s="908">
        <v>45141.0</v>
      </c>
    </row>
    <row r="2353">
      <c r="A2353" s="755">
        <v>2.0</v>
      </c>
      <c r="B2353" s="755" t="s">
        <v>1444</v>
      </c>
      <c r="C2353" s="755">
        <v>2.0</v>
      </c>
      <c r="D2353" s="752">
        <v>3.2</v>
      </c>
      <c r="E2353" s="753" t="s">
        <v>1518</v>
      </c>
      <c r="F2353" s="755" t="s">
        <v>1518</v>
      </c>
      <c r="G2353" s="908"/>
      <c r="H2353" s="908">
        <v>45141.0</v>
      </c>
    </row>
    <row r="2354">
      <c r="A2354" s="755">
        <v>3.0</v>
      </c>
      <c r="B2354" s="755" t="s">
        <v>3673</v>
      </c>
      <c r="C2354" s="755">
        <v>1.0</v>
      </c>
      <c r="D2354" s="752">
        <v>5.0</v>
      </c>
      <c r="E2354" s="753">
        <v>1.0</v>
      </c>
      <c r="F2354" s="755" t="s">
        <v>1518</v>
      </c>
      <c r="G2354" s="908" t="s">
        <v>1518</v>
      </c>
      <c r="H2354" s="908">
        <v>45141.0</v>
      </c>
    </row>
    <row r="2355">
      <c r="A2355" s="340">
        <v>4.0</v>
      </c>
      <c r="B2355" s="340" t="s">
        <v>5602</v>
      </c>
      <c r="C2355" s="340">
        <v>1.0</v>
      </c>
      <c r="D2355" s="341">
        <v>11.7</v>
      </c>
      <c r="E2355" s="342">
        <v>2.0</v>
      </c>
      <c r="F2355" s="340" t="s">
        <v>5603</v>
      </c>
      <c r="G2355" s="340" t="s">
        <v>1446</v>
      </c>
      <c r="H2355" s="915">
        <v>46092.0</v>
      </c>
    </row>
    <row r="2356">
      <c r="A2356" s="340">
        <v>5.0</v>
      </c>
      <c r="B2356" s="340" t="s">
        <v>5602</v>
      </c>
      <c r="C2356" s="340">
        <v>1.0</v>
      </c>
      <c r="D2356" s="341">
        <v>11.7</v>
      </c>
      <c r="E2356" s="342">
        <v>2.0</v>
      </c>
      <c r="F2356" s="340" t="s">
        <v>5604</v>
      </c>
      <c r="G2356" s="340" t="s">
        <v>1446</v>
      </c>
      <c r="H2356" s="915">
        <v>46092.0</v>
      </c>
    </row>
    <row r="2357">
      <c r="A2357" s="340">
        <v>6.0</v>
      </c>
      <c r="B2357" s="340" t="s">
        <v>5605</v>
      </c>
      <c r="C2357" s="340">
        <v>1.0</v>
      </c>
      <c r="D2357" s="341">
        <v>59.0</v>
      </c>
      <c r="E2357" s="342">
        <v>4.0</v>
      </c>
      <c r="F2357" s="340" t="s">
        <v>5606</v>
      </c>
      <c r="G2357" s="340" t="s">
        <v>1446</v>
      </c>
      <c r="H2357" s="915">
        <v>46092.0</v>
      </c>
    </row>
    <row r="2358">
      <c r="A2358" s="340">
        <v>7.0</v>
      </c>
      <c r="B2358" s="340" t="s">
        <v>5605</v>
      </c>
      <c r="C2358" s="340">
        <v>1.0</v>
      </c>
      <c r="D2358" s="341">
        <v>59.0</v>
      </c>
      <c r="E2358" s="342">
        <v>4.0</v>
      </c>
      <c r="F2358" s="340" t="s">
        <v>5607</v>
      </c>
      <c r="G2358" s="340" t="s">
        <v>1446</v>
      </c>
      <c r="H2358" s="915">
        <v>46092.0</v>
      </c>
    </row>
    <row r="2359">
      <c r="A2359" s="340">
        <v>8.0</v>
      </c>
      <c r="B2359" s="340" t="s">
        <v>5608</v>
      </c>
      <c r="C2359" s="340">
        <v>1.0</v>
      </c>
      <c r="D2359" s="341">
        <v>6.1</v>
      </c>
      <c r="E2359" s="342">
        <v>1.0</v>
      </c>
      <c r="F2359" s="340" t="s">
        <v>5609</v>
      </c>
      <c r="G2359" s="340" t="s">
        <v>1446</v>
      </c>
      <c r="H2359" s="915">
        <v>46092.0</v>
      </c>
    </row>
    <row r="2360">
      <c r="A2360" s="340">
        <v>9.0</v>
      </c>
      <c r="B2360" s="340" t="s">
        <v>5610</v>
      </c>
      <c r="C2360" s="340">
        <v>1.0</v>
      </c>
      <c r="D2360" s="341">
        <v>3.0</v>
      </c>
      <c r="E2360" s="342">
        <v>1.0</v>
      </c>
      <c r="F2360" s="340" t="s">
        <v>5611</v>
      </c>
      <c r="G2360" s="340" t="s">
        <v>1446</v>
      </c>
      <c r="H2360" s="915">
        <v>46092.0</v>
      </c>
    </row>
    <row r="2361">
      <c r="A2361" s="340">
        <v>10.0</v>
      </c>
      <c r="B2361" s="340" t="s">
        <v>5612</v>
      </c>
      <c r="C2361" s="340">
        <v>1.0</v>
      </c>
      <c r="D2361" s="341">
        <v>4.0</v>
      </c>
      <c r="E2361" s="342">
        <v>1.0</v>
      </c>
      <c r="F2361" s="340" t="s">
        <v>5613</v>
      </c>
      <c r="G2361" s="340" t="s">
        <v>1446</v>
      </c>
      <c r="H2361" s="915">
        <v>46092.0</v>
      </c>
    </row>
    <row r="2362">
      <c r="A2362" s="340">
        <v>11.0</v>
      </c>
      <c r="B2362" s="340" t="s">
        <v>5614</v>
      </c>
      <c r="C2362" s="340">
        <v>1.0</v>
      </c>
      <c r="D2362" s="341">
        <v>9.24</v>
      </c>
      <c r="E2362" s="342">
        <v>1.0</v>
      </c>
      <c r="F2362" s="340" t="s">
        <v>5615</v>
      </c>
      <c r="G2362" s="340" t="s">
        <v>158</v>
      </c>
      <c r="H2362" s="915">
        <v>46094.0</v>
      </c>
    </row>
    <row r="2363">
      <c r="A2363" s="940" t="s">
        <v>1562</v>
      </c>
      <c r="B2363" s="3"/>
      <c r="C2363" s="941">
        <f>sum(C2352:C2359)</f>
        <v>9</v>
      </c>
      <c r="D2363" s="942">
        <f>sum(D2352:D2362)</f>
        <v>321.94</v>
      </c>
      <c r="E2363" s="943">
        <f>sum(E2352:E2361)</f>
        <v>16</v>
      </c>
      <c r="F2363" s="941"/>
      <c r="G2363" s="944"/>
      <c r="H2363" s="944"/>
    </row>
    <row r="2364">
      <c r="A2364" s="712"/>
      <c r="B2364" s="712"/>
      <c r="C2364" s="712"/>
      <c r="D2364" s="808"/>
      <c r="E2364" s="809"/>
      <c r="F2364" s="712"/>
      <c r="G2364" s="810"/>
      <c r="H2364" s="810"/>
    </row>
    <row r="2365">
      <c r="A2365" s="712"/>
      <c r="B2365" s="712"/>
      <c r="C2365" s="712"/>
      <c r="D2365" s="808"/>
      <c r="E2365" s="809"/>
      <c r="F2365" s="712"/>
      <c r="G2365" s="810"/>
      <c r="H2365" s="810"/>
    </row>
    <row r="2366">
      <c r="A2366" s="914" t="s">
        <v>5616</v>
      </c>
      <c r="B2366" s="2"/>
      <c r="C2366" s="2"/>
      <c r="D2366" s="2"/>
      <c r="E2366" s="2"/>
      <c r="F2366" s="2"/>
      <c r="G2366" s="2"/>
      <c r="H2366" s="3"/>
    </row>
    <row r="2367">
      <c r="A2367" s="904" t="s">
        <v>1435</v>
      </c>
      <c r="B2367" s="904" t="s">
        <v>1436</v>
      </c>
      <c r="C2367" s="904" t="s">
        <v>1843</v>
      </c>
      <c r="D2367" s="905" t="s">
        <v>1438</v>
      </c>
      <c r="E2367" s="906" t="s">
        <v>1564</v>
      </c>
      <c r="F2367" s="904" t="s">
        <v>1440</v>
      </c>
      <c r="G2367" s="907" t="s">
        <v>1844</v>
      </c>
      <c r="H2367" s="907" t="s">
        <v>1441</v>
      </c>
    </row>
    <row r="2368">
      <c r="A2368" s="755">
        <v>1.0</v>
      </c>
      <c r="B2368" s="755" t="s">
        <v>1443</v>
      </c>
      <c r="C2368" s="755">
        <v>1.0</v>
      </c>
      <c r="D2368" s="752">
        <v>150.0</v>
      </c>
      <c r="E2368" s="753"/>
      <c r="F2368" s="755" t="s">
        <v>1518</v>
      </c>
      <c r="G2368" s="908" t="s">
        <v>1554</v>
      </c>
      <c r="H2368" s="908">
        <v>45141.0</v>
      </c>
    </row>
    <row r="2369">
      <c r="A2369" s="755">
        <v>2.0</v>
      </c>
      <c r="B2369" s="755" t="s">
        <v>1444</v>
      </c>
      <c r="C2369" s="755">
        <v>2.0</v>
      </c>
      <c r="D2369" s="752">
        <v>3.2</v>
      </c>
      <c r="E2369" s="753" t="s">
        <v>1518</v>
      </c>
      <c r="F2369" s="755" t="s">
        <v>1518</v>
      </c>
      <c r="G2369" s="908"/>
      <c r="H2369" s="908"/>
    </row>
    <row r="2370">
      <c r="A2370" s="755">
        <v>3.0</v>
      </c>
      <c r="B2370" s="755" t="s">
        <v>3673</v>
      </c>
      <c r="C2370" s="755">
        <v>1.0</v>
      </c>
      <c r="D2370" s="752">
        <v>5.0</v>
      </c>
      <c r="E2370" s="753">
        <v>1.0</v>
      </c>
      <c r="F2370" s="755" t="s">
        <v>1518</v>
      </c>
      <c r="G2370" s="908" t="s">
        <v>1518</v>
      </c>
      <c r="H2370" s="908"/>
    </row>
    <row r="2371">
      <c r="A2371" s="340">
        <v>4.0</v>
      </c>
      <c r="B2371" s="340" t="s">
        <v>5617</v>
      </c>
      <c r="C2371" s="340">
        <v>1.0</v>
      </c>
      <c r="D2371" s="341">
        <v>10.5</v>
      </c>
      <c r="E2371" s="342">
        <v>1.0</v>
      </c>
      <c r="F2371" s="340" t="s">
        <v>5618</v>
      </c>
      <c r="G2371" s="340" t="s">
        <v>1554</v>
      </c>
      <c r="H2371" s="915">
        <v>46108.0</v>
      </c>
    </row>
    <row r="2372">
      <c r="A2372" s="345">
        <v>5.0</v>
      </c>
      <c r="B2372" s="345" t="s">
        <v>2393</v>
      </c>
      <c r="C2372" s="345">
        <v>1.0</v>
      </c>
      <c r="D2372" s="757">
        <v>17.4</v>
      </c>
      <c r="E2372" s="347">
        <v>1.0</v>
      </c>
      <c r="F2372" s="806" t="s">
        <v>5619</v>
      </c>
      <c r="G2372" s="345" t="s">
        <v>1554</v>
      </c>
      <c r="H2372" s="931">
        <v>46109.0</v>
      </c>
    </row>
    <row r="2373">
      <c r="A2373" s="345">
        <v>6.0</v>
      </c>
      <c r="B2373" s="345" t="s">
        <v>2393</v>
      </c>
      <c r="C2373" s="345">
        <v>1.0</v>
      </c>
      <c r="D2373" s="757">
        <v>17.4</v>
      </c>
      <c r="E2373" s="347">
        <v>1.0</v>
      </c>
      <c r="F2373" s="806" t="s">
        <v>5620</v>
      </c>
      <c r="G2373" s="345" t="s">
        <v>1554</v>
      </c>
      <c r="H2373" s="931">
        <v>46109.0</v>
      </c>
    </row>
    <row r="2374">
      <c r="A2374" s="345">
        <v>7.0</v>
      </c>
      <c r="B2374" s="345" t="s">
        <v>2393</v>
      </c>
      <c r="C2374" s="345">
        <v>1.0</v>
      </c>
      <c r="D2374" s="757">
        <v>17.4</v>
      </c>
      <c r="E2374" s="347">
        <v>1.0</v>
      </c>
      <c r="F2374" s="806" t="s">
        <v>5621</v>
      </c>
      <c r="G2374" s="345" t="s">
        <v>1554</v>
      </c>
      <c r="H2374" s="931">
        <v>46109.0</v>
      </c>
    </row>
    <row r="2375">
      <c r="A2375" s="680">
        <v>8.0</v>
      </c>
      <c r="B2375" s="680" t="s">
        <v>2393</v>
      </c>
      <c r="C2375" s="680">
        <v>1.0</v>
      </c>
      <c r="D2375" s="890">
        <v>17.4</v>
      </c>
      <c r="E2375" s="1032">
        <v>1.0</v>
      </c>
      <c r="F2375" s="639" t="s">
        <v>5622</v>
      </c>
      <c r="G2375" s="680" t="s">
        <v>5623</v>
      </c>
      <c r="H2375" s="1033">
        <v>46109.0</v>
      </c>
    </row>
    <row r="2376">
      <c r="A2376" s="345">
        <v>9.0</v>
      </c>
      <c r="B2376" s="345" t="s">
        <v>2393</v>
      </c>
      <c r="C2376" s="345">
        <v>1.0</v>
      </c>
      <c r="D2376" s="757">
        <v>17.4</v>
      </c>
      <c r="E2376" s="347">
        <v>1.0</v>
      </c>
      <c r="F2376" s="806" t="s">
        <v>5624</v>
      </c>
      <c r="G2376" s="345" t="s">
        <v>1554</v>
      </c>
      <c r="H2376" s="931">
        <v>46109.0</v>
      </c>
    </row>
    <row r="2377">
      <c r="A2377" s="680">
        <v>10.0</v>
      </c>
      <c r="B2377" s="680" t="s">
        <v>2393</v>
      </c>
      <c r="C2377" s="680">
        <v>1.0</v>
      </c>
      <c r="D2377" s="890"/>
      <c r="E2377" s="1032">
        <v>1.0</v>
      </c>
      <c r="F2377" s="639" t="s">
        <v>5625</v>
      </c>
      <c r="G2377" s="680" t="s">
        <v>5626</v>
      </c>
      <c r="H2377" s="1033">
        <v>46109.0</v>
      </c>
    </row>
    <row r="2378">
      <c r="A2378" s="680">
        <v>11.0</v>
      </c>
      <c r="B2378" s="680" t="s">
        <v>2393</v>
      </c>
      <c r="C2378" s="680">
        <v>1.0</v>
      </c>
      <c r="D2378" s="890">
        <v>17.4</v>
      </c>
      <c r="E2378" s="1032">
        <v>1.0</v>
      </c>
      <c r="F2378" s="639" t="s">
        <v>5627</v>
      </c>
      <c r="G2378" s="680" t="s">
        <v>5623</v>
      </c>
      <c r="H2378" s="1033">
        <v>46109.0</v>
      </c>
    </row>
    <row r="2379">
      <c r="A2379" s="680">
        <v>12.0</v>
      </c>
      <c r="B2379" s="680" t="s">
        <v>2393</v>
      </c>
      <c r="C2379" s="680">
        <v>1.0</v>
      </c>
      <c r="D2379" s="890">
        <v>17.4</v>
      </c>
      <c r="E2379" s="1032">
        <v>1.0</v>
      </c>
      <c r="F2379" s="639" t="s">
        <v>5628</v>
      </c>
      <c r="G2379" s="680" t="s">
        <v>5623</v>
      </c>
      <c r="H2379" s="1033">
        <v>46109.0</v>
      </c>
    </row>
    <row r="2380">
      <c r="A2380" s="345">
        <v>13.0</v>
      </c>
      <c r="B2380" s="345" t="s">
        <v>2393</v>
      </c>
      <c r="C2380" s="345">
        <v>1.0</v>
      </c>
      <c r="D2380" s="757">
        <v>17.4</v>
      </c>
      <c r="E2380" s="347">
        <v>1.0</v>
      </c>
      <c r="F2380" s="806" t="s">
        <v>5629</v>
      </c>
      <c r="G2380" s="345" t="s">
        <v>1554</v>
      </c>
      <c r="H2380" s="931">
        <v>46109.0</v>
      </c>
    </row>
    <row r="2381">
      <c r="A2381" s="680">
        <v>14.0</v>
      </c>
      <c r="B2381" s="680" t="s">
        <v>2393</v>
      </c>
      <c r="C2381" s="680">
        <v>1.0</v>
      </c>
      <c r="D2381" s="890">
        <v>17.4</v>
      </c>
      <c r="E2381" s="1032">
        <v>1.0</v>
      </c>
      <c r="F2381" s="639" t="s">
        <v>5630</v>
      </c>
      <c r="G2381" s="680" t="s">
        <v>5623</v>
      </c>
      <c r="H2381" s="1033">
        <v>46109.0</v>
      </c>
    </row>
    <row r="2382">
      <c r="A2382" s="680">
        <v>15.0</v>
      </c>
      <c r="B2382" s="680" t="s">
        <v>2393</v>
      </c>
      <c r="C2382" s="680">
        <v>1.0</v>
      </c>
      <c r="D2382" s="890">
        <v>17.4</v>
      </c>
      <c r="E2382" s="1032">
        <v>1.0</v>
      </c>
      <c r="F2382" s="680" t="s">
        <v>5631</v>
      </c>
      <c r="G2382" s="680" t="s">
        <v>5623</v>
      </c>
      <c r="H2382" s="1033">
        <v>46111.0</v>
      </c>
    </row>
    <row r="2383">
      <c r="A2383" s="345">
        <v>16.0</v>
      </c>
      <c r="B2383" s="345" t="s">
        <v>5632</v>
      </c>
      <c r="C2383" s="345">
        <v>1.0</v>
      </c>
      <c r="D2383" s="757">
        <v>20.0</v>
      </c>
      <c r="E2383" s="347">
        <v>1.0</v>
      </c>
      <c r="F2383" s="758"/>
      <c r="G2383" s="865" t="s">
        <v>1554</v>
      </c>
      <c r="H2383" s="1034">
        <v>46112.0</v>
      </c>
    </row>
    <row r="2384">
      <c r="A2384" s="345">
        <v>17.0</v>
      </c>
      <c r="B2384" s="345" t="s">
        <v>5632</v>
      </c>
      <c r="C2384" s="345">
        <v>1.0</v>
      </c>
      <c r="D2384" s="757">
        <v>20.0</v>
      </c>
      <c r="E2384" s="347">
        <v>1.0</v>
      </c>
      <c r="F2384" s="758"/>
      <c r="G2384" s="865" t="s">
        <v>1554</v>
      </c>
      <c r="H2384" s="1034">
        <v>46112.0</v>
      </c>
    </row>
    <row r="2385">
      <c r="A2385" s="345">
        <v>18.0</v>
      </c>
      <c r="B2385" s="345" t="s">
        <v>5632</v>
      </c>
      <c r="C2385" s="345">
        <v>1.0</v>
      </c>
      <c r="D2385" s="757">
        <v>20.0</v>
      </c>
      <c r="E2385" s="347">
        <v>1.0</v>
      </c>
      <c r="F2385" s="758"/>
      <c r="G2385" s="865" t="s">
        <v>1554</v>
      </c>
      <c r="H2385" s="1034">
        <v>46112.0</v>
      </c>
    </row>
    <row r="2386">
      <c r="A2386" s="340"/>
      <c r="B2386" s="755"/>
      <c r="C2386" s="755"/>
      <c r="D2386" s="752"/>
      <c r="E2386" s="753"/>
      <c r="F2386" s="755"/>
      <c r="G2386" s="908"/>
      <c r="H2386" s="908"/>
    </row>
    <row r="2387">
      <c r="A2387" s="940" t="s">
        <v>1562</v>
      </c>
      <c r="B2387" s="3"/>
      <c r="C2387" s="941">
        <f t="shared" ref="C2387:E2387" si="103">sum(C2368:C2385)</f>
        <v>19</v>
      </c>
      <c r="D2387" s="942">
        <f t="shared" si="103"/>
        <v>402.7</v>
      </c>
      <c r="E2387" s="943">
        <f t="shared" si="103"/>
        <v>16</v>
      </c>
      <c r="F2387" s="941"/>
      <c r="G2387" s="944"/>
      <c r="H2387" s="944"/>
    </row>
    <row r="2388">
      <c r="A2388" s="712"/>
      <c r="B2388" s="712"/>
      <c r="C2388" s="712"/>
      <c r="D2388" s="808"/>
      <c r="E2388" s="809"/>
      <c r="F2388" s="712"/>
      <c r="G2388" s="810"/>
      <c r="H2388" s="810"/>
    </row>
    <row r="2389">
      <c r="A2389" s="712"/>
      <c r="B2389" s="712"/>
      <c r="C2389" s="712"/>
      <c r="D2389" s="808"/>
      <c r="E2389" s="809"/>
      <c r="F2389" s="712"/>
      <c r="G2389" s="810"/>
      <c r="H2389" s="810"/>
    </row>
    <row r="2390">
      <c r="A2390" s="914" t="s">
        <v>5633</v>
      </c>
      <c r="B2390" s="2"/>
      <c r="C2390" s="2"/>
      <c r="D2390" s="2"/>
      <c r="E2390" s="2"/>
      <c r="F2390" s="2"/>
      <c r="G2390" s="2"/>
      <c r="H2390" s="3"/>
    </row>
    <row r="2391">
      <c r="A2391" s="904" t="s">
        <v>1435</v>
      </c>
      <c r="B2391" s="904" t="s">
        <v>1436</v>
      </c>
      <c r="C2391" s="904" t="s">
        <v>1843</v>
      </c>
      <c r="D2391" s="905" t="s">
        <v>1438</v>
      </c>
      <c r="E2391" s="906" t="s">
        <v>1564</v>
      </c>
      <c r="F2391" s="904" t="s">
        <v>1440</v>
      </c>
      <c r="G2391" s="907" t="s">
        <v>1844</v>
      </c>
      <c r="H2391" s="907" t="s">
        <v>1441</v>
      </c>
    </row>
    <row r="2392">
      <c r="A2392" s="755">
        <v>1.0</v>
      </c>
      <c r="B2392" s="755" t="s">
        <v>1443</v>
      </c>
      <c r="C2392" s="755">
        <v>1.0</v>
      </c>
      <c r="D2392" s="752">
        <v>150.0</v>
      </c>
      <c r="E2392" s="753"/>
      <c r="F2392" s="755" t="s">
        <v>1518</v>
      </c>
      <c r="G2392" s="908" t="s">
        <v>1554</v>
      </c>
      <c r="H2392" s="908">
        <v>45141.0</v>
      </c>
    </row>
    <row r="2393">
      <c r="A2393" s="755">
        <v>2.0</v>
      </c>
      <c r="B2393" s="755" t="s">
        <v>1444</v>
      </c>
      <c r="C2393" s="755">
        <v>2.0</v>
      </c>
      <c r="D2393" s="752">
        <v>3.2</v>
      </c>
      <c r="E2393" s="753" t="s">
        <v>1518</v>
      </c>
      <c r="F2393" s="755" t="s">
        <v>1518</v>
      </c>
      <c r="G2393" s="908"/>
      <c r="H2393" s="908"/>
    </row>
    <row r="2394">
      <c r="A2394" s="755">
        <v>3.0</v>
      </c>
      <c r="B2394" s="755" t="s">
        <v>3673</v>
      </c>
      <c r="C2394" s="755">
        <v>1.0</v>
      </c>
      <c r="D2394" s="752">
        <v>5.0</v>
      </c>
      <c r="E2394" s="753">
        <v>1.0</v>
      </c>
      <c r="F2394" s="755" t="s">
        <v>1518</v>
      </c>
      <c r="G2394" s="908" t="s">
        <v>1518</v>
      </c>
      <c r="H2394" s="908"/>
    </row>
    <row r="2395">
      <c r="A2395" s="758">
        <v>4.0</v>
      </c>
      <c r="B2395" s="345" t="s">
        <v>2393</v>
      </c>
      <c r="C2395" s="345">
        <v>1.0</v>
      </c>
      <c r="D2395" s="757">
        <v>17.4</v>
      </c>
      <c r="E2395" s="347">
        <v>1.0</v>
      </c>
      <c r="F2395" s="806" t="s">
        <v>5634</v>
      </c>
      <c r="G2395" s="338" t="s">
        <v>1554</v>
      </c>
      <c r="H2395" s="931">
        <v>46109.0</v>
      </c>
    </row>
    <row r="2396">
      <c r="A2396" s="758">
        <v>5.0</v>
      </c>
      <c r="B2396" s="345" t="s">
        <v>2393</v>
      </c>
      <c r="C2396" s="345">
        <v>1.0</v>
      </c>
      <c r="D2396" s="757">
        <v>17.4</v>
      </c>
      <c r="E2396" s="347">
        <v>1.0</v>
      </c>
      <c r="F2396" s="806" t="s">
        <v>5635</v>
      </c>
      <c r="G2396" s="338" t="s">
        <v>1554</v>
      </c>
      <c r="H2396" s="931">
        <v>46109.0</v>
      </c>
    </row>
    <row r="2397">
      <c r="A2397" s="758">
        <v>6.0</v>
      </c>
      <c r="B2397" s="345" t="s">
        <v>2393</v>
      </c>
      <c r="C2397" s="345">
        <v>1.0</v>
      </c>
      <c r="D2397" s="757">
        <v>17.4</v>
      </c>
      <c r="E2397" s="347">
        <v>1.0</v>
      </c>
      <c r="F2397" s="806" t="s">
        <v>5636</v>
      </c>
      <c r="G2397" s="338" t="s">
        <v>1554</v>
      </c>
      <c r="H2397" s="931">
        <v>46109.0</v>
      </c>
    </row>
    <row r="2398">
      <c r="A2398" s="758">
        <v>7.0</v>
      </c>
      <c r="B2398" s="345" t="s">
        <v>2393</v>
      </c>
      <c r="C2398" s="345">
        <v>1.0</v>
      </c>
      <c r="D2398" s="757">
        <v>17.4</v>
      </c>
      <c r="E2398" s="347">
        <v>1.0</v>
      </c>
      <c r="F2398" s="806" t="s">
        <v>5637</v>
      </c>
      <c r="G2398" s="338" t="s">
        <v>1554</v>
      </c>
      <c r="H2398" s="931">
        <v>46109.0</v>
      </c>
    </row>
    <row r="2399">
      <c r="A2399" s="758">
        <v>8.0</v>
      </c>
      <c r="B2399" s="345" t="s">
        <v>2393</v>
      </c>
      <c r="C2399" s="345">
        <v>1.0</v>
      </c>
      <c r="D2399" s="757">
        <v>17.4</v>
      </c>
      <c r="E2399" s="347">
        <v>1.0</v>
      </c>
      <c r="F2399" s="806" t="s">
        <v>5638</v>
      </c>
      <c r="G2399" s="338" t="s">
        <v>1554</v>
      </c>
      <c r="H2399" s="931">
        <v>46109.0</v>
      </c>
    </row>
    <row r="2400">
      <c r="A2400" s="758">
        <v>9.0</v>
      </c>
      <c r="B2400" s="345" t="s">
        <v>2393</v>
      </c>
      <c r="C2400" s="345">
        <v>1.0</v>
      </c>
      <c r="D2400" s="757">
        <v>17.4</v>
      </c>
      <c r="E2400" s="347">
        <v>1.0</v>
      </c>
      <c r="F2400" s="806" t="s">
        <v>5639</v>
      </c>
      <c r="G2400" s="338" t="s">
        <v>1554</v>
      </c>
      <c r="H2400" s="931">
        <v>46109.0</v>
      </c>
    </row>
    <row r="2401">
      <c r="A2401" s="758">
        <v>10.0</v>
      </c>
      <c r="B2401" s="345" t="s">
        <v>2393</v>
      </c>
      <c r="C2401" s="345">
        <v>1.0</v>
      </c>
      <c r="D2401" s="757">
        <v>17.4</v>
      </c>
      <c r="E2401" s="347">
        <v>1.0</v>
      </c>
      <c r="F2401" s="806" t="s">
        <v>5640</v>
      </c>
      <c r="G2401" s="338" t="s">
        <v>1554</v>
      </c>
      <c r="H2401" s="931">
        <v>46109.0</v>
      </c>
    </row>
    <row r="2402">
      <c r="A2402" s="758">
        <v>11.0</v>
      </c>
      <c r="B2402" s="345" t="s">
        <v>2393</v>
      </c>
      <c r="C2402" s="345">
        <v>1.0</v>
      </c>
      <c r="D2402" s="757">
        <v>17.4</v>
      </c>
      <c r="E2402" s="347">
        <v>1.0</v>
      </c>
      <c r="F2402" s="806" t="s">
        <v>5641</v>
      </c>
      <c r="G2402" s="338" t="s">
        <v>1554</v>
      </c>
      <c r="H2402" s="931">
        <v>46109.0</v>
      </c>
    </row>
    <row r="2403">
      <c r="A2403" s="758">
        <v>12.0</v>
      </c>
      <c r="B2403" s="345" t="s">
        <v>2393</v>
      </c>
      <c r="C2403" s="345">
        <v>1.0</v>
      </c>
      <c r="D2403" s="757">
        <v>17.4</v>
      </c>
      <c r="E2403" s="347">
        <v>1.0</v>
      </c>
      <c r="F2403" s="806" t="s">
        <v>5642</v>
      </c>
      <c r="G2403" s="338" t="s">
        <v>1554</v>
      </c>
      <c r="H2403" s="931">
        <v>46109.0</v>
      </c>
    </row>
    <row r="2404">
      <c r="A2404" s="758">
        <v>13.0</v>
      </c>
      <c r="B2404" s="345" t="s">
        <v>2393</v>
      </c>
      <c r="C2404" s="345">
        <v>1.0</v>
      </c>
      <c r="D2404" s="757">
        <v>17.4</v>
      </c>
      <c r="E2404" s="347">
        <v>1.0</v>
      </c>
      <c r="F2404" s="806" t="s">
        <v>5643</v>
      </c>
      <c r="G2404" s="338" t="s">
        <v>1554</v>
      </c>
      <c r="H2404" s="931">
        <v>46109.0</v>
      </c>
    </row>
    <row r="2405">
      <c r="A2405" s="758">
        <v>14.0</v>
      </c>
      <c r="B2405" s="865" t="s">
        <v>5644</v>
      </c>
      <c r="C2405" s="865">
        <v>1.0</v>
      </c>
      <c r="D2405" s="866">
        <v>10.5</v>
      </c>
      <c r="E2405" s="1035">
        <v>1.0</v>
      </c>
      <c r="F2405" s="997" t="s">
        <v>5645</v>
      </c>
      <c r="G2405" s="865" t="s">
        <v>1554</v>
      </c>
      <c r="H2405" s="1034">
        <v>46112.0</v>
      </c>
    </row>
    <row r="2406">
      <c r="A2406" s="758">
        <v>15.0</v>
      </c>
      <c r="B2406" s="865" t="s">
        <v>5644</v>
      </c>
      <c r="C2406" s="865">
        <v>1.0</v>
      </c>
      <c r="D2406" s="866">
        <v>10.5</v>
      </c>
      <c r="E2406" s="1035">
        <v>1.0</v>
      </c>
      <c r="F2406" s="997" t="s">
        <v>5646</v>
      </c>
      <c r="G2406" s="865" t="s">
        <v>1554</v>
      </c>
      <c r="H2406" s="1034">
        <v>46112.0</v>
      </c>
    </row>
    <row r="2407">
      <c r="A2407" s="758">
        <v>16.0</v>
      </c>
      <c r="B2407" s="865" t="s">
        <v>5632</v>
      </c>
      <c r="C2407" s="865">
        <v>1.0</v>
      </c>
      <c r="D2407" s="757">
        <v>20.0</v>
      </c>
      <c r="E2407" s="1035">
        <v>1.0</v>
      </c>
      <c r="F2407" s="997"/>
      <c r="G2407" s="865" t="s">
        <v>1554</v>
      </c>
      <c r="H2407" s="1034">
        <v>46112.0</v>
      </c>
    </row>
    <row r="2408">
      <c r="A2408" s="758">
        <v>17.0</v>
      </c>
      <c r="B2408" s="865" t="s">
        <v>5632</v>
      </c>
      <c r="C2408" s="865">
        <v>1.0</v>
      </c>
      <c r="D2408" s="757">
        <v>20.0</v>
      </c>
      <c r="E2408" s="1035">
        <v>1.0</v>
      </c>
      <c r="F2408" s="997"/>
      <c r="G2408" s="865" t="s">
        <v>1554</v>
      </c>
      <c r="H2408" s="1034">
        <v>46112.0</v>
      </c>
    </row>
    <row r="2409">
      <c r="A2409" s="758">
        <v>18.0</v>
      </c>
      <c r="B2409" s="865" t="s">
        <v>5632</v>
      </c>
      <c r="C2409" s="865">
        <v>1.0</v>
      </c>
      <c r="D2409" s="757">
        <v>20.0</v>
      </c>
      <c r="E2409" s="1035">
        <v>1.0</v>
      </c>
      <c r="F2409" s="997"/>
      <c r="G2409" s="865" t="s">
        <v>1554</v>
      </c>
      <c r="H2409" s="1034">
        <v>46112.0</v>
      </c>
    </row>
    <row r="2410">
      <c r="A2410" s="758">
        <v>19.0</v>
      </c>
      <c r="B2410" s="865" t="s">
        <v>5632</v>
      </c>
      <c r="C2410" s="865">
        <v>1.0</v>
      </c>
      <c r="D2410" s="757">
        <v>20.0</v>
      </c>
      <c r="E2410" s="1035">
        <v>1.0</v>
      </c>
      <c r="F2410" s="997"/>
      <c r="G2410" s="865" t="s">
        <v>1554</v>
      </c>
      <c r="H2410" s="1034">
        <v>46112.0</v>
      </c>
    </row>
    <row r="2411">
      <c r="A2411" s="758">
        <v>20.0</v>
      </c>
      <c r="B2411" s="865" t="s">
        <v>5632</v>
      </c>
      <c r="C2411" s="865">
        <v>1.0</v>
      </c>
      <c r="D2411" s="757">
        <v>20.0</v>
      </c>
      <c r="E2411" s="1035">
        <v>1.0</v>
      </c>
      <c r="F2411" s="997"/>
      <c r="G2411" s="865" t="s">
        <v>1554</v>
      </c>
      <c r="H2411" s="1034">
        <v>46112.0</v>
      </c>
    </row>
    <row r="2412">
      <c r="A2412" s="758">
        <v>21.0</v>
      </c>
      <c r="B2412" s="865" t="s">
        <v>5632</v>
      </c>
      <c r="C2412" s="865">
        <v>1.0</v>
      </c>
      <c r="D2412" s="757">
        <v>20.0</v>
      </c>
      <c r="E2412" s="1035">
        <v>1.0</v>
      </c>
      <c r="F2412" s="997"/>
      <c r="G2412" s="865" t="s">
        <v>1554</v>
      </c>
      <c r="H2412" s="1034">
        <v>46112.0</v>
      </c>
    </row>
    <row r="2413">
      <c r="A2413" s="758">
        <v>22.0</v>
      </c>
      <c r="B2413" s="865" t="s">
        <v>5632</v>
      </c>
      <c r="C2413" s="865">
        <v>1.0</v>
      </c>
      <c r="D2413" s="757">
        <v>20.0</v>
      </c>
      <c r="E2413" s="1035">
        <v>1.0</v>
      </c>
      <c r="F2413" s="997"/>
      <c r="G2413" s="865" t="s">
        <v>1554</v>
      </c>
      <c r="H2413" s="1034">
        <v>46112.0</v>
      </c>
    </row>
    <row r="2414">
      <c r="A2414" s="871">
        <v>23.0</v>
      </c>
      <c r="B2414" s="871" t="s">
        <v>2113</v>
      </c>
      <c r="C2414" s="871">
        <v>1.0</v>
      </c>
      <c r="D2414" s="893">
        <v>17.4</v>
      </c>
      <c r="E2414" s="1036">
        <v>1.0</v>
      </c>
      <c r="F2414" s="6" t="s">
        <v>5647</v>
      </c>
      <c r="G2414" s="871" t="s">
        <v>158</v>
      </c>
      <c r="H2414" s="1037">
        <v>46113.0</v>
      </c>
    </row>
    <row r="2415">
      <c r="A2415" s="477"/>
      <c r="B2415" s="477"/>
      <c r="C2415" s="477"/>
      <c r="D2415" s="478"/>
      <c r="E2415" s="479"/>
      <c r="F2415" s="23"/>
      <c r="G2415" s="477"/>
      <c r="H2415" s="1038"/>
    </row>
    <row r="2416">
      <c r="A2416" s="477"/>
      <c r="B2416" s="477"/>
      <c r="C2416" s="477"/>
      <c r="D2416" s="478"/>
      <c r="E2416" s="479"/>
      <c r="F2416" s="23"/>
      <c r="G2416" s="477"/>
      <c r="H2416" s="1038"/>
    </row>
    <row r="2417">
      <c r="A2417" s="940" t="s">
        <v>1562</v>
      </c>
      <c r="B2417" s="3"/>
      <c r="C2417" s="941">
        <f t="shared" ref="C2417:E2417" si="104">sum(C2392:C2413)</f>
        <v>23</v>
      </c>
      <c r="D2417" s="942">
        <f t="shared" si="104"/>
        <v>493.2</v>
      </c>
      <c r="E2417" s="943">
        <f t="shared" si="104"/>
        <v>20</v>
      </c>
      <c r="F2417" s="10"/>
      <c r="G2417" s="944"/>
      <c r="H2417" s="944"/>
    </row>
    <row r="2418">
      <c r="A2418" s="712"/>
      <c r="B2418" s="712"/>
      <c r="C2418" s="712"/>
      <c r="D2418" s="808"/>
      <c r="E2418" s="809"/>
      <c r="F2418" s="712"/>
      <c r="G2418" s="810"/>
      <c r="H2418" s="810"/>
    </row>
    <row r="2419">
      <c r="A2419" s="712"/>
      <c r="B2419" s="712"/>
      <c r="C2419" s="712"/>
      <c r="D2419" s="808"/>
      <c r="E2419" s="809"/>
      <c r="F2419" s="712"/>
      <c r="G2419" s="810"/>
      <c r="H2419" s="810"/>
    </row>
    <row r="2420">
      <c r="A2420" s="914" t="s">
        <v>5648</v>
      </c>
      <c r="B2420" s="2"/>
      <c r="C2420" s="2"/>
      <c r="D2420" s="2"/>
      <c r="E2420" s="2"/>
      <c r="F2420" s="2"/>
      <c r="G2420" s="2"/>
      <c r="H2420" s="3"/>
    </row>
    <row r="2421">
      <c r="A2421" s="904" t="s">
        <v>1435</v>
      </c>
      <c r="B2421" s="904" t="s">
        <v>1436</v>
      </c>
      <c r="C2421" s="904" t="s">
        <v>1843</v>
      </c>
      <c r="D2421" s="905" t="s">
        <v>1438</v>
      </c>
      <c r="E2421" s="906" t="s">
        <v>1564</v>
      </c>
      <c r="F2421" s="904" t="s">
        <v>1440</v>
      </c>
      <c r="G2421" s="907" t="s">
        <v>1844</v>
      </c>
      <c r="H2421" s="907" t="s">
        <v>1441</v>
      </c>
    </row>
    <row r="2422">
      <c r="A2422" s="755">
        <v>1.0</v>
      </c>
      <c r="B2422" s="755" t="s">
        <v>1443</v>
      </c>
      <c r="C2422" s="755">
        <v>1.0</v>
      </c>
      <c r="D2422" s="752">
        <v>150.0</v>
      </c>
      <c r="E2422" s="753"/>
      <c r="F2422" s="755" t="s">
        <v>1518</v>
      </c>
      <c r="G2422" s="908" t="s">
        <v>1554</v>
      </c>
      <c r="H2422" s="908">
        <v>45141.0</v>
      </c>
    </row>
    <row r="2423">
      <c r="A2423" s="755">
        <v>2.0</v>
      </c>
      <c r="B2423" s="755" t="s">
        <v>1444</v>
      </c>
      <c r="C2423" s="755">
        <v>2.0</v>
      </c>
      <c r="D2423" s="752">
        <v>3.2</v>
      </c>
      <c r="E2423" s="753" t="s">
        <v>1518</v>
      </c>
      <c r="F2423" s="755" t="s">
        <v>1518</v>
      </c>
      <c r="G2423" s="908"/>
      <c r="H2423" s="908"/>
    </row>
    <row r="2424">
      <c r="A2424" s="755">
        <v>3.0</v>
      </c>
      <c r="B2424" s="755" t="s">
        <v>3673</v>
      </c>
      <c r="C2424" s="755">
        <v>1.0</v>
      </c>
      <c r="D2424" s="752">
        <v>5.0</v>
      </c>
      <c r="E2424" s="753">
        <v>1.0</v>
      </c>
      <c r="F2424" s="755" t="s">
        <v>1518</v>
      </c>
      <c r="G2424" s="908" t="s">
        <v>1518</v>
      </c>
      <c r="H2424" s="908"/>
    </row>
    <row r="2425">
      <c r="A2425" s="340">
        <v>4.0</v>
      </c>
      <c r="B2425" s="340" t="s">
        <v>5649</v>
      </c>
      <c r="C2425" s="340">
        <v>1.0</v>
      </c>
      <c r="D2425" s="341">
        <v>8.8</v>
      </c>
      <c r="E2425" s="342">
        <v>1.0</v>
      </c>
      <c r="F2425" s="755"/>
      <c r="G2425" s="340" t="s">
        <v>1554</v>
      </c>
      <c r="H2425" s="915">
        <v>45995.0</v>
      </c>
    </row>
    <row r="2426">
      <c r="A2426" s="340">
        <v>5.0</v>
      </c>
      <c r="B2426" s="340" t="s">
        <v>5650</v>
      </c>
      <c r="C2426" s="340">
        <v>1.0</v>
      </c>
      <c r="D2426" s="341">
        <v>10.5</v>
      </c>
      <c r="E2426" s="342">
        <v>1.0</v>
      </c>
      <c r="F2426" s="755"/>
      <c r="G2426" s="340" t="s">
        <v>1554</v>
      </c>
      <c r="H2426" s="915">
        <v>45996.0</v>
      </c>
    </row>
    <row r="2427">
      <c r="A2427" s="340">
        <v>6.0</v>
      </c>
      <c r="B2427" s="340" t="s">
        <v>4968</v>
      </c>
      <c r="C2427" s="340">
        <v>1.0</v>
      </c>
      <c r="D2427" s="341">
        <v>2.1</v>
      </c>
      <c r="E2427" s="342">
        <v>1.0</v>
      </c>
      <c r="F2427" s="755"/>
      <c r="G2427" s="340" t="s">
        <v>1554</v>
      </c>
      <c r="H2427" s="915">
        <v>45997.0</v>
      </c>
    </row>
    <row r="2428">
      <c r="A2428" s="340">
        <v>7.0</v>
      </c>
      <c r="B2428" s="340" t="s">
        <v>4968</v>
      </c>
      <c r="C2428" s="340">
        <v>1.0</v>
      </c>
      <c r="D2428" s="341">
        <v>2.1</v>
      </c>
      <c r="E2428" s="342">
        <v>1.0</v>
      </c>
      <c r="F2428" s="755"/>
      <c r="G2428" s="340" t="s">
        <v>1554</v>
      </c>
      <c r="H2428" s="915">
        <v>45998.0</v>
      </c>
    </row>
    <row r="2429">
      <c r="A2429" s="340">
        <v>8.0</v>
      </c>
      <c r="B2429" s="340" t="s">
        <v>3821</v>
      </c>
      <c r="C2429" s="340">
        <v>1.0</v>
      </c>
      <c r="D2429" s="341">
        <v>17.4</v>
      </c>
      <c r="E2429" s="342">
        <v>1.0</v>
      </c>
      <c r="F2429" s="755"/>
      <c r="G2429" s="340" t="s">
        <v>1554</v>
      </c>
      <c r="H2429" s="915">
        <v>45999.0</v>
      </c>
    </row>
    <row r="2430">
      <c r="A2430" s="340">
        <v>9.0</v>
      </c>
      <c r="B2430" s="340" t="s">
        <v>3821</v>
      </c>
      <c r="C2430" s="340">
        <v>1.0</v>
      </c>
      <c r="D2430" s="341">
        <v>17.4</v>
      </c>
      <c r="E2430" s="342">
        <v>1.0</v>
      </c>
      <c r="F2430" s="755"/>
      <c r="G2430" s="340" t="s">
        <v>1554</v>
      </c>
      <c r="H2430" s="915">
        <v>46000.0</v>
      </c>
    </row>
    <row r="2431">
      <c r="A2431" s="340">
        <v>10.0</v>
      </c>
      <c r="B2431" s="340" t="s">
        <v>5651</v>
      </c>
      <c r="C2431" s="340">
        <v>1.0</v>
      </c>
      <c r="D2431" s="341">
        <v>21.9</v>
      </c>
      <c r="E2431" s="342">
        <v>1.0</v>
      </c>
      <c r="F2431" s="755"/>
      <c r="G2431" s="340" t="s">
        <v>1554</v>
      </c>
      <c r="H2431" s="915">
        <v>46001.0</v>
      </c>
    </row>
    <row r="2432">
      <c r="A2432" s="340">
        <v>11.0</v>
      </c>
      <c r="B2432" s="340" t="s">
        <v>2016</v>
      </c>
      <c r="C2432" s="340">
        <v>1.0</v>
      </c>
      <c r="D2432" s="341">
        <v>17.4</v>
      </c>
      <c r="E2432" s="342">
        <v>1.0</v>
      </c>
      <c r="F2432" s="340" t="s">
        <v>5652</v>
      </c>
      <c r="G2432" s="340" t="s">
        <v>1554</v>
      </c>
      <c r="H2432" s="915">
        <v>46004.0</v>
      </c>
    </row>
    <row r="2433">
      <c r="A2433" s="477">
        <v>12.0</v>
      </c>
      <c r="B2433" s="477" t="s">
        <v>2641</v>
      </c>
      <c r="C2433" s="477">
        <v>1.0</v>
      </c>
      <c r="D2433" s="478">
        <v>28.6</v>
      </c>
      <c r="E2433" s="479">
        <v>2.0</v>
      </c>
      <c r="F2433" s="477" t="s">
        <v>5653</v>
      </c>
      <c r="G2433" s="477" t="s">
        <v>1554</v>
      </c>
      <c r="H2433" s="1038">
        <v>46004.0</v>
      </c>
    </row>
    <row r="2434">
      <c r="A2434" s="477">
        <v>13.0</v>
      </c>
      <c r="B2434" s="477" t="s">
        <v>2016</v>
      </c>
      <c r="C2434" s="477">
        <v>1.0</v>
      </c>
      <c r="D2434" s="478">
        <v>17.4</v>
      </c>
      <c r="E2434" s="479">
        <v>1.0</v>
      </c>
      <c r="F2434" s="477" t="s">
        <v>5654</v>
      </c>
      <c r="G2434" s="477" t="s">
        <v>1554</v>
      </c>
      <c r="H2434" s="1038">
        <v>46031.0</v>
      </c>
    </row>
    <row r="2435">
      <c r="A2435" s="477">
        <v>14.0</v>
      </c>
      <c r="B2435" s="477" t="s">
        <v>2016</v>
      </c>
      <c r="C2435" s="477">
        <v>1.0</v>
      </c>
      <c r="D2435" s="478">
        <v>17.4</v>
      </c>
      <c r="E2435" s="479">
        <v>1.0</v>
      </c>
      <c r="F2435" s="477" t="s">
        <v>5655</v>
      </c>
      <c r="G2435" s="477" t="s">
        <v>1554</v>
      </c>
      <c r="H2435" s="1038">
        <v>46031.0</v>
      </c>
    </row>
    <row r="2436">
      <c r="A2436" s="477">
        <v>15.0</v>
      </c>
      <c r="B2436" s="477" t="s">
        <v>3821</v>
      </c>
      <c r="C2436" s="477">
        <v>1.0</v>
      </c>
      <c r="D2436" s="478">
        <v>17.4</v>
      </c>
      <c r="E2436" s="342">
        <v>1.0</v>
      </c>
      <c r="F2436" s="477" t="s">
        <v>5656</v>
      </c>
      <c r="G2436" s="477" t="s">
        <v>1554</v>
      </c>
      <c r="H2436" s="1038">
        <v>46050.0</v>
      </c>
    </row>
    <row r="2437">
      <c r="A2437" s="477">
        <v>16.0</v>
      </c>
      <c r="B2437" s="477" t="s">
        <v>5657</v>
      </c>
      <c r="C2437" s="477">
        <v>1.0</v>
      </c>
      <c r="D2437" s="478">
        <v>31.5</v>
      </c>
      <c r="E2437" s="479">
        <v>2.0</v>
      </c>
      <c r="F2437" s="477" t="s">
        <v>5658</v>
      </c>
      <c r="G2437" s="477" t="s">
        <v>1554</v>
      </c>
      <c r="H2437" s="1038">
        <v>46050.0</v>
      </c>
    </row>
    <row r="2438">
      <c r="A2438" s="477">
        <v>17.0</v>
      </c>
      <c r="B2438" s="477" t="s">
        <v>5651</v>
      </c>
      <c r="C2438" s="477">
        <v>1.0</v>
      </c>
      <c r="D2438" s="478">
        <v>21.9</v>
      </c>
      <c r="E2438" s="479">
        <v>1.0</v>
      </c>
      <c r="F2438" s="477" t="s">
        <v>5659</v>
      </c>
      <c r="G2438" s="477" t="s">
        <v>1554</v>
      </c>
      <c r="H2438" s="1038">
        <v>46050.0</v>
      </c>
    </row>
    <row r="2439">
      <c r="A2439" s="477">
        <v>18.0</v>
      </c>
      <c r="B2439" s="477" t="s">
        <v>2016</v>
      </c>
      <c r="C2439" s="477">
        <v>1.0</v>
      </c>
      <c r="D2439" s="478">
        <v>17.4</v>
      </c>
      <c r="E2439" s="479">
        <v>1.0</v>
      </c>
      <c r="F2439" s="477" t="s">
        <v>5660</v>
      </c>
      <c r="G2439" s="477" t="s">
        <v>1554</v>
      </c>
      <c r="H2439" s="1038">
        <v>46052.0</v>
      </c>
    </row>
    <row r="2440">
      <c r="A2440" s="477">
        <v>18.0</v>
      </c>
      <c r="B2440" s="477" t="s">
        <v>2016</v>
      </c>
      <c r="C2440" s="477">
        <v>1.0</v>
      </c>
      <c r="D2440" s="478">
        <v>17.4</v>
      </c>
      <c r="E2440" s="479">
        <v>1.0</v>
      </c>
      <c r="F2440" s="477" t="s">
        <v>5661</v>
      </c>
      <c r="G2440" s="477" t="s">
        <v>1554</v>
      </c>
      <c r="H2440" s="1038">
        <v>46066.0</v>
      </c>
    </row>
    <row r="2441">
      <c r="A2441" s="477">
        <v>18.0</v>
      </c>
      <c r="B2441" s="477" t="s">
        <v>2016</v>
      </c>
      <c r="C2441" s="477">
        <v>1.0</v>
      </c>
      <c r="D2441" s="478">
        <v>17.4</v>
      </c>
      <c r="E2441" s="479">
        <v>1.0</v>
      </c>
      <c r="F2441" s="477" t="s">
        <v>5662</v>
      </c>
      <c r="G2441" s="477" t="s">
        <v>1554</v>
      </c>
      <c r="H2441" s="1038">
        <v>46066.0</v>
      </c>
    </row>
    <row r="2442">
      <c r="A2442" s="477">
        <v>18.0</v>
      </c>
      <c r="B2442" s="477" t="s">
        <v>2016</v>
      </c>
      <c r="C2442" s="477">
        <v>1.0</v>
      </c>
      <c r="D2442" s="478">
        <v>17.4</v>
      </c>
      <c r="E2442" s="479">
        <v>1.0</v>
      </c>
      <c r="F2442" s="477" t="s">
        <v>5663</v>
      </c>
      <c r="G2442" s="477" t="s">
        <v>1554</v>
      </c>
      <c r="H2442" s="1038">
        <v>46066.0</v>
      </c>
    </row>
    <row r="2443">
      <c r="A2443" s="477">
        <v>18.0</v>
      </c>
      <c r="B2443" s="477" t="s">
        <v>2016</v>
      </c>
      <c r="C2443" s="477">
        <v>1.0</v>
      </c>
      <c r="D2443" s="478">
        <v>17.4</v>
      </c>
      <c r="E2443" s="479">
        <v>1.0</v>
      </c>
      <c r="F2443" s="477" t="s">
        <v>5664</v>
      </c>
      <c r="G2443" s="477" t="s">
        <v>1554</v>
      </c>
      <c r="H2443" s="1038">
        <v>46066.0</v>
      </c>
    </row>
    <row r="2444">
      <c r="A2444" s="477">
        <v>18.0</v>
      </c>
      <c r="B2444" s="477" t="s">
        <v>2016</v>
      </c>
      <c r="C2444" s="477">
        <v>1.0</v>
      </c>
      <c r="D2444" s="478">
        <v>17.4</v>
      </c>
      <c r="E2444" s="479">
        <v>1.0</v>
      </c>
      <c r="F2444" s="477" t="s">
        <v>5665</v>
      </c>
      <c r="G2444" s="477" t="s">
        <v>1554</v>
      </c>
      <c r="H2444" s="1038">
        <v>46066.0</v>
      </c>
    </row>
    <row r="2445">
      <c r="A2445" s="940" t="s">
        <v>1562</v>
      </c>
      <c r="B2445" s="3"/>
      <c r="C2445" s="941">
        <f t="shared" ref="C2445:E2445" si="105">sum(C2422:C2444)</f>
        <v>24</v>
      </c>
      <c r="D2445" s="942">
        <f t="shared" si="105"/>
        <v>494.4</v>
      </c>
      <c r="E2445" s="943">
        <f t="shared" si="105"/>
        <v>23</v>
      </c>
      <c r="F2445" s="941"/>
      <c r="G2445" s="944"/>
      <c r="H2445" s="944"/>
    </row>
    <row r="2446">
      <c r="A2446" s="712"/>
      <c r="B2446" s="712"/>
      <c r="C2446" s="712"/>
      <c r="D2446" s="808"/>
      <c r="E2446" s="809"/>
      <c r="F2446" s="712"/>
      <c r="G2446" s="810"/>
      <c r="H2446" s="810"/>
    </row>
    <row r="2447">
      <c r="A2447" s="712"/>
      <c r="B2447" s="712"/>
      <c r="C2447" s="712"/>
      <c r="D2447" s="808"/>
      <c r="E2447" s="809"/>
      <c r="F2447" s="712"/>
      <c r="G2447" s="810"/>
      <c r="H2447" s="810"/>
    </row>
    <row r="2448">
      <c r="A2448" s="914" t="s">
        <v>5666</v>
      </c>
      <c r="B2448" s="2"/>
      <c r="C2448" s="2"/>
      <c r="D2448" s="2"/>
      <c r="E2448" s="2"/>
      <c r="F2448" s="2"/>
      <c r="G2448" s="2"/>
      <c r="H2448" s="3"/>
    </row>
    <row r="2449">
      <c r="A2449" s="904" t="s">
        <v>1435</v>
      </c>
      <c r="B2449" s="904" t="s">
        <v>1436</v>
      </c>
      <c r="C2449" s="904" t="s">
        <v>1843</v>
      </c>
      <c r="D2449" s="905" t="s">
        <v>1438</v>
      </c>
      <c r="E2449" s="906" t="s">
        <v>1564</v>
      </c>
      <c r="F2449" s="904" t="s">
        <v>1440</v>
      </c>
      <c r="G2449" s="907" t="s">
        <v>1844</v>
      </c>
      <c r="H2449" s="907" t="s">
        <v>1441</v>
      </c>
    </row>
    <row r="2450">
      <c r="A2450" s="755">
        <v>1.0</v>
      </c>
      <c r="B2450" s="755" t="s">
        <v>1443</v>
      </c>
      <c r="C2450" s="755">
        <v>1.0</v>
      </c>
      <c r="D2450" s="752">
        <v>150.0</v>
      </c>
      <c r="E2450" s="753"/>
      <c r="F2450" s="755" t="s">
        <v>1518</v>
      </c>
      <c r="G2450" s="908" t="s">
        <v>1554</v>
      </c>
      <c r="H2450" s="908">
        <v>45141.0</v>
      </c>
    </row>
    <row r="2451">
      <c r="A2451" s="755">
        <v>2.0</v>
      </c>
      <c r="B2451" s="755" t="s">
        <v>1444</v>
      </c>
      <c r="C2451" s="755">
        <v>2.0</v>
      </c>
      <c r="D2451" s="752">
        <v>3.2</v>
      </c>
      <c r="E2451" s="753" t="s">
        <v>1518</v>
      </c>
      <c r="F2451" s="755" t="s">
        <v>1518</v>
      </c>
      <c r="G2451" s="908"/>
      <c r="H2451" s="908"/>
    </row>
    <row r="2452">
      <c r="A2452" s="755">
        <v>3.0</v>
      </c>
      <c r="B2452" s="755" t="s">
        <v>3673</v>
      </c>
      <c r="C2452" s="755">
        <v>1.0</v>
      </c>
      <c r="D2452" s="752">
        <v>5.0</v>
      </c>
      <c r="E2452" s="753">
        <v>1.0</v>
      </c>
      <c r="F2452" s="755" t="s">
        <v>1518</v>
      </c>
      <c r="G2452" s="908" t="s">
        <v>1518</v>
      </c>
      <c r="H2452" s="908"/>
    </row>
    <row r="2453">
      <c r="A2453" s="755"/>
      <c r="B2453" s="755"/>
      <c r="C2453" s="755"/>
      <c r="D2453" s="752"/>
      <c r="E2453" s="753"/>
      <c r="F2453" s="755"/>
      <c r="G2453" s="908"/>
      <c r="H2453" s="908"/>
    </row>
    <row r="2454">
      <c r="A2454" s="755"/>
      <c r="B2454" s="755"/>
      <c r="C2454" s="755"/>
      <c r="D2454" s="752"/>
      <c r="E2454" s="753"/>
      <c r="F2454" s="755"/>
      <c r="G2454" s="908"/>
      <c r="H2454" s="908"/>
    </row>
    <row r="2455">
      <c r="A2455" s="755"/>
      <c r="B2455" s="755"/>
      <c r="C2455" s="755"/>
      <c r="D2455" s="752"/>
      <c r="E2455" s="753"/>
      <c r="F2455" s="755"/>
      <c r="G2455" s="908"/>
      <c r="H2455" s="908"/>
    </row>
    <row r="2456">
      <c r="A2456" s="755"/>
      <c r="B2456" s="755"/>
      <c r="C2456" s="755"/>
      <c r="D2456" s="752"/>
      <c r="E2456" s="753"/>
      <c r="F2456" s="755"/>
      <c r="G2456" s="908"/>
      <c r="H2456" s="908"/>
    </row>
    <row r="2457">
      <c r="A2457" s="755"/>
      <c r="B2457" s="755"/>
      <c r="C2457" s="755"/>
      <c r="D2457" s="752"/>
      <c r="E2457" s="753"/>
      <c r="F2457" s="755"/>
      <c r="G2457" s="908"/>
      <c r="H2457" s="908"/>
    </row>
    <row r="2458">
      <c r="A2458" s="940" t="s">
        <v>1562</v>
      </c>
      <c r="B2458" s="3"/>
      <c r="C2458" s="941">
        <f t="shared" ref="C2458:E2458" si="106">sum(C2450:C2457)</f>
        <v>4</v>
      </c>
      <c r="D2458" s="942">
        <f t="shared" si="106"/>
        <v>158.2</v>
      </c>
      <c r="E2458" s="943">
        <f t="shared" si="106"/>
        <v>1</v>
      </c>
      <c r="F2458" s="941"/>
      <c r="G2458" s="944"/>
      <c r="H2458" s="944"/>
    </row>
    <row r="2459">
      <c r="A2459" s="712"/>
      <c r="B2459" s="712"/>
      <c r="C2459" s="712"/>
      <c r="D2459" s="808"/>
      <c r="E2459" s="809"/>
      <c r="F2459" s="712"/>
      <c r="G2459" s="810"/>
      <c r="H2459" s="810"/>
    </row>
    <row r="2460">
      <c r="A2460" s="712"/>
      <c r="B2460" s="712"/>
      <c r="C2460" s="712"/>
      <c r="D2460" s="808"/>
      <c r="E2460" s="809"/>
      <c r="F2460" s="712"/>
      <c r="G2460" s="810"/>
      <c r="H2460" s="810"/>
    </row>
    <row r="2461">
      <c r="A2461" s="1039" t="s">
        <v>5667</v>
      </c>
      <c r="B2461" s="2"/>
      <c r="C2461" s="2"/>
      <c r="D2461" s="2"/>
      <c r="E2461" s="2"/>
      <c r="F2461" s="2"/>
      <c r="G2461" s="2"/>
      <c r="H2461" s="3"/>
    </row>
    <row r="2462">
      <c r="A2462" s="1040" t="s">
        <v>1435</v>
      </c>
      <c r="B2462" s="1040" t="s">
        <v>1436</v>
      </c>
      <c r="C2462" s="1040" t="s">
        <v>1843</v>
      </c>
      <c r="D2462" s="1041" t="s">
        <v>1438</v>
      </c>
      <c r="E2462" s="1042" t="s">
        <v>1564</v>
      </c>
      <c r="F2462" s="1040" t="s">
        <v>1440</v>
      </c>
      <c r="G2462" s="1043" t="s">
        <v>1844</v>
      </c>
      <c r="H2462" s="1043" t="s">
        <v>1441</v>
      </c>
    </row>
    <row r="2463">
      <c r="A2463" s="1044">
        <v>1.0</v>
      </c>
      <c r="B2463" s="1044" t="s">
        <v>1443</v>
      </c>
      <c r="C2463" s="1044">
        <v>1.0</v>
      </c>
      <c r="D2463" s="1045">
        <v>150.0</v>
      </c>
      <c r="E2463" s="1046"/>
      <c r="F2463" s="1044" t="s">
        <v>1518</v>
      </c>
      <c r="G2463" s="1047" t="s">
        <v>1554</v>
      </c>
      <c r="H2463" s="1047">
        <v>45141.0</v>
      </c>
    </row>
    <row r="2464">
      <c r="A2464" s="1044">
        <v>2.0</v>
      </c>
      <c r="B2464" s="1044" t="s">
        <v>1444</v>
      </c>
      <c r="C2464" s="1044">
        <v>2.0</v>
      </c>
      <c r="D2464" s="1045">
        <v>3.2</v>
      </c>
      <c r="E2464" s="1048" t="s">
        <v>1518</v>
      </c>
      <c r="F2464" s="1044" t="s">
        <v>1518</v>
      </c>
      <c r="G2464" s="1049"/>
      <c r="H2464" s="1049"/>
    </row>
    <row r="2465">
      <c r="A2465" s="1044">
        <v>3.0</v>
      </c>
      <c r="B2465" s="1044" t="s">
        <v>3673</v>
      </c>
      <c r="C2465" s="1044">
        <v>1.0</v>
      </c>
      <c r="D2465" s="1045">
        <v>5.0</v>
      </c>
      <c r="E2465" s="1048">
        <v>1.0</v>
      </c>
      <c r="F2465" s="1044" t="s">
        <v>1518</v>
      </c>
      <c r="G2465" s="1047" t="s">
        <v>1518</v>
      </c>
      <c r="H2465" s="1049"/>
    </row>
    <row r="2466">
      <c r="A2466" s="1050"/>
      <c r="B2466" s="1050"/>
      <c r="C2466" s="1050"/>
      <c r="D2466" s="1051"/>
      <c r="E2466" s="1046"/>
      <c r="F2466" s="1044"/>
      <c r="G2466" s="1049"/>
      <c r="H2466" s="1049"/>
    </row>
    <row r="2467">
      <c r="A2467" s="1050"/>
      <c r="B2467" s="1050"/>
      <c r="C2467" s="1050"/>
      <c r="D2467" s="1051"/>
      <c r="E2467" s="1046"/>
      <c r="F2467" s="1044"/>
      <c r="G2467" s="1049"/>
      <c r="H2467" s="1049"/>
    </row>
    <row r="2468">
      <c r="A2468" s="1050"/>
      <c r="B2468" s="1050"/>
      <c r="C2468" s="1050"/>
      <c r="D2468" s="1051"/>
      <c r="E2468" s="1046"/>
      <c r="F2468" s="1044"/>
      <c r="G2468" s="1049"/>
      <c r="H2468" s="1049"/>
    </row>
    <row r="2469">
      <c r="A2469" s="1050"/>
      <c r="B2469" s="1050"/>
      <c r="C2469" s="1050"/>
      <c r="D2469" s="1051"/>
      <c r="E2469" s="1046"/>
      <c r="F2469" s="1044"/>
      <c r="G2469" s="1049"/>
      <c r="H2469" s="1049"/>
    </row>
    <row r="2470">
      <c r="A2470" s="1050"/>
      <c r="B2470" s="1050"/>
      <c r="C2470" s="1050"/>
      <c r="D2470" s="1051"/>
      <c r="E2470" s="1046"/>
      <c r="F2470" s="1044"/>
      <c r="G2470" s="1049"/>
      <c r="H2470" s="1049"/>
    </row>
    <row r="2471">
      <c r="A2471" s="1052" t="s">
        <v>1562</v>
      </c>
      <c r="B2471" s="3"/>
      <c r="C2471" s="1044">
        <f t="shared" ref="C2471:E2471" si="107">sum(C2463:C2470)</f>
        <v>4</v>
      </c>
      <c r="D2471" s="1045">
        <f t="shared" si="107"/>
        <v>158.2</v>
      </c>
      <c r="E2471" s="1048">
        <f t="shared" si="107"/>
        <v>1</v>
      </c>
      <c r="F2471" s="1044"/>
      <c r="G2471" s="1049"/>
      <c r="H2471" s="1049"/>
    </row>
    <row r="2472">
      <c r="A2472" s="712"/>
      <c r="B2472" s="712"/>
      <c r="C2472" s="712"/>
      <c r="D2472" s="808"/>
      <c r="E2472" s="809"/>
      <c r="F2472" s="712"/>
      <c r="G2472" s="810"/>
      <c r="H2472" s="810"/>
    </row>
    <row r="2473">
      <c r="A2473" s="712"/>
      <c r="B2473" s="712"/>
      <c r="C2473" s="712"/>
      <c r="D2473" s="808"/>
      <c r="E2473" s="809"/>
      <c r="F2473" s="712"/>
      <c r="G2473" s="810"/>
      <c r="H2473" s="810"/>
    </row>
    <row r="2474">
      <c r="A2474" s="1039" t="s">
        <v>5668</v>
      </c>
      <c r="B2474" s="2"/>
      <c r="C2474" s="2"/>
      <c r="D2474" s="2"/>
      <c r="E2474" s="2"/>
      <c r="F2474" s="2"/>
      <c r="G2474" s="2"/>
      <c r="H2474" s="3"/>
    </row>
    <row r="2475">
      <c r="A2475" s="1040" t="s">
        <v>1435</v>
      </c>
      <c r="B2475" s="1040" t="s">
        <v>1436</v>
      </c>
      <c r="C2475" s="1040" t="s">
        <v>1843</v>
      </c>
      <c r="D2475" s="1041" t="s">
        <v>1438</v>
      </c>
      <c r="E2475" s="1042" t="s">
        <v>1564</v>
      </c>
      <c r="F2475" s="1040" t="s">
        <v>1440</v>
      </c>
      <c r="G2475" s="1043" t="s">
        <v>1844</v>
      </c>
      <c r="H2475" s="1043" t="s">
        <v>1441</v>
      </c>
    </row>
    <row r="2476">
      <c r="A2476" s="1044">
        <v>1.0</v>
      </c>
      <c r="B2476" s="1044" t="s">
        <v>1443</v>
      </c>
      <c r="C2476" s="1044">
        <v>1.0</v>
      </c>
      <c r="D2476" s="1045">
        <v>150.0</v>
      </c>
      <c r="E2476" s="1046"/>
      <c r="F2476" s="1044" t="s">
        <v>1518</v>
      </c>
      <c r="G2476" s="1047" t="s">
        <v>1554</v>
      </c>
      <c r="H2476" s="1047">
        <v>45141.0</v>
      </c>
    </row>
    <row r="2477">
      <c r="A2477" s="1044">
        <v>2.0</v>
      </c>
      <c r="B2477" s="1044" t="s">
        <v>1444</v>
      </c>
      <c r="C2477" s="1044">
        <v>2.0</v>
      </c>
      <c r="D2477" s="1045">
        <v>3.2</v>
      </c>
      <c r="E2477" s="1048" t="s">
        <v>1518</v>
      </c>
      <c r="F2477" s="1044" t="s">
        <v>1518</v>
      </c>
      <c r="G2477" s="1049"/>
      <c r="H2477" s="1049"/>
    </row>
    <row r="2478">
      <c r="A2478" s="1044">
        <v>3.0</v>
      </c>
      <c r="B2478" s="1044" t="s">
        <v>3673</v>
      </c>
      <c r="C2478" s="1044">
        <v>1.0</v>
      </c>
      <c r="D2478" s="1045">
        <v>5.0</v>
      </c>
      <c r="E2478" s="1048">
        <v>1.0</v>
      </c>
      <c r="F2478" s="1044" t="s">
        <v>1518</v>
      </c>
      <c r="G2478" s="720" t="s">
        <v>1554</v>
      </c>
      <c r="H2478" s="1053">
        <v>46006.0</v>
      </c>
    </row>
    <row r="2479">
      <c r="A2479" s="1054">
        <v>4.0</v>
      </c>
      <c r="B2479" s="1054" t="s">
        <v>1652</v>
      </c>
      <c r="C2479" s="1054">
        <v>1.0</v>
      </c>
      <c r="D2479" s="1055">
        <v>2.0</v>
      </c>
      <c r="E2479" s="1056">
        <v>1.0</v>
      </c>
      <c r="F2479" s="997" t="s">
        <v>5669</v>
      </c>
      <c r="G2479" s="1054" t="s">
        <v>1554</v>
      </c>
      <c r="H2479" s="1057">
        <v>46009.0</v>
      </c>
    </row>
    <row r="2480">
      <c r="A2480" s="1054">
        <v>5.0</v>
      </c>
      <c r="B2480" s="1054" t="s">
        <v>1652</v>
      </c>
      <c r="C2480" s="1054">
        <v>1.0</v>
      </c>
      <c r="D2480" s="1055">
        <v>2.0</v>
      </c>
      <c r="E2480" s="1056">
        <v>1.0</v>
      </c>
      <c r="F2480" s="997" t="s">
        <v>5670</v>
      </c>
      <c r="G2480" s="1054" t="s">
        <v>1554</v>
      </c>
      <c r="H2480" s="1057">
        <v>46009.0</v>
      </c>
    </row>
    <row r="2481">
      <c r="A2481" s="1054">
        <v>6.0</v>
      </c>
      <c r="B2481" s="1054" t="s">
        <v>5671</v>
      </c>
      <c r="C2481" s="1054">
        <v>1.0</v>
      </c>
      <c r="D2481" s="1055">
        <v>2.0</v>
      </c>
      <c r="E2481" s="1056">
        <v>1.0</v>
      </c>
      <c r="F2481" s="1058"/>
      <c r="G2481" s="1054" t="s">
        <v>1554</v>
      </c>
      <c r="H2481" s="1057">
        <v>46009.0</v>
      </c>
    </row>
    <row r="2482">
      <c r="A2482" s="1054">
        <v>7.0</v>
      </c>
      <c r="B2482" s="1054" t="s">
        <v>5672</v>
      </c>
      <c r="C2482" s="1054">
        <v>1.0</v>
      </c>
      <c r="D2482" s="1055">
        <v>7.3</v>
      </c>
      <c r="E2482" s="1056">
        <v>1.0</v>
      </c>
      <c r="F2482" s="997" t="s">
        <v>5673</v>
      </c>
      <c r="G2482" s="1054" t="s">
        <v>1554</v>
      </c>
      <c r="H2482" s="1057">
        <v>46009.0</v>
      </c>
    </row>
    <row r="2483">
      <c r="A2483" s="1054">
        <v>8.0</v>
      </c>
      <c r="B2483" s="1054" t="s">
        <v>5674</v>
      </c>
      <c r="C2483" s="1054">
        <v>1.0</v>
      </c>
      <c r="D2483" s="1055">
        <v>12.3</v>
      </c>
      <c r="E2483" s="1055">
        <v>12.3</v>
      </c>
      <c r="F2483" s="997" t="s">
        <v>5675</v>
      </c>
      <c r="G2483" s="1054" t="s">
        <v>1554</v>
      </c>
      <c r="H2483" s="1057">
        <v>46009.0</v>
      </c>
    </row>
    <row r="2484">
      <c r="A2484" s="1054">
        <v>9.0</v>
      </c>
      <c r="B2484" s="720" t="s">
        <v>5676</v>
      </c>
      <c r="C2484" s="720">
        <v>1.0</v>
      </c>
      <c r="D2484" s="1059">
        <v>1.2</v>
      </c>
      <c r="E2484" s="1048"/>
      <c r="F2484" s="720" t="s">
        <v>5677</v>
      </c>
      <c r="G2484" s="720" t="s">
        <v>1554</v>
      </c>
      <c r="H2484" s="1053">
        <v>46041.0</v>
      </c>
    </row>
    <row r="2485">
      <c r="A2485" s="1054">
        <v>10.0</v>
      </c>
      <c r="B2485" s="720" t="s">
        <v>5678</v>
      </c>
      <c r="C2485" s="720">
        <v>1.0</v>
      </c>
      <c r="D2485" s="1059">
        <v>12.2</v>
      </c>
      <c r="E2485" s="1060" t="s">
        <v>2077</v>
      </c>
      <c r="F2485" s="720" t="s">
        <v>5679</v>
      </c>
      <c r="G2485" s="720" t="s">
        <v>5680</v>
      </c>
      <c r="H2485" s="1053">
        <v>46041.0</v>
      </c>
    </row>
    <row r="2486">
      <c r="A2486" s="720">
        <v>11.0</v>
      </c>
      <c r="B2486" s="720" t="s">
        <v>5681</v>
      </c>
      <c r="C2486" s="720">
        <v>1.0</v>
      </c>
      <c r="D2486" s="1059">
        <v>3.0</v>
      </c>
      <c r="E2486" s="1060">
        <v>1.0</v>
      </c>
      <c r="F2486" s="23" t="s">
        <v>5682</v>
      </c>
      <c r="G2486" s="720" t="s">
        <v>1554</v>
      </c>
      <c r="H2486" s="1053">
        <v>46085.0</v>
      </c>
    </row>
    <row r="2487">
      <c r="A2487" s="1054">
        <v>12.0</v>
      </c>
      <c r="B2487" s="1054" t="s">
        <v>2115</v>
      </c>
      <c r="C2487" s="1054">
        <v>1.0</v>
      </c>
      <c r="D2487" s="1055">
        <v>2.0</v>
      </c>
      <c r="E2487" s="1061">
        <v>1.0</v>
      </c>
      <c r="F2487" s="1054" t="s">
        <v>5683</v>
      </c>
      <c r="G2487" s="1054" t="s">
        <v>1554</v>
      </c>
      <c r="H2487" s="1057">
        <v>46115.0</v>
      </c>
    </row>
    <row r="2488">
      <c r="A2488" s="1054">
        <v>13.0</v>
      </c>
      <c r="B2488" s="1054" t="s">
        <v>4757</v>
      </c>
      <c r="C2488" s="1054">
        <v>1.0</v>
      </c>
      <c r="D2488" s="1055">
        <v>1.0</v>
      </c>
      <c r="E2488" s="1061">
        <v>1.0</v>
      </c>
      <c r="F2488" s="1054" t="s">
        <v>5684</v>
      </c>
      <c r="G2488" s="1054" t="s">
        <v>1554</v>
      </c>
      <c r="H2488" s="1057">
        <v>46115.0</v>
      </c>
    </row>
    <row r="2489">
      <c r="A2489" s="1054">
        <v>14.0</v>
      </c>
      <c r="B2489" s="1054" t="s">
        <v>5685</v>
      </c>
      <c r="C2489" s="1054">
        <v>1.0</v>
      </c>
      <c r="D2489" s="1055">
        <v>12.3</v>
      </c>
      <c r="E2489" s="1061">
        <v>1.0</v>
      </c>
      <c r="F2489" s="1054" t="s">
        <v>5686</v>
      </c>
      <c r="G2489" s="1054" t="s">
        <v>1554</v>
      </c>
      <c r="H2489" s="1057">
        <v>46115.0</v>
      </c>
    </row>
    <row r="2490">
      <c r="A2490" s="1052" t="s">
        <v>1562</v>
      </c>
      <c r="B2490" s="3"/>
      <c r="C2490" s="1044">
        <f t="shared" ref="C2490:E2490" si="108">sum(C2476:C2486)</f>
        <v>12</v>
      </c>
      <c r="D2490" s="1045">
        <f t="shared" si="108"/>
        <v>200.2</v>
      </c>
      <c r="E2490" s="1048">
        <f t="shared" si="108"/>
        <v>18.3</v>
      </c>
      <c r="F2490" s="1044"/>
      <c r="G2490" s="1049"/>
      <c r="H2490" s="1049"/>
    </row>
    <row r="2491">
      <c r="A2491" s="712"/>
      <c r="B2491" s="712"/>
      <c r="C2491" s="712"/>
      <c r="D2491" s="808"/>
      <c r="E2491" s="809"/>
      <c r="F2491" s="712"/>
      <c r="G2491" s="810"/>
      <c r="H2491" s="810"/>
    </row>
    <row r="2492">
      <c r="A2492" s="712"/>
      <c r="B2492" s="712"/>
      <c r="C2492" s="712"/>
      <c r="D2492" s="808"/>
      <c r="E2492" s="809"/>
      <c r="F2492" s="712"/>
      <c r="G2492" s="810"/>
      <c r="H2492" s="810"/>
    </row>
    <row r="2493">
      <c r="A2493" s="1039" t="s">
        <v>5687</v>
      </c>
      <c r="B2493" s="2"/>
      <c r="C2493" s="2"/>
      <c r="D2493" s="2"/>
      <c r="E2493" s="2"/>
      <c r="F2493" s="2"/>
      <c r="G2493" s="2"/>
      <c r="H2493" s="3"/>
    </row>
    <row r="2494">
      <c r="A2494" s="1040" t="s">
        <v>1435</v>
      </c>
      <c r="B2494" s="1040" t="s">
        <v>1436</v>
      </c>
      <c r="C2494" s="1040" t="s">
        <v>1843</v>
      </c>
      <c r="D2494" s="1041" t="s">
        <v>1438</v>
      </c>
      <c r="E2494" s="1042" t="s">
        <v>1564</v>
      </c>
      <c r="F2494" s="1040" t="s">
        <v>1440</v>
      </c>
      <c r="G2494" s="1043" t="s">
        <v>1844</v>
      </c>
      <c r="H2494" s="1043" t="s">
        <v>1441</v>
      </c>
    </row>
    <row r="2495">
      <c r="A2495" s="1044">
        <v>1.0</v>
      </c>
      <c r="B2495" s="1044" t="s">
        <v>1443</v>
      </c>
      <c r="C2495" s="1044">
        <v>1.0</v>
      </c>
      <c r="D2495" s="1045">
        <v>150.0</v>
      </c>
      <c r="E2495" s="1046"/>
      <c r="F2495" s="1044" t="s">
        <v>1518</v>
      </c>
      <c r="G2495" s="1047" t="s">
        <v>1554</v>
      </c>
      <c r="H2495" s="1047">
        <v>45141.0</v>
      </c>
    </row>
    <row r="2496">
      <c r="A2496" s="1044">
        <v>2.0</v>
      </c>
      <c r="B2496" s="1044" t="s">
        <v>1444</v>
      </c>
      <c r="C2496" s="1044">
        <v>2.0</v>
      </c>
      <c r="D2496" s="1045">
        <v>3.2</v>
      </c>
      <c r="E2496" s="1048" t="s">
        <v>1518</v>
      </c>
      <c r="F2496" s="1044" t="s">
        <v>1518</v>
      </c>
      <c r="G2496" s="1049"/>
      <c r="H2496" s="1049"/>
    </row>
    <row r="2497">
      <c r="A2497" s="1044">
        <v>3.0</v>
      </c>
      <c r="B2497" s="1044" t="s">
        <v>3673</v>
      </c>
      <c r="C2497" s="1044">
        <v>1.0</v>
      </c>
      <c r="D2497" s="1045">
        <v>5.0</v>
      </c>
      <c r="E2497" s="1048">
        <v>1.0</v>
      </c>
      <c r="F2497" s="1044" t="s">
        <v>1518</v>
      </c>
      <c r="G2497" s="1047" t="s">
        <v>1518</v>
      </c>
      <c r="H2497" s="1049"/>
    </row>
    <row r="2498">
      <c r="A2498" s="1050"/>
      <c r="B2498" s="1050"/>
      <c r="C2498" s="1050"/>
      <c r="D2498" s="1051"/>
      <c r="E2498" s="1046"/>
      <c r="F2498" s="1044"/>
      <c r="G2498" s="1049"/>
      <c r="H2498" s="1049"/>
    </row>
    <row r="2499">
      <c r="A2499" s="1050"/>
      <c r="B2499" s="1050"/>
      <c r="C2499" s="1050"/>
      <c r="D2499" s="1051"/>
      <c r="E2499" s="1046"/>
      <c r="F2499" s="1044"/>
      <c r="G2499" s="1049"/>
      <c r="H2499" s="1049"/>
    </row>
    <row r="2500">
      <c r="A2500" s="1050"/>
      <c r="B2500" s="1050"/>
      <c r="C2500" s="1050"/>
      <c r="D2500" s="1051"/>
      <c r="E2500" s="1046"/>
      <c r="F2500" s="1044"/>
      <c r="G2500" s="1049"/>
      <c r="H2500" s="1049"/>
    </row>
    <row r="2501">
      <c r="A2501" s="1050"/>
      <c r="B2501" s="1050"/>
      <c r="C2501" s="1050"/>
      <c r="D2501" s="1051"/>
      <c r="E2501" s="1046"/>
      <c r="F2501" s="1044"/>
      <c r="G2501" s="1049"/>
      <c r="H2501" s="1049"/>
    </row>
    <row r="2502">
      <c r="A2502" s="1050"/>
      <c r="B2502" s="1050"/>
      <c r="C2502" s="1050"/>
      <c r="D2502" s="1051"/>
      <c r="E2502" s="1046"/>
      <c r="F2502" s="1044"/>
      <c r="G2502" s="1049"/>
      <c r="H2502" s="1049"/>
    </row>
    <row r="2503">
      <c r="A2503" s="1052" t="s">
        <v>1562</v>
      </c>
      <c r="B2503" s="3"/>
      <c r="C2503" s="1044">
        <f t="shared" ref="C2503:E2503" si="109">sum(C2495:C2502)</f>
        <v>4</v>
      </c>
      <c r="D2503" s="1045">
        <f t="shared" si="109"/>
        <v>158.2</v>
      </c>
      <c r="E2503" s="1048">
        <f t="shared" si="109"/>
        <v>1</v>
      </c>
      <c r="F2503" s="1044"/>
      <c r="G2503" s="1049"/>
      <c r="H2503" s="1049"/>
    </row>
    <row r="2504">
      <c r="A2504" s="712"/>
      <c r="B2504" s="712"/>
      <c r="C2504" s="712"/>
      <c r="D2504" s="808"/>
      <c r="E2504" s="809"/>
      <c r="F2504" s="712"/>
      <c r="G2504" s="810"/>
      <c r="H2504" s="810"/>
    </row>
    <row r="2505">
      <c r="A2505" s="712"/>
      <c r="B2505" s="712"/>
      <c r="C2505" s="712"/>
      <c r="D2505" s="808"/>
      <c r="E2505" s="809"/>
      <c r="F2505" s="712"/>
      <c r="G2505" s="810"/>
      <c r="H2505" s="810"/>
    </row>
    <row r="2506">
      <c r="A2506" s="1039" t="s">
        <v>5688</v>
      </c>
      <c r="B2506" s="2"/>
      <c r="C2506" s="2"/>
      <c r="D2506" s="2"/>
      <c r="E2506" s="2"/>
      <c r="F2506" s="2"/>
      <c r="G2506" s="2"/>
      <c r="H2506" s="3"/>
    </row>
    <row r="2507">
      <c r="A2507" s="1040" t="s">
        <v>1435</v>
      </c>
      <c r="B2507" s="1040" t="s">
        <v>1436</v>
      </c>
      <c r="C2507" s="1040" t="s">
        <v>1843</v>
      </c>
      <c r="D2507" s="1041" t="s">
        <v>1438</v>
      </c>
      <c r="E2507" s="1042" t="s">
        <v>1564</v>
      </c>
      <c r="F2507" s="1040" t="s">
        <v>1440</v>
      </c>
      <c r="G2507" s="1043" t="s">
        <v>1844</v>
      </c>
      <c r="H2507" s="1043" t="s">
        <v>1441</v>
      </c>
    </row>
    <row r="2508">
      <c r="A2508" s="1044">
        <v>1.0</v>
      </c>
      <c r="B2508" s="1044" t="s">
        <v>1443</v>
      </c>
      <c r="C2508" s="1044">
        <v>1.0</v>
      </c>
      <c r="D2508" s="1045">
        <v>150.0</v>
      </c>
      <c r="E2508" s="1046"/>
      <c r="F2508" s="1044" t="s">
        <v>1518</v>
      </c>
      <c r="G2508" s="1047" t="s">
        <v>1554</v>
      </c>
      <c r="H2508" s="1047">
        <v>45141.0</v>
      </c>
    </row>
    <row r="2509">
      <c r="A2509" s="1044">
        <v>2.0</v>
      </c>
      <c r="B2509" s="1044" t="s">
        <v>1444</v>
      </c>
      <c r="C2509" s="1044">
        <v>2.0</v>
      </c>
      <c r="D2509" s="1045">
        <v>3.2</v>
      </c>
      <c r="E2509" s="1048" t="s">
        <v>1518</v>
      </c>
      <c r="F2509" s="1044" t="s">
        <v>1518</v>
      </c>
      <c r="G2509" s="1049"/>
      <c r="H2509" s="1049"/>
    </row>
    <row r="2510">
      <c r="A2510" s="1044">
        <v>3.0</v>
      </c>
      <c r="B2510" s="1044" t="s">
        <v>3673</v>
      </c>
      <c r="C2510" s="1044">
        <v>1.0</v>
      </c>
      <c r="D2510" s="1045">
        <v>5.0</v>
      </c>
      <c r="E2510" s="1048">
        <v>1.0</v>
      </c>
      <c r="F2510" s="1044" t="s">
        <v>1518</v>
      </c>
      <c r="G2510" s="1047" t="s">
        <v>1518</v>
      </c>
      <c r="H2510" s="1049"/>
    </row>
    <row r="2511">
      <c r="A2511" s="1050"/>
      <c r="B2511" s="1050"/>
      <c r="C2511" s="1050"/>
      <c r="D2511" s="1051"/>
      <c r="E2511" s="1046"/>
      <c r="F2511" s="1044"/>
      <c r="G2511" s="1049"/>
      <c r="H2511" s="1049"/>
    </row>
    <row r="2512">
      <c r="A2512" s="1050"/>
      <c r="B2512" s="1050"/>
      <c r="C2512" s="1050"/>
      <c r="D2512" s="1051"/>
      <c r="E2512" s="1046"/>
      <c r="F2512" s="1044"/>
      <c r="G2512" s="1049"/>
      <c r="H2512" s="1049"/>
    </row>
    <row r="2513">
      <c r="A2513" s="1050"/>
      <c r="B2513" s="1050"/>
      <c r="C2513" s="1050"/>
      <c r="D2513" s="1051"/>
      <c r="E2513" s="1046"/>
      <c r="F2513" s="1044"/>
      <c r="G2513" s="1049"/>
      <c r="H2513" s="1049"/>
    </row>
    <row r="2514">
      <c r="A2514" s="1050"/>
      <c r="B2514" s="1050"/>
      <c r="C2514" s="1050"/>
      <c r="D2514" s="1051"/>
      <c r="E2514" s="1046"/>
      <c r="F2514" s="1044"/>
      <c r="G2514" s="1049"/>
      <c r="H2514" s="1049"/>
    </row>
    <row r="2515">
      <c r="A2515" s="1050"/>
      <c r="B2515" s="1050"/>
      <c r="C2515" s="1050"/>
      <c r="D2515" s="1051"/>
      <c r="E2515" s="1046"/>
      <c r="F2515" s="1044"/>
      <c r="G2515" s="1049"/>
      <c r="H2515" s="1049"/>
    </row>
    <row r="2516">
      <c r="A2516" s="1052" t="s">
        <v>1562</v>
      </c>
      <c r="B2516" s="3"/>
      <c r="C2516" s="1044">
        <f t="shared" ref="C2516:E2516" si="110">sum(C2508:C2515)</f>
        <v>4</v>
      </c>
      <c r="D2516" s="1045">
        <f t="shared" si="110"/>
        <v>158.2</v>
      </c>
      <c r="E2516" s="1048">
        <f t="shared" si="110"/>
        <v>1</v>
      </c>
      <c r="F2516" s="1044"/>
      <c r="G2516" s="1049"/>
      <c r="H2516" s="1049"/>
    </row>
    <row r="2517">
      <c r="A2517" s="712"/>
      <c r="B2517" s="712"/>
      <c r="C2517" s="712"/>
      <c r="D2517" s="808"/>
      <c r="E2517" s="809"/>
      <c r="F2517" s="712"/>
      <c r="G2517" s="810"/>
      <c r="H2517" s="810"/>
    </row>
    <row r="2518">
      <c r="A2518" s="712"/>
      <c r="B2518" s="712"/>
      <c r="C2518" s="712"/>
      <c r="D2518" s="808"/>
      <c r="E2518" s="809"/>
      <c r="F2518" s="712"/>
      <c r="G2518" s="810"/>
      <c r="H2518" s="810"/>
    </row>
    <row r="2519">
      <c r="A2519" s="1039" t="s">
        <v>5689</v>
      </c>
      <c r="B2519" s="2"/>
      <c r="C2519" s="2"/>
      <c r="D2519" s="2"/>
      <c r="E2519" s="2"/>
      <c r="F2519" s="2"/>
      <c r="G2519" s="2"/>
      <c r="H2519" s="3"/>
    </row>
    <row r="2520">
      <c r="A2520" s="1040" t="s">
        <v>1435</v>
      </c>
      <c r="B2520" s="1040" t="s">
        <v>1436</v>
      </c>
      <c r="C2520" s="1040" t="s">
        <v>1843</v>
      </c>
      <c r="D2520" s="1041" t="s">
        <v>1438</v>
      </c>
      <c r="E2520" s="1042" t="s">
        <v>1564</v>
      </c>
      <c r="F2520" s="1040" t="s">
        <v>1440</v>
      </c>
      <c r="G2520" s="1043" t="s">
        <v>1844</v>
      </c>
      <c r="H2520" s="1043" t="s">
        <v>1441</v>
      </c>
    </row>
    <row r="2521">
      <c r="A2521" s="1044">
        <v>1.0</v>
      </c>
      <c r="B2521" s="1044" t="s">
        <v>1443</v>
      </c>
      <c r="C2521" s="1044">
        <v>1.0</v>
      </c>
      <c r="D2521" s="1045">
        <v>150.0</v>
      </c>
      <c r="E2521" s="1046"/>
      <c r="F2521" s="1044" t="s">
        <v>1518</v>
      </c>
      <c r="G2521" s="1047" t="s">
        <v>1554</v>
      </c>
      <c r="H2521" s="1047">
        <v>45141.0</v>
      </c>
    </row>
    <row r="2522">
      <c r="A2522" s="1044">
        <v>2.0</v>
      </c>
      <c r="B2522" s="1044" t="s">
        <v>1444</v>
      </c>
      <c r="C2522" s="1044">
        <v>2.0</v>
      </c>
      <c r="D2522" s="1045">
        <v>3.2</v>
      </c>
      <c r="E2522" s="1048" t="s">
        <v>1518</v>
      </c>
      <c r="F2522" s="1044" t="s">
        <v>1518</v>
      </c>
      <c r="G2522" s="1049"/>
      <c r="H2522" s="1049"/>
    </row>
    <row r="2523">
      <c r="A2523" s="1044">
        <v>3.0</v>
      </c>
      <c r="B2523" s="1044" t="s">
        <v>3673</v>
      </c>
      <c r="C2523" s="1044">
        <v>1.0</v>
      </c>
      <c r="D2523" s="1045">
        <v>5.0</v>
      </c>
      <c r="E2523" s="1048">
        <v>1.0</v>
      </c>
      <c r="F2523" s="1044" t="s">
        <v>1518</v>
      </c>
      <c r="G2523" s="1047" t="s">
        <v>1518</v>
      </c>
      <c r="H2523" s="1049"/>
    </row>
    <row r="2524">
      <c r="A2524" s="1050"/>
      <c r="B2524" s="1050"/>
      <c r="C2524" s="1050"/>
      <c r="D2524" s="1051"/>
      <c r="E2524" s="1046"/>
      <c r="F2524" s="1044"/>
      <c r="G2524" s="1049"/>
      <c r="H2524" s="1049"/>
    </row>
    <row r="2525">
      <c r="A2525" s="1050"/>
      <c r="B2525" s="1050"/>
      <c r="C2525" s="1050"/>
      <c r="D2525" s="1051"/>
      <c r="E2525" s="1046"/>
      <c r="F2525" s="1044"/>
      <c r="G2525" s="1049"/>
      <c r="H2525" s="1049"/>
    </row>
    <row r="2526">
      <c r="A2526" s="1050"/>
      <c r="B2526" s="1050"/>
      <c r="C2526" s="1050"/>
      <c r="D2526" s="1051"/>
      <c r="E2526" s="1046"/>
      <c r="F2526" s="1044"/>
      <c r="G2526" s="1049"/>
      <c r="H2526" s="1049"/>
    </row>
    <row r="2527">
      <c r="A2527" s="1050"/>
      <c r="B2527" s="1050"/>
      <c r="C2527" s="1050"/>
      <c r="D2527" s="1051"/>
      <c r="E2527" s="1046"/>
      <c r="F2527" s="1044"/>
      <c r="G2527" s="1049"/>
      <c r="H2527" s="1049"/>
    </row>
    <row r="2528">
      <c r="A2528" s="1050"/>
      <c r="B2528" s="1050"/>
      <c r="C2528" s="1050"/>
      <c r="D2528" s="1051"/>
      <c r="E2528" s="1046"/>
      <c r="F2528" s="1044"/>
      <c r="G2528" s="1049"/>
      <c r="H2528" s="1049"/>
    </row>
    <row r="2529">
      <c r="A2529" s="1052" t="s">
        <v>1562</v>
      </c>
      <c r="B2529" s="3"/>
      <c r="C2529" s="1044">
        <f t="shared" ref="C2529:E2529" si="111">sum(C2521:C2528)</f>
        <v>4</v>
      </c>
      <c r="D2529" s="1045">
        <f t="shared" si="111"/>
        <v>158.2</v>
      </c>
      <c r="E2529" s="1048">
        <f t="shared" si="111"/>
        <v>1</v>
      </c>
      <c r="F2529" s="1044"/>
      <c r="G2529" s="1049"/>
      <c r="H2529" s="1049"/>
    </row>
    <row r="2530">
      <c r="A2530" s="712"/>
      <c r="B2530" s="712"/>
      <c r="C2530" s="712"/>
      <c r="D2530" s="808"/>
      <c r="E2530" s="809"/>
      <c r="F2530" s="712"/>
      <c r="G2530" s="810"/>
      <c r="H2530" s="810"/>
    </row>
    <row r="2531">
      <c r="A2531" s="712"/>
      <c r="B2531" s="712"/>
      <c r="C2531" s="712"/>
      <c r="D2531" s="808"/>
      <c r="E2531" s="809"/>
      <c r="F2531" s="712"/>
      <c r="G2531" s="810"/>
      <c r="H2531" s="810"/>
    </row>
    <row r="2532">
      <c r="A2532" s="712"/>
      <c r="B2532" s="712"/>
      <c r="C2532" s="712"/>
      <c r="D2532" s="808"/>
      <c r="E2532" s="809"/>
      <c r="F2532" s="712"/>
      <c r="G2532" s="810"/>
      <c r="H2532" s="810"/>
    </row>
    <row r="2533">
      <c r="A2533" s="712"/>
      <c r="B2533" s="712"/>
      <c r="C2533" s="712"/>
      <c r="D2533" s="808"/>
      <c r="E2533" s="809"/>
      <c r="F2533" s="712"/>
      <c r="G2533" s="810"/>
      <c r="H2533" s="810"/>
    </row>
    <row r="2534">
      <c r="A2534" s="712"/>
      <c r="B2534" s="712"/>
      <c r="C2534" s="712"/>
      <c r="D2534" s="808"/>
      <c r="E2534" s="809"/>
      <c r="F2534" s="712"/>
      <c r="G2534" s="810"/>
      <c r="H2534" s="810"/>
    </row>
    <row r="2535">
      <c r="A2535" s="712"/>
      <c r="B2535" s="712"/>
      <c r="C2535" s="712"/>
      <c r="D2535" s="808"/>
      <c r="E2535" s="809"/>
      <c r="F2535" s="712"/>
      <c r="G2535" s="810"/>
      <c r="H2535" s="810"/>
    </row>
    <row r="2536">
      <c r="A2536" s="712"/>
      <c r="B2536" s="712"/>
      <c r="C2536" s="712"/>
      <c r="D2536" s="808"/>
      <c r="E2536" s="809"/>
      <c r="F2536" s="712"/>
      <c r="G2536" s="810"/>
      <c r="H2536" s="810"/>
    </row>
    <row r="2537">
      <c r="A2537" s="712"/>
      <c r="B2537" s="712"/>
      <c r="C2537" s="712"/>
      <c r="D2537" s="808"/>
      <c r="E2537" s="809"/>
      <c r="F2537" s="712"/>
      <c r="G2537" s="810"/>
      <c r="H2537" s="810"/>
    </row>
    <row r="2538">
      <c r="A2538" s="712"/>
      <c r="B2538" s="712"/>
      <c r="C2538" s="712"/>
      <c r="D2538" s="808"/>
      <c r="E2538" s="809"/>
      <c r="F2538" s="712"/>
      <c r="G2538" s="810"/>
      <c r="H2538" s="810"/>
    </row>
    <row r="2539">
      <c r="A2539" s="712"/>
      <c r="B2539" s="712"/>
      <c r="C2539" s="712"/>
      <c r="D2539" s="808"/>
      <c r="E2539" s="809"/>
      <c r="F2539" s="712"/>
      <c r="G2539" s="810"/>
      <c r="H2539" s="810"/>
    </row>
    <row r="2540">
      <c r="A2540" s="712"/>
      <c r="B2540" s="712"/>
      <c r="C2540" s="712"/>
      <c r="D2540" s="808"/>
      <c r="E2540" s="809"/>
      <c r="F2540" s="712"/>
      <c r="G2540" s="810"/>
      <c r="H2540" s="810"/>
    </row>
    <row r="2541">
      <c r="A2541" s="712"/>
      <c r="B2541" s="712"/>
      <c r="C2541" s="712"/>
      <c r="D2541" s="808"/>
      <c r="E2541" s="809"/>
      <c r="F2541" s="712"/>
      <c r="G2541" s="810"/>
      <c r="H2541" s="810"/>
    </row>
    <row r="2542">
      <c r="A2542" s="712"/>
      <c r="B2542" s="712"/>
      <c r="C2542" s="712"/>
      <c r="D2542" s="808"/>
      <c r="E2542" s="809"/>
      <c r="F2542" s="712"/>
      <c r="G2542" s="810"/>
      <c r="H2542" s="810"/>
    </row>
    <row r="2543">
      <c r="A2543" s="712"/>
      <c r="B2543" s="712"/>
      <c r="C2543" s="712"/>
      <c r="D2543" s="808"/>
      <c r="E2543" s="809"/>
      <c r="F2543" s="712"/>
      <c r="G2543" s="810"/>
      <c r="H2543" s="810"/>
    </row>
    <row r="2544">
      <c r="A2544" s="712"/>
      <c r="B2544" s="712"/>
      <c r="C2544" s="712"/>
      <c r="D2544" s="808"/>
      <c r="E2544" s="809"/>
      <c r="F2544" s="712"/>
      <c r="G2544" s="810"/>
      <c r="H2544" s="810"/>
    </row>
    <row r="2545">
      <c r="A2545" s="712"/>
      <c r="B2545" s="712"/>
      <c r="C2545" s="712"/>
      <c r="D2545" s="808"/>
      <c r="E2545" s="809"/>
      <c r="F2545" s="712"/>
      <c r="G2545" s="810"/>
      <c r="H2545" s="810"/>
    </row>
    <row r="2546">
      <c r="A2546" s="712"/>
      <c r="B2546" s="712"/>
      <c r="C2546" s="712"/>
      <c r="D2546" s="808"/>
      <c r="E2546" s="809"/>
      <c r="F2546" s="712"/>
      <c r="G2546" s="810"/>
      <c r="H2546" s="810"/>
    </row>
    <row r="2547">
      <c r="A2547" s="712"/>
      <c r="B2547" s="712"/>
      <c r="C2547" s="712"/>
      <c r="D2547" s="808"/>
      <c r="E2547" s="809"/>
      <c r="F2547" s="712"/>
      <c r="G2547" s="810"/>
      <c r="H2547" s="810"/>
    </row>
    <row r="2548">
      <c r="A2548" s="712"/>
      <c r="B2548" s="712"/>
      <c r="C2548" s="712"/>
      <c r="D2548" s="808"/>
      <c r="E2548" s="809"/>
      <c r="F2548" s="712"/>
      <c r="G2548" s="810"/>
      <c r="H2548" s="810"/>
    </row>
    <row r="2549">
      <c r="A2549" s="712"/>
      <c r="B2549" s="712"/>
      <c r="C2549" s="712"/>
      <c r="D2549" s="808"/>
      <c r="E2549" s="809"/>
      <c r="F2549" s="712"/>
      <c r="G2549" s="810"/>
      <c r="H2549" s="810"/>
    </row>
    <row r="2550">
      <c r="A2550" s="712"/>
      <c r="B2550" s="712"/>
      <c r="C2550" s="712"/>
      <c r="D2550" s="808"/>
      <c r="E2550" s="809"/>
      <c r="F2550" s="712"/>
      <c r="G2550" s="810"/>
      <c r="H2550" s="810"/>
    </row>
    <row r="2551">
      <c r="A2551" s="712"/>
      <c r="B2551" s="712"/>
      <c r="C2551" s="712"/>
      <c r="D2551" s="808"/>
      <c r="E2551" s="809"/>
      <c r="F2551" s="712"/>
      <c r="G2551" s="810"/>
      <c r="H2551" s="810"/>
    </row>
    <row r="2552">
      <c r="A2552" s="712"/>
      <c r="B2552" s="712"/>
      <c r="C2552" s="712"/>
      <c r="D2552" s="808"/>
      <c r="E2552" s="809"/>
      <c r="F2552" s="712"/>
      <c r="G2552" s="810"/>
      <c r="H2552" s="810"/>
    </row>
    <row r="2553">
      <c r="A2553" s="712"/>
      <c r="B2553" s="712"/>
      <c r="C2553" s="712"/>
      <c r="D2553" s="808"/>
      <c r="E2553" s="809"/>
      <c r="F2553" s="712"/>
      <c r="G2553" s="810"/>
      <c r="H2553" s="810"/>
    </row>
    <row r="2554">
      <c r="A2554" s="712"/>
      <c r="B2554" s="712"/>
      <c r="C2554" s="712"/>
      <c r="D2554" s="808"/>
      <c r="E2554" s="809"/>
      <c r="F2554" s="712"/>
      <c r="G2554" s="810"/>
      <c r="H2554" s="810"/>
    </row>
    <row r="2555">
      <c r="A2555" s="712"/>
      <c r="B2555" s="712"/>
      <c r="C2555" s="712"/>
      <c r="D2555" s="808"/>
      <c r="E2555" s="809"/>
      <c r="F2555" s="712"/>
      <c r="G2555" s="810"/>
      <c r="H2555" s="810"/>
    </row>
    <row r="2556">
      <c r="A2556" s="712"/>
      <c r="B2556" s="712"/>
      <c r="C2556" s="712"/>
      <c r="D2556" s="808"/>
      <c r="E2556" s="809"/>
      <c r="F2556" s="712"/>
      <c r="G2556" s="810"/>
      <c r="H2556" s="810"/>
    </row>
    <row r="2557">
      <c r="A2557" s="712"/>
      <c r="B2557" s="712"/>
      <c r="C2557" s="712"/>
      <c r="D2557" s="808"/>
      <c r="E2557" s="809"/>
      <c r="F2557" s="712"/>
      <c r="G2557" s="810"/>
      <c r="H2557" s="810"/>
    </row>
    <row r="2558">
      <c r="A2558" s="712"/>
      <c r="B2558" s="712"/>
      <c r="C2558" s="712"/>
      <c r="D2558" s="808"/>
      <c r="E2558" s="809"/>
      <c r="F2558" s="712"/>
      <c r="G2558" s="810"/>
      <c r="H2558" s="810"/>
    </row>
    <row r="2559">
      <c r="A2559" s="712"/>
      <c r="B2559" s="712"/>
      <c r="C2559" s="712"/>
      <c r="D2559" s="808"/>
      <c r="E2559" s="809"/>
      <c r="F2559" s="712"/>
      <c r="G2559" s="810"/>
      <c r="H2559" s="810"/>
    </row>
    <row r="2560">
      <c r="A2560" s="712"/>
      <c r="B2560" s="712"/>
      <c r="C2560" s="712"/>
      <c r="D2560" s="808"/>
      <c r="E2560" s="809"/>
      <c r="F2560" s="712"/>
      <c r="G2560" s="810"/>
      <c r="H2560" s="810"/>
    </row>
    <row r="2561">
      <c r="A2561" s="712"/>
      <c r="B2561" s="712"/>
      <c r="C2561" s="712"/>
      <c r="D2561" s="808"/>
      <c r="E2561" s="809"/>
      <c r="F2561" s="712"/>
      <c r="G2561" s="810"/>
      <c r="H2561" s="810"/>
    </row>
    <row r="2562">
      <c r="A2562" s="712"/>
      <c r="B2562" s="712"/>
      <c r="C2562" s="712"/>
      <c r="D2562" s="808"/>
      <c r="E2562" s="809"/>
      <c r="F2562" s="712"/>
      <c r="G2562" s="810"/>
      <c r="H2562" s="810"/>
    </row>
    <row r="2563">
      <c r="A2563" s="712"/>
      <c r="B2563" s="712"/>
      <c r="C2563" s="712"/>
      <c r="D2563" s="808"/>
      <c r="E2563" s="809"/>
      <c r="F2563" s="712"/>
      <c r="G2563" s="810"/>
      <c r="H2563" s="810"/>
    </row>
    <row r="2564">
      <c r="A2564" s="712"/>
      <c r="B2564" s="712"/>
      <c r="C2564" s="712"/>
      <c r="D2564" s="808"/>
      <c r="E2564" s="809"/>
      <c r="F2564" s="712"/>
      <c r="G2564" s="810"/>
      <c r="H2564" s="810"/>
    </row>
    <row r="2565">
      <c r="A2565" s="712"/>
      <c r="B2565" s="712"/>
      <c r="C2565" s="712"/>
      <c r="D2565" s="808"/>
      <c r="E2565" s="809"/>
      <c r="F2565" s="712"/>
      <c r="G2565" s="810"/>
      <c r="H2565" s="810"/>
    </row>
    <row r="2566">
      <c r="A2566" s="712"/>
      <c r="B2566" s="712"/>
      <c r="C2566" s="712"/>
      <c r="D2566" s="808"/>
      <c r="E2566" s="809"/>
      <c r="F2566" s="712"/>
      <c r="G2566" s="810"/>
      <c r="H2566" s="810"/>
    </row>
    <row r="2567">
      <c r="A2567" s="712"/>
      <c r="B2567" s="712"/>
      <c r="C2567" s="712"/>
      <c r="D2567" s="808"/>
      <c r="E2567" s="809"/>
      <c r="F2567" s="712"/>
      <c r="G2567" s="810"/>
      <c r="H2567" s="810"/>
    </row>
    <row r="2568">
      <c r="A2568" s="712"/>
      <c r="B2568" s="712"/>
      <c r="C2568" s="712"/>
      <c r="D2568" s="808"/>
      <c r="E2568" s="809"/>
      <c r="F2568" s="712"/>
      <c r="G2568" s="810"/>
      <c r="H2568" s="810"/>
    </row>
    <row r="2569">
      <c r="A2569" s="712"/>
      <c r="B2569" s="712"/>
      <c r="C2569" s="712"/>
      <c r="D2569" s="808"/>
      <c r="E2569" s="809"/>
      <c r="F2569" s="712"/>
      <c r="G2569" s="810"/>
      <c r="H2569" s="810"/>
    </row>
    <row r="2570">
      <c r="A2570" s="712"/>
      <c r="B2570" s="712"/>
      <c r="C2570" s="712"/>
      <c r="D2570" s="808"/>
      <c r="E2570" s="809"/>
      <c r="F2570" s="712"/>
      <c r="G2570" s="810"/>
      <c r="H2570" s="810"/>
    </row>
    <row r="2571">
      <c r="A2571" s="712"/>
      <c r="B2571" s="712"/>
      <c r="C2571" s="712"/>
      <c r="D2571" s="808"/>
      <c r="E2571" s="809"/>
      <c r="F2571" s="712"/>
      <c r="G2571" s="810"/>
      <c r="H2571" s="810"/>
    </row>
    <row r="2572">
      <c r="A2572" s="712"/>
      <c r="B2572" s="712"/>
      <c r="C2572" s="712"/>
      <c r="D2572" s="808"/>
      <c r="E2572" s="809"/>
      <c r="F2572" s="712"/>
      <c r="G2572" s="810"/>
      <c r="H2572" s="810"/>
    </row>
    <row r="2573">
      <c r="A2573" s="712"/>
      <c r="B2573" s="712"/>
      <c r="C2573" s="712"/>
      <c r="D2573" s="808"/>
      <c r="E2573" s="809"/>
      <c r="F2573" s="712"/>
      <c r="G2573" s="810"/>
      <c r="H2573" s="810"/>
    </row>
    <row r="2574">
      <c r="A2574" s="712"/>
      <c r="B2574" s="712"/>
      <c r="C2574" s="712"/>
      <c r="D2574" s="808"/>
      <c r="E2574" s="809"/>
      <c r="F2574" s="712"/>
      <c r="G2574" s="810"/>
      <c r="H2574" s="810"/>
    </row>
    <row r="2575">
      <c r="A2575" s="712"/>
      <c r="B2575" s="712"/>
      <c r="C2575" s="712"/>
      <c r="D2575" s="808"/>
      <c r="E2575" s="809"/>
      <c r="F2575" s="712"/>
      <c r="G2575" s="810"/>
      <c r="H2575" s="810"/>
    </row>
    <row r="2576">
      <c r="A2576" s="712"/>
      <c r="B2576" s="712"/>
      <c r="C2576" s="712"/>
      <c r="D2576" s="808"/>
      <c r="E2576" s="809"/>
      <c r="F2576" s="712"/>
      <c r="G2576" s="810"/>
      <c r="H2576" s="810"/>
    </row>
    <row r="2577">
      <c r="A2577" s="712"/>
      <c r="B2577" s="712"/>
      <c r="C2577" s="712"/>
      <c r="D2577" s="808"/>
      <c r="E2577" s="809"/>
      <c r="F2577" s="712"/>
      <c r="G2577" s="810"/>
      <c r="H2577" s="810"/>
    </row>
    <row r="2578">
      <c r="A2578" s="712"/>
      <c r="B2578" s="712"/>
      <c r="C2578" s="712"/>
      <c r="D2578" s="808"/>
      <c r="E2578" s="809"/>
      <c r="F2578" s="712"/>
      <c r="G2578" s="810"/>
      <c r="H2578" s="810"/>
    </row>
    <row r="2579">
      <c r="A2579" s="712"/>
      <c r="B2579" s="712"/>
      <c r="C2579" s="712"/>
      <c r="D2579" s="808"/>
      <c r="E2579" s="809"/>
      <c r="F2579" s="712"/>
      <c r="G2579" s="810"/>
      <c r="H2579" s="810"/>
    </row>
    <row r="2580">
      <c r="A2580" s="712"/>
      <c r="B2580" s="712"/>
      <c r="C2580" s="712"/>
      <c r="D2580" s="808"/>
      <c r="E2580" s="809"/>
      <c r="F2580" s="712"/>
      <c r="G2580" s="810"/>
      <c r="H2580" s="810"/>
    </row>
    <row r="2581">
      <c r="A2581" s="712"/>
      <c r="B2581" s="712"/>
      <c r="C2581" s="712"/>
      <c r="D2581" s="808"/>
      <c r="E2581" s="809"/>
      <c r="F2581" s="712"/>
      <c r="G2581" s="810"/>
      <c r="H2581" s="810"/>
    </row>
    <row r="2582">
      <c r="A2582" s="712"/>
      <c r="B2582" s="712"/>
      <c r="C2582" s="712"/>
      <c r="D2582" s="808"/>
      <c r="E2582" s="809"/>
      <c r="F2582" s="712"/>
      <c r="G2582" s="810"/>
      <c r="H2582" s="810"/>
    </row>
    <row r="2583">
      <c r="A2583" s="712"/>
      <c r="B2583" s="712"/>
      <c r="C2583" s="712"/>
      <c r="D2583" s="808"/>
      <c r="E2583" s="809"/>
      <c r="F2583" s="712"/>
      <c r="G2583" s="810"/>
      <c r="H2583" s="810"/>
    </row>
    <row r="2584">
      <c r="A2584" s="712"/>
      <c r="B2584" s="712"/>
      <c r="C2584" s="712"/>
      <c r="D2584" s="808"/>
      <c r="E2584" s="809"/>
      <c r="F2584" s="712"/>
      <c r="G2584" s="810"/>
      <c r="H2584" s="810"/>
    </row>
    <row r="2585">
      <c r="A2585" s="712"/>
      <c r="B2585" s="712"/>
      <c r="C2585" s="712"/>
      <c r="D2585" s="808"/>
      <c r="E2585" s="809"/>
      <c r="F2585" s="712"/>
      <c r="G2585" s="810"/>
      <c r="H2585" s="810"/>
    </row>
    <row r="2586">
      <c r="A2586" s="712"/>
      <c r="B2586" s="712"/>
      <c r="C2586" s="712"/>
      <c r="D2586" s="808"/>
      <c r="E2586" s="809"/>
      <c r="F2586" s="712"/>
      <c r="G2586" s="810"/>
      <c r="H2586" s="810"/>
    </row>
    <row r="2587">
      <c r="A2587" s="712"/>
      <c r="B2587" s="712"/>
      <c r="C2587" s="712"/>
      <c r="D2587" s="808"/>
      <c r="E2587" s="809"/>
      <c r="F2587" s="712"/>
      <c r="G2587" s="810"/>
      <c r="H2587" s="810"/>
    </row>
    <row r="2588">
      <c r="A2588" s="712"/>
      <c r="B2588" s="712"/>
      <c r="C2588" s="712"/>
      <c r="D2588" s="808"/>
      <c r="E2588" s="809"/>
      <c r="F2588" s="712"/>
      <c r="G2588" s="810"/>
      <c r="H2588" s="810"/>
    </row>
    <row r="2589">
      <c r="A2589" s="712"/>
      <c r="B2589" s="712"/>
      <c r="C2589" s="712"/>
      <c r="D2589" s="808"/>
      <c r="E2589" s="809"/>
      <c r="F2589" s="712"/>
      <c r="G2589" s="810"/>
      <c r="H2589" s="810"/>
    </row>
    <row r="2590">
      <c r="A2590" s="712"/>
      <c r="B2590" s="712"/>
      <c r="C2590" s="712"/>
      <c r="D2590" s="808"/>
      <c r="E2590" s="809"/>
      <c r="F2590" s="712"/>
      <c r="G2590" s="810"/>
      <c r="H2590" s="810"/>
    </row>
    <row r="2591">
      <c r="A2591" s="712"/>
      <c r="B2591" s="712"/>
      <c r="C2591" s="712"/>
      <c r="D2591" s="808"/>
      <c r="E2591" s="809"/>
      <c r="F2591" s="712"/>
      <c r="G2591" s="810"/>
      <c r="H2591" s="810"/>
    </row>
    <row r="2592">
      <c r="A2592" s="712"/>
      <c r="B2592" s="712"/>
      <c r="C2592" s="712"/>
      <c r="D2592" s="808"/>
      <c r="E2592" s="809"/>
      <c r="F2592" s="712"/>
      <c r="G2592" s="810"/>
      <c r="H2592" s="810"/>
    </row>
    <row r="2593">
      <c r="A2593" s="712"/>
      <c r="B2593" s="712"/>
      <c r="C2593" s="712"/>
      <c r="D2593" s="808"/>
      <c r="E2593" s="809"/>
      <c r="F2593" s="712"/>
      <c r="G2593" s="810"/>
      <c r="H2593" s="810"/>
    </row>
    <row r="2594">
      <c r="A2594" s="712"/>
      <c r="B2594" s="712"/>
      <c r="C2594" s="712"/>
      <c r="D2594" s="808"/>
      <c r="E2594" s="809"/>
      <c r="F2594" s="712"/>
      <c r="G2594" s="810"/>
      <c r="H2594" s="810"/>
    </row>
    <row r="2595">
      <c r="A2595" s="712"/>
      <c r="B2595" s="712"/>
      <c r="C2595" s="712"/>
      <c r="D2595" s="808"/>
      <c r="E2595" s="809"/>
      <c r="F2595" s="712"/>
      <c r="G2595" s="810"/>
      <c r="H2595" s="810"/>
    </row>
    <row r="2596">
      <c r="A2596" s="712"/>
      <c r="B2596" s="712"/>
      <c r="C2596" s="712"/>
      <c r="D2596" s="808"/>
      <c r="E2596" s="809"/>
      <c r="F2596" s="712"/>
      <c r="G2596" s="810"/>
      <c r="H2596" s="810"/>
    </row>
    <row r="2597">
      <c r="A2597" s="712"/>
      <c r="B2597" s="712"/>
      <c r="C2597" s="712"/>
      <c r="D2597" s="808"/>
      <c r="E2597" s="809"/>
      <c r="F2597" s="712"/>
      <c r="G2597" s="810"/>
      <c r="H2597" s="810"/>
    </row>
    <row r="2598">
      <c r="A2598" s="712"/>
      <c r="B2598" s="712"/>
      <c r="C2598" s="712"/>
      <c r="D2598" s="808"/>
      <c r="E2598" s="809"/>
      <c r="F2598" s="712"/>
      <c r="G2598" s="810"/>
      <c r="H2598" s="810"/>
    </row>
    <row r="2599">
      <c r="A2599" s="712"/>
      <c r="B2599" s="712"/>
      <c r="C2599" s="712"/>
      <c r="D2599" s="808"/>
      <c r="E2599" s="809"/>
      <c r="F2599" s="712"/>
      <c r="G2599" s="810"/>
      <c r="H2599" s="810"/>
    </row>
    <row r="2600">
      <c r="A2600" s="712"/>
      <c r="B2600" s="712"/>
      <c r="C2600" s="712"/>
      <c r="D2600" s="808"/>
      <c r="E2600" s="809"/>
      <c r="F2600" s="712"/>
      <c r="G2600" s="810"/>
      <c r="H2600" s="810"/>
    </row>
    <row r="2601">
      <c r="A2601" s="712"/>
      <c r="B2601" s="712"/>
      <c r="C2601" s="712"/>
      <c r="D2601" s="808"/>
      <c r="E2601" s="809"/>
      <c r="F2601" s="712"/>
      <c r="G2601" s="810"/>
      <c r="H2601" s="810"/>
    </row>
    <row r="2602">
      <c r="A2602" s="712"/>
      <c r="B2602" s="712"/>
      <c r="C2602" s="712"/>
      <c r="D2602" s="808"/>
      <c r="E2602" s="809"/>
      <c r="F2602" s="712"/>
      <c r="G2602" s="810"/>
      <c r="H2602" s="810"/>
    </row>
    <row r="2603">
      <c r="A2603" s="712"/>
      <c r="B2603" s="712"/>
      <c r="C2603" s="712"/>
      <c r="D2603" s="808"/>
      <c r="E2603" s="809"/>
      <c r="F2603" s="712"/>
      <c r="G2603" s="810"/>
      <c r="H2603" s="810"/>
    </row>
    <row r="2604">
      <c r="A2604" s="712"/>
      <c r="B2604" s="712"/>
      <c r="C2604" s="712"/>
      <c r="D2604" s="808"/>
      <c r="E2604" s="809"/>
      <c r="F2604" s="712"/>
      <c r="G2604" s="810"/>
      <c r="H2604" s="810"/>
    </row>
    <row r="2605">
      <c r="A2605" s="712"/>
      <c r="B2605" s="712"/>
      <c r="C2605" s="712"/>
      <c r="D2605" s="808"/>
      <c r="E2605" s="809"/>
      <c r="F2605" s="712"/>
      <c r="G2605" s="810"/>
      <c r="H2605" s="810"/>
    </row>
    <row r="2606">
      <c r="A2606" s="712"/>
      <c r="B2606" s="712"/>
      <c r="C2606" s="712"/>
      <c r="D2606" s="808"/>
      <c r="E2606" s="809"/>
      <c r="F2606" s="712"/>
      <c r="G2606" s="810"/>
      <c r="H2606" s="810"/>
    </row>
    <row r="2607">
      <c r="A2607" s="712"/>
      <c r="B2607" s="712"/>
      <c r="C2607" s="712"/>
      <c r="D2607" s="808"/>
      <c r="E2607" s="809"/>
      <c r="F2607" s="712"/>
      <c r="G2607" s="810"/>
      <c r="H2607" s="810"/>
    </row>
    <row r="2608">
      <c r="A2608" s="712"/>
      <c r="B2608" s="712"/>
      <c r="C2608" s="712"/>
      <c r="D2608" s="808"/>
      <c r="E2608" s="809"/>
      <c r="F2608" s="712"/>
      <c r="G2608" s="810"/>
      <c r="H2608" s="810"/>
    </row>
    <row r="2609">
      <c r="A2609" s="712"/>
      <c r="B2609" s="712"/>
      <c r="C2609" s="712"/>
      <c r="D2609" s="808"/>
      <c r="E2609" s="809"/>
      <c r="F2609" s="712"/>
      <c r="G2609" s="810"/>
      <c r="H2609" s="810"/>
    </row>
    <row r="2610">
      <c r="A2610" s="712"/>
      <c r="B2610" s="712"/>
      <c r="C2610" s="712"/>
      <c r="D2610" s="808"/>
      <c r="E2610" s="809"/>
      <c r="F2610" s="712"/>
      <c r="G2610" s="810"/>
      <c r="H2610" s="810"/>
    </row>
    <row r="2611">
      <c r="A2611" s="712"/>
      <c r="B2611" s="712"/>
      <c r="C2611" s="712"/>
      <c r="D2611" s="808"/>
      <c r="E2611" s="809"/>
      <c r="F2611" s="712"/>
      <c r="G2611" s="810"/>
      <c r="H2611" s="810"/>
    </row>
    <row r="2612">
      <c r="A2612" s="712"/>
      <c r="B2612" s="712"/>
      <c r="C2612" s="712"/>
      <c r="D2612" s="808"/>
      <c r="E2612" s="809"/>
      <c r="F2612" s="712"/>
      <c r="G2612" s="810"/>
      <c r="H2612" s="810"/>
    </row>
    <row r="2613">
      <c r="A2613" s="712"/>
      <c r="B2613" s="712"/>
      <c r="C2613" s="712"/>
      <c r="D2613" s="808"/>
      <c r="E2613" s="809"/>
      <c r="F2613" s="712"/>
      <c r="G2613" s="810"/>
      <c r="H2613" s="810"/>
    </row>
    <row r="2614">
      <c r="A2614" s="712"/>
      <c r="B2614" s="712"/>
      <c r="C2614" s="712"/>
      <c r="D2614" s="808"/>
      <c r="E2614" s="809"/>
      <c r="F2614" s="712"/>
      <c r="G2614" s="810"/>
      <c r="H2614" s="810"/>
    </row>
    <row r="2615">
      <c r="A2615" s="712"/>
      <c r="B2615" s="712"/>
      <c r="C2615" s="712"/>
      <c r="D2615" s="808"/>
      <c r="E2615" s="809"/>
      <c r="F2615" s="712"/>
      <c r="G2615" s="810"/>
      <c r="H2615" s="810"/>
    </row>
    <row r="2616">
      <c r="A2616" s="712"/>
      <c r="B2616" s="712"/>
      <c r="C2616" s="712"/>
      <c r="D2616" s="808"/>
      <c r="E2616" s="809"/>
      <c r="F2616" s="712"/>
      <c r="G2616" s="810"/>
      <c r="H2616" s="810"/>
    </row>
    <row r="2617">
      <c r="A2617" s="712"/>
      <c r="B2617" s="712"/>
      <c r="C2617" s="712"/>
      <c r="D2617" s="808"/>
      <c r="E2617" s="809"/>
      <c r="F2617" s="712"/>
      <c r="G2617" s="810"/>
      <c r="H2617" s="810"/>
    </row>
    <row r="2618">
      <c r="A2618" s="712"/>
      <c r="B2618" s="712"/>
      <c r="C2618" s="712"/>
      <c r="D2618" s="808"/>
      <c r="E2618" s="809"/>
      <c r="F2618" s="712"/>
      <c r="G2618" s="810"/>
      <c r="H2618" s="810"/>
    </row>
    <row r="2619">
      <c r="A2619" s="712"/>
      <c r="B2619" s="712"/>
      <c r="C2619" s="712"/>
      <c r="D2619" s="808"/>
      <c r="E2619" s="809"/>
      <c r="F2619" s="712"/>
      <c r="G2619" s="810"/>
      <c r="H2619" s="810"/>
    </row>
    <row r="2620">
      <c r="A2620" s="712"/>
      <c r="B2620" s="712"/>
      <c r="C2620" s="712"/>
      <c r="D2620" s="808"/>
      <c r="E2620" s="809"/>
      <c r="F2620" s="712"/>
      <c r="G2620" s="810"/>
      <c r="H2620" s="810"/>
    </row>
    <row r="2621">
      <c r="A2621" s="712"/>
      <c r="B2621" s="712"/>
      <c r="C2621" s="712"/>
      <c r="D2621" s="808"/>
      <c r="E2621" s="809"/>
      <c r="F2621" s="712"/>
      <c r="G2621" s="810"/>
      <c r="H2621" s="810"/>
    </row>
    <row r="2622">
      <c r="A2622" s="712"/>
      <c r="B2622" s="712"/>
      <c r="C2622" s="712"/>
      <c r="D2622" s="808"/>
      <c r="E2622" s="809"/>
      <c r="F2622" s="712"/>
      <c r="G2622" s="810"/>
      <c r="H2622" s="810"/>
    </row>
    <row r="2623">
      <c r="A2623" s="712"/>
      <c r="B2623" s="712"/>
      <c r="C2623" s="712"/>
      <c r="D2623" s="808"/>
      <c r="E2623" s="809"/>
      <c r="F2623" s="712"/>
      <c r="G2623" s="810"/>
      <c r="H2623" s="810"/>
    </row>
    <row r="2624">
      <c r="A2624" s="712"/>
      <c r="B2624" s="712"/>
      <c r="C2624" s="712"/>
      <c r="D2624" s="808"/>
      <c r="E2624" s="809"/>
      <c r="F2624" s="712"/>
      <c r="G2624" s="810"/>
      <c r="H2624" s="810"/>
    </row>
    <row r="2625">
      <c r="A2625" s="712"/>
      <c r="B2625" s="712"/>
      <c r="C2625" s="712"/>
      <c r="D2625" s="808"/>
      <c r="E2625" s="809"/>
      <c r="F2625" s="712"/>
      <c r="G2625" s="810"/>
      <c r="H2625" s="810"/>
    </row>
    <row r="2626">
      <c r="A2626" s="712"/>
      <c r="B2626" s="712"/>
      <c r="C2626" s="712"/>
      <c r="D2626" s="808"/>
      <c r="E2626" s="809"/>
      <c r="F2626" s="712"/>
      <c r="G2626" s="810"/>
      <c r="H2626" s="810"/>
    </row>
    <row r="2627">
      <c r="A2627" s="712"/>
      <c r="B2627" s="712"/>
      <c r="C2627" s="712"/>
      <c r="D2627" s="808"/>
      <c r="E2627" s="809"/>
      <c r="F2627" s="712"/>
      <c r="G2627" s="810"/>
      <c r="H2627" s="810"/>
    </row>
    <row r="2628">
      <c r="A2628" s="712"/>
      <c r="B2628" s="712"/>
      <c r="C2628" s="712"/>
      <c r="D2628" s="808"/>
      <c r="E2628" s="809"/>
      <c r="F2628" s="712"/>
      <c r="G2628" s="810"/>
      <c r="H2628" s="810"/>
    </row>
    <row r="2629">
      <c r="A2629" s="712"/>
      <c r="B2629" s="712"/>
      <c r="C2629" s="712"/>
      <c r="D2629" s="808"/>
      <c r="E2629" s="809"/>
      <c r="F2629" s="712"/>
      <c r="G2629" s="810"/>
      <c r="H2629" s="810"/>
    </row>
    <row r="2630">
      <c r="A2630" s="712"/>
      <c r="B2630" s="712"/>
      <c r="C2630" s="712"/>
      <c r="D2630" s="808"/>
      <c r="E2630" s="809"/>
      <c r="F2630" s="712"/>
      <c r="G2630" s="810"/>
      <c r="H2630" s="810"/>
    </row>
    <row r="2631">
      <c r="A2631" s="712"/>
      <c r="B2631" s="712"/>
      <c r="C2631" s="712"/>
      <c r="D2631" s="808"/>
      <c r="E2631" s="809"/>
      <c r="F2631" s="712"/>
      <c r="G2631" s="810"/>
      <c r="H2631" s="810"/>
    </row>
    <row r="2632">
      <c r="A2632" s="712"/>
      <c r="B2632" s="712"/>
      <c r="C2632" s="712"/>
      <c r="D2632" s="808"/>
      <c r="E2632" s="809"/>
      <c r="F2632" s="712"/>
      <c r="G2632" s="810"/>
      <c r="H2632" s="810"/>
    </row>
    <row r="2633">
      <c r="A2633" s="712"/>
      <c r="B2633" s="712"/>
      <c r="C2633" s="712"/>
      <c r="D2633" s="808"/>
      <c r="E2633" s="809"/>
      <c r="F2633" s="712"/>
      <c r="G2633" s="810"/>
      <c r="H2633" s="810"/>
    </row>
    <row r="2634">
      <c r="A2634" s="712"/>
      <c r="B2634" s="712"/>
      <c r="C2634" s="712"/>
      <c r="D2634" s="808"/>
      <c r="E2634" s="809"/>
      <c r="F2634" s="712"/>
      <c r="G2634" s="810"/>
      <c r="H2634" s="810"/>
    </row>
    <row r="2635">
      <c r="A2635" s="712"/>
      <c r="B2635" s="712"/>
      <c r="C2635" s="712"/>
      <c r="D2635" s="808"/>
      <c r="E2635" s="809"/>
      <c r="F2635" s="712"/>
      <c r="G2635" s="810"/>
      <c r="H2635" s="810"/>
    </row>
    <row r="2636">
      <c r="A2636" s="712"/>
      <c r="B2636" s="712"/>
      <c r="C2636" s="712"/>
      <c r="D2636" s="808"/>
      <c r="E2636" s="809"/>
      <c r="F2636" s="712"/>
      <c r="G2636" s="810"/>
      <c r="H2636" s="810"/>
    </row>
    <row r="2637">
      <c r="A2637" s="712"/>
      <c r="B2637" s="712"/>
      <c r="C2637" s="712"/>
      <c r="D2637" s="808"/>
      <c r="E2637" s="809"/>
      <c r="F2637" s="712"/>
      <c r="G2637" s="810"/>
      <c r="H2637" s="810"/>
    </row>
    <row r="2638">
      <c r="A2638" s="712"/>
      <c r="B2638" s="712"/>
      <c r="C2638" s="712"/>
      <c r="D2638" s="808"/>
      <c r="E2638" s="809"/>
      <c r="F2638" s="712"/>
      <c r="G2638" s="810"/>
      <c r="H2638" s="810"/>
    </row>
    <row r="2639">
      <c r="A2639" s="712"/>
      <c r="B2639" s="712"/>
      <c r="C2639" s="712"/>
      <c r="D2639" s="808"/>
      <c r="E2639" s="809"/>
      <c r="F2639" s="712"/>
      <c r="G2639" s="810"/>
      <c r="H2639" s="810"/>
    </row>
    <row r="2640">
      <c r="A2640" s="712"/>
      <c r="B2640" s="712"/>
      <c r="C2640" s="712"/>
      <c r="D2640" s="808"/>
      <c r="E2640" s="809"/>
      <c r="F2640" s="712"/>
      <c r="G2640" s="810"/>
      <c r="H2640" s="810"/>
    </row>
    <row r="2641">
      <c r="A2641" s="712"/>
      <c r="B2641" s="712"/>
      <c r="C2641" s="712"/>
      <c r="D2641" s="808"/>
      <c r="E2641" s="809"/>
      <c r="F2641" s="712"/>
      <c r="G2641" s="810"/>
      <c r="H2641" s="810"/>
    </row>
    <row r="2642">
      <c r="A2642" s="712"/>
      <c r="B2642" s="712"/>
      <c r="C2642" s="712"/>
      <c r="D2642" s="808"/>
      <c r="E2642" s="809"/>
      <c r="F2642" s="712"/>
      <c r="G2642" s="810"/>
      <c r="H2642" s="810"/>
    </row>
    <row r="2643">
      <c r="A2643" s="712"/>
      <c r="B2643" s="712"/>
      <c r="C2643" s="712"/>
      <c r="D2643" s="808"/>
      <c r="E2643" s="809"/>
      <c r="F2643" s="712"/>
      <c r="G2643" s="810"/>
      <c r="H2643" s="810"/>
    </row>
    <row r="2644">
      <c r="A2644" s="712"/>
      <c r="B2644" s="712"/>
      <c r="C2644" s="712"/>
      <c r="D2644" s="808"/>
      <c r="E2644" s="809"/>
      <c r="F2644" s="712"/>
      <c r="G2644" s="810"/>
      <c r="H2644" s="810"/>
    </row>
    <row r="2645">
      <c r="A2645" s="712"/>
      <c r="B2645" s="712"/>
      <c r="C2645" s="712"/>
      <c r="D2645" s="808"/>
      <c r="E2645" s="809"/>
      <c r="F2645" s="712"/>
      <c r="G2645" s="810"/>
      <c r="H2645" s="810"/>
    </row>
    <row r="2646">
      <c r="A2646" s="712"/>
      <c r="B2646" s="712"/>
      <c r="C2646" s="712"/>
      <c r="D2646" s="808"/>
      <c r="E2646" s="809"/>
      <c r="F2646" s="712"/>
      <c r="G2646" s="810"/>
      <c r="H2646" s="810"/>
    </row>
    <row r="2647">
      <c r="A2647" s="712"/>
      <c r="B2647" s="712"/>
      <c r="C2647" s="712"/>
      <c r="D2647" s="808"/>
      <c r="E2647" s="809"/>
      <c r="F2647" s="712"/>
      <c r="G2647" s="810"/>
      <c r="H2647" s="810"/>
    </row>
    <row r="2648">
      <c r="A2648" s="712"/>
      <c r="B2648" s="712"/>
      <c r="C2648" s="712"/>
      <c r="D2648" s="808"/>
      <c r="E2648" s="809"/>
      <c r="F2648" s="712"/>
      <c r="G2648" s="810"/>
      <c r="H2648" s="810"/>
    </row>
    <row r="2649">
      <c r="A2649" s="712"/>
      <c r="B2649" s="712"/>
      <c r="C2649" s="712"/>
      <c r="D2649" s="808"/>
      <c r="E2649" s="809"/>
      <c r="F2649" s="712"/>
      <c r="G2649" s="810"/>
      <c r="H2649" s="810"/>
    </row>
    <row r="2650">
      <c r="A2650" s="712"/>
      <c r="B2650" s="712"/>
      <c r="C2650" s="712"/>
      <c r="D2650" s="808"/>
      <c r="E2650" s="809"/>
      <c r="F2650" s="712"/>
      <c r="G2650" s="810"/>
      <c r="H2650" s="810"/>
    </row>
    <row r="2651">
      <c r="A2651" s="712"/>
      <c r="B2651" s="712"/>
      <c r="C2651" s="712"/>
      <c r="D2651" s="808"/>
      <c r="E2651" s="809"/>
      <c r="F2651" s="712"/>
      <c r="G2651" s="810"/>
      <c r="H2651" s="810"/>
    </row>
    <row r="2652">
      <c r="A2652" s="712"/>
      <c r="B2652" s="712"/>
      <c r="C2652" s="712"/>
      <c r="D2652" s="808"/>
      <c r="E2652" s="809"/>
      <c r="F2652" s="712"/>
      <c r="G2652" s="810"/>
      <c r="H2652" s="810"/>
    </row>
    <row r="2653">
      <c r="A2653" s="712"/>
      <c r="B2653" s="712"/>
      <c r="C2653" s="712"/>
      <c r="D2653" s="808"/>
      <c r="E2653" s="809"/>
      <c r="F2653" s="712"/>
      <c r="G2653" s="810"/>
      <c r="H2653" s="810"/>
    </row>
    <row r="2654">
      <c r="A2654" s="712"/>
      <c r="B2654" s="712"/>
      <c r="C2654" s="712"/>
      <c r="D2654" s="808"/>
      <c r="E2654" s="809"/>
      <c r="F2654" s="712"/>
      <c r="G2654" s="810"/>
      <c r="H2654" s="810"/>
    </row>
    <row r="2655">
      <c r="A2655" s="712"/>
      <c r="B2655" s="712"/>
      <c r="C2655" s="712"/>
      <c r="D2655" s="808"/>
      <c r="E2655" s="809"/>
      <c r="F2655" s="712"/>
      <c r="G2655" s="810"/>
      <c r="H2655" s="810"/>
    </row>
    <row r="2656">
      <c r="A2656" s="712"/>
      <c r="B2656" s="712"/>
      <c r="C2656" s="712"/>
      <c r="D2656" s="808"/>
      <c r="E2656" s="809"/>
      <c r="F2656" s="712"/>
      <c r="G2656" s="810"/>
      <c r="H2656" s="810"/>
    </row>
    <row r="2657">
      <c r="A2657" s="712"/>
      <c r="B2657" s="712"/>
      <c r="C2657" s="712"/>
      <c r="D2657" s="808"/>
      <c r="E2657" s="809"/>
      <c r="F2657" s="712"/>
      <c r="G2657" s="810"/>
      <c r="H2657" s="810"/>
    </row>
    <row r="2658">
      <c r="A2658" s="712"/>
      <c r="B2658" s="712"/>
      <c r="C2658" s="712"/>
      <c r="D2658" s="808"/>
      <c r="E2658" s="809"/>
      <c r="F2658" s="712"/>
      <c r="G2658" s="810"/>
      <c r="H2658" s="810"/>
    </row>
    <row r="2659">
      <c r="A2659" s="712"/>
      <c r="B2659" s="712"/>
      <c r="C2659" s="712"/>
      <c r="D2659" s="808"/>
      <c r="E2659" s="809"/>
      <c r="F2659" s="712"/>
      <c r="G2659" s="810"/>
      <c r="H2659" s="810"/>
    </row>
    <row r="2660">
      <c r="A2660" s="712"/>
      <c r="B2660" s="712"/>
      <c r="C2660" s="712"/>
      <c r="D2660" s="808"/>
      <c r="E2660" s="809"/>
      <c r="F2660" s="712"/>
      <c r="G2660" s="810"/>
      <c r="H2660" s="810"/>
    </row>
    <row r="2661">
      <c r="A2661" s="712"/>
      <c r="B2661" s="712"/>
      <c r="C2661" s="712"/>
      <c r="D2661" s="808"/>
      <c r="E2661" s="809"/>
      <c r="F2661" s="712"/>
      <c r="G2661" s="810"/>
      <c r="H2661" s="810"/>
    </row>
    <row r="2662">
      <c r="A2662" s="712"/>
      <c r="B2662" s="712"/>
      <c r="C2662" s="712"/>
      <c r="D2662" s="808"/>
      <c r="E2662" s="809"/>
      <c r="F2662" s="712"/>
      <c r="G2662" s="810"/>
      <c r="H2662" s="810"/>
    </row>
    <row r="2663">
      <c r="A2663" s="712"/>
      <c r="B2663" s="712"/>
      <c r="C2663" s="712"/>
      <c r="D2663" s="808"/>
      <c r="E2663" s="809"/>
      <c r="F2663" s="712"/>
      <c r="G2663" s="810"/>
      <c r="H2663" s="810"/>
    </row>
    <row r="2664">
      <c r="A2664" s="712"/>
      <c r="B2664" s="712"/>
      <c r="C2664" s="712"/>
      <c r="D2664" s="808"/>
      <c r="E2664" s="809"/>
      <c r="F2664" s="712"/>
      <c r="G2664" s="810"/>
      <c r="H2664" s="810"/>
    </row>
    <row r="2665">
      <c r="A2665" s="712"/>
      <c r="B2665" s="712"/>
      <c r="C2665" s="712"/>
      <c r="D2665" s="808"/>
      <c r="E2665" s="809"/>
      <c r="F2665" s="712"/>
      <c r="G2665" s="810"/>
      <c r="H2665" s="810"/>
    </row>
    <row r="2666">
      <c r="A2666" s="712"/>
      <c r="B2666" s="712"/>
      <c r="C2666" s="712"/>
      <c r="D2666" s="808"/>
      <c r="E2666" s="809"/>
      <c r="F2666" s="712"/>
      <c r="G2666" s="810"/>
      <c r="H2666" s="810"/>
    </row>
    <row r="2667">
      <c r="A2667" s="712"/>
      <c r="B2667" s="712"/>
      <c r="C2667" s="712"/>
      <c r="D2667" s="808"/>
      <c r="E2667" s="809"/>
      <c r="F2667" s="712"/>
      <c r="G2667" s="810"/>
      <c r="H2667" s="810"/>
    </row>
    <row r="2668">
      <c r="A2668" s="712"/>
      <c r="B2668" s="712"/>
      <c r="C2668" s="712"/>
      <c r="D2668" s="808"/>
      <c r="E2668" s="809"/>
      <c r="F2668" s="712"/>
      <c r="G2668" s="810"/>
      <c r="H2668" s="810"/>
    </row>
    <row r="2669">
      <c r="A2669" s="712"/>
      <c r="B2669" s="712"/>
      <c r="C2669" s="712"/>
      <c r="D2669" s="808"/>
      <c r="E2669" s="809"/>
      <c r="F2669" s="712"/>
      <c r="G2669" s="810"/>
      <c r="H2669" s="810"/>
    </row>
    <row r="2670">
      <c r="A2670" s="712"/>
      <c r="B2670" s="712"/>
      <c r="C2670" s="712"/>
      <c r="D2670" s="808"/>
      <c r="E2670" s="809"/>
      <c r="F2670" s="712"/>
      <c r="G2670" s="810"/>
      <c r="H2670" s="810"/>
    </row>
    <row r="2671">
      <c r="A2671" s="712"/>
      <c r="B2671" s="712"/>
      <c r="C2671" s="712"/>
      <c r="D2671" s="808"/>
      <c r="E2671" s="809"/>
      <c r="F2671" s="712"/>
      <c r="G2671" s="810"/>
      <c r="H2671" s="810"/>
    </row>
    <row r="2672">
      <c r="A2672" s="712"/>
      <c r="B2672" s="712"/>
      <c r="C2672" s="712"/>
      <c r="D2672" s="808"/>
      <c r="E2672" s="809"/>
      <c r="F2672" s="712"/>
      <c r="G2672" s="810"/>
      <c r="H2672" s="810"/>
    </row>
    <row r="2673">
      <c r="A2673" s="712"/>
      <c r="B2673" s="712"/>
      <c r="C2673" s="712"/>
      <c r="D2673" s="808"/>
      <c r="E2673" s="809"/>
      <c r="F2673" s="712"/>
      <c r="G2673" s="810"/>
      <c r="H2673" s="810"/>
    </row>
    <row r="2674">
      <c r="A2674" s="712"/>
      <c r="B2674" s="712"/>
      <c r="C2674" s="712"/>
      <c r="D2674" s="808"/>
      <c r="E2674" s="809"/>
      <c r="F2674" s="712"/>
      <c r="G2674" s="810"/>
      <c r="H2674" s="810"/>
    </row>
    <row r="2675">
      <c r="A2675" s="712"/>
      <c r="B2675" s="712"/>
      <c r="C2675" s="712"/>
      <c r="D2675" s="808"/>
      <c r="E2675" s="809"/>
      <c r="F2675" s="712"/>
      <c r="G2675" s="810"/>
      <c r="H2675" s="810"/>
    </row>
    <row r="2676">
      <c r="A2676" s="712"/>
      <c r="B2676" s="712"/>
      <c r="C2676" s="712"/>
      <c r="D2676" s="808"/>
      <c r="E2676" s="809"/>
      <c r="F2676" s="712"/>
      <c r="G2676" s="810"/>
      <c r="H2676" s="810"/>
    </row>
    <row r="2677">
      <c r="A2677" s="712"/>
      <c r="B2677" s="712"/>
      <c r="C2677" s="712"/>
      <c r="D2677" s="808"/>
      <c r="E2677" s="809"/>
      <c r="F2677" s="712"/>
      <c r="G2677" s="810"/>
      <c r="H2677" s="810"/>
    </row>
    <row r="2678">
      <c r="A2678" s="712"/>
      <c r="B2678" s="712"/>
      <c r="C2678" s="712"/>
      <c r="D2678" s="808"/>
      <c r="E2678" s="809"/>
      <c r="F2678" s="712"/>
      <c r="G2678" s="810"/>
      <c r="H2678" s="810"/>
    </row>
    <row r="2679">
      <c r="A2679" s="712"/>
      <c r="B2679" s="712"/>
      <c r="C2679" s="712"/>
      <c r="D2679" s="808"/>
      <c r="E2679" s="809"/>
      <c r="F2679" s="712"/>
      <c r="G2679" s="810"/>
      <c r="H2679" s="810"/>
    </row>
    <row r="2680">
      <c r="A2680" s="712"/>
      <c r="B2680" s="712"/>
      <c r="C2680" s="712"/>
      <c r="D2680" s="808"/>
      <c r="E2680" s="809"/>
      <c r="F2680" s="712"/>
      <c r="G2680" s="810"/>
      <c r="H2680" s="810"/>
    </row>
    <row r="2681">
      <c r="A2681" s="712"/>
      <c r="B2681" s="712"/>
      <c r="C2681" s="712"/>
      <c r="D2681" s="808"/>
      <c r="E2681" s="809"/>
      <c r="F2681" s="712"/>
      <c r="G2681" s="810"/>
      <c r="H2681" s="810"/>
    </row>
    <row r="2682">
      <c r="A2682" s="712"/>
      <c r="B2682" s="712"/>
      <c r="C2682" s="712"/>
      <c r="D2682" s="808"/>
      <c r="E2682" s="809"/>
      <c r="F2682" s="712"/>
      <c r="G2682" s="810"/>
      <c r="H2682" s="810"/>
    </row>
    <row r="2683">
      <c r="A2683" s="712"/>
      <c r="B2683" s="712"/>
      <c r="C2683" s="712"/>
      <c r="D2683" s="808"/>
      <c r="E2683" s="809"/>
      <c r="F2683" s="712"/>
      <c r="G2683" s="810"/>
      <c r="H2683" s="810"/>
    </row>
    <row r="2684">
      <c r="A2684" s="712"/>
      <c r="B2684" s="712"/>
      <c r="C2684" s="712"/>
      <c r="D2684" s="808"/>
      <c r="E2684" s="809"/>
      <c r="F2684" s="712"/>
      <c r="G2684" s="810"/>
      <c r="H2684" s="810"/>
    </row>
    <row r="2685">
      <c r="A2685" s="712"/>
      <c r="B2685" s="712"/>
      <c r="C2685" s="712"/>
      <c r="D2685" s="808"/>
      <c r="E2685" s="809"/>
      <c r="F2685" s="712"/>
      <c r="G2685" s="810"/>
      <c r="H2685" s="810"/>
    </row>
    <row r="2686">
      <c r="A2686" s="712"/>
      <c r="B2686" s="712"/>
      <c r="C2686" s="712"/>
      <c r="D2686" s="808"/>
      <c r="E2686" s="809"/>
      <c r="F2686" s="712"/>
      <c r="G2686" s="810"/>
      <c r="H2686" s="810"/>
    </row>
    <row r="2687">
      <c r="A2687" s="712"/>
      <c r="B2687" s="712"/>
      <c r="C2687" s="712"/>
      <c r="D2687" s="808"/>
      <c r="E2687" s="809"/>
      <c r="F2687" s="712"/>
      <c r="G2687" s="810"/>
      <c r="H2687" s="810"/>
    </row>
    <row r="2688">
      <c r="A2688" s="712"/>
      <c r="B2688" s="712"/>
      <c r="C2688" s="712"/>
      <c r="D2688" s="808"/>
      <c r="E2688" s="809"/>
      <c r="F2688" s="712"/>
      <c r="G2688" s="810"/>
      <c r="H2688" s="810"/>
    </row>
    <row r="2689">
      <c r="A2689" s="712"/>
      <c r="B2689" s="712"/>
      <c r="C2689" s="712"/>
      <c r="D2689" s="808"/>
      <c r="E2689" s="809"/>
      <c r="F2689" s="712"/>
      <c r="G2689" s="810"/>
      <c r="H2689" s="810"/>
    </row>
    <row r="2690">
      <c r="A2690" s="712"/>
      <c r="B2690" s="712"/>
      <c r="C2690" s="712"/>
      <c r="D2690" s="808"/>
      <c r="E2690" s="809"/>
      <c r="F2690" s="712"/>
      <c r="G2690" s="810"/>
      <c r="H2690" s="810"/>
    </row>
    <row r="2691">
      <c r="A2691" s="712"/>
      <c r="B2691" s="712"/>
      <c r="C2691" s="712"/>
      <c r="D2691" s="808"/>
      <c r="E2691" s="809"/>
      <c r="F2691" s="712"/>
      <c r="G2691" s="810"/>
      <c r="H2691" s="810"/>
    </row>
    <row r="2692">
      <c r="A2692" s="712"/>
      <c r="B2692" s="712"/>
      <c r="C2692" s="712"/>
      <c r="D2692" s="808"/>
      <c r="E2692" s="809"/>
      <c r="F2692" s="712"/>
      <c r="G2692" s="810"/>
      <c r="H2692" s="810"/>
    </row>
    <row r="2693">
      <c r="A2693" s="712"/>
      <c r="B2693" s="712"/>
      <c r="C2693" s="712"/>
      <c r="D2693" s="808"/>
      <c r="E2693" s="809"/>
      <c r="F2693" s="712"/>
      <c r="G2693" s="810"/>
      <c r="H2693" s="810"/>
    </row>
    <row r="2694">
      <c r="A2694" s="712"/>
      <c r="B2694" s="712"/>
      <c r="C2694" s="712"/>
      <c r="D2694" s="808"/>
      <c r="E2694" s="809"/>
      <c r="F2694" s="712"/>
      <c r="G2694" s="810"/>
      <c r="H2694" s="810"/>
    </row>
    <row r="2695">
      <c r="A2695" s="712"/>
      <c r="B2695" s="712"/>
      <c r="C2695" s="712"/>
      <c r="D2695" s="808"/>
      <c r="E2695" s="809"/>
      <c r="F2695" s="712"/>
      <c r="G2695" s="810"/>
      <c r="H2695" s="810"/>
    </row>
    <row r="2696">
      <c r="A2696" s="712"/>
      <c r="B2696" s="712"/>
      <c r="C2696" s="712"/>
      <c r="D2696" s="808"/>
      <c r="E2696" s="809"/>
      <c r="F2696" s="712"/>
      <c r="G2696" s="810"/>
      <c r="H2696" s="810"/>
    </row>
    <row r="2697">
      <c r="A2697" s="712"/>
      <c r="B2697" s="712"/>
      <c r="C2697" s="712"/>
      <c r="D2697" s="808"/>
      <c r="E2697" s="809"/>
      <c r="F2697" s="712"/>
      <c r="G2697" s="810"/>
      <c r="H2697" s="810"/>
    </row>
    <row r="2698">
      <c r="A2698" s="712"/>
      <c r="B2698" s="712"/>
      <c r="C2698" s="712"/>
      <c r="D2698" s="808"/>
      <c r="E2698" s="809"/>
      <c r="F2698" s="712"/>
      <c r="G2698" s="810"/>
      <c r="H2698" s="810"/>
    </row>
    <row r="2699">
      <c r="A2699" s="712"/>
      <c r="B2699" s="712"/>
      <c r="C2699" s="712"/>
      <c r="D2699" s="808"/>
      <c r="E2699" s="809"/>
      <c r="F2699" s="712"/>
      <c r="G2699" s="810"/>
      <c r="H2699" s="810"/>
    </row>
    <row r="2700">
      <c r="A2700" s="712"/>
      <c r="B2700" s="712"/>
      <c r="C2700" s="712"/>
      <c r="D2700" s="808"/>
      <c r="E2700" s="809"/>
      <c r="F2700" s="712"/>
      <c r="G2700" s="810"/>
      <c r="H2700" s="810"/>
    </row>
    <row r="2701">
      <c r="A2701" s="712"/>
      <c r="B2701" s="712"/>
      <c r="C2701" s="712"/>
      <c r="D2701" s="808"/>
      <c r="E2701" s="809"/>
      <c r="F2701" s="712"/>
      <c r="G2701" s="810"/>
      <c r="H2701" s="810"/>
    </row>
    <row r="2702">
      <c r="A2702" s="712"/>
      <c r="B2702" s="712"/>
      <c r="C2702" s="712"/>
      <c r="D2702" s="808"/>
      <c r="E2702" s="809"/>
      <c r="F2702" s="712"/>
      <c r="G2702" s="810"/>
      <c r="H2702" s="810"/>
    </row>
    <row r="2703">
      <c r="A2703" s="712"/>
      <c r="B2703" s="712"/>
      <c r="C2703" s="712"/>
      <c r="D2703" s="808"/>
      <c r="E2703" s="809"/>
      <c r="F2703" s="712"/>
      <c r="G2703" s="810"/>
      <c r="H2703" s="810"/>
    </row>
    <row r="2704">
      <c r="A2704" s="712"/>
      <c r="B2704" s="712"/>
      <c r="C2704" s="712"/>
      <c r="D2704" s="808"/>
      <c r="E2704" s="809"/>
      <c r="F2704" s="712"/>
      <c r="G2704" s="810"/>
      <c r="H2704" s="810"/>
    </row>
    <row r="2705">
      <c r="A2705" s="712"/>
      <c r="B2705" s="712"/>
      <c r="C2705" s="712"/>
      <c r="D2705" s="808"/>
      <c r="E2705" s="809"/>
      <c r="F2705" s="712"/>
      <c r="G2705" s="810"/>
      <c r="H2705" s="810"/>
    </row>
    <row r="2706">
      <c r="A2706" s="712"/>
      <c r="B2706" s="712"/>
      <c r="C2706" s="712"/>
      <c r="D2706" s="808"/>
      <c r="E2706" s="809"/>
      <c r="F2706" s="712"/>
      <c r="G2706" s="810"/>
      <c r="H2706" s="810"/>
    </row>
    <row r="2707">
      <c r="A2707" s="712"/>
      <c r="B2707" s="712"/>
      <c r="C2707" s="712"/>
      <c r="D2707" s="808"/>
      <c r="E2707" s="809"/>
      <c r="F2707" s="712"/>
      <c r="G2707" s="810"/>
      <c r="H2707" s="810"/>
    </row>
    <row r="2708">
      <c r="A2708" s="712"/>
      <c r="B2708" s="712"/>
      <c r="C2708" s="712"/>
      <c r="D2708" s="808"/>
      <c r="E2708" s="809"/>
      <c r="F2708" s="712"/>
      <c r="G2708" s="810"/>
      <c r="H2708" s="810"/>
    </row>
    <row r="2709">
      <c r="A2709" s="712"/>
      <c r="B2709" s="712"/>
      <c r="C2709" s="712"/>
      <c r="D2709" s="808"/>
      <c r="E2709" s="809"/>
      <c r="F2709" s="712"/>
      <c r="G2709" s="810"/>
      <c r="H2709" s="810"/>
    </row>
    <row r="2710">
      <c r="A2710" s="712"/>
      <c r="B2710" s="712"/>
      <c r="C2710" s="712"/>
      <c r="D2710" s="808"/>
      <c r="E2710" s="809"/>
      <c r="F2710" s="712"/>
      <c r="G2710" s="810"/>
      <c r="H2710" s="810"/>
    </row>
    <row r="2711">
      <c r="A2711" s="712"/>
      <c r="B2711" s="712"/>
      <c r="C2711" s="712"/>
      <c r="D2711" s="808"/>
      <c r="E2711" s="809"/>
      <c r="F2711" s="712"/>
      <c r="G2711" s="810"/>
      <c r="H2711" s="810"/>
    </row>
    <row r="2712">
      <c r="A2712" s="712"/>
      <c r="B2712" s="712"/>
      <c r="C2712" s="712"/>
      <c r="D2712" s="808"/>
      <c r="E2712" s="809"/>
      <c r="F2712" s="712"/>
      <c r="G2712" s="810"/>
      <c r="H2712" s="810"/>
    </row>
    <row r="2713">
      <c r="A2713" s="712"/>
      <c r="B2713" s="712"/>
      <c r="C2713" s="712"/>
      <c r="D2713" s="808"/>
      <c r="E2713" s="809"/>
      <c r="F2713" s="712"/>
      <c r="G2713" s="810"/>
      <c r="H2713" s="810"/>
    </row>
    <row r="2714">
      <c r="A2714" s="712"/>
      <c r="B2714" s="712"/>
      <c r="C2714" s="712"/>
      <c r="D2714" s="808"/>
      <c r="E2714" s="809"/>
      <c r="F2714" s="712"/>
      <c r="G2714" s="810"/>
      <c r="H2714" s="810"/>
    </row>
    <row r="2715">
      <c r="A2715" s="712"/>
      <c r="B2715" s="712"/>
      <c r="C2715" s="712"/>
      <c r="D2715" s="808"/>
      <c r="E2715" s="809"/>
      <c r="F2715" s="712"/>
      <c r="G2715" s="810"/>
      <c r="H2715" s="810"/>
    </row>
    <row r="2716">
      <c r="A2716" s="712"/>
      <c r="B2716" s="712"/>
      <c r="C2716" s="712"/>
      <c r="D2716" s="808"/>
      <c r="E2716" s="809"/>
      <c r="F2716" s="712"/>
      <c r="G2716" s="810"/>
      <c r="H2716" s="810"/>
    </row>
    <row r="2717">
      <c r="A2717" s="712"/>
      <c r="B2717" s="712"/>
      <c r="C2717" s="712"/>
      <c r="D2717" s="808"/>
      <c r="E2717" s="809"/>
      <c r="F2717" s="712"/>
      <c r="G2717" s="810"/>
      <c r="H2717" s="810"/>
    </row>
    <row r="2718">
      <c r="A2718" s="712"/>
      <c r="B2718" s="712"/>
      <c r="C2718" s="712"/>
      <c r="D2718" s="808"/>
      <c r="E2718" s="809"/>
      <c r="F2718" s="712"/>
      <c r="G2718" s="810"/>
      <c r="H2718" s="810"/>
    </row>
    <row r="2719">
      <c r="A2719" s="712"/>
      <c r="B2719" s="712"/>
      <c r="C2719" s="712"/>
      <c r="D2719" s="808"/>
      <c r="E2719" s="809"/>
      <c r="F2719" s="712"/>
      <c r="G2719" s="810"/>
      <c r="H2719" s="810"/>
    </row>
    <row r="2720">
      <c r="A2720" s="712"/>
      <c r="B2720" s="712"/>
      <c r="C2720" s="712"/>
      <c r="D2720" s="808"/>
      <c r="E2720" s="809"/>
      <c r="F2720" s="712"/>
      <c r="G2720" s="810"/>
      <c r="H2720" s="810"/>
    </row>
    <row r="2721">
      <c r="A2721" s="712"/>
      <c r="B2721" s="712"/>
      <c r="C2721" s="712"/>
      <c r="D2721" s="808"/>
      <c r="E2721" s="809"/>
      <c r="F2721" s="712"/>
      <c r="G2721" s="810"/>
      <c r="H2721" s="810"/>
    </row>
    <row r="2722">
      <c r="A2722" s="712"/>
      <c r="B2722" s="712"/>
      <c r="C2722" s="712"/>
      <c r="D2722" s="808"/>
      <c r="E2722" s="809"/>
      <c r="F2722" s="712"/>
      <c r="G2722" s="810"/>
      <c r="H2722" s="810"/>
    </row>
    <row r="2723">
      <c r="A2723" s="712"/>
      <c r="B2723" s="712"/>
      <c r="C2723" s="712"/>
      <c r="D2723" s="808"/>
      <c r="E2723" s="809"/>
      <c r="F2723" s="712"/>
      <c r="G2723" s="810"/>
      <c r="H2723" s="810"/>
    </row>
    <row r="2724">
      <c r="A2724" s="712"/>
      <c r="B2724" s="712"/>
      <c r="C2724" s="712"/>
      <c r="D2724" s="808"/>
      <c r="E2724" s="809"/>
      <c r="F2724" s="712"/>
      <c r="G2724" s="810"/>
      <c r="H2724" s="810"/>
    </row>
    <row r="2725">
      <c r="A2725" s="712"/>
      <c r="B2725" s="712"/>
      <c r="C2725" s="712"/>
      <c r="D2725" s="808"/>
      <c r="E2725" s="809"/>
      <c r="F2725" s="712"/>
      <c r="G2725" s="810"/>
      <c r="H2725" s="810"/>
    </row>
    <row r="2726">
      <c r="A2726" s="712"/>
      <c r="B2726" s="712"/>
      <c r="C2726" s="712"/>
      <c r="D2726" s="808"/>
      <c r="E2726" s="809"/>
      <c r="F2726" s="712"/>
      <c r="G2726" s="810"/>
      <c r="H2726" s="810"/>
    </row>
    <row r="2727">
      <c r="A2727" s="712"/>
      <c r="B2727" s="712"/>
      <c r="C2727" s="712"/>
      <c r="D2727" s="808"/>
      <c r="E2727" s="809"/>
      <c r="F2727" s="712"/>
      <c r="G2727" s="810"/>
      <c r="H2727" s="810"/>
    </row>
    <row r="2728">
      <c r="A2728" s="712"/>
      <c r="B2728" s="712"/>
      <c r="C2728" s="712"/>
      <c r="D2728" s="808"/>
      <c r="E2728" s="809"/>
      <c r="F2728" s="712"/>
      <c r="G2728" s="810"/>
      <c r="H2728" s="810"/>
    </row>
    <row r="2729">
      <c r="A2729" s="712"/>
      <c r="B2729" s="712"/>
      <c r="C2729" s="712"/>
      <c r="D2729" s="808"/>
      <c r="E2729" s="809"/>
      <c r="F2729" s="712"/>
      <c r="G2729" s="810"/>
      <c r="H2729" s="810"/>
    </row>
    <row r="2730">
      <c r="A2730" s="712"/>
      <c r="B2730" s="712"/>
      <c r="C2730" s="712"/>
      <c r="D2730" s="808"/>
      <c r="E2730" s="809"/>
      <c r="F2730" s="712"/>
      <c r="G2730" s="810"/>
      <c r="H2730" s="810"/>
    </row>
    <row r="2731">
      <c r="A2731" s="712"/>
      <c r="B2731" s="712"/>
      <c r="C2731" s="712"/>
      <c r="D2731" s="808"/>
      <c r="E2731" s="809"/>
      <c r="F2731" s="712"/>
      <c r="G2731" s="810"/>
      <c r="H2731" s="810"/>
    </row>
    <row r="2732">
      <c r="A2732" s="712"/>
      <c r="B2732" s="712"/>
      <c r="C2732" s="712"/>
      <c r="D2732" s="808"/>
      <c r="E2732" s="809"/>
      <c r="F2732" s="712"/>
      <c r="G2732" s="810"/>
      <c r="H2732" s="810"/>
    </row>
    <row r="2733">
      <c r="A2733" s="712"/>
      <c r="B2733" s="712"/>
      <c r="C2733" s="712"/>
      <c r="D2733" s="808"/>
      <c r="E2733" s="809"/>
      <c r="F2733" s="712"/>
      <c r="G2733" s="810"/>
      <c r="H2733" s="810"/>
    </row>
    <row r="2734">
      <c r="A2734" s="712"/>
      <c r="B2734" s="712"/>
      <c r="C2734" s="712"/>
      <c r="D2734" s="808"/>
      <c r="E2734" s="809"/>
      <c r="F2734" s="712"/>
      <c r="G2734" s="810"/>
      <c r="H2734" s="810"/>
    </row>
    <row r="2735">
      <c r="A2735" s="712"/>
      <c r="B2735" s="712"/>
      <c r="C2735" s="712"/>
      <c r="D2735" s="808"/>
      <c r="E2735" s="809"/>
      <c r="F2735" s="712"/>
      <c r="G2735" s="810"/>
      <c r="H2735" s="810"/>
    </row>
    <row r="2736">
      <c r="A2736" s="712"/>
      <c r="B2736" s="712"/>
      <c r="C2736" s="712"/>
      <c r="D2736" s="808"/>
      <c r="E2736" s="809"/>
      <c r="F2736" s="712"/>
      <c r="G2736" s="810"/>
      <c r="H2736" s="810"/>
    </row>
    <row r="2737">
      <c r="A2737" s="712"/>
      <c r="B2737" s="712"/>
      <c r="C2737" s="712"/>
      <c r="D2737" s="808"/>
      <c r="E2737" s="809"/>
      <c r="F2737" s="712"/>
      <c r="G2737" s="810"/>
      <c r="H2737" s="810"/>
    </row>
    <row r="2738">
      <c r="A2738" s="712"/>
      <c r="B2738" s="712"/>
      <c r="C2738" s="712"/>
      <c r="D2738" s="808"/>
      <c r="E2738" s="809"/>
      <c r="F2738" s="712"/>
      <c r="G2738" s="810"/>
      <c r="H2738" s="810"/>
    </row>
    <row r="2739">
      <c r="A2739" s="712"/>
      <c r="B2739" s="712"/>
      <c r="C2739" s="712"/>
      <c r="D2739" s="808"/>
      <c r="E2739" s="809"/>
      <c r="F2739" s="712"/>
      <c r="G2739" s="810"/>
      <c r="H2739" s="810"/>
    </row>
    <row r="2740">
      <c r="A2740" s="712"/>
      <c r="B2740" s="712"/>
      <c r="C2740" s="712"/>
      <c r="D2740" s="808"/>
      <c r="E2740" s="809"/>
      <c r="F2740" s="712"/>
      <c r="G2740" s="810"/>
      <c r="H2740" s="810"/>
    </row>
    <row r="2741">
      <c r="A2741" s="712"/>
      <c r="B2741" s="712"/>
      <c r="C2741" s="712"/>
      <c r="D2741" s="808"/>
      <c r="E2741" s="809"/>
      <c r="F2741" s="712"/>
      <c r="G2741" s="810"/>
      <c r="H2741" s="810"/>
    </row>
    <row r="2742">
      <c r="A2742" s="712"/>
      <c r="B2742" s="712"/>
      <c r="C2742" s="712"/>
      <c r="D2742" s="808"/>
      <c r="E2742" s="809"/>
      <c r="F2742" s="712"/>
      <c r="G2742" s="810"/>
      <c r="H2742" s="810"/>
    </row>
    <row r="2743">
      <c r="A2743" s="712"/>
      <c r="B2743" s="712"/>
      <c r="C2743" s="712"/>
      <c r="D2743" s="808"/>
      <c r="E2743" s="809"/>
      <c r="F2743" s="712"/>
      <c r="G2743" s="810"/>
      <c r="H2743" s="810"/>
    </row>
    <row r="2744">
      <c r="A2744" s="712"/>
      <c r="B2744" s="712"/>
      <c r="C2744" s="712"/>
      <c r="D2744" s="808"/>
      <c r="E2744" s="809"/>
      <c r="F2744" s="712"/>
      <c r="G2744" s="810"/>
      <c r="H2744" s="810"/>
    </row>
    <row r="2745">
      <c r="A2745" s="712"/>
      <c r="B2745" s="712"/>
      <c r="C2745" s="712"/>
      <c r="D2745" s="808"/>
      <c r="E2745" s="809"/>
      <c r="F2745" s="712"/>
      <c r="G2745" s="810"/>
      <c r="H2745" s="810"/>
    </row>
    <row r="2746">
      <c r="A2746" s="712"/>
      <c r="B2746" s="712"/>
      <c r="C2746" s="712"/>
      <c r="D2746" s="808"/>
      <c r="E2746" s="809"/>
      <c r="F2746" s="712"/>
      <c r="G2746" s="810"/>
      <c r="H2746" s="810"/>
    </row>
    <row r="2747">
      <c r="A2747" s="712"/>
      <c r="B2747" s="712"/>
      <c r="C2747" s="712"/>
      <c r="D2747" s="808"/>
      <c r="E2747" s="809"/>
      <c r="F2747" s="712"/>
      <c r="G2747" s="810"/>
      <c r="H2747" s="810"/>
    </row>
    <row r="2748">
      <c r="A2748" s="712"/>
      <c r="B2748" s="712"/>
      <c r="C2748" s="712"/>
      <c r="D2748" s="808"/>
      <c r="E2748" s="809"/>
      <c r="F2748" s="712"/>
      <c r="G2748" s="810"/>
      <c r="H2748" s="810"/>
    </row>
    <row r="2749">
      <c r="A2749" s="712"/>
      <c r="B2749" s="712"/>
      <c r="C2749" s="712"/>
      <c r="D2749" s="808"/>
      <c r="E2749" s="809"/>
      <c r="F2749" s="712"/>
      <c r="G2749" s="810"/>
      <c r="H2749" s="810"/>
    </row>
    <row r="2750">
      <c r="A2750" s="712"/>
      <c r="B2750" s="712"/>
      <c r="C2750" s="712"/>
      <c r="D2750" s="808"/>
      <c r="E2750" s="809"/>
      <c r="F2750" s="712"/>
      <c r="G2750" s="810"/>
      <c r="H2750" s="810"/>
    </row>
    <row r="2751">
      <c r="A2751" s="712"/>
      <c r="B2751" s="712"/>
      <c r="C2751" s="712"/>
      <c r="D2751" s="808"/>
      <c r="E2751" s="809"/>
      <c r="F2751" s="712"/>
      <c r="G2751" s="810"/>
      <c r="H2751" s="810"/>
    </row>
    <row r="2752">
      <c r="A2752" s="712"/>
      <c r="B2752" s="712"/>
      <c r="C2752" s="712"/>
      <c r="D2752" s="808"/>
      <c r="E2752" s="809"/>
      <c r="F2752" s="712"/>
      <c r="G2752" s="810"/>
      <c r="H2752" s="810"/>
    </row>
    <row r="2753">
      <c r="A2753" s="712"/>
      <c r="B2753" s="712"/>
      <c r="C2753" s="712"/>
      <c r="D2753" s="808"/>
      <c r="E2753" s="809"/>
      <c r="F2753" s="712"/>
      <c r="G2753" s="810"/>
      <c r="H2753" s="810"/>
    </row>
    <row r="2754">
      <c r="A2754" s="712"/>
      <c r="B2754" s="712"/>
      <c r="C2754" s="712"/>
      <c r="D2754" s="808"/>
      <c r="E2754" s="809"/>
      <c r="F2754" s="712"/>
      <c r="G2754" s="810"/>
      <c r="H2754" s="810"/>
    </row>
    <row r="2755">
      <c r="A2755" s="712"/>
      <c r="B2755" s="712"/>
      <c r="C2755" s="712"/>
      <c r="D2755" s="808"/>
      <c r="E2755" s="809"/>
      <c r="F2755" s="712"/>
      <c r="G2755" s="810"/>
      <c r="H2755" s="810"/>
    </row>
    <row r="2756">
      <c r="A2756" s="712"/>
      <c r="B2756" s="712"/>
      <c r="C2756" s="712"/>
      <c r="D2756" s="808"/>
      <c r="E2756" s="809"/>
      <c r="F2756" s="712"/>
      <c r="G2756" s="810"/>
      <c r="H2756" s="810"/>
    </row>
    <row r="2757">
      <c r="A2757" s="712"/>
      <c r="B2757" s="712"/>
      <c r="C2757" s="712"/>
      <c r="D2757" s="808"/>
      <c r="E2757" s="809"/>
      <c r="F2757" s="712"/>
      <c r="G2757" s="810"/>
      <c r="H2757" s="810"/>
    </row>
    <row r="2758">
      <c r="A2758" s="712"/>
      <c r="B2758" s="712"/>
      <c r="C2758" s="712"/>
      <c r="D2758" s="808"/>
      <c r="E2758" s="809"/>
      <c r="F2758" s="712"/>
      <c r="G2758" s="810"/>
      <c r="H2758" s="810"/>
    </row>
    <row r="2759">
      <c r="A2759" s="712"/>
      <c r="B2759" s="712"/>
      <c r="C2759" s="712"/>
      <c r="D2759" s="808"/>
      <c r="E2759" s="809"/>
      <c r="F2759" s="712"/>
      <c r="G2759" s="810"/>
      <c r="H2759" s="810"/>
    </row>
    <row r="2760">
      <c r="A2760" s="712"/>
      <c r="B2760" s="712"/>
      <c r="C2760" s="712"/>
      <c r="D2760" s="808"/>
      <c r="E2760" s="809"/>
      <c r="F2760" s="712"/>
      <c r="G2760" s="810"/>
      <c r="H2760" s="810"/>
    </row>
    <row r="2761">
      <c r="A2761" s="712"/>
      <c r="B2761" s="712"/>
      <c r="C2761" s="712"/>
      <c r="D2761" s="808"/>
      <c r="E2761" s="809"/>
      <c r="F2761" s="712"/>
      <c r="G2761" s="810"/>
      <c r="H2761" s="810"/>
    </row>
    <row r="2762">
      <c r="A2762" s="712"/>
      <c r="B2762" s="712"/>
      <c r="C2762" s="712"/>
      <c r="D2762" s="808"/>
      <c r="E2762" s="809"/>
      <c r="F2762" s="712"/>
      <c r="G2762" s="810"/>
      <c r="H2762" s="810"/>
    </row>
    <row r="2763">
      <c r="A2763" s="712"/>
      <c r="B2763" s="712"/>
      <c r="C2763" s="712"/>
      <c r="D2763" s="808"/>
      <c r="E2763" s="809"/>
      <c r="F2763" s="712"/>
      <c r="G2763" s="810"/>
      <c r="H2763" s="810"/>
    </row>
    <row r="2764">
      <c r="A2764" s="712"/>
      <c r="B2764" s="712"/>
      <c r="C2764" s="712"/>
      <c r="D2764" s="808"/>
      <c r="E2764" s="809"/>
      <c r="F2764" s="712"/>
      <c r="G2764" s="810"/>
      <c r="H2764" s="810"/>
    </row>
    <row r="2765">
      <c r="A2765" s="712"/>
      <c r="B2765" s="712"/>
      <c r="C2765" s="712"/>
      <c r="D2765" s="808"/>
      <c r="E2765" s="809"/>
      <c r="F2765" s="712"/>
      <c r="G2765" s="810"/>
      <c r="H2765" s="810"/>
    </row>
    <row r="2766">
      <c r="A2766" s="712"/>
      <c r="B2766" s="712"/>
      <c r="C2766" s="712"/>
      <c r="D2766" s="808"/>
      <c r="E2766" s="809"/>
      <c r="F2766" s="712"/>
      <c r="G2766" s="810"/>
      <c r="H2766" s="810"/>
    </row>
    <row r="2767">
      <c r="A2767" s="712"/>
      <c r="B2767" s="712"/>
      <c r="C2767" s="712"/>
      <c r="D2767" s="808"/>
      <c r="E2767" s="809"/>
      <c r="F2767" s="712"/>
      <c r="G2767" s="810"/>
      <c r="H2767" s="810"/>
    </row>
    <row r="2768">
      <c r="A2768" s="712"/>
      <c r="B2768" s="712"/>
      <c r="C2768" s="712"/>
      <c r="D2768" s="808"/>
      <c r="E2768" s="809"/>
      <c r="F2768" s="712"/>
      <c r="G2768" s="810"/>
      <c r="H2768" s="810"/>
    </row>
    <row r="2769">
      <c r="A2769" s="712"/>
      <c r="B2769" s="712"/>
      <c r="C2769" s="712"/>
      <c r="D2769" s="808"/>
      <c r="E2769" s="809"/>
      <c r="F2769" s="712"/>
      <c r="G2769" s="810"/>
      <c r="H2769" s="810"/>
    </row>
    <row r="2770">
      <c r="A2770" s="712"/>
      <c r="B2770" s="712"/>
      <c r="C2770" s="712"/>
      <c r="D2770" s="808"/>
      <c r="E2770" s="809"/>
      <c r="F2770" s="712"/>
      <c r="G2770" s="810"/>
      <c r="H2770" s="810"/>
    </row>
    <row r="2771">
      <c r="A2771" s="712"/>
      <c r="B2771" s="712"/>
      <c r="C2771" s="712"/>
      <c r="D2771" s="808"/>
      <c r="E2771" s="809"/>
      <c r="F2771" s="712"/>
      <c r="G2771" s="810"/>
      <c r="H2771" s="810"/>
    </row>
    <row r="2772">
      <c r="A2772" s="712"/>
      <c r="B2772" s="712"/>
      <c r="C2772" s="712"/>
      <c r="D2772" s="808"/>
      <c r="E2772" s="809"/>
      <c r="F2772" s="712"/>
      <c r="G2772" s="810"/>
      <c r="H2772" s="810"/>
    </row>
    <row r="2773">
      <c r="A2773" s="712"/>
      <c r="B2773" s="712"/>
      <c r="C2773" s="712"/>
      <c r="D2773" s="808"/>
      <c r="E2773" s="809"/>
      <c r="F2773" s="712"/>
      <c r="G2773" s="810"/>
      <c r="H2773" s="810"/>
    </row>
    <row r="2774">
      <c r="A2774" s="712"/>
      <c r="B2774" s="712"/>
      <c r="C2774" s="712"/>
      <c r="D2774" s="808"/>
      <c r="E2774" s="809"/>
      <c r="F2774" s="712"/>
      <c r="G2774" s="810"/>
      <c r="H2774" s="810"/>
    </row>
    <row r="2775">
      <c r="A2775" s="712"/>
      <c r="B2775" s="712"/>
      <c r="C2775" s="712"/>
      <c r="D2775" s="808"/>
      <c r="E2775" s="809"/>
      <c r="F2775" s="712"/>
      <c r="G2775" s="810"/>
      <c r="H2775" s="810"/>
    </row>
    <row r="2776">
      <c r="A2776" s="712"/>
      <c r="B2776" s="712"/>
      <c r="C2776" s="712"/>
      <c r="D2776" s="808"/>
      <c r="E2776" s="809"/>
      <c r="F2776" s="712"/>
      <c r="G2776" s="810"/>
      <c r="H2776" s="810"/>
    </row>
    <row r="2777">
      <c r="A2777" s="712"/>
      <c r="B2777" s="712"/>
      <c r="C2777" s="712"/>
      <c r="D2777" s="808"/>
      <c r="E2777" s="809"/>
      <c r="F2777" s="712"/>
      <c r="G2777" s="810"/>
      <c r="H2777" s="810"/>
    </row>
    <row r="2778">
      <c r="A2778" s="712"/>
      <c r="B2778" s="712"/>
      <c r="C2778" s="712"/>
      <c r="D2778" s="808"/>
      <c r="E2778" s="809"/>
      <c r="F2778" s="712"/>
      <c r="G2778" s="810"/>
      <c r="H2778" s="810"/>
    </row>
    <row r="2779">
      <c r="A2779" s="712"/>
      <c r="B2779" s="712"/>
      <c r="C2779" s="712"/>
      <c r="D2779" s="808"/>
      <c r="E2779" s="809"/>
      <c r="F2779" s="712"/>
      <c r="G2779" s="810"/>
      <c r="H2779" s="810"/>
    </row>
    <row r="2780">
      <c r="A2780" s="712"/>
      <c r="B2780" s="712"/>
      <c r="C2780" s="712"/>
      <c r="D2780" s="808"/>
      <c r="E2780" s="809"/>
      <c r="F2780" s="712"/>
      <c r="G2780" s="810"/>
      <c r="H2780" s="810"/>
    </row>
    <row r="2781">
      <c r="A2781" s="712"/>
      <c r="B2781" s="712"/>
      <c r="C2781" s="712"/>
      <c r="D2781" s="808"/>
      <c r="E2781" s="809"/>
      <c r="F2781" s="712"/>
      <c r="G2781" s="810"/>
      <c r="H2781" s="810"/>
    </row>
    <row r="2782">
      <c r="A2782" s="712"/>
      <c r="B2782" s="712"/>
      <c r="C2782" s="712"/>
      <c r="D2782" s="808"/>
      <c r="E2782" s="809"/>
      <c r="F2782" s="712"/>
      <c r="G2782" s="810"/>
      <c r="H2782" s="810"/>
    </row>
    <row r="2783">
      <c r="A2783" s="712"/>
      <c r="B2783" s="712"/>
      <c r="C2783" s="712"/>
      <c r="D2783" s="808"/>
      <c r="E2783" s="809"/>
      <c r="F2783" s="712"/>
      <c r="G2783" s="810"/>
      <c r="H2783" s="810"/>
    </row>
    <row r="2784">
      <c r="A2784" s="712"/>
      <c r="B2784" s="712"/>
      <c r="C2784" s="712"/>
      <c r="D2784" s="808"/>
      <c r="E2784" s="809"/>
      <c r="F2784" s="712"/>
      <c r="G2784" s="810"/>
      <c r="H2784" s="810"/>
    </row>
    <row r="2785">
      <c r="A2785" s="712"/>
      <c r="B2785" s="712"/>
      <c r="C2785" s="712"/>
      <c r="D2785" s="808"/>
      <c r="E2785" s="809"/>
      <c r="F2785" s="712"/>
      <c r="G2785" s="810"/>
      <c r="H2785" s="810"/>
    </row>
    <row r="2786">
      <c r="A2786" s="712"/>
      <c r="B2786" s="712"/>
      <c r="C2786" s="712"/>
      <c r="D2786" s="808"/>
      <c r="E2786" s="809"/>
      <c r="F2786" s="712"/>
      <c r="G2786" s="810"/>
      <c r="H2786" s="810"/>
    </row>
    <row r="2787">
      <c r="A2787" s="712"/>
      <c r="B2787" s="712"/>
      <c r="C2787" s="712"/>
      <c r="D2787" s="808"/>
      <c r="E2787" s="809"/>
      <c r="F2787" s="712"/>
      <c r="G2787" s="810"/>
      <c r="H2787" s="810"/>
    </row>
    <row r="2788">
      <c r="A2788" s="712"/>
      <c r="B2788" s="712"/>
      <c r="C2788" s="712"/>
      <c r="D2788" s="808"/>
      <c r="E2788" s="809"/>
      <c r="F2788" s="712"/>
      <c r="G2788" s="810"/>
      <c r="H2788" s="810"/>
    </row>
    <row r="2789">
      <c r="A2789" s="712"/>
      <c r="B2789" s="712"/>
      <c r="C2789" s="712"/>
      <c r="D2789" s="808"/>
      <c r="E2789" s="809"/>
      <c r="F2789" s="712"/>
      <c r="G2789" s="810"/>
      <c r="H2789" s="810"/>
    </row>
    <row r="2790">
      <c r="A2790" s="712"/>
      <c r="B2790" s="712"/>
      <c r="C2790" s="712"/>
      <c r="D2790" s="808"/>
      <c r="E2790" s="809"/>
      <c r="F2790" s="712"/>
      <c r="G2790" s="810"/>
      <c r="H2790" s="810"/>
    </row>
    <row r="2791">
      <c r="A2791" s="712"/>
      <c r="B2791" s="712"/>
      <c r="C2791" s="712"/>
      <c r="D2791" s="808"/>
      <c r="E2791" s="809"/>
      <c r="F2791" s="712"/>
      <c r="G2791" s="810"/>
      <c r="H2791" s="810"/>
    </row>
    <row r="2792">
      <c r="A2792" s="712"/>
      <c r="B2792" s="712"/>
      <c r="C2792" s="712"/>
      <c r="D2792" s="808"/>
      <c r="E2792" s="809"/>
      <c r="F2792" s="712"/>
      <c r="G2792" s="810"/>
      <c r="H2792" s="810"/>
    </row>
    <row r="2793">
      <c r="A2793" s="712"/>
      <c r="B2793" s="712"/>
      <c r="C2793" s="712"/>
      <c r="D2793" s="808"/>
      <c r="E2793" s="809"/>
      <c r="F2793" s="712"/>
      <c r="G2793" s="810"/>
      <c r="H2793" s="810"/>
    </row>
    <row r="2794">
      <c r="A2794" s="712"/>
      <c r="B2794" s="712"/>
      <c r="C2794" s="712"/>
      <c r="D2794" s="808"/>
      <c r="E2794" s="809"/>
      <c r="F2794" s="712"/>
      <c r="G2794" s="810"/>
      <c r="H2794" s="810"/>
    </row>
    <row r="2795">
      <c r="A2795" s="712"/>
      <c r="B2795" s="712"/>
      <c r="C2795" s="712"/>
      <c r="D2795" s="808"/>
      <c r="E2795" s="809"/>
      <c r="F2795" s="712"/>
      <c r="G2795" s="810"/>
      <c r="H2795" s="810"/>
    </row>
    <row r="2796">
      <c r="A2796" s="712"/>
      <c r="B2796" s="712"/>
      <c r="C2796" s="712"/>
      <c r="D2796" s="808"/>
      <c r="E2796" s="809"/>
      <c r="F2796" s="712"/>
      <c r="G2796" s="810"/>
      <c r="H2796" s="810"/>
    </row>
    <row r="2797">
      <c r="A2797" s="712"/>
      <c r="B2797" s="712"/>
      <c r="C2797" s="712"/>
      <c r="D2797" s="808"/>
      <c r="E2797" s="809"/>
      <c r="F2797" s="712"/>
      <c r="G2797" s="810"/>
      <c r="H2797" s="810"/>
    </row>
    <row r="2798">
      <c r="A2798" s="712"/>
      <c r="B2798" s="712"/>
      <c r="C2798" s="712"/>
      <c r="D2798" s="808"/>
      <c r="E2798" s="809"/>
      <c r="F2798" s="712"/>
      <c r="G2798" s="810"/>
      <c r="H2798" s="810"/>
    </row>
    <row r="2799">
      <c r="A2799" s="712"/>
      <c r="B2799" s="712"/>
      <c r="C2799" s="712"/>
      <c r="D2799" s="808"/>
      <c r="E2799" s="809"/>
      <c r="F2799" s="712"/>
      <c r="G2799" s="810"/>
      <c r="H2799" s="810"/>
    </row>
    <row r="2800">
      <c r="A2800" s="712"/>
      <c r="B2800" s="712"/>
      <c r="C2800" s="712"/>
      <c r="D2800" s="808"/>
      <c r="E2800" s="809"/>
      <c r="F2800" s="712"/>
      <c r="G2800" s="810"/>
      <c r="H2800" s="810"/>
    </row>
    <row r="2801">
      <c r="A2801" s="712"/>
      <c r="B2801" s="712"/>
      <c r="C2801" s="712"/>
      <c r="D2801" s="808"/>
      <c r="E2801" s="809"/>
      <c r="F2801" s="712"/>
      <c r="G2801" s="810"/>
      <c r="H2801" s="810"/>
    </row>
    <row r="2802">
      <c r="A2802" s="712"/>
      <c r="B2802" s="712"/>
      <c r="C2802" s="712"/>
      <c r="D2802" s="808"/>
      <c r="E2802" s="809"/>
      <c r="F2802" s="712"/>
      <c r="G2802" s="810"/>
      <c r="H2802" s="810"/>
    </row>
    <row r="2803">
      <c r="A2803" s="712"/>
      <c r="B2803" s="712"/>
      <c r="C2803" s="712"/>
      <c r="D2803" s="808"/>
      <c r="E2803" s="809"/>
      <c r="F2803" s="712"/>
      <c r="G2803" s="810"/>
      <c r="H2803" s="810"/>
    </row>
    <row r="2804">
      <c r="A2804" s="712"/>
      <c r="B2804" s="712"/>
      <c r="C2804" s="712"/>
      <c r="D2804" s="808"/>
      <c r="E2804" s="809"/>
      <c r="F2804" s="712"/>
      <c r="G2804" s="810"/>
      <c r="H2804" s="810"/>
    </row>
    <row r="2805">
      <c r="A2805" s="712"/>
      <c r="B2805" s="712"/>
      <c r="C2805" s="712"/>
      <c r="D2805" s="808"/>
      <c r="E2805" s="809"/>
      <c r="F2805" s="712"/>
      <c r="G2805" s="810"/>
      <c r="H2805" s="810"/>
    </row>
    <row r="2806">
      <c r="A2806" s="712"/>
      <c r="B2806" s="712"/>
      <c r="C2806" s="712"/>
      <c r="D2806" s="808"/>
      <c r="E2806" s="809"/>
      <c r="F2806" s="712"/>
      <c r="G2806" s="810"/>
      <c r="H2806" s="810"/>
    </row>
    <row r="2807">
      <c r="A2807" s="712"/>
      <c r="B2807" s="712"/>
      <c r="C2807" s="712"/>
      <c r="D2807" s="808"/>
      <c r="E2807" s="809"/>
      <c r="F2807" s="712"/>
      <c r="G2807" s="810"/>
      <c r="H2807" s="810"/>
    </row>
    <row r="2808">
      <c r="A2808" s="712"/>
      <c r="B2808" s="712"/>
      <c r="C2808" s="712"/>
      <c r="D2808" s="808"/>
      <c r="E2808" s="809"/>
      <c r="F2808" s="712"/>
      <c r="G2808" s="810"/>
      <c r="H2808" s="810"/>
    </row>
    <row r="2809">
      <c r="A2809" s="712"/>
      <c r="B2809" s="712"/>
      <c r="C2809" s="712"/>
      <c r="D2809" s="808"/>
      <c r="E2809" s="809"/>
      <c r="F2809" s="712"/>
      <c r="G2809" s="810"/>
      <c r="H2809" s="810"/>
    </row>
    <row r="2810">
      <c r="A2810" s="712"/>
      <c r="B2810" s="712"/>
      <c r="C2810" s="712"/>
      <c r="D2810" s="808"/>
      <c r="E2810" s="809"/>
      <c r="F2810" s="712"/>
      <c r="G2810" s="810"/>
      <c r="H2810" s="810"/>
    </row>
    <row r="2811">
      <c r="A2811" s="712"/>
      <c r="B2811" s="712"/>
      <c r="C2811" s="712"/>
      <c r="D2811" s="808"/>
      <c r="E2811" s="809"/>
      <c r="F2811" s="712"/>
      <c r="G2811" s="810"/>
      <c r="H2811" s="810"/>
    </row>
    <row r="2812">
      <c r="A2812" s="712"/>
      <c r="B2812" s="712"/>
      <c r="C2812" s="712"/>
      <c r="D2812" s="808"/>
      <c r="E2812" s="809"/>
      <c r="F2812" s="712"/>
      <c r="G2812" s="810"/>
      <c r="H2812" s="810"/>
    </row>
    <row r="2813">
      <c r="A2813" s="712"/>
      <c r="B2813" s="712"/>
      <c r="C2813" s="712"/>
      <c r="D2813" s="808"/>
      <c r="E2813" s="809"/>
      <c r="F2813" s="712"/>
      <c r="G2813" s="810"/>
      <c r="H2813" s="810"/>
    </row>
    <row r="2814">
      <c r="A2814" s="712"/>
      <c r="B2814" s="712"/>
      <c r="C2814" s="712"/>
      <c r="D2814" s="808"/>
      <c r="E2814" s="809"/>
      <c r="F2814" s="712"/>
      <c r="G2814" s="810"/>
      <c r="H2814" s="810"/>
    </row>
    <row r="2815">
      <c r="A2815" s="712"/>
      <c r="B2815" s="712"/>
      <c r="C2815" s="712"/>
      <c r="D2815" s="808"/>
      <c r="E2815" s="809"/>
      <c r="F2815" s="712"/>
      <c r="G2815" s="810"/>
      <c r="H2815" s="810"/>
    </row>
    <row r="2816">
      <c r="A2816" s="712"/>
      <c r="B2816" s="712"/>
      <c r="C2816" s="712"/>
      <c r="D2816" s="808"/>
      <c r="E2816" s="809"/>
      <c r="F2816" s="712"/>
      <c r="G2816" s="810"/>
      <c r="H2816" s="810"/>
    </row>
    <row r="2817">
      <c r="A2817" s="712"/>
      <c r="B2817" s="712"/>
      <c r="C2817" s="712"/>
      <c r="D2817" s="808"/>
      <c r="E2817" s="809"/>
      <c r="F2817" s="712"/>
      <c r="G2817" s="810"/>
      <c r="H2817" s="810"/>
    </row>
    <row r="2818">
      <c r="A2818" s="712"/>
      <c r="B2818" s="712"/>
      <c r="C2818" s="712"/>
      <c r="D2818" s="808"/>
      <c r="E2818" s="809"/>
      <c r="F2818" s="712"/>
      <c r="G2818" s="810"/>
      <c r="H2818" s="810"/>
    </row>
    <row r="2819">
      <c r="A2819" s="712"/>
      <c r="B2819" s="712"/>
      <c r="C2819" s="712"/>
      <c r="D2819" s="808"/>
      <c r="E2819" s="809"/>
      <c r="F2819" s="712"/>
      <c r="G2819" s="810"/>
      <c r="H2819" s="810"/>
    </row>
    <row r="2820">
      <c r="A2820" s="712"/>
      <c r="B2820" s="712"/>
      <c r="C2820" s="712"/>
      <c r="D2820" s="808"/>
      <c r="E2820" s="809"/>
      <c r="F2820" s="712"/>
      <c r="G2820" s="810"/>
      <c r="H2820" s="810"/>
    </row>
    <row r="2821">
      <c r="A2821" s="712"/>
      <c r="B2821" s="712"/>
      <c r="C2821" s="712"/>
      <c r="D2821" s="808"/>
      <c r="E2821" s="809"/>
      <c r="F2821" s="712"/>
      <c r="G2821" s="810"/>
      <c r="H2821" s="810"/>
    </row>
    <row r="2822">
      <c r="A2822" s="712"/>
      <c r="B2822" s="712"/>
      <c r="C2822" s="712"/>
      <c r="D2822" s="808"/>
      <c r="E2822" s="809"/>
      <c r="F2822" s="712"/>
      <c r="G2822" s="810"/>
      <c r="H2822" s="810"/>
    </row>
    <row r="2823">
      <c r="A2823" s="712"/>
      <c r="B2823" s="712"/>
      <c r="C2823" s="712"/>
      <c r="D2823" s="808"/>
      <c r="E2823" s="809"/>
      <c r="F2823" s="712"/>
      <c r="G2823" s="810"/>
      <c r="H2823" s="810"/>
    </row>
    <row r="2824">
      <c r="A2824" s="712"/>
      <c r="B2824" s="712"/>
      <c r="C2824" s="712"/>
      <c r="D2824" s="808"/>
      <c r="E2824" s="809"/>
      <c r="F2824" s="712"/>
      <c r="G2824" s="810"/>
      <c r="H2824" s="810"/>
    </row>
    <row r="2825">
      <c r="A2825" s="712"/>
      <c r="B2825" s="712"/>
      <c r="C2825" s="712"/>
      <c r="D2825" s="808"/>
      <c r="E2825" s="809"/>
      <c r="F2825" s="712"/>
      <c r="G2825" s="810"/>
      <c r="H2825" s="810"/>
    </row>
    <row r="2826">
      <c r="A2826" s="712"/>
      <c r="B2826" s="712"/>
      <c r="C2826" s="712"/>
      <c r="D2826" s="808"/>
      <c r="E2826" s="809"/>
      <c r="F2826" s="712"/>
      <c r="G2826" s="810"/>
      <c r="H2826" s="810"/>
    </row>
    <row r="2827">
      <c r="A2827" s="712"/>
      <c r="B2827" s="712"/>
      <c r="C2827" s="712"/>
      <c r="D2827" s="808"/>
      <c r="E2827" s="809"/>
      <c r="F2827" s="712"/>
      <c r="G2827" s="810"/>
      <c r="H2827" s="810"/>
    </row>
    <row r="2828">
      <c r="A2828" s="712"/>
      <c r="B2828" s="712"/>
      <c r="C2828" s="712"/>
      <c r="D2828" s="808"/>
      <c r="E2828" s="809"/>
      <c r="F2828" s="712"/>
      <c r="G2828" s="810"/>
      <c r="H2828" s="810"/>
    </row>
    <row r="2829">
      <c r="A2829" s="712"/>
      <c r="B2829" s="712"/>
      <c r="C2829" s="712"/>
      <c r="D2829" s="808"/>
      <c r="E2829" s="809"/>
      <c r="F2829" s="712"/>
      <c r="G2829" s="810"/>
      <c r="H2829" s="810"/>
    </row>
    <row r="2830">
      <c r="A2830" s="712"/>
      <c r="B2830" s="712"/>
      <c r="C2830" s="712"/>
      <c r="D2830" s="808"/>
      <c r="E2830" s="809"/>
      <c r="F2830" s="712"/>
      <c r="G2830" s="810"/>
      <c r="H2830" s="810"/>
    </row>
    <row r="2831">
      <c r="A2831" s="712"/>
      <c r="B2831" s="712"/>
      <c r="C2831" s="712"/>
      <c r="D2831" s="808"/>
      <c r="E2831" s="809"/>
      <c r="F2831" s="712"/>
      <c r="G2831" s="810"/>
      <c r="H2831" s="810"/>
    </row>
    <row r="2832">
      <c r="A2832" s="712"/>
      <c r="B2832" s="712"/>
      <c r="C2832" s="712"/>
      <c r="D2832" s="808"/>
      <c r="E2832" s="809"/>
      <c r="F2832" s="712"/>
      <c r="G2832" s="810"/>
      <c r="H2832" s="810"/>
    </row>
    <row r="2833">
      <c r="A2833" s="712"/>
      <c r="B2833" s="712"/>
      <c r="C2833" s="712"/>
      <c r="D2833" s="808"/>
      <c r="E2833" s="809"/>
      <c r="F2833" s="712"/>
      <c r="G2833" s="810"/>
      <c r="H2833" s="810"/>
    </row>
    <row r="2834">
      <c r="A2834" s="712"/>
      <c r="B2834" s="712"/>
      <c r="C2834" s="712"/>
      <c r="D2834" s="808"/>
      <c r="E2834" s="809"/>
      <c r="F2834" s="712"/>
      <c r="G2834" s="810"/>
      <c r="H2834" s="810"/>
    </row>
    <row r="2835">
      <c r="A2835" s="712"/>
      <c r="B2835" s="712"/>
      <c r="C2835" s="712"/>
      <c r="D2835" s="808"/>
      <c r="E2835" s="809"/>
      <c r="F2835" s="712"/>
      <c r="G2835" s="810"/>
      <c r="H2835" s="810"/>
    </row>
    <row r="2836">
      <c r="A2836" s="712"/>
      <c r="B2836" s="712"/>
      <c r="C2836" s="712"/>
      <c r="D2836" s="808"/>
      <c r="E2836" s="809"/>
      <c r="F2836" s="712"/>
      <c r="G2836" s="810"/>
      <c r="H2836" s="810"/>
    </row>
    <row r="2837">
      <c r="A2837" s="712"/>
      <c r="B2837" s="712"/>
      <c r="C2837" s="712"/>
      <c r="D2837" s="808"/>
      <c r="E2837" s="809"/>
      <c r="F2837" s="712"/>
      <c r="G2837" s="810"/>
      <c r="H2837" s="810"/>
    </row>
    <row r="2838">
      <c r="A2838" s="712"/>
      <c r="B2838" s="712"/>
      <c r="C2838" s="712"/>
      <c r="D2838" s="808"/>
      <c r="E2838" s="809"/>
      <c r="F2838" s="712"/>
      <c r="G2838" s="810"/>
      <c r="H2838" s="810"/>
    </row>
    <row r="2839">
      <c r="A2839" s="712"/>
      <c r="B2839" s="712"/>
      <c r="C2839" s="712"/>
      <c r="D2839" s="808"/>
      <c r="E2839" s="809"/>
      <c r="F2839" s="712"/>
      <c r="G2839" s="810"/>
      <c r="H2839" s="810"/>
    </row>
    <row r="2840">
      <c r="A2840" s="712"/>
      <c r="B2840" s="712"/>
      <c r="C2840" s="712"/>
      <c r="D2840" s="808"/>
      <c r="E2840" s="809"/>
      <c r="F2840" s="712"/>
      <c r="G2840" s="810"/>
      <c r="H2840" s="810"/>
    </row>
    <row r="2841">
      <c r="A2841" s="712"/>
      <c r="B2841" s="712"/>
      <c r="C2841" s="712"/>
      <c r="D2841" s="808"/>
      <c r="E2841" s="809"/>
      <c r="F2841" s="712"/>
      <c r="G2841" s="810"/>
      <c r="H2841" s="810"/>
    </row>
    <row r="2842">
      <c r="A2842" s="712"/>
      <c r="B2842" s="712"/>
      <c r="C2842" s="712"/>
      <c r="D2842" s="808"/>
      <c r="E2842" s="809"/>
      <c r="F2842" s="712"/>
      <c r="G2842" s="810"/>
      <c r="H2842" s="810"/>
    </row>
    <row r="2843">
      <c r="A2843" s="712"/>
      <c r="B2843" s="712"/>
      <c r="C2843" s="712"/>
      <c r="D2843" s="808"/>
      <c r="E2843" s="809"/>
      <c r="F2843" s="712"/>
      <c r="G2843" s="810"/>
      <c r="H2843" s="810"/>
    </row>
    <row r="2844">
      <c r="A2844" s="712"/>
      <c r="B2844" s="712"/>
      <c r="C2844" s="712"/>
      <c r="D2844" s="808"/>
      <c r="E2844" s="809"/>
      <c r="F2844" s="712"/>
      <c r="G2844" s="810"/>
      <c r="H2844" s="810"/>
    </row>
    <row r="2845">
      <c r="A2845" s="712"/>
      <c r="B2845" s="712"/>
      <c r="C2845" s="712"/>
      <c r="D2845" s="808"/>
      <c r="E2845" s="809"/>
      <c r="F2845" s="712"/>
      <c r="G2845" s="810"/>
      <c r="H2845" s="810"/>
    </row>
    <row r="2846">
      <c r="A2846" s="712"/>
      <c r="B2846" s="712"/>
      <c r="C2846" s="712"/>
      <c r="D2846" s="808"/>
      <c r="E2846" s="809"/>
      <c r="F2846" s="712"/>
      <c r="G2846" s="810"/>
      <c r="H2846" s="810"/>
    </row>
    <row r="2847">
      <c r="A2847" s="712"/>
      <c r="B2847" s="712"/>
      <c r="C2847" s="712"/>
      <c r="D2847" s="808"/>
      <c r="E2847" s="809"/>
      <c r="F2847" s="712"/>
      <c r="G2847" s="810"/>
      <c r="H2847" s="810"/>
    </row>
    <row r="2848">
      <c r="A2848" s="712"/>
      <c r="B2848" s="712"/>
      <c r="C2848" s="712"/>
      <c r="D2848" s="808"/>
      <c r="E2848" s="809"/>
      <c r="F2848" s="712"/>
      <c r="G2848" s="810"/>
      <c r="H2848" s="810"/>
    </row>
    <row r="2849">
      <c r="A2849" s="712"/>
      <c r="B2849" s="712"/>
      <c r="C2849" s="712"/>
      <c r="D2849" s="808"/>
      <c r="E2849" s="809"/>
      <c r="F2849" s="712"/>
      <c r="G2849" s="810"/>
      <c r="H2849" s="810"/>
    </row>
    <row r="2850">
      <c r="A2850" s="712"/>
      <c r="B2850" s="712"/>
      <c r="C2850" s="712"/>
      <c r="D2850" s="808"/>
      <c r="E2850" s="809"/>
      <c r="F2850" s="712"/>
      <c r="G2850" s="810"/>
      <c r="H2850" s="810"/>
    </row>
    <row r="2851">
      <c r="A2851" s="712"/>
      <c r="B2851" s="712"/>
      <c r="C2851" s="712"/>
      <c r="D2851" s="808"/>
      <c r="E2851" s="809"/>
      <c r="F2851" s="712"/>
      <c r="G2851" s="810"/>
      <c r="H2851" s="810"/>
    </row>
    <row r="2852">
      <c r="A2852" s="712"/>
      <c r="B2852" s="712"/>
      <c r="C2852" s="712"/>
      <c r="D2852" s="808"/>
      <c r="E2852" s="809"/>
      <c r="F2852" s="712"/>
      <c r="G2852" s="810"/>
      <c r="H2852" s="810"/>
    </row>
    <row r="2853">
      <c r="A2853" s="712"/>
      <c r="B2853" s="712"/>
      <c r="C2853" s="712"/>
      <c r="D2853" s="808"/>
      <c r="E2853" s="809"/>
      <c r="F2853" s="712"/>
      <c r="G2853" s="810"/>
      <c r="H2853" s="810"/>
    </row>
    <row r="2854">
      <c r="A2854" s="712"/>
      <c r="B2854" s="712"/>
      <c r="C2854" s="712"/>
      <c r="D2854" s="808"/>
      <c r="E2854" s="809"/>
      <c r="F2854" s="712"/>
      <c r="G2854" s="810"/>
      <c r="H2854" s="810"/>
    </row>
    <row r="2855">
      <c r="A2855" s="712"/>
      <c r="B2855" s="712"/>
      <c r="C2855" s="712"/>
      <c r="D2855" s="808"/>
      <c r="E2855" s="809"/>
      <c r="F2855" s="712"/>
      <c r="G2855" s="810"/>
      <c r="H2855" s="810"/>
    </row>
    <row r="2856">
      <c r="A2856" s="712"/>
      <c r="B2856" s="712"/>
      <c r="C2856" s="712"/>
      <c r="D2856" s="808"/>
      <c r="E2856" s="809"/>
      <c r="F2856" s="712"/>
      <c r="G2856" s="810"/>
      <c r="H2856" s="810"/>
    </row>
    <row r="2857">
      <c r="A2857" s="712"/>
      <c r="B2857" s="712"/>
      <c r="C2857" s="712"/>
      <c r="D2857" s="808"/>
      <c r="E2857" s="809"/>
      <c r="F2857" s="712"/>
      <c r="G2857" s="810"/>
      <c r="H2857" s="810"/>
    </row>
    <row r="2858">
      <c r="A2858" s="712"/>
      <c r="B2858" s="712"/>
      <c r="C2858" s="712"/>
      <c r="D2858" s="808"/>
      <c r="E2858" s="809"/>
      <c r="F2858" s="712"/>
      <c r="G2858" s="810"/>
      <c r="H2858" s="810"/>
    </row>
    <row r="2859">
      <c r="A2859" s="712"/>
      <c r="B2859" s="712"/>
      <c r="C2859" s="712"/>
      <c r="D2859" s="808"/>
      <c r="E2859" s="809"/>
      <c r="F2859" s="712"/>
      <c r="G2859" s="810"/>
      <c r="H2859" s="810"/>
    </row>
    <row r="2860">
      <c r="A2860" s="712"/>
      <c r="B2860" s="712"/>
      <c r="C2860" s="712"/>
      <c r="D2860" s="808"/>
      <c r="E2860" s="809"/>
      <c r="F2860" s="712"/>
      <c r="G2860" s="810"/>
      <c r="H2860" s="810"/>
    </row>
    <row r="2861">
      <c r="A2861" s="712"/>
      <c r="B2861" s="712"/>
      <c r="C2861" s="712"/>
      <c r="D2861" s="808"/>
      <c r="E2861" s="809"/>
      <c r="F2861" s="712"/>
      <c r="G2861" s="810"/>
      <c r="H2861" s="810"/>
    </row>
    <row r="2862">
      <c r="A2862" s="712"/>
      <c r="B2862" s="712"/>
      <c r="C2862" s="712"/>
      <c r="D2862" s="808"/>
      <c r="E2862" s="809"/>
      <c r="F2862" s="712"/>
      <c r="G2862" s="810"/>
      <c r="H2862" s="810"/>
    </row>
    <row r="2863">
      <c r="A2863" s="712"/>
      <c r="B2863" s="712"/>
      <c r="C2863" s="712"/>
      <c r="D2863" s="808"/>
      <c r="E2863" s="809"/>
      <c r="F2863" s="712"/>
      <c r="G2863" s="810"/>
      <c r="H2863" s="810"/>
    </row>
    <row r="2864">
      <c r="A2864" s="712"/>
      <c r="B2864" s="712"/>
      <c r="C2864" s="712"/>
      <c r="D2864" s="808"/>
      <c r="E2864" s="809"/>
      <c r="F2864" s="712"/>
      <c r="G2864" s="810"/>
      <c r="H2864" s="810"/>
    </row>
    <row r="2865">
      <c r="A2865" s="712"/>
      <c r="B2865" s="712"/>
      <c r="C2865" s="712"/>
      <c r="D2865" s="808"/>
      <c r="E2865" s="809"/>
      <c r="F2865" s="712"/>
      <c r="G2865" s="810"/>
      <c r="H2865" s="810"/>
    </row>
    <row r="2866">
      <c r="A2866" s="712"/>
      <c r="B2866" s="712"/>
      <c r="C2866" s="712"/>
      <c r="D2866" s="808"/>
      <c r="E2866" s="809"/>
      <c r="F2866" s="712"/>
      <c r="G2866" s="810"/>
      <c r="H2866" s="810"/>
    </row>
    <row r="2867">
      <c r="A2867" s="712"/>
      <c r="B2867" s="712"/>
      <c r="C2867" s="712"/>
      <c r="D2867" s="808"/>
      <c r="E2867" s="809"/>
      <c r="F2867" s="712"/>
      <c r="G2867" s="810"/>
      <c r="H2867" s="810"/>
    </row>
    <row r="2868">
      <c r="A2868" s="712"/>
      <c r="B2868" s="712"/>
      <c r="C2868" s="712"/>
      <c r="D2868" s="808"/>
      <c r="E2868" s="809"/>
      <c r="F2868" s="712"/>
      <c r="G2868" s="810"/>
      <c r="H2868" s="810"/>
    </row>
    <row r="2869">
      <c r="A2869" s="712"/>
      <c r="B2869" s="712"/>
      <c r="C2869" s="712"/>
      <c r="D2869" s="808"/>
      <c r="E2869" s="809"/>
      <c r="F2869" s="712"/>
      <c r="G2869" s="810"/>
      <c r="H2869" s="810"/>
    </row>
    <row r="2870">
      <c r="A2870" s="712"/>
      <c r="B2870" s="712"/>
      <c r="C2870" s="712"/>
      <c r="D2870" s="808"/>
      <c r="E2870" s="809"/>
      <c r="F2870" s="712"/>
      <c r="G2870" s="810"/>
      <c r="H2870" s="810"/>
    </row>
    <row r="2871">
      <c r="A2871" s="712"/>
      <c r="B2871" s="712"/>
      <c r="C2871" s="712"/>
      <c r="D2871" s="808"/>
      <c r="E2871" s="809"/>
      <c r="F2871" s="712"/>
      <c r="G2871" s="810"/>
      <c r="H2871" s="810"/>
    </row>
    <row r="2872">
      <c r="A2872" s="712"/>
      <c r="B2872" s="712"/>
      <c r="C2872" s="712"/>
      <c r="D2872" s="808"/>
      <c r="E2872" s="809"/>
      <c r="F2872" s="712"/>
      <c r="G2872" s="810"/>
      <c r="H2872" s="810"/>
    </row>
    <row r="2873">
      <c r="A2873" s="712"/>
      <c r="B2873" s="712"/>
      <c r="C2873" s="712"/>
      <c r="D2873" s="808"/>
      <c r="E2873" s="809"/>
      <c r="F2873" s="712"/>
      <c r="G2873" s="810"/>
      <c r="H2873" s="810"/>
    </row>
    <row r="2874">
      <c r="A2874" s="712"/>
      <c r="B2874" s="712"/>
      <c r="C2874" s="712"/>
      <c r="D2874" s="808"/>
      <c r="E2874" s="809"/>
      <c r="F2874" s="712"/>
      <c r="G2874" s="810"/>
      <c r="H2874" s="810"/>
    </row>
    <row r="2875">
      <c r="A2875" s="712"/>
      <c r="B2875" s="712"/>
      <c r="C2875" s="712"/>
      <c r="D2875" s="808"/>
      <c r="E2875" s="809"/>
      <c r="F2875" s="712"/>
      <c r="G2875" s="810"/>
      <c r="H2875" s="810"/>
    </row>
    <row r="2876">
      <c r="A2876" s="712"/>
      <c r="B2876" s="712"/>
      <c r="C2876" s="712"/>
      <c r="D2876" s="808"/>
      <c r="E2876" s="809"/>
      <c r="F2876" s="712"/>
      <c r="G2876" s="810"/>
      <c r="H2876" s="810"/>
    </row>
    <row r="2877">
      <c r="A2877" s="712"/>
      <c r="B2877" s="712"/>
      <c r="C2877" s="712"/>
      <c r="D2877" s="808"/>
      <c r="E2877" s="809"/>
      <c r="F2877" s="712"/>
      <c r="G2877" s="810"/>
      <c r="H2877" s="810"/>
    </row>
    <row r="2878">
      <c r="A2878" s="712"/>
      <c r="B2878" s="712"/>
      <c r="C2878" s="712"/>
      <c r="D2878" s="808"/>
      <c r="E2878" s="809"/>
      <c r="F2878" s="712"/>
      <c r="G2878" s="810"/>
      <c r="H2878" s="810"/>
    </row>
    <row r="2879">
      <c r="A2879" s="712"/>
      <c r="B2879" s="712"/>
      <c r="C2879" s="712"/>
      <c r="D2879" s="808"/>
      <c r="E2879" s="809"/>
      <c r="F2879" s="712"/>
      <c r="G2879" s="810"/>
      <c r="H2879" s="810"/>
    </row>
    <row r="2880">
      <c r="A2880" s="712"/>
      <c r="B2880" s="712"/>
      <c r="C2880" s="712"/>
      <c r="D2880" s="808"/>
      <c r="E2880" s="809"/>
      <c r="F2880" s="712"/>
      <c r="G2880" s="810"/>
      <c r="H2880" s="810"/>
    </row>
    <row r="2881">
      <c r="A2881" s="712"/>
      <c r="B2881" s="712"/>
      <c r="C2881" s="712"/>
      <c r="D2881" s="808"/>
      <c r="E2881" s="809"/>
      <c r="F2881" s="712"/>
      <c r="G2881" s="810"/>
      <c r="H2881" s="810"/>
    </row>
    <row r="2882">
      <c r="A2882" s="712"/>
      <c r="B2882" s="712"/>
      <c r="C2882" s="712"/>
      <c r="D2882" s="808"/>
      <c r="E2882" s="809"/>
      <c r="F2882" s="712"/>
      <c r="G2882" s="810"/>
      <c r="H2882" s="810"/>
    </row>
    <row r="2883">
      <c r="A2883" s="712"/>
      <c r="B2883" s="712"/>
      <c r="C2883" s="712"/>
      <c r="D2883" s="808"/>
      <c r="E2883" s="809"/>
      <c r="F2883" s="712"/>
      <c r="G2883" s="810"/>
      <c r="H2883" s="810"/>
    </row>
    <row r="2884">
      <c r="A2884" s="712"/>
      <c r="B2884" s="712"/>
      <c r="C2884" s="712"/>
      <c r="D2884" s="808"/>
      <c r="E2884" s="809"/>
      <c r="F2884" s="712"/>
      <c r="G2884" s="810"/>
      <c r="H2884" s="810"/>
    </row>
    <row r="2885">
      <c r="A2885" s="712"/>
      <c r="B2885" s="712"/>
      <c r="C2885" s="712"/>
      <c r="D2885" s="808"/>
      <c r="E2885" s="809"/>
      <c r="F2885" s="712"/>
      <c r="G2885" s="810"/>
      <c r="H2885" s="810"/>
    </row>
    <row r="2886">
      <c r="A2886" s="712"/>
      <c r="B2886" s="712"/>
      <c r="C2886" s="712"/>
      <c r="D2886" s="808"/>
      <c r="E2886" s="809"/>
      <c r="F2886" s="712"/>
      <c r="G2886" s="810"/>
      <c r="H2886" s="810"/>
    </row>
    <row r="2887">
      <c r="A2887" s="712"/>
      <c r="B2887" s="712"/>
      <c r="C2887" s="712"/>
      <c r="D2887" s="808"/>
      <c r="E2887" s="809"/>
      <c r="F2887" s="712"/>
      <c r="G2887" s="810"/>
      <c r="H2887" s="810"/>
    </row>
    <row r="2888">
      <c r="A2888" s="712"/>
      <c r="B2888" s="712"/>
      <c r="C2888" s="712"/>
      <c r="D2888" s="808"/>
      <c r="E2888" s="809"/>
      <c r="F2888" s="712"/>
      <c r="G2888" s="810"/>
      <c r="H2888" s="810"/>
    </row>
    <row r="2889">
      <c r="A2889" s="712"/>
      <c r="B2889" s="712"/>
      <c r="C2889" s="712"/>
      <c r="D2889" s="808"/>
      <c r="E2889" s="809"/>
      <c r="F2889" s="712"/>
      <c r="G2889" s="810"/>
      <c r="H2889" s="810"/>
    </row>
    <row r="2890">
      <c r="A2890" s="712"/>
      <c r="B2890" s="712"/>
      <c r="C2890" s="712"/>
      <c r="D2890" s="808"/>
      <c r="E2890" s="809"/>
      <c r="F2890" s="712"/>
      <c r="G2890" s="810"/>
      <c r="H2890" s="810"/>
    </row>
    <row r="2891">
      <c r="A2891" s="712"/>
      <c r="B2891" s="712"/>
      <c r="C2891" s="712"/>
      <c r="D2891" s="808"/>
      <c r="E2891" s="809"/>
      <c r="F2891" s="712"/>
      <c r="G2891" s="810"/>
      <c r="H2891" s="810"/>
    </row>
    <row r="2892">
      <c r="A2892" s="712"/>
      <c r="B2892" s="712"/>
      <c r="C2892" s="712"/>
      <c r="D2892" s="808"/>
      <c r="E2892" s="809"/>
      <c r="F2892" s="712"/>
      <c r="G2892" s="810"/>
      <c r="H2892" s="810"/>
    </row>
    <row r="2893">
      <c r="A2893" s="712"/>
      <c r="B2893" s="712"/>
      <c r="C2893" s="712"/>
      <c r="D2893" s="808"/>
      <c r="E2893" s="809"/>
      <c r="F2893" s="712"/>
      <c r="G2893" s="810"/>
      <c r="H2893" s="810"/>
    </row>
    <row r="2894">
      <c r="A2894" s="712"/>
      <c r="B2894" s="712"/>
      <c r="C2894" s="712"/>
      <c r="D2894" s="808"/>
      <c r="E2894" s="809"/>
      <c r="F2894" s="712"/>
      <c r="G2894" s="810"/>
      <c r="H2894" s="810"/>
    </row>
    <row r="2895">
      <c r="A2895" s="712"/>
      <c r="B2895" s="712"/>
      <c r="C2895" s="712"/>
      <c r="D2895" s="808"/>
      <c r="E2895" s="809"/>
      <c r="F2895" s="712"/>
      <c r="G2895" s="810"/>
      <c r="H2895" s="810"/>
    </row>
    <row r="2896">
      <c r="A2896" s="712"/>
      <c r="B2896" s="712"/>
      <c r="C2896" s="712"/>
      <c r="D2896" s="808"/>
      <c r="E2896" s="809"/>
      <c r="F2896" s="712"/>
      <c r="G2896" s="810"/>
      <c r="H2896" s="810"/>
    </row>
    <row r="2897">
      <c r="A2897" s="712"/>
      <c r="B2897" s="712"/>
      <c r="C2897" s="712"/>
      <c r="D2897" s="808"/>
      <c r="E2897" s="809"/>
      <c r="F2897" s="712"/>
      <c r="G2897" s="810"/>
      <c r="H2897" s="810"/>
    </row>
    <row r="2898">
      <c r="A2898" s="712"/>
      <c r="B2898" s="712"/>
      <c r="C2898" s="712"/>
      <c r="D2898" s="808"/>
      <c r="E2898" s="809"/>
      <c r="F2898" s="712"/>
      <c r="G2898" s="810"/>
      <c r="H2898" s="810"/>
    </row>
    <row r="2899">
      <c r="A2899" s="712"/>
      <c r="B2899" s="712"/>
      <c r="C2899" s="712"/>
      <c r="D2899" s="808"/>
      <c r="E2899" s="809"/>
      <c r="F2899" s="712"/>
      <c r="G2899" s="810"/>
      <c r="H2899" s="810"/>
    </row>
    <row r="2900">
      <c r="A2900" s="712"/>
      <c r="B2900" s="712"/>
      <c r="C2900" s="712"/>
      <c r="D2900" s="808"/>
      <c r="E2900" s="809"/>
      <c r="F2900" s="712"/>
      <c r="G2900" s="810"/>
      <c r="H2900" s="810"/>
    </row>
    <row r="2901">
      <c r="A2901" s="712"/>
      <c r="B2901" s="712"/>
      <c r="C2901" s="712"/>
      <c r="D2901" s="808"/>
      <c r="E2901" s="809"/>
      <c r="F2901" s="712"/>
      <c r="G2901" s="810"/>
      <c r="H2901" s="810"/>
    </row>
    <row r="2902">
      <c r="A2902" s="712"/>
      <c r="B2902" s="712"/>
      <c r="C2902" s="712"/>
      <c r="D2902" s="808"/>
      <c r="E2902" s="809"/>
      <c r="F2902" s="712"/>
      <c r="G2902" s="810"/>
      <c r="H2902" s="810"/>
    </row>
    <row r="2903">
      <c r="A2903" s="712"/>
      <c r="B2903" s="712"/>
      <c r="C2903" s="712"/>
      <c r="D2903" s="808"/>
      <c r="E2903" s="809"/>
      <c r="F2903" s="712"/>
      <c r="G2903" s="810"/>
      <c r="H2903" s="810"/>
    </row>
    <row r="2904">
      <c r="A2904" s="712"/>
      <c r="B2904" s="712"/>
      <c r="C2904" s="712"/>
      <c r="D2904" s="808"/>
      <c r="E2904" s="809"/>
      <c r="F2904" s="712"/>
      <c r="G2904" s="810"/>
      <c r="H2904" s="810"/>
    </row>
    <row r="2905">
      <c r="A2905" s="712"/>
      <c r="B2905" s="712"/>
      <c r="C2905" s="712"/>
      <c r="D2905" s="808"/>
      <c r="E2905" s="809"/>
      <c r="F2905" s="712"/>
      <c r="G2905" s="810"/>
      <c r="H2905" s="810"/>
    </row>
    <row r="2906">
      <c r="A2906" s="712"/>
      <c r="B2906" s="712"/>
      <c r="C2906" s="712"/>
      <c r="D2906" s="808"/>
      <c r="E2906" s="809"/>
      <c r="F2906" s="712"/>
      <c r="G2906" s="810"/>
      <c r="H2906" s="810"/>
    </row>
    <row r="2907">
      <c r="A2907" s="712"/>
      <c r="B2907" s="712"/>
      <c r="C2907" s="712"/>
      <c r="D2907" s="808"/>
      <c r="E2907" s="809"/>
      <c r="F2907" s="712"/>
      <c r="G2907" s="810"/>
      <c r="H2907" s="810"/>
    </row>
    <row r="2908">
      <c r="A2908" s="712"/>
      <c r="B2908" s="712"/>
      <c r="C2908" s="712"/>
      <c r="D2908" s="808"/>
      <c r="E2908" s="809"/>
      <c r="F2908" s="712"/>
      <c r="G2908" s="810"/>
      <c r="H2908" s="810"/>
    </row>
    <row r="2909">
      <c r="A2909" s="712"/>
      <c r="B2909" s="712"/>
      <c r="C2909" s="712"/>
      <c r="D2909" s="808"/>
      <c r="E2909" s="809"/>
      <c r="F2909" s="712"/>
      <c r="G2909" s="810"/>
      <c r="H2909" s="810"/>
    </row>
    <row r="2910">
      <c r="A2910" s="712"/>
      <c r="B2910" s="712"/>
      <c r="C2910" s="712"/>
      <c r="D2910" s="808"/>
      <c r="E2910" s="809"/>
      <c r="F2910" s="712"/>
      <c r="G2910" s="810"/>
      <c r="H2910" s="810"/>
    </row>
    <row r="2911">
      <c r="A2911" s="712"/>
      <c r="B2911" s="712"/>
      <c r="C2911" s="712"/>
      <c r="D2911" s="808"/>
      <c r="E2911" s="809"/>
      <c r="F2911" s="712"/>
      <c r="G2911" s="810"/>
      <c r="H2911" s="810"/>
    </row>
    <row r="2912">
      <c r="A2912" s="712"/>
      <c r="B2912" s="712"/>
      <c r="C2912" s="712"/>
      <c r="D2912" s="808"/>
      <c r="E2912" s="809"/>
      <c r="F2912" s="712"/>
      <c r="G2912" s="810"/>
      <c r="H2912" s="810"/>
    </row>
    <row r="2913">
      <c r="A2913" s="712"/>
      <c r="B2913" s="712"/>
      <c r="C2913" s="712"/>
      <c r="D2913" s="808"/>
      <c r="E2913" s="809"/>
      <c r="F2913" s="712"/>
      <c r="G2913" s="810"/>
      <c r="H2913" s="810"/>
    </row>
    <row r="2914">
      <c r="A2914" s="712"/>
      <c r="B2914" s="712"/>
      <c r="C2914" s="712"/>
      <c r="D2914" s="808"/>
      <c r="E2914" s="809"/>
      <c r="F2914" s="712"/>
      <c r="G2914" s="810"/>
      <c r="H2914" s="810"/>
    </row>
    <row r="2915">
      <c r="A2915" s="712"/>
      <c r="B2915" s="712"/>
      <c r="C2915" s="712"/>
      <c r="D2915" s="808"/>
      <c r="E2915" s="809"/>
      <c r="F2915" s="712"/>
      <c r="G2915" s="810"/>
      <c r="H2915" s="810"/>
    </row>
    <row r="2916">
      <c r="A2916" s="712"/>
      <c r="B2916" s="712"/>
      <c r="C2916" s="712"/>
      <c r="D2916" s="808"/>
      <c r="E2916" s="809"/>
      <c r="F2916" s="712"/>
      <c r="G2916" s="810"/>
      <c r="H2916" s="810"/>
    </row>
    <row r="2917">
      <c r="A2917" s="712"/>
      <c r="B2917" s="712"/>
      <c r="C2917" s="712"/>
      <c r="D2917" s="808"/>
      <c r="E2917" s="809"/>
      <c r="F2917" s="712"/>
      <c r="G2917" s="810"/>
      <c r="H2917" s="810"/>
    </row>
    <row r="2918">
      <c r="A2918" s="712"/>
      <c r="B2918" s="712"/>
      <c r="C2918" s="712"/>
      <c r="D2918" s="808"/>
      <c r="E2918" s="809"/>
      <c r="F2918" s="712"/>
      <c r="G2918" s="810"/>
      <c r="H2918" s="810"/>
    </row>
    <row r="2919">
      <c r="A2919" s="712"/>
      <c r="B2919" s="712"/>
      <c r="C2919" s="712"/>
      <c r="D2919" s="808"/>
      <c r="E2919" s="809"/>
      <c r="F2919" s="712"/>
      <c r="G2919" s="810"/>
      <c r="H2919" s="810"/>
    </row>
    <row r="2920">
      <c r="A2920" s="712"/>
      <c r="B2920" s="712"/>
      <c r="C2920" s="712"/>
      <c r="D2920" s="808"/>
      <c r="E2920" s="809"/>
      <c r="F2920" s="712"/>
      <c r="G2920" s="810"/>
      <c r="H2920" s="810"/>
    </row>
    <row r="2921">
      <c r="A2921" s="712"/>
      <c r="B2921" s="712"/>
      <c r="C2921" s="712"/>
      <c r="D2921" s="808"/>
      <c r="E2921" s="809"/>
      <c r="F2921" s="712"/>
      <c r="G2921" s="810"/>
      <c r="H2921" s="810"/>
    </row>
    <row r="2922">
      <c r="A2922" s="712"/>
      <c r="B2922" s="712"/>
      <c r="C2922" s="712"/>
      <c r="D2922" s="808"/>
      <c r="E2922" s="809"/>
      <c r="F2922" s="712"/>
      <c r="G2922" s="810"/>
      <c r="H2922" s="810"/>
    </row>
    <row r="2923">
      <c r="A2923" s="712"/>
      <c r="B2923" s="712"/>
      <c r="C2923" s="712"/>
      <c r="D2923" s="808"/>
      <c r="E2923" s="809"/>
      <c r="F2923" s="712"/>
      <c r="G2923" s="810"/>
      <c r="H2923" s="810"/>
    </row>
    <row r="2924">
      <c r="A2924" s="712"/>
      <c r="B2924" s="712"/>
      <c r="C2924" s="712"/>
      <c r="D2924" s="808"/>
      <c r="E2924" s="809"/>
      <c r="F2924" s="712"/>
      <c r="G2924" s="810"/>
      <c r="H2924" s="810"/>
    </row>
    <row r="2925">
      <c r="A2925" s="712"/>
      <c r="B2925" s="712"/>
      <c r="C2925" s="712"/>
      <c r="D2925" s="808"/>
      <c r="E2925" s="809"/>
      <c r="F2925" s="712"/>
      <c r="G2925" s="810"/>
      <c r="H2925" s="810"/>
    </row>
    <row r="2926">
      <c r="A2926" s="712"/>
      <c r="B2926" s="712"/>
      <c r="C2926" s="712"/>
      <c r="D2926" s="808"/>
      <c r="E2926" s="809"/>
      <c r="F2926" s="712"/>
      <c r="G2926" s="810"/>
      <c r="H2926" s="810"/>
    </row>
    <row r="2927">
      <c r="A2927" s="712"/>
      <c r="B2927" s="712"/>
      <c r="C2927" s="712"/>
      <c r="D2927" s="808"/>
      <c r="E2927" s="809"/>
      <c r="F2927" s="712"/>
      <c r="G2927" s="810"/>
      <c r="H2927" s="810"/>
    </row>
    <row r="2928">
      <c r="A2928" s="712"/>
      <c r="B2928" s="712"/>
      <c r="C2928" s="712"/>
      <c r="D2928" s="808"/>
      <c r="E2928" s="809"/>
      <c r="F2928" s="712"/>
      <c r="G2928" s="810"/>
      <c r="H2928" s="810"/>
    </row>
    <row r="2929">
      <c r="A2929" s="712"/>
      <c r="B2929" s="712"/>
      <c r="C2929" s="712"/>
      <c r="D2929" s="808"/>
      <c r="E2929" s="809"/>
      <c r="F2929" s="712"/>
      <c r="G2929" s="810"/>
      <c r="H2929" s="810"/>
    </row>
    <row r="2930">
      <c r="A2930" s="712"/>
      <c r="B2930" s="712"/>
      <c r="C2930" s="712"/>
      <c r="D2930" s="808"/>
      <c r="E2930" s="809"/>
      <c r="F2930" s="712"/>
      <c r="G2930" s="810"/>
      <c r="H2930" s="810"/>
    </row>
    <row r="2931">
      <c r="A2931" s="712"/>
      <c r="B2931" s="712"/>
      <c r="C2931" s="712"/>
      <c r="D2931" s="808"/>
      <c r="E2931" s="809"/>
      <c r="F2931" s="712"/>
      <c r="G2931" s="810"/>
      <c r="H2931" s="810"/>
    </row>
    <row r="2932">
      <c r="A2932" s="712"/>
      <c r="B2932" s="712"/>
      <c r="C2932" s="712"/>
      <c r="D2932" s="808"/>
      <c r="E2932" s="809"/>
      <c r="F2932" s="712"/>
      <c r="G2932" s="810"/>
      <c r="H2932" s="810"/>
    </row>
    <row r="2933">
      <c r="A2933" s="712"/>
      <c r="B2933" s="712"/>
      <c r="C2933" s="712"/>
      <c r="D2933" s="808"/>
      <c r="E2933" s="809"/>
      <c r="F2933" s="712"/>
      <c r="G2933" s="810"/>
      <c r="H2933" s="810"/>
    </row>
    <row r="2934">
      <c r="A2934" s="712"/>
      <c r="B2934" s="712"/>
      <c r="C2934" s="712"/>
      <c r="D2934" s="808"/>
      <c r="E2934" s="809"/>
      <c r="F2934" s="712"/>
      <c r="G2934" s="810"/>
      <c r="H2934" s="810"/>
    </row>
    <row r="2935">
      <c r="A2935" s="712"/>
      <c r="B2935" s="712"/>
      <c r="C2935" s="712"/>
      <c r="D2935" s="808"/>
      <c r="E2935" s="809"/>
      <c r="F2935" s="712"/>
      <c r="G2935" s="810"/>
      <c r="H2935" s="810"/>
    </row>
    <row r="2936">
      <c r="A2936" s="712"/>
      <c r="B2936" s="712"/>
      <c r="C2936" s="712"/>
      <c r="D2936" s="808"/>
      <c r="E2936" s="809"/>
      <c r="F2936" s="712"/>
      <c r="G2936" s="810"/>
      <c r="H2936" s="810"/>
    </row>
    <row r="2937">
      <c r="A2937" s="712"/>
      <c r="B2937" s="712"/>
      <c r="C2937" s="712"/>
      <c r="D2937" s="808"/>
      <c r="E2937" s="809"/>
      <c r="F2937" s="712"/>
      <c r="G2937" s="810"/>
      <c r="H2937" s="810"/>
    </row>
    <row r="2938">
      <c r="A2938" s="712"/>
      <c r="B2938" s="712"/>
      <c r="C2938" s="712"/>
      <c r="D2938" s="808"/>
      <c r="E2938" s="809"/>
      <c r="F2938" s="712"/>
      <c r="G2938" s="810"/>
      <c r="H2938" s="810"/>
    </row>
    <row r="2939">
      <c r="A2939" s="712"/>
      <c r="B2939" s="712"/>
      <c r="C2939" s="712"/>
      <c r="D2939" s="808"/>
      <c r="E2939" s="809"/>
      <c r="F2939" s="712"/>
      <c r="G2939" s="810"/>
      <c r="H2939" s="810"/>
    </row>
    <row r="2940">
      <c r="A2940" s="712"/>
      <c r="B2940" s="712"/>
      <c r="C2940" s="712"/>
      <c r="D2940" s="808"/>
      <c r="E2940" s="809"/>
      <c r="F2940" s="712"/>
      <c r="G2940" s="810"/>
      <c r="H2940" s="810"/>
    </row>
    <row r="2941">
      <c r="A2941" s="712"/>
      <c r="B2941" s="712"/>
      <c r="C2941" s="712"/>
      <c r="D2941" s="808"/>
      <c r="E2941" s="809"/>
      <c r="F2941" s="712"/>
      <c r="G2941" s="810"/>
      <c r="H2941" s="810"/>
    </row>
    <row r="2942">
      <c r="A2942" s="712"/>
      <c r="B2942" s="712"/>
      <c r="C2942" s="712"/>
      <c r="D2942" s="808"/>
      <c r="E2942" s="809"/>
      <c r="F2942" s="712"/>
      <c r="G2942" s="810"/>
      <c r="H2942" s="810"/>
    </row>
    <row r="2943">
      <c r="A2943" s="712"/>
      <c r="B2943" s="712"/>
      <c r="C2943" s="712"/>
      <c r="D2943" s="808"/>
      <c r="E2943" s="809"/>
      <c r="F2943" s="712"/>
      <c r="G2943" s="810"/>
      <c r="H2943" s="810"/>
    </row>
    <row r="2944">
      <c r="A2944" s="712"/>
      <c r="B2944" s="712"/>
      <c r="C2944" s="712"/>
      <c r="D2944" s="808"/>
      <c r="E2944" s="809"/>
      <c r="F2944" s="712"/>
      <c r="G2944" s="810"/>
      <c r="H2944" s="810"/>
    </row>
    <row r="2945">
      <c r="A2945" s="712"/>
      <c r="B2945" s="712"/>
      <c r="C2945" s="712"/>
      <c r="D2945" s="808"/>
      <c r="E2945" s="809"/>
      <c r="F2945" s="712"/>
      <c r="G2945" s="810"/>
      <c r="H2945" s="810"/>
    </row>
    <row r="2946">
      <c r="A2946" s="712"/>
      <c r="B2946" s="712"/>
      <c r="C2946" s="712"/>
      <c r="D2946" s="808"/>
      <c r="E2946" s="809"/>
      <c r="F2946" s="712"/>
      <c r="G2946" s="810"/>
      <c r="H2946" s="810"/>
    </row>
    <row r="2947">
      <c r="A2947" s="712"/>
      <c r="B2947" s="712"/>
      <c r="C2947" s="712"/>
      <c r="D2947" s="808"/>
      <c r="E2947" s="809"/>
      <c r="F2947" s="712"/>
      <c r="G2947" s="810"/>
      <c r="H2947" s="810"/>
    </row>
    <row r="2948">
      <c r="A2948" s="712"/>
      <c r="B2948" s="712"/>
      <c r="C2948" s="712"/>
      <c r="D2948" s="808"/>
      <c r="E2948" s="809"/>
      <c r="F2948" s="712"/>
      <c r="G2948" s="810"/>
      <c r="H2948" s="810"/>
    </row>
    <row r="2949">
      <c r="A2949" s="712"/>
      <c r="B2949" s="712"/>
      <c r="C2949" s="712"/>
      <c r="D2949" s="808"/>
      <c r="E2949" s="809"/>
      <c r="F2949" s="712"/>
      <c r="G2949" s="810"/>
      <c r="H2949" s="810"/>
    </row>
    <row r="2950">
      <c r="A2950" s="712"/>
      <c r="B2950" s="712"/>
      <c r="C2950" s="712"/>
      <c r="D2950" s="808"/>
      <c r="E2950" s="809"/>
      <c r="F2950" s="712"/>
      <c r="G2950" s="810"/>
      <c r="H2950" s="810"/>
    </row>
    <row r="2951">
      <c r="A2951" s="712"/>
      <c r="B2951" s="712"/>
      <c r="C2951" s="712"/>
      <c r="D2951" s="808"/>
      <c r="E2951" s="809"/>
      <c r="F2951" s="712"/>
      <c r="G2951" s="810"/>
      <c r="H2951" s="810"/>
    </row>
    <row r="2952">
      <c r="A2952" s="712"/>
      <c r="B2952" s="712"/>
      <c r="C2952" s="712"/>
      <c r="D2952" s="808"/>
      <c r="E2952" s="809"/>
      <c r="F2952" s="712"/>
      <c r="G2952" s="810"/>
      <c r="H2952" s="810"/>
    </row>
    <row r="2953">
      <c r="A2953" s="712"/>
      <c r="B2953" s="712"/>
      <c r="C2953" s="712"/>
      <c r="D2953" s="808"/>
      <c r="E2953" s="809"/>
      <c r="F2953" s="712"/>
      <c r="G2953" s="810"/>
      <c r="H2953" s="810"/>
    </row>
    <row r="2954">
      <c r="A2954" s="712"/>
      <c r="B2954" s="712"/>
      <c r="C2954" s="712"/>
      <c r="D2954" s="808"/>
      <c r="E2954" s="809"/>
      <c r="F2954" s="712"/>
      <c r="G2954" s="810"/>
      <c r="H2954" s="810"/>
    </row>
    <row r="2955">
      <c r="A2955" s="712"/>
      <c r="B2955" s="712"/>
      <c r="C2955" s="712"/>
      <c r="D2955" s="808"/>
      <c r="E2955" s="809"/>
      <c r="F2955" s="712"/>
      <c r="G2955" s="810"/>
      <c r="H2955" s="810"/>
    </row>
    <row r="2956">
      <c r="A2956" s="712"/>
      <c r="B2956" s="712"/>
      <c r="C2956" s="712"/>
      <c r="D2956" s="808"/>
      <c r="E2956" s="809"/>
      <c r="F2956" s="712"/>
      <c r="G2956" s="810"/>
      <c r="H2956" s="810"/>
    </row>
    <row r="2957">
      <c r="A2957" s="712"/>
      <c r="B2957" s="712"/>
      <c r="C2957" s="712"/>
      <c r="D2957" s="808"/>
      <c r="E2957" s="809"/>
      <c r="F2957" s="712"/>
      <c r="G2957" s="810"/>
      <c r="H2957" s="810"/>
    </row>
    <row r="2958">
      <c r="A2958" s="712"/>
      <c r="B2958" s="712"/>
      <c r="C2958" s="712"/>
      <c r="D2958" s="808"/>
      <c r="E2958" s="809"/>
      <c r="F2958" s="712"/>
      <c r="G2958" s="810"/>
      <c r="H2958" s="810"/>
    </row>
    <row r="2959">
      <c r="A2959" s="712"/>
      <c r="B2959" s="712"/>
      <c r="C2959" s="712"/>
      <c r="D2959" s="808"/>
      <c r="E2959" s="809"/>
      <c r="F2959" s="712"/>
      <c r="G2959" s="810"/>
      <c r="H2959" s="810"/>
    </row>
    <row r="2960">
      <c r="A2960" s="712"/>
      <c r="B2960" s="712"/>
      <c r="C2960" s="712"/>
      <c r="D2960" s="808"/>
      <c r="E2960" s="809"/>
      <c r="F2960" s="712"/>
      <c r="G2960" s="810"/>
      <c r="H2960" s="810"/>
    </row>
    <row r="2961">
      <c r="A2961" s="712"/>
      <c r="B2961" s="712"/>
      <c r="C2961" s="712"/>
      <c r="D2961" s="808"/>
      <c r="E2961" s="809"/>
      <c r="F2961" s="712"/>
      <c r="G2961" s="810"/>
      <c r="H2961" s="810"/>
    </row>
    <row r="2962">
      <c r="A2962" s="712"/>
      <c r="B2962" s="712"/>
      <c r="C2962" s="712"/>
      <c r="D2962" s="808"/>
      <c r="E2962" s="809"/>
      <c r="F2962" s="712"/>
      <c r="G2962" s="810"/>
      <c r="H2962" s="810"/>
    </row>
    <row r="2963">
      <c r="A2963" s="712"/>
      <c r="B2963" s="712"/>
      <c r="C2963" s="712"/>
      <c r="D2963" s="808"/>
      <c r="E2963" s="809"/>
      <c r="F2963" s="712"/>
      <c r="G2963" s="810"/>
      <c r="H2963" s="810"/>
    </row>
    <row r="2964">
      <c r="A2964" s="712"/>
      <c r="B2964" s="712"/>
      <c r="C2964" s="712"/>
      <c r="D2964" s="808"/>
      <c r="E2964" s="809"/>
      <c r="F2964" s="712"/>
      <c r="G2964" s="810"/>
      <c r="H2964" s="810"/>
    </row>
    <row r="2965">
      <c r="A2965" s="712"/>
      <c r="B2965" s="712"/>
      <c r="C2965" s="712"/>
      <c r="D2965" s="808"/>
      <c r="E2965" s="809"/>
      <c r="F2965" s="712"/>
      <c r="G2965" s="810"/>
      <c r="H2965" s="810"/>
    </row>
    <row r="2966">
      <c r="A2966" s="712"/>
      <c r="B2966" s="712"/>
      <c r="C2966" s="712"/>
      <c r="D2966" s="808"/>
      <c r="E2966" s="809"/>
      <c r="F2966" s="712"/>
      <c r="G2966" s="810"/>
      <c r="H2966" s="810"/>
    </row>
    <row r="2967">
      <c r="A2967" s="712"/>
      <c r="B2967" s="712"/>
      <c r="C2967" s="712"/>
      <c r="D2967" s="808"/>
      <c r="E2967" s="809"/>
      <c r="F2967" s="712"/>
      <c r="G2967" s="810"/>
      <c r="H2967" s="810"/>
    </row>
    <row r="2968">
      <c r="A2968" s="712"/>
      <c r="B2968" s="712"/>
      <c r="C2968" s="712"/>
      <c r="D2968" s="808"/>
      <c r="E2968" s="809"/>
      <c r="F2968" s="712"/>
      <c r="G2968" s="810"/>
      <c r="H2968" s="810"/>
    </row>
    <row r="2969">
      <c r="A2969" s="712"/>
      <c r="B2969" s="712"/>
      <c r="C2969" s="712"/>
      <c r="D2969" s="808"/>
      <c r="E2969" s="809"/>
      <c r="F2969" s="712"/>
      <c r="G2969" s="810"/>
      <c r="H2969" s="810"/>
    </row>
    <row r="2970">
      <c r="A2970" s="712"/>
      <c r="B2970" s="712"/>
      <c r="C2970" s="712"/>
      <c r="D2970" s="808"/>
      <c r="E2970" s="809"/>
      <c r="F2970" s="712"/>
      <c r="G2970" s="810"/>
      <c r="H2970" s="810"/>
    </row>
    <row r="2971">
      <c r="A2971" s="712"/>
      <c r="B2971" s="712"/>
      <c r="C2971" s="712"/>
      <c r="D2971" s="808"/>
      <c r="E2971" s="809"/>
      <c r="F2971" s="712"/>
      <c r="G2971" s="810"/>
      <c r="H2971" s="810"/>
    </row>
    <row r="2972">
      <c r="A2972" s="712"/>
      <c r="B2972" s="712"/>
      <c r="C2972" s="712"/>
      <c r="D2972" s="808"/>
      <c r="E2972" s="809"/>
      <c r="F2972" s="712"/>
      <c r="G2972" s="810"/>
      <c r="H2972" s="810"/>
    </row>
    <row r="2973">
      <c r="A2973" s="712"/>
      <c r="B2973" s="712"/>
      <c r="C2973" s="712"/>
      <c r="D2973" s="808"/>
      <c r="E2973" s="809"/>
      <c r="F2973" s="712"/>
      <c r="G2973" s="810"/>
      <c r="H2973" s="810"/>
    </row>
    <row r="2974">
      <c r="A2974" s="712"/>
      <c r="B2974" s="712"/>
      <c r="C2974" s="712"/>
      <c r="D2974" s="808"/>
      <c r="E2974" s="809"/>
      <c r="F2974" s="712"/>
      <c r="G2974" s="810"/>
      <c r="H2974" s="810"/>
    </row>
    <row r="2975">
      <c r="A2975" s="712"/>
      <c r="B2975" s="712"/>
      <c r="C2975" s="712"/>
      <c r="D2975" s="808"/>
      <c r="E2975" s="809"/>
      <c r="F2975" s="712"/>
      <c r="G2975" s="810"/>
      <c r="H2975" s="810"/>
    </row>
    <row r="2976">
      <c r="A2976" s="712"/>
      <c r="B2976" s="712"/>
      <c r="C2976" s="712"/>
      <c r="D2976" s="808"/>
      <c r="E2976" s="809"/>
      <c r="F2976" s="712"/>
      <c r="G2976" s="810"/>
      <c r="H2976" s="810"/>
    </row>
    <row r="2977">
      <c r="A2977" s="712"/>
      <c r="B2977" s="712"/>
      <c r="C2977" s="712"/>
      <c r="D2977" s="808"/>
      <c r="E2977" s="809"/>
      <c r="F2977" s="712"/>
      <c r="G2977" s="810"/>
      <c r="H2977" s="810"/>
    </row>
    <row r="2978">
      <c r="A2978" s="712"/>
      <c r="B2978" s="712"/>
      <c r="C2978" s="712"/>
      <c r="D2978" s="808"/>
      <c r="E2978" s="809"/>
      <c r="F2978" s="712"/>
      <c r="G2978" s="810"/>
      <c r="H2978" s="810"/>
    </row>
  </sheetData>
  <mergeCells count="246">
    <mergeCell ref="A1:H1"/>
    <mergeCell ref="A21:B21"/>
    <mergeCell ref="A42:B42"/>
    <mergeCell ref="A45:H45"/>
    <mergeCell ref="A63:B63"/>
    <mergeCell ref="A66:H66"/>
    <mergeCell ref="A82:H82"/>
    <mergeCell ref="A184:H184"/>
    <mergeCell ref="A190:H190"/>
    <mergeCell ref="A210:H210"/>
    <mergeCell ref="A224:H224"/>
    <mergeCell ref="A249:H249"/>
    <mergeCell ref="A274:H274"/>
    <mergeCell ref="A294:H294"/>
    <mergeCell ref="A79:B79"/>
    <mergeCell ref="A104:B104"/>
    <mergeCell ref="A107:H107"/>
    <mergeCell ref="A122:B122"/>
    <mergeCell ref="A125:H125"/>
    <mergeCell ref="A160:H160"/>
    <mergeCell ref="A174:H174"/>
    <mergeCell ref="A157:B157"/>
    <mergeCell ref="A182:B182"/>
    <mergeCell ref="A188:B188"/>
    <mergeCell ref="A207:C207"/>
    <mergeCell ref="A221:B221"/>
    <mergeCell ref="A246:B246"/>
    <mergeCell ref="A271:B271"/>
    <mergeCell ref="A291:B291"/>
    <mergeCell ref="A307:B307"/>
    <mergeCell ref="A310:H310"/>
    <mergeCell ref="A323:B323"/>
    <mergeCell ref="A326:H326"/>
    <mergeCell ref="A339:B339"/>
    <mergeCell ref="A342:H342"/>
    <mergeCell ref="A355:B355"/>
    <mergeCell ref="A358:H358"/>
    <mergeCell ref="A381:B381"/>
    <mergeCell ref="A384:H384"/>
    <mergeCell ref="A414:B414"/>
    <mergeCell ref="A417:H417"/>
    <mergeCell ref="A437:H437"/>
    <mergeCell ref="A434:B434"/>
    <mergeCell ref="A452:B452"/>
    <mergeCell ref="A455:H455"/>
    <mergeCell ref="A468:B468"/>
    <mergeCell ref="A471:H471"/>
    <mergeCell ref="A501:B501"/>
    <mergeCell ref="A504:H504"/>
    <mergeCell ref="A542:B542"/>
    <mergeCell ref="A545:H545"/>
    <mergeCell ref="A565:B565"/>
    <mergeCell ref="A568:H568"/>
    <mergeCell ref="A602:B602"/>
    <mergeCell ref="A604:H604"/>
    <mergeCell ref="A606:H606"/>
    <mergeCell ref="A631:B631"/>
    <mergeCell ref="A634:H634"/>
    <mergeCell ref="A661:B661"/>
    <mergeCell ref="A664:H664"/>
    <mergeCell ref="A690:B690"/>
    <mergeCell ref="A694:H694"/>
    <mergeCell ref="A710:H710"/>
    <mergeCell ref="A831:H831"/>
    <mergeCell ref="A851:H851"/>
    <mergeCell ref="A725:H725"/>
    <mergeCell ref="A737:H737"/>
    <mergeCell ref="A751:H751"/>
    <mergeCell ref="A765:H765"/>
    <mergeCell ref="A780:H780"/>
    <mergeCell ref="A801:H801"/>
    <mergeCell ref="A820:H820"/>
    <mergeCell ref="A707:B707"/>
    <mergeCell ref="A722:B722"/>
    <mergeCell ref="A734:B734"/>
    <mergeCell ref="A762:B762"/>
    <mergeCell ref="A777:B777"/>
    <mergeCell ref="A798:B798"/>
    <mergeCell ref="A828:B828"/>
    <mergeCell ref="A848:B848"/>
    <mergeCell ref="A872:B872"/>
    <mergeCell ref="A875:H875"/>
    <mergeCell ref="A910:H910"/>
    <mergeCell ref="A931:H931"/>
    <mergeCell ref="A937:B937"/>
    <mergeCell ref="A940:H940"/>
    <mergeCell ref="A985:H985"/>
    <mergeCell ref="A999:H999"/>
    <mergeCell ref="A1012:H1012"/>
    <mergeCell ref="A1027:H1027"/>
    <mergeCell ref="A1049:H1049"/>
    <mergeCell ref="A1089:H1089"/>
    <mergeCell ref="A1112:H1112"/>
    <mergeCell ref="A1802:B1802"/>
    <mergeCell ref="A1823:B1823"/>
    <mergeCell ref="A1844:B1844"/>
    <mergeCell ref="A1861:B1861"/>
    <mergeCell ref="A1874:B1874"/>
    <mergeCell ref="A1899:B1899"/>
    <mergeCell ref="A1914:B1914"/>
    <mergeCell ref="A1928:B1928"/>
    <mergeCell ref="A1953:B1953"/>
    <mergeCell ref="A1969:B1969"/>
    <mergeCell ref="A1982:B1982"/>
    <mergeCell ref="A2002:B2002"/>
    <mergeCell ref="A2031:B2031"/>
    <mergeCell ref="A2045:B2045"/>
    <mergeCell ref="A1956:H1956"/>
    <mergeCell ref="A1972:H1972"/>
    <mergeCell ref="A1985:H1985"/>
    <mergeCell ref="A2005:H2005"/>
    <mergeCell ref="A2034:H2034"/>
    <mergeCell ref="A2048:H2048"/>
    <mergeCell ref="A2064:H2064"/>
    <mergeCell ref="A2077:H2077"/>
    <mergeCell ref="A2101:H2101"/>
    <mergeCell ref="A2114:H2114"/>
    <mergeCell ref="A2141:H2141"/>
    <mergeCell ref="A2163:H2163"/>
    <mergeCell ref="A2183:H2183"/>
    <mergeCell ref="A2208:H2208"/>
    <mergeCell ref="A2205:B2205"/>
    <mergeCell ref="A2218:B2218"/>
    <mergeCell ref="A2232:B2232"/>
    <mergeCell ref="A2246:B2246"/>
    <mergeCell ref="A2273:B2273"/>
    <mergeCell ref="A2301:B2301"/>
    <mergeCell ref="A2330:B2330"/>
    <mergeCell ref="A2490:B2490"/>
    <mergeCell ref="A2503:B2503"/>
    <mergeCell ref="A2516:B2516"/>
    <mergeCell ref="A2529:B2529"/>
    <mergeCell ref="A2347:B2347"/>
    <mergeCell ref="A2363:B2363"/>
    <mergeCell ref="A2387:B2387"/>
    <mergeCell ref="A2417:B2417"/>
    <mergeCell ref="A2445:B2445"/>
    <mergeCell ref="A2458:B2458"/>
    <mergeCell ref="A2471:B2471"/>
    <mergeCell ref="A907:B907"/>
    <mergeCell ref="A982:B982"/>
    <mergeCell ref="A996:B996"/>
    <mergeCell ref="A1010:B1010"/>
    <mergeCell ref="A1025:B1025"/>
    <mergeCell ref="A1046:B1046"/>
    <mergeCell ref="A1086:B1086"/>
    <mergeCell ref="A1109:B1109"/>
    <mergeCell ref="A1140:B1140"/>
    <mergeCell ref="A1155:B1155"/>
    <mergeCell ref="A1176:B1176"/>
    <mergeCell ref="A1195:B1195"/>
    <mergeCell ref="A1255:B1255"/>
    <mergeCell ref="A1273:B1273"/>
    <mergeCell ref="A1286:B1286"/>
    <mergeCell ref="A1300:B1300"/>
    <mergeCell ref="A1314:B1314"/>
    <mergeCell ref="A1328:B1328"/>
    <mergeCell ref="A1342:B1342"/>
    <mergeCell ref="A1356:B1356"/>
    <mergeCell ref="A1370:B1370"/>
    <mergeCell ref="A1383:B1383"/>
    <mergeCell ref="A1396:B1396"/>
    <mergeCell ref="A1410:B1410"/>
    <mergeCell ref="A1425:B1425"/>
    <mergeCell ref="A1450:B1450"/>
    <mergeCell ref="A1465:B1465"/>
    <mergeCell ref="A1478:B1478"/>
    <mergeCell ref="A1500:B1500"/>
    <mergeCell ref="A1525:B1525"/>
    <mergeCell ref="A1550:B1550"/>
    <mergeCell ref="A1574:B1574"/>
    <mergeCell ref="A1593:B1593"/>
    <mergeCell ref="A1623:B1623"/>
    <mergeCell ref="A1649:B1649"/>
    <mergeCell ref="A1673:B1673"/>
    <mergeCell ref="A1687:B1687"/>
    <mergeCell ref="A1710:B1710"/>
    <mergeCell ref="A1724:B1724"/>
    <mergeCell ref="A1742:B1742"/>
    <mergeCell ref="A1756:B1756"/>
    <mergeCell ref="A1780:B1780"/>
    <mergeCell ref="A2061:B2061"/>
    <mergeCell ref="A2074:B2074"/>
    <mergeCell ref="A2099:B2099"/>
    <mergeCell ref="A2111:B2111"/>
    <mergeCell ref="A2138:B2138"/>
    <mergeCell ref="A2160:B2160"/>
    <mergeCell ref="A2180:B2180"/>
    <mergeCell ref="A2506:H2506"/>
    <mergeCell ref="A2519:H2519"/>
    <mergeCell ref="A2366:H2366"/>
    <mergeCell ref="A2390:H2390"/>
    <mergeCell ref="A2420:H2420"/>
    <mergeCell ref="A2448:H2448"/>
    <mergeCell ref="A2461:H2461"/>
    <mergeCell ref="A2474:H2474"/>
    <mergeCell ref="A2493:H2493"/>
    <mergeCell ref="A1143:H1143"/>
    <mergeCell ref="A1158:H1158"/>
    <mergeCell ref="A1179:H1179"/>
    <mergeCell ref="A1198:H1198"/>
    <mergeCell ref="A1257:H1257"/>
    <mergeCell ref="A1275:H1275"/>
    <mergeCell ref="A1289:H1289"/>
    <mergeCell ref="A1303:H1303"/>
    <mergeCell ref="A1317:H1317"/>
    <mergeCell ref="A1331:H1331"/>
    <mergeCell ref="A1345:H1345"/>
    <mergeCell ref="A1359:H1359"/>
    <mergeCell ref="A1373:H1373"/>
    <mergeCell ref="A1386:H1386"/>
    <mergeCell ref="A1399:H1399"/>
    <mergeCell ref="A1413:H1413"/>
    <mergeCell ref="A1428:H1428"/>
    <mergeCell ref="A1452:H1452"/>
    <mergeCell ref="A1467:H1467"/>
    <mergeCell ref="A1481:H1481"/>
    <mergeCell ref="A1503:H1503"/>
    <mergeCell ref="A1528:H1528"/>
    <mergeCell ref="A1553:H1553"/>
    <mergeCell ref="A1577:H1577"/>
    <mergeCell ref="A1596:H1596"/>
    <mergeCell ref="A1626:H1626"/>
    <mergeCell ref="A1652:H1652"/>
    <mergeCell ref="A1676:H1676"/>
    <mergeCell ref="A1690:H1690"/>
    <mergeCell ref="A1713:H1713"/>
    <mergeCell ref="A1726:H1726"/>
    <mergeCell ref="A1744:H1744"/>
    <mergeCell ref="A1758:H1758"/>
    <mergeCell ref="A1782:H1782"/>
    <mergeCell ref="A1804:H1804"/>
    <mergeCell ref="A1825:H1825"/>
    <mergeCell ref="A1846:H1846"/>
    <mergeCell ref="A1863:H1863"/>
    <mergeCell ref="A1878:H1878"/>
    <mergeCell ref="A1902:H1902"/>
    <mergeCell ref="A1917:H1917"/>
    <mergeCell ref="A1931:H1931"/>
    <mergeCell ref="A2222:H2222"/>
    <mergeCell ref="A2235:H2235"/>
    <mergeCell ref="A2249:H2249"/>
    <mergeCell ref="A2278:H2278"/>
    <mergeCell ref="A2304:H2304"/>
    <mergeCell ref="A2333:H2333"/>
    <mergeCell ref="A2350:H2350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52.29"/>
    <col customWidth="1" min="3" max="3" width="9.0"/>
    <col customWidth="1" min="5" max="5" width="12.29"/>
    <col customWidth="1" min="6" max="6" width="43.43"/>
    <col customWidth="1" min="7" max="7" width="58.71"/>
    <col customWidth="1" min="8" max="8" width="45.0"/>
  </cols>
  <sheetData>
    <row r="1">
      <c r="A1" s="649" t="s">
        <v>5690</v>
      </c>
      <c r="B1" s="2"/>
      <c r="C1" s="2"/>
      <c r="D1" s="2"/>
      <c r="E1" s="2"/>
      <c r="F1" s="2"/>
      <c r="G1" s="2"/>
      <c r="H1" s="3"/>
    </row>
    <row r="2">
      <c r="A2" s="650" t="s">
        <v>1435</v>
      </c>
      <c r="B2" s="651" t="s">
        <v>1436</v>
      </c>
      <c r="C2" s="650" t="s">
        <v>1843</v>
      </c>
      <c r="D2" s="652" t="s">
        <v>1438</v>
      </c>
      <c r="E2" s="653" t="s">
        <v>1564</v>
      </c>
      <c r="F2" s="650" t="s">
        <v>1440</v>
      </c>
      <c r="G2" s="650" t="s">
        <v>1565</v>
      </c>
      <c r="H2" s="654" t="s">
        <v>1441</v>
      </c>
    </row>
    <row r="3">
      <c r="A3" s="655">
        <v>1.0</v>
      </c>
      <c r="B3" s="655" t="s">
        <v>1443</v>
      </c>
      <c r="C3" s="655">
        <v>1.0</v>
      </c>
      <c r="D3" s="656">
        <v>150.0</v>
      </c>
      <c r="E3" s="657"/>
      <c r="F3" s="655" t="s">
        <v>1518</v>
      </c>
      <c r="G3" s="658" t="s">
        <v>1554</v>
      </c>
      <c r="H3" s="659">
        <v>45141.0</v>
      </c>
    </row>
    <row r="4">
      <c r="A4" s="655">
        <v>2.0</v>
      </c>
      <c r="B4" s="655" t="s">
        <v>1444</v>
      </c>
      <c r="C4" s="655">
        <v>2.0</v>
      </c>
      <c r="D4" s="656">
        <f>C4*3.2</f>
        <v>6.4</v>
      </c>
      <c r="E4" s="660"/>
      <c r="F4" s="655"/>
      <c r="G4" s="658" t="s">
        <v>1554</v>
      </c>
      <c r="H4" s="659">
        <v>45141.0</v>
      </c>
    </row>
    <row r="5">
      <c r="A5" s="655">
        <v>3.0</v>
      </c>
      <c r="B5" s="655" t="s">
        <v>3651</v>
      </c>
      <c r="C5" s="655">
        <v>1.0</v>
      </c>
      <c r="D5" s="656">
        <v>5.0</v>
      </c>
      <c r="E5" s="657">
        <v>1.0</v>
      </c>
      <c r="F5" s="655"/>
      <c r="G5" s="658" t="s">
        <v>1554</v>
      </c>
      <c r="H5" s="659">
        <v>45141.0</v>
      </c>
    </row>
    <row r="6">
      <c r="A6" s="655">
        <v>4.0</v>
      </c>
      <c r="B6" s="655"/>
      <c r="C6" s="655"/>
      <c r="D6" s="656"/>
      <c r="E6" s="657"/>
      <c r="F6" s="655"/>
      <c r="G6" s="655"/>
      <c r="H6" s="661"/>
    </row>
    <row r="7">
      <c r="A7" s="655">
        <v>5.0</v>
      </c>
      <c r="B7" s="655"/>
      <c r="C7" s="655"/>
      <c r="D7" s="656"/>
      <c r="E7" s="657"/>
      <c r="F7" s="655"/>
      <c r="G7" s="655"/>
      <c r="H7" s="661"/>
    </row>
    <row r="8">
      <c r="A8" s="655">
        <v>6.0</v>
      </c>
      <c r="B8" s="655"/>
      <c r="C8" s="655"/>
      <c r="D8" s="656"/>
      <c r="E8" s="657"/>
      <c r="F8" s="658"/>
      <c r="G8" s="655"/>
      <c r="H8" s="661"/>
    </row>
    <row r="9">
      <c r="A9" s="655">
        <v>7.0</v>
      </c>
      <c r="B9" s="667"/>
      <c r="C9" s="667"/>
      <c r="D9" s="1062"/>
      <c r="E9" s="657"/>
      <c r="F9" s="667"/>
      <c r="G9" s="655"/>
      <c r="H9" s="1063"/>
    </row>
    <row r="10">
      <c r="A10" s="655">
        <v>8.0</v>
      </c>
      <c r="B10" s="667"/>
      <c r="C10" s="667"/>
      <c r="D10" s="656"/>
      <c r="E10" s="660"/>
      <c r="F10" s="667"/>
      <c r="G10" s="667"/>
      <c r="H10" s="1063"/>
    </row>
    <row r="11">
      <c r="A11" s="655">
        <v>9.0</v>
      </c>
      <c r="B11" s="667"/>
      <c r="C11" s="667"/>
      <c r="D11" s="656"/>
      <c r="E11" s="660"/>
      <c r="F11" s="667"/>
      <c r="G11" s="667"/>
      <c r="H11" s="1063"/>
    </row>
    <row r="12">
      <c r="A12" s="671">
        <v>10.0</v>
      </c>
      <c r="B12" s="667"/>
      <c r="C12" s="655"/>
      <c r="D12" s="656"/>
      <c r="E12" s="657"/>
      <c r="F12" s="655"/>
      <c r="G12" s="667"/>
      <c r="H12" s="1063"/>
    </row>
    <row r="13">
      <c r="A13" s="671">
        <v>11.0</v>
      </c>
      <c r="B13" s="667"/>
      <c r="C13" s="655"/>
      <c r="D13" s="656"/>
      <c r="E13" s="657"/>
      <c r="F13" s="655"/>
      <c r="G13" s="667"/>
      <c r="H13" s="1064"/>
    </row>
    <row r="14">
      <c r="A14" s="671">
        <v>12.0</v>
      </c>
      <c r="B14" s="667"/>
      <c r="C14" s="655"/>
      <c r="D14" s="656"/>
      <c r="E14" s="657"/>
      <c r="F14" s="655"/>
      <c r="G14" s="667"/>
      <c r="H14" s="1064"/>
    </row>
    <row r="15">
      <c r="A15" s="671">
        <v>13.0</v>
      </c>
      <c r="B15" s="667"/>
      <c r="C15" s="655"/>
      <c r="D15" s="656"/>
      <c r="E15" s="657"/>
      <c r="F15" s="655"/>
      <c r="G15" s="667"/>
      <c r="H15" s="1064"/>
    </row>
    <row r="16">
      <c r="A16" s="655">
        <v>14.0</v>
      </c>
      <c r="B16" s="655"/>
      <c r="C16" s="655"/>
      <c r="D16" s="656"/>
      <c r="E16" s="657"/>
      <c r="F16" s="655"/>
      <c r="G16" s="667"/>
      <c r="H16" s="659"/>
    </row>
    <row r="17">
      <c r="A17" s="655">
        <v>15.0</v>
      </c>
      <c r="B17" s="655"/>
      <c r="C17" s="655"/>
      <c r="D17" s="656"/>
      <c r="E17" s="657"/>
      <c r="F17" s="655"/>
      <c r="G17" s="667"/>
      <c r="H17" s="659"/>
    </row>
    <row r="18">
      <c r="A18" s="655">
        <v>16.0</v>
      </c>
      <c r="B18" s="345"/>
      <c r="C18" s="655"/>
      <c r="D18" s="656"/>
      <c r="E18" s="657"/>
      <c r="F18" s="345"/>
      <c r="G18" s="655"/>
      <c r="H18" s="659"/>
    </row>
    <row r="19">
      <c r="A19" s="803">
        <v>17.0</v>
      </c>
      <c r="B19" s="909"/>
      <c r="C19" s="803"/>
      <c r="D19" s="910"/>
      <c r="E19" s="911"/>
      <c r="F19" s="36"/>
      <c r="G19" s="655"/>
      <c r="H19" s="1065"/>
    </row>
    <row r="20">
      <c r="A20" s="682">
        <v>18.0</v>
      </c>
      <c r="B20" s="683"/>
      <c r="C20" s="682"/>
      <c r="D20" s="684"/>
      <c r="E20" s="685"/>
      <c r="F20" s="36"/>
      <c r="G20" s="658"/>
      <c r="H20" s="686"/>
    </row>
    <row r="21">
      <c r="A21" s="687" t="s">
        <v>1562</v>
      </c>
      <c r="B21" s="291"/>
      <c r="C21" s="682">
        <f t="shared" ref="C21:D21" si="1">sum(C3:C20)</f>
        <v>4</v>
      </c>
      <c r="D21" s="684">
        <f t="shared" si="1"/>
        <v>161.4</v>
      </c>
      <c r="E21" s="685">
        <f>SUM(E3:E19)</f>
        <v>1</v>
      </c>
      <c r="F21" s="682"/>
      <c r="G21" s="688"/>
      <c r="H21" s="688"/>
    </row>
    <row r="22">
      <c r="A22" s="689"/>
      <c r="B22" s="689"/>
      <c r="C22" s="689"/>
      <c r="D22" s="689"/>
      <c r="E22" s="689"/>
      <c r="F22" s="689"/>
      <c r="G22" s="689"/>
      <c r="H22" s="689"/>
    </row>
    <row r="23">
      <c r="A23" s="713" t="s">
        <v>5691</v>
      </c>
      <c r="B23" s="293"/>
      <c r="C23" s="293"/>
      <c r="D23" s="293"/>
      <c r="E23" s="293"/>
      <c r="F23" s="293"/>
      <c r="G23" s="293"/>
      <c r="H23" s="294"/>
    </row>
    <row r="24">
      <c r="A24" s="691" t="s">
        <v>1435</v>
      </c>
      <c r="B24" s="692" t="s">
        <v>1436</v>
      </c>
      <c r="C24" s="691" t="s">
        <v>1843</v>
      </c>
      <c r="D24" s="693" t="s">
        <v>1438</v>
      </c>
      <c r="E24" s="694" t="s">
        <v>1564</v>
      </c>
      <c r="F24" s="691" t="s">
        <v>1440</v>
      </c>
      <c r="G24" s="691" t="s">
        <v>1565</v>
      </c>
      <c r="H24" s="695" t="s">
        <v>1441</v>
      </c>
    </row>
    <row r="25">
      <c r="A25" s="658">
        <v>1.0</v>
      </c>
      <c r="B25" s="658" t="s">
        <v>3673</v>
      </c>
      <c r="C25" s="658">
        <v>1.0</v>
      </c>
      <c r="D25" s="678">
        <v>5.0</v>
      </c>
      <c r="E25" s="676">
        <v>1.0</v>
      </c>
      <c r="F25" s="658" t="s">
        <v>1518</v>
      </c>
      <c r="G25" s="658" t="s">
        <v>1554</v>
      </c>
      <c r="H25" s="679">
        <v>45141.0</v>
      </c>
    </row>
    <row r="26">
      <c r="A26" s="658">
        <v>2.0</v>
      </c>
      <c r="B26" s="658" t="s">
        <v>1443</v>
      </c>
      <c r="C26" s="658">
        <v>1.0</v>
      </c>
      <c r="D26" s="678">
        <v>150.0</v>
      </c>
      <c r="E26" s="669"/>
      <c r="F26" s="658"/>
      <c r="G26" s="658" t="s">
        <v>1554</v>
      </c>
      <c r="H26" s="659">
        <v>45141.0</v>
      </c>
    </row>
    <row r="27">
      <c r="A27" s="658">
        <v>3.0</v>
      </c>
      <c r="B27" s="658" t="s">
        <v>1444</v>
      </c>
      <c r="C27" s="658">
        <v>2.0</v>
      </c>
      <c r="D27" s="678">
        <v>3.2</v>
      </c>
      <c r="E27" s="676"/>
      <c r="F27" s="658"/>
      <c r="G27" s="658" t="s">
        <v>1554</v>
      </c>
      <c r="H27" s="659">
        <v>45141.0</v>
      </c>
    </row>
    <row r="28">
      <c r="A28" s="658">
        <v>4.0</v>
      </c>
      <c r="B28" s="658"/>
      <c r="C28" s="658"/>
      <c r="D28" s="678"/>
      <c r="E28" s="676"/>
      <c r="F28" s="658"/>
      <c r="G28" s="658"/>
      <c r="H28" s="696"/>
    </row>
    <row r="29">
      <c r="A29" s="658">
        <v>5.0</v>
      </c>
      <c r="B29" s="658"/>
      <c r="C29" s="658"/>
      <c r="D29" s="678"/>
      <c r="E29" s="676"/>
      <c r="F29" s="658"/>
      <c r="G29" s="658"/>
      <c r="H29" s="696"/>
    </row>
    <row r="30">
      <c r="A30" s="658">
        <v>6.0</v>
      </c>
      <c r="B30" s="658"/>
      <c r="C30" s="658"/>
      <c r="D30" s="678"/>
      <c r="E30" s="676"/>
      <c r="F30" s="658"/>
      <c r="G30" s="658"/>
      <c r="H30" s="696"/>
    </row>
    <row r="31">
      <c r="A31" s="658">
        <v>7.0</v>
      </c>
      <c r="B31" s="658"/>
      <c r="C31" s="658"/>
      <c r="D31" s="678"/>
      <c r="E31" s="676"/>
      <c r="F31" s="658"/>
      <c r="G31" s="658"/>
      <c r="H31" s="696"/>
    </row>
    <row r="32">
      <c r="A32" s="658">
        <v>8.0</v>
      </c>
      <c r="B32" s="658"/>
      <c r="C32" s="658"/>
      <c r="D32" s="678"/>
      <c r="E32" s="676"/>
      <c r="F32" s="658"/>
      <c r="G32" s="658"/>
      <c r="H32" s="696"/>
    </row>
    <row r="33">
      <c r="A33" s="658">
        <v>9.0</v>
      </c>
      <c r="B33" s="658"/>
      <c r="C33" s="658"/>
      <c r="D33" s="678"/>
      <c r="E33" s="676"/>
      <c r="F33" s="658"/>
      <c r="G33" s="658"/>
      <c r="H33" s="696"/>
    </row>
    <row r="34">
      <c r="A34" s="658">
        <v>10.0</v>
      </c>
      <c r="B34" s="658"/>
      <c r="C34" s="658"/>
      <c r="D34" s="678"/>
      <c r="E34" s="676"/>
      <c r="F34" s="658"/>
      <c r="G34" s="658"/>
      <c r="H34" s="696"/>
    </row>
    <row r="35">
      <c r="A35" s="658">
        <v>11.0</v>
      </c>
      <c r="B35" s="658"/>
      <c r="C35" s="658"/>
      <c r="D35" s="678"/>
      <c r="E35" s="676"/>
      <c r="F35" s="658"/>
      <c r="G35" s="658"/>
      <c r="H35" s="696"/>
    </row>
    <row r="36">
      <c r="A36" s="658">
        <v>12.0</v>
      </c>
      <c r="B36" s="658"/>
      <c r="C36" s="658"/>
      <c r="D36" s="678"/>
      <c r="E36" s="676"/>
      <c r="F36" s="658"/>
      <c r="G36" s="658"/>
      <c r="H36" s="696"/>
    </row>
    <row r="37">
      <c r="A37" s="658">
        <v>13.0</v>
      </c>
      <c r="B37" s="658"/>
      <c r="C37" s="658"/>
      <c r="D37" s="678"/>
      <c r="E37" s="676"/>
      <c r="F37" s="658"/>
      <c r="G37" s="658"/>
      <c r="H37" s="696"/>
    </row>
    <row r="38">
      <c r="A38" s="658">
        <v>14.0</v>
      </c>
      <c r="B38" s="658"/>
      <c r="C38" s="658"/>
      <c r="D38" s="678"/>
      <c r="E38" s="676"/>
      <c r="F38" s="658"/>
      <c r="G38" s="658"/>
      <c r="H38" s="696"/>
    </row>
    <row r="39">
      <c r="A39" s="658">
        <v>15.0</v>
      </c>
      <c r="B39" s="658"/>
      <c r="C39" s="658"/>
      <c r="D39" s="678"/>
      <c r="E39" s="676"/>
      <c r="F39" s="658"/>
      <c r="G39" s="658"/>
      <c r="H39" s="696"/>
    </row>
    <row r="40">
      <c r="A40" s="658">
        <v>16.0</v>
      </c>
      <c r="B40" s="658"/>
      <c r="C40" s="658"/>
      <c r="D40" s="678"/>
      <c r="E40" s="676"/>
      <c r="F40" s="658"/>
      <c r="G40" s="658"/>
      <c r="H40" s="696"/>
    </row>
    <row r="41">
      <c r="A41" s="658">
        <v>17.0</v>
      </c>
      <c r="B41" s="658"/>
      <c r="C41" s="658"/>
      <c r="D41" s="678"/>
      <c r="E41" s="676"/>
      <c r="F41" s="658"/>
      <c r="G41" s="658"/>
      <c r="H41" s="696"/>
    </row>
    <row r="42">
      <c r="A42" s="697" t="s">
        <v>1562</v>
      </c>
      <c r="B42" s="3"/>
      <c r="C42" s="658">
        <f t="shared" ref="C42:D42" si="2">sum(C25:C41)</f>
        <v>4</v>
      </c>
      <c r="D42" s="678">
        <f t="shared" si="2"/>
        <v>158.2</v>
      </c>
      <c r="E42" s="676">
        <f>SUM(E25:E41)</f>
        <v>1</v>
      </c>
      <c r="F42" s="658"/>
      <c r="G42" s="679"/>
      <c r="H42" s="679"/>
    </row>
    <row r="43">
      <c r="A43" s="689"/>
      <c r="B43" s="689"/>
      <c r="C43" s="689"/>
      <c r="D43" s="689"/>
      <c r="E43" s="689"/>
      <c r="F43" s="689"/>
      <c r="G43" s="689"/>
      <c r="H43" s="689"/>
    </row>
    <row r="44">
      <c r="A44" s="689"/>
      <c r="B44" s="689"/>
      <c r="C44" s="689"/>
      <c r="D44" s="689"/>
      <c r="E44" s="689"/>
      <c r="F44" s="689"/>
      <c r="G44" s="689"/>
      <c r="H44" s="689"/>
    </row>
    <row r="45">
      <c r="A45" s="649" t="s">
        <v>5692</v>
      </c>
      <c r="B45" s="2"/>
      <c r="C45" s="2"/>
      <c r="D45" s="2"/>
      <c r="E45" s="2"/>
      <c r="F45" s="2"/>
      <c r="G45" s="2"/>
      <c r="H45" s="3"/>
    </row>
    <row r="46">
      <c r="A46" s="691" t="s">
        <v>1435</v>
      </c>
      <c r="B46" s="692" t="s">
        <v>1436</v>
      </c>
      <c r="C46" s="691" t="s">
        <v>1843</v>
      </c>
      <c r="D46" s="693" t="s">
        <v>1438</v>
      </c>
      <c r="E46" s="694" t="s">
        <v>1564</v>
      </c>
      <c r="F46" s="691" t="s">
        <v>1440</v>
      </c>
      <c r="G46" s="691" t="s">
        <v>1565</v>
      </c>
      <c r="H46" s="695" t="s">
        <v>1441</v>
      </c>
    </row>
    <row r="47">
      <c r="A47" s="658">
        <v>1.0</v>
      </c>
      <c r="B47" s="658" t="s">
        <v>3673</v>
      </c>
      <c r="C47" s="658">
        <v>1.0</v>
      </c>
      <c r="D47" s="678">
        <v>5.0</v>
      </c>
      <c r="E47" s="676">
        <v>1.0</v>
      </c>
      <c r="F47" s="658" t="s">
        <v>1518</v>
      </c>
      <c r="G47" s="658" t="s">
        <v>1554</v>
      </c>
      <c r="H47" s="679">
        <v>45141.0</v>
      </c>
    </row>
    <row r="48">
      <c r="A48" s="658">
        <v>2.0</v>
      </c>
      <c r="B48" s="658" t="s">
        <v>1443</v>
      </c>
      <c r="C48" s="658">
        <v>1.0</v>
      </c>
      <c r="D48" s="678">
        <v>150.0</v>
      </c>
      <c r="E48" s="676"/>
      <c r="F48" s="658"/>
      <c r="G48" s="658" t="s">
        <v>1554</v>
      </c>
      <c r="H48" s="659">
        <v>45141.0</v>
      </c>
    </row>
    <row r="49">
      <c r="A49" s="658">
        <v>3.0</v>
      </c>
      <c r="B49" s="658" t="s">
        <v>1444</v>
      </c>
      <c r="C49" s="658">
        <v>2.0</v>
      </c>
      <c r="D49" s="678">
        <v>3.2</v>
      </c>
      <c r="E49" s="669"/>
      <c r="F49" s="658"/>
      <c r="G49" s="658" t="s">
        <v>1554</v>
      </c>
      <c r="H49" s="659">
        <v>45141.0</v>
      </c>
    </row>
    <row r="50">
      <c r="A50" s="658">
        <v>4.0</v>
      </c>
      <c r="B50" s="655"/>
      <c r="C50" s="658"/>
      <c r="D50" s="678"/>
      <c r="E50" s="676"/>
      <c r="F50" s="655"/>
      <c r="G50" s="658"/>
      <c r="H50" s="696"/>
    </row>
    <row r="51">
      <c r="A51" s="658">
        <v>5.0</v>
      </c>
      <c r="B51" s="655"/>
      <c r="C51" s="658"/>
      <c r="D51" s="678"/>
      <c r="E51" s="676"/>
      <c r="F51" s="655"/>
      <c r="G51" s="658"/>
      <c r="H51" s="696"/>
    </row>
    <row r="52">
      <c r="A52" s="658">
        <v>6.0</v>
      </c>
      <c r="B52" s="655"/>
      <c r="C52" s="658"/>
      <c r="D52" s="678"/>
      <c r="E52" s="676"/>
      <c r="F52" s="655"/>
      <c r="G52" s="658"/>
      <c r="H52" s="696"/>
    </row>
    <row r="53">
      <c r="A53" s="658">
        <v>7.0</v>
      </c>
      <c r="B53" s="655"/>
      <c r="C53" s="658"/>
      <c r="D53" s="678"/>
      <c r="E53" s="676"/>
      <c r="F53" s="655"/>
      <c r="G53" s="658"/>
      <c r="H53" s="696"/>
    </row>
    <row r="54">
      <c r="A54" s="658">
        <v>8.0</v>
      </c>
      <c r="B54" s="655"/>
      <c r="C54" s="658"/>
      <c r="D54" s="678"/>
      <c r="E54" s="676"/>
      <c r="F54" s="655"/>
      <c r="G54" s="658"/>
      <c r="H54" s="696"/>
    </row>
    <row r="55">
      <c r="A55" s="658">
        <v>9.0</v>
      </c>
      <c r="B55" s="655"/>
      <c r="C55" s="658"/>
      <c r="D55" s="678"/>
      <c r="E55" s="676"/>
      <c r="F55" s="655"/>
      <c r="G55" s="658"/>
      <c r="H55" s="696"/>
    </row>
    <row r="56">
      <c r="A56" s="658">
        <v>10.0</v>
      </c>
      <c r="B56" s="655"/>
      <c r="C56" s="658"/>
      <c r="D56" s="678"/>
      <c r="E56" s="676"/>
      <c r="F56" s="655"/>
      <c r="G56" s="658"/>
      <c r="H56" s="696"/>
    </row>
    <row r="57">
      <c r="A57" s="658">
        <v>11.0</v>
      </c>
      <c r="B57" s="655"/>
      <c r="C57" s="658"/>
      <c r="D57" s="678"/>
      <c r="E57" s="676"/>
      <c r="F57" s="655"/>
      <c r="G57" s="658"/>
      <c r="H57" s="696"/>
    </row>
    <row r="58">
      <c r="A58" s="658">
        <v>12.0</v>
      </c>
      <c r="B58" s="655"/>
      <c r="C58" s="658"/>
      <c r="D58" s="678"/>
      <c r="E58" s="676"/>
      <c r="F58" s="655"/>
      <c r="G58" s="658"/>
      <c r="H58" s="696"/>
    </row>
    <row r="59">
      <c r="A59" s="658">
        <v>13.0</v>
      </c>
      <c r="B59" s="655"/>
      <c r="C59" s="658"/>
      <c r="D59" s="678"/>
      <c r="E59" s="676"/>
      <c r="F59" s="655"/>
      <c r="G59" s="658"/>
      <c r="H59" s="696"/>
    </row>
    <row r="60">
      <c r="A60" s="658">
        <v>14.0</v>
      </c>
      <c r="B60" s="655"/>
      <c r="C60" s="658"/>
      <c r="D60" s="678"/>
      <c r="E60" s="676"/>
      <c r="F60" s="655"/>
      <c r="G60" s="658"/>
      <c r="H60" s="696"/>
    </row>
    <row r="61">
      <c r="A61" s="658">
        <v>15.0</v>
      </c>
      <c r="B61" s="655"/>
      <c r="C61" s="658"/>
      <c r="D61" s="678"/>
      <c r="E61" s="676"/>
      <c r="F61" s="655"/>
      <c r="G61" s="658"/>
      <c r="H61" s="696"/>
    </row>
    <row r="62">
      <c r="A62" s="658">
        <v>16.0</v>
      </c>
      <c r="B62" s="655"/>
      <c r="C62" s="658"/>
      <c r="D62" s="678"/>
      <c r="E62" s="676"/>
      <c r="F62" s="655"/>
      <c r="G62" s="658"/>
      <c r="H62" s="696"/>
    </row>
    <row r="63">
      <c r="A63" s="697" t="s">
        <v>1562</v>
      </c>
      <c r="B63" s="3"/>
      <c r="C63" s="658">
        <f t="shared" ref="C63:E63" si="3">sum(C47:C62)</f>
        <v>4</v>
      </c>
      <c r="D63" s="678">
        <f t="shared" si="3"/>
        <v>158.2</v>
      </c>
      <c r="E63" s="676">
        <f t="shared" si="3"/>
        <v>1</v>
      </c>
      <c r="F63" s="658"/>
      <c r="G63" s="679"/>
      <c r="H63" s="679"/>
    </row>
    <row r="64">
      <c r="A64" s="689"/>
      <c r="B64" s="689"/>
      <c r="C64" s="689"/>
      <c r="D64" s="689"/>
      <c r="E64" s="689"/>
      <c r="F64" s="689"/>
      <c r="G64" s="689"/>
      <c r="H64" s="689"/>
    </row>
    <row r="65">
      <c r="A65" s="689"/>
      <c r="B65" s="689"/>
      <c r="C65" s="689"/>
      <c r="D65" s="689"/>
      <c r="E65" s="689"/>
      <c r="F65" s="689"/>
      <c r="G65" s="689"/>
      <c r="H65" s="689"/>
    </row>
    <row r="66">
      <c r="A66" s="649" t="s">
        <v>5693</v>
      </c>
      <c r="B66" s="2"/>
      <c r="C66" s="2"/>
      <c r="D66" s="2"/>
      <c r="E66" s="2"/>
      <c r="F66" s="2"/>
      <c r="G66" s="2"/>
      <c r="H66" s="3"/>
    </row>
    <row r="67">
      <c r="A67" s="691" t="s">
        <v>1435</v>
      </c>
      <c r="B67" s="692" t="s">
        <v>1436</v>
      </c>
      <c r="C67" s="691" t="s">
        <v>1843</v>
      </c>
      <c r="D67" s="693" t="s">
        <v>1438</v>
      </c>
      <c r="E67" s="694" t="s">
        <v>1564</v>
      </c>
      <c r="F67" s="691" t="s">
        <v>1440</v>
      </c>
      <c r="G67" s="691" t="s">
        <v>1565</v>
      </c>
      <c r="H67" s="695" t="s">
        <v>1441</v>
      </c>
    </row>
    <row r="68">
      <c r="A68" s="658">
        <v>1.0</v>
      </c>
      <c r="B68" s="658" t="s">
        <v>3673</v>
      </c>
      <c r="C68" s="658">
        <v>1.0</v>
      </c>
      <c r="D68" s="678">
        <v>5.0</v>
      </c>
      <c r="E68" s="676">
        <v>1.0</v>
      </c>
      <c r="F68" s="658" t="s">
        <v>1518</v>
      </c>
      <c r="G68" s="658" t="s">
        <v>1554</v>
      </c>
      <c r="H68" s="679">
        <v>45141.0</v>
      </c>
    </row>
    <row r="69">
      <c r="A69" s="658">
        <v>2.0</v>
      </c>
      <c r="B69" s="658" t="s">
        <v>1443</v>
      </c>
      <c r="C69" s="658">
        <v>1.0</v>
      </c>
      <c r="D69" s="678">
        <v>150.0</v>
      </c>
      <c r="E69" s="676"/>
      <c r="F69" s="658"/>
      <c r="G69" s="658" t="s">
        <v>1554</v>
      </c>
      <c r="H69" s="659">
        <v>45141.0</v>
      </c>
    </row>
    <row r="70">
      <c r="A70" s="658">
        <v>3.0</v>
      </c>
      <c r="B70" s="658" t="s">
        <v>1444</v>
      </c>
      <c r="C70" s="658">
        <v>2.0</v>
      </c>
      <c r="D70" s="678">
        <v>3.2</v>
      </c>
      <c r="E70" s="669"/>
      <c r="F70" s="658"/>
      <c r="G70" s="658" t="s">
        <v>1554</v>
      </c>
      <c r="H70" s="659">
        <v>45141.0</v>
      </c>
    </row>
    <row r="71">
      <c r="A71" s="658">
        <v>4.0</v>
      </c>
      <c r="B71" s="655"/>
      <c r="C71" s="658"/>
      <c r="D71" s="658"/>
      <c r="E71" s="676"/>
      <c r="F71" s="655"/>
      <c r="G71" s="658"/>
      <c r="H71" s="696"/>
    </row>
    <row r="72">
      <c r="A72" s="658">
        <v>5.0</v>
      </c>
      <c r="B72" s="655"/>
      <c r="C72" s="658"/>
      <c r="D72" s="658"/>
      <c r="E72" s="676"/>
      <c r="F72" s="655"/>
      <c r="G72" s="658"/>
      <c r="H72" s="696"/>
    </row>
    <row r="73">
      <c r="A73" s="658">
        <v>6.0</v>
      </c>
      <c r="B73" s="655"/>
      <c r="C73" s="658"/>
      <c r="D73" s="658"/>
      <c r="E73" s="676"/>
      <c r="F73" s="655"/>
      <c r="G73" s="658"/>
      <c r="H73" s="696"/>
    </row>
    <row r="74">
      <c r="A74" s="658">
        <v>7.0</v>
      </c>
      <c r="B74" s="655"/>
      <c r="C74" s="658"/>
      <c r="D74" s="678"/>
      <c r="E74" s="676"/>
      <c r="F74" s="655"/>
      <c r="G74" s="658"/>
      <c r="H74" s="696"/>
    </row>
    <row r="75">
      <c r="A75" s="658">
        <v>8.0</v>
      </c>
      <c r="B75" s="655"/>
      <c r="C75" s="658"/>
      <c r="D75" s="678"/>
      <c r="E75" s="676"/>
      <c r="F75" s="655"/>
      <c r="G75" s="658"/>
      <c r="H75" s="696"/>
    </row>
    <row r="76">
      <c r="A76" s="658">
        <v>9.0</v>
      </c>
      <c r="B76" s="655"/>
      <c r="C76" s="658"/>
      <c r="D76" s="678"/>
      <c r="E76" s="676"/>
      <c r="F76" s="655"/>
      <c r="G76" s="658"/>
      <c r="H76" s="696"/>
    </row>
    <row r="77">
      <c r="A77" s="658">
        <v>10.0</v>
      </c>
      <c r="B77" s="655"/>
      <c r="C77" s="658"/>
      <c r="D77" s="678"/>
      <c r="E77" s="676"/>
      <c r="F77" s="655"/>
      <c r="G77" s="658"/>
      <c r="H77" s="696"/>
    </row>
    <row r="78">
      <c r="A78" s="658">
        <v>11.0</v>
      </c>
      <c r="B78" s="655"/>
      <c r="C78" s="658"/>
      <c r="D78" s="678"/>
      <c r="E78" s="676"/>
      <c r="F78" s="655"/>
      <c r="G78" s="658"/>
      <c r="H78" s="696"/>
    </row>
    <row r="79">
      <c r="A79" s="697" t="s">
        <v>1562</v>
      </c>
      <c r="B79" s="3"/>
      <c r="C79" s="658">
        <f t="shared" ref="C79:E79" si="4">sum(C68:C78)</f>
        <v>4</v>
      </c>
      <c r="D79" s="678">
        <f t="shared" si="4"/>
        <v>158.2</v>
      </c>
      <c r="E79" s="676">
        <f t="shared" si="4"/>
        <v>1</v>
      </c>
      <c r="F79" s="658"/>
      <c r="G79" s="679"/>
      <c r="H79" s="679"/>
    </row>
    <row r="80">
      <c r="A80" s="689"/>
      <c r="B80" s="689"/>
      <c r="C80" s="689"/>
      <c r="D80" s="689"/>
      <c r="E80" s="689"/>
      <c r="F80" s="689"/>
      <c r="G80" s="689"/>
      <c r="H80" s="689"/>
    </row>
    <row r="81">
      <c r="A81" s="689"/>
      <c r="B81" s="689"/>
      <c r="C81" s="689"/>
      <c r="D81" s="689"/>
      <c r="E81" s="689"/>
      <c r="F81" s="689"/>
      <c r="G81" s="689"/>
      <c r="H81" s="689"/>
    </row>
    <row r="82">
      <c r="A82" s="649" t="s">
        <v>5694</v>
      </c>
      <c r="B82" s="2"/>
      <c r="C82" s="2"/>
      <c r="D82" s="2"/>
      <c r="E82" s="2"/>
      <c r="F82" s="2"/>
      <c r="G82" s="2"/>
      <c r="H82" s="3"/>
    </row>
    <row r="83">
      <c r="A83" s="691" t="s">
        <v>1435</v>
      </c>
      <c r="B83" s="692" t="s">
        <v>1436</v>
      </c>
      <c r="C83" s="691" t="s">
        <v>1843</v>
      </c>
      <c r="D83" s="693" t="s">
        <v>1438</v>
      </c>
      <c r="E83" s="694" t="s">
        <v>1564</v>
      </c>
      <c r="F83" s="691" t="s">
        <v>1440</v>
      </c>
      <c r="G83" s="691" t="s">
        <v>1565</v>
      </c>
      <c r="H83" s="695" t="s">
        <v>1441</v>
      </c>
    </row>
    <row r="84">
      <c r="A84" s="658">
        <v>1.0</v>
      </c>
      <c r="B84" s="658" t="s">
        <v>3673</v>
      </c>
      <c r="C84" s="658">
        <v>1.0</v>
      </c>
      <c r="D84" s="678">
        <v>5.0</v>
      </c>
      <c r="E84" s="676">
        <v>1.0</v>
      </c>
      <c r="F84" s="658" t="s">
        <v>1518</v>
      </c>
      <c r="G84" s="658" t="s">
        <v>1554</v>
      </c>
      <c r="H84" s="679">
        <v>45141.0</v>
      </c>
    </row>
    <row r="85">
      <c r="A85" s="658">
        <v>2.0</v>
      </c>
      <c r="B85" s="658" t="s">
        <v>1443</v>
      </c>
      <c r="C85" s="658">
        <v>1.0</v>
      </c>
      <c r="D85" s="678">
        <v>150.0</v>
      </c>
      <c r="E85" s="676"/>
      <c r="F85" s="658"/>
      <c r="G85" s="658" t="s">
        <v>1554</v>
      </c>
      <c r="H85" s="659">
        <v>45141.0</v>
      </c>
    </row>
    <row r="86">
      <c r="A86" s="658">
        <v>3.0</v>
      </c>
      <c r="B86" s="658" t="s">
        <v>1444</v>
      </c>
      <c r="C86" s="658">
        <v>2.0</v>
      </c>
      <c r="D86" s="678">
        <v>3.2</v>
      </c>
      <c r="E86" s="669"/>
      <c r="F86" s="658"/>
      <c r="G86" s="658" t="s">
        <v>1554</v>
      </c>
      <c r="H86" s="659">
        <v>45141.0</v>
      </c>
    </row>
    <row r="87">
      <c r="A87" s="655">
        <v>4.0</v>
      </c>
      <c r="B87" s="655"/>
      <c r="C87" s="655"/>
      <c r="D87" s="656"/>
      <c r="E87" s="657"/>
      <c r="F87" s="655"/>
      <c r="G87" s="655"/>
      <c r="H87" s="661"/>
    </row>
    <row r="88">
      <c r="A88" s="655">
        <v>5.0</v>
      </c>
      <c r="B88" s="655"/>
      <c r="C88" s="655"/>
      <c r="D88" s="656"/>
      <c r="E88" s="657"/>
      <c r="F88" s="655"/>
      <c r="G88" s="655"/>
      <c r="H88" s="661"/>
    </row>
    <row r="89">
      <c r="A89" s="655">
        <v>6.0</v>
      </c>
      <c r="B89" s="655"/>
      <c r="C89" s="655"/>
      <c r="D89" s="656"/>
      <c r="E89" s="657"/>
      <c r="F89" s="655"/>
      <c r="G89" s="655"/>
      <c r="H89" s="661"/>
    </row>
    <row r="90">
      <c r="A90" s="655">
        <v>7.0</v>
      </c>
      <c r="B90" s="655"/>
      <c r="C90" s="655"/>
      <c r="D90" s="656"/>
      <c r="E90" s="657"/>
      <c r="F90" s="655"/>
      <c r="G90" s="655"/>
      <c r="H90" s="661"/>
    </row>
    <row r="91">
      <c r="A91" s="655">
        <v>8.0</v>
      </c>
      <c r="B91" s="655"/>
      <c r="C91" s="655"/>
      <c r="D91" s="656"/>
      <c r="E91" s="657"/>
      <c r="F91" s="655"/>
      <c r="G91" s="655"/>
      <c r="H91" s="661"/>
    </row>
    <row r="92">
      <c r="A92" s="655">
        <v>9.0</v>
      </c>
      <c r="B92" s="655"/>
      <c r="C92" s="655"/>
      <c r="D92" s="656"/>
      <c r="E92" s="657"/>
      <c r="F92" s="655"/>
      <c r="G92" s="655"/>
      <c r="H92" s="661"/>
    </row>
    <row r="93">
      <c r="A93" s="655">
        <v>10.0</v>
      </c>
      <c r="B93" s="655"/>
      <c r="C93" s="655"/>
      <c r="D93" s="656"/>
      <c r="E93" s="657"/>
      <c r="F93" s="655"/>
      <c r="G93" s="655"/>
      <c r="H93" s="661"/>
    </row>
    <row r="94">
      <c r="A94" s="655">
        <v>11.0</v>
      </c>
      <c r="B94" s="655"/>
      <c r="C94" s="655"/>
      <c r="D94" s="656"/>
      <c r="E94" s="657"/>
      <c r="F94" s="655"/>
      <c r="G94" s="655"/>
      <c r="H94" s="655"/>
    </row>
    <row r="95">
      <c r="A95" s="655">
        <v>12.0</v>
      </c>
      <c r="B95" s="655"/>
      <c r="C95" s="655"/>
      <c r="D95" s="656"/>
      <c r="E95" s="657"/>
      <c r="F95" s="655"/>
      <c r="G95" s="655"/>
      <c r="H95" s="659"/>
    </row>
    <row r="96">
      <c r="A96" s="655">
        <v>13.0</v>
      </c>
      <c r="B96" s="655"/>
      <c r="C96" s="655"/>
      <c r="D96" s="656"/>
      <c r="E96" s="657"/>
      <c r="F96" s="655"/>
      <c r="G96" s="655"/>
      <c r="H96" s="659"/>
    </row>
    <row r="97">
      <c r="A97" s="655">
        <v>14.0</v>
      </c>
      <c r="B97" s="655"/>
      <c r="C97" s="655"/>
      <c r="D97" s="656"/>
      <c r="E97" s="657"/>
      <c r="F97" s="655"/>
      <c r="G97" s="655"/>
      <c r="H97" s="659"/>
    </row>
    <row r="98">
      <c r="A98" s="655">
        <v>15.0</v>
      </c>
      <c r="B98" s="655"/>
      <c r="C98" s="655"/>
      <c r="D98" s="656"/>
      <c r="E98" s="657"/>
      <c r="F98" s="655"/>
      <c r="G98" s="655"/>
      <c r="H98" s="659"/>
    </row>
    <row r="99">
      <c r="A99" s="655">
        <v>16.0</v>
      </c>
      <c r="B99" s="655"/>
      <c r="C99" s="655"/>
      <c r="D99" s="656"/>
      <c r="E99" s="657"/>
      <c r="F99" s="655"/>
      <c r="G99" s="655"/>
      <c r="H99" s="659"/>
    </row>
    <row r="100">
      <c r="A100" s="655">
        <v>17.0</v>
      </c>
      <c r="B100" s="655"/>
      <c r="C100" s="655"/>
      <c r="D100" s="656"/>
      <c r="E100" s="657"/>
      <c r="F100" s="655"/>
      <c r="G100" s="655"/>
      <c r="H100" s="659"/>
    </row>
    <row r="101">
      <c r="A101" s="655">
        <v>18.0</v>
      </c>
      <c r="B101" s="655"/>
      <c r="C101" s="655"/>
      <c r="D101" s="656"/>
      <c r="E101" s="657"/>
      <c r="F101" s="655"/>
      <c r="G101" s="655"/>
      <c r="H101" s="659"/>
    </row>
    <row r="102">
      <c r="A102" s="655">
        <v>19.0</v>
      </c>
      <c r="B102" s="655"/>
      <c r="C102" s="655"/>
      <c r="D102" s="656"/>
      <c r="E102" s="656"/>
      <c r="F102" s="655"/>
      <c r="G102" s="659"/>
      <c r="H102" s="659"/>
    </row>
    <row r="103">
      <c r="A103" s="658"/>
      <c r="B103" s="658"/>
      <c r="C103" s="658"/>
      <c r="D103" s="678"/>
      <c r="E103" s="676"/>
      <c r="F103" s="658"/>
      <c r="G103" s="679"/>
      <c r="H103" s="679"/>
    </row>
    <row r="104">
      <c r="A104" s="697" t="s">
        <v>1562</v>
      </c>
      <c r="B104" s="3"/>
      <c r="C104" s="658">
        <f t="shared" ref="C104:E104" si="5">sum(C84:C101)</f>
        <v>4</v>
      </c>
      <c r="D104" s="678">
        <f t="shared" si="5"/>
        <v>158.2</v>
      </c>
      <c r="E104" s="676">
        <f t="shared" si="5"/>
        <v>1</v>
      </c>
      <c r="F104" s="658"/>
      <c r="G104" s="679"/>
      <c r="H104" s="679"/>
    </row>
    <row r="105">
      <c r="A105" s="689"/>
      <c r="B105" s="689"/>
      <c r="C105" s="689"/>
      <c r="D105" s="689"/>
      <c r="E105" s="689"/>
      <c r="F105" s="689"/>
      <c r="G105" s="689"/>
      <c r="H105" s="689"/>
    </row>
    <row r="106">
      <c r="A106" s="689"/>
      <c r="B106" s="689"/>
      <c r="C106" s="689"/>
      <c r="D106" s="689"/>
      <c r="E106" s="689"/>
      <c r="F106" s="689"/>
      <c r="G106" s="689"/>
      <c r="H106" s="689"/>
    </row>
    <row r="107">
      <c r="A107" s="699" t="s">
        <v>5695</v>
      </c>
      <c r="B107" s="2"/>
      <c r="C107" s="2"/>
      <c r="D107" s="2"/>
      <c r="E107" s="2"/>
      <c r="F107" s="2"/>
      <c r="G107" s="2"/>
      <c r="H107" s="3"/>
    </row>
    <row r="108">
      <c r="A108" s="700" t="s">
        <v>1435</v>
      </c>
      <c r="B108" s="701" t="s">
        <v>1436</v>
      </c>
      <c r="C108" s="700" t="s">
        <v>1843</v>
      </c>
      <c r="D108" s="702" t="s">
        <v>1438</v>
      </c>
      <c r="E108" s="703" t="s">
        <v>1564</v>
      </c>
      <c r="F108" s="700" t="s">
        <v>1440</v>
      </c>
      <c r="G108" s="700" t="s">
        <v>1565</v>
      </c>
      <c r="H108" s="704" t="s">
        <v>1441</v>
      </c>
    </row>
    <row r="109">
      <c r="A109" s="87">
        <v>1.0</v>
      </c>
      <c r="B109" s="87" t="s">
        <v>3673</v>
      </c>
      <c r="C109" s="87">
        <v>1.0</v>
      </c>
      <c r="D109" s="705">
        <v>5.0</v>
      </c>
      <c r="E109" s="706">
        <v>1.0</v>
      </c>
      <c r="F109" s="87" t="s">
        <v>1518</v>
      </c>
      <c r="G109" s="87" t="s">
        <v>1554</v>
      </c>
      <c r="H109" s="707">
        <v>45141.0</v>
      </c>
    </row>
    <row r="110">
      <c r="A110" s="87">
        <v>2.0</v>
      </c>
      <c r="B110" s="87" t="s">
        <v>1443</v>
      </c>
      <c r="C110" s="87">
        <v>1.0</v>
      </c>
      <c r="D110" s="705">
        <v>150.0</v>
      </c>
      <c r="E110" s="706"/>
      <c r="F110" s="87"/>
      <c r="G110" s="87" t="s">
        <v>1554</v>
      </c>
      <c r="H110" s="708">
        <v>45141.0</v>
      </c>
    </row>
    <row r="111">
      <c r="A111" s="87">
        <v>3.0</v>
      </c>
      <c r="B111" s="87" t="s">
        <v>1444</v>
      </c>
      <c r="C111" s="87">
        <v>2.0</v>
      </c>
      <c r="D111" s="705">
        <v>3.2</v>
      </c>
      <c r="E111" s="709"/>
      <c r="F111" s="87"/>
      <c r="G111" s="87" t="s">
        <v>1554</v>
      </c>
      <c r="H111" s="708">
        <v>45141.0</v>
      </c>
    </row>
    <row r="112">
      <c r="A112" s="87">
        <v>4.0</v>
      </c>
      <c r="B112" s="97"/>
      <c r="C112" s="87"/>
      <c r="D112" s="87"/>
      <c r="E112" s="706"/>
      <c r="F112" s="97"/>
      <c r="G112" s="87"/>
      <c r="H112" s="710"/>
    </row>
    <row r="113">
      <c r="A113" s="97">
        <v>5.0</v>
      </c>
      <c r="B113" s="97"/>
      <c r="C113" s="97"/>
      <c r="D113" s="97"/>
      <c r="E113" s="748"/>
      <c r="F113" s="97"/>
      <c r="G113" s="97"/>
      <c r="H113" s="815"/>
    </row>
    <row r="114">
      <c r="A114" s="97">
        <v>6.0</v>
      </c>
      <c r="B114" s="97"/>
      <c r="C114" s="97"/>
      <c r="D114" s="97"/>
      <c r="E114" s="748"/>
      <c r="F114" s="97"/>
      <c r="G114" s="97"/>
      <c r="H114" s="815"/>
    </row>
    <row r="115">
      <c r="A115" s="97">
        <v>7.0</v>
      </c>
      <c r="B115" s="97"/>
      <c r="C115" s="97"/>
      <c r="D115" s="742"/>
      <c r="E115" s="748"/>
      <c r="F115" s="97"/>
      <c r="G115" s="97"/>
      <c r="H115" s="97"/>
    </row>
    <row r="116">
      <c r="A116" s="97">
        <v>8.0</v>
      </c>
      <c r="B116" s="97"/>
      <c r="C116" s="97"/>
      <c r="D116" s="742"/>
      <c r="E116" s="748"/>
      <c r="F116" s="97"/>
      <c r="G116" s="97"/>
      <c r="H116" s="815"/>
    </row>
    <row r="117">
      <c r="A117" s="97">
        <v>9.0</v>
      </c>
      <c r="B117" s="97"/>
      <c r="C117" s="97"/>
      <c r="D117" s="742"/>
      <c r="E117" s="748"/>
      <c r="F117" s="97"/>
      <c r="G117" s="97"/>
      <c r="H117" s="815"/>
    </row>
    <row r="118">
      <c r="A118" s="97">
        <v>10.0</v>
      </c>
      <c r="B118" s="97"/>
      <c r="C118" s="97"/>
      <c r="D118" s="742"/>
      <c r="E118" s="748"/>
      <c r="F118" s="97"/>
      <c r="G118" s="97"/>
      <c r="H118" s="815"/>
    </row>
    <row r="119">
      <c r="A119" s="97">
        <v>11.0</v>
      </c>
      <c r="B119" s="97"/>
      <c r="C119" s="97"/>
      <c r="D119" s="742"/>
      <c r="E119" s="748"/>
      <c r="F119" s="97"/>
      <c r="G119" s="97"/>
      <c r="H119" s="815"/>
    </row>
    <row r="120">
      <c r="A120" s="97">
        <v>12.0</v>
      </c>
      <c r="B120" s="97"/>
      <c r="C120" s="97"/>
      <c r="D120" s="742"/>
      <c r="E120" s="748"/>
      <c r="F120" s="97"/>
      <c r="G120" s="97"/>
      <c r="H120" s="815"/>
    </row>
    <row r="121">
      <c r="A121" s="87">
        <v>13.0</v>
      </c>
      <c r="B121" s="87"/>
      <c r="C121" s="87"/>
      <c r="D121" s="705"/>
      <c r="E121" s="706"/>
      <c r="F121" s="87"/>
      <c r="G121" s="87"/>
      <c r="H121" s="707"/>
    </row>
    <row r="122">
      <c r="A122" s="711" t="s">
        <v>1562</v>
      </c>
      <c r="B122" s="3"/>
      <c r="C122" s="87">
        <f t="shared" ref="C122:E122" si="6">sum(C109:C121)</f>
        <v>4</v>
      </c>
      <c r="D122" s="705">
        <f t="shared" si="6"/>
        <v>158.2</v>
      </c>
      <c r="E122" s="706">
        <f t="shared" si="6"/>
        <v>1</v>
      </c>
      <c r="F122" s="87"/>
      <c r="G122" s="707"/>
      <c r="H122" s="707"/>
    </row>
    <row r="123">
      <c r="A123" s="712"/>
      <c r="B123" s="712"/>
      <c r="C123" s="712"/>
      <c r="D123" s="712"/>
      <c r="E123" s="712"/>
      <c r="F123" s="712"/>
      <c r="G123" s="712"/>
      <c r="H123" s="712"/>
    </row>
    <row r="124">
      <c r="A124" s="712"/>
      <c r="B124" s="712"/>
      <c r="C124" s="712"/>
      <c r="D124" s="712"/>
      <c r="E124" s="712"/>
      <c r="F124" s="712"/>
      <c r="G124" s="712"/>
      <c r="H124" s="712"/>
    </row>
    <row r="125">
      <c r="A125" s="713" t="s">
        <v>5696</v>
      </c>
      <c r="B125" s="293"/>
      <c r="C125" s="293"/>
      <c r="D125" s="293"/>
      <c r="E125" s="293"/>
      <c r="F125" s="293"/>
      <c r="G125" s="293"/>
      <c r="H125" s="294"/>
    </row>
    <row r="126">
      <c r="A126" s="691" t="s">
        <v>1435</v>
      </c>
      <c r="B126" s="692" t="s">
        <v>1436</v>
      </c>
      <c r="C126" s="691" t="s">
        <v>1843</v>
      </c>
      <c r="D126" s="693" t="s">
        <v>1438</v>
      </c>
      <c r="E126" s="694" t="s">
        <v>1564</v>
      </c>
      <c r="F126" s="691" t="s">
        <v>1440</v>
      </c>
      <c r="G126" s="691" t="s">
        <v>1565</v>
      </c>
      <c r="H126" s="695" t="s">
        <v>1441</v>
      </c>
    </row>
    <row r="127">
      <c r="A127" s="658">
        <v>1.0</v>
      </c>
      <c r="B127" s="658" t="s">
        <v>1443</v>
      </c>
      <c r="C127" s="658">
        <v>1.0</v>
      </c>
      <c r="D127" s="678">
        <v>150.0</v>
      </c>
      <c r="E127" s="676">
        <v>1.0</v>
      </c>
      <c r="F127" s="658" t="s">
        <v>1518</v>
      </c>
      <c r="G127" s="658" t="s">
        <v>1554</v>
      </c>
      <c r="H127" s="679">
        <v>45141.0</v>
      </c>
    </row>
    <row r="128">
      <c r="A128" s="658">
        <v>2.0</v>
      </c>
      <c r="B128" s="658" t="s">
        <v>1444</v>
      </c>
      <c r="C128" s="658">
        <v>2.0</v>
      </c>
      <c r="D128" s="678">
        <v>3.2</v>
      </c>
      <c r="E128" s="669"/>
      <c r="F128" s="658"/>
      <c r="G128" s="658"/>
      <c r="H128" s="659">
        <v>45141.0</v>
      </c>
    </row>
    <row r="129">
      <c r="A129" s="658">
        <v>3.0</v>
      </c>
      <c r="B129" s="658" t="s">
        <v>3673</v>
      </c>
      <c r="C129" s="658">
        <v>2.0</v>
      </c>
      <c r="D129" s="678">
        <v>10.0</v>
      </c>
      <c r="E129" s="676">
        <v>1.0</v>
      </c>
      <c r="F129" s="658" t="s">
        <v>1518</v>
      </c>
      <c r="G129" s="658" t="s">
        <v>1554</v>
      </c>
      <c r="H129" s="679">
        <v>45141.0</v>
      </c>
    </row>
    <row r="130">
      <c r="A130" s="658">
        <v>4.0</v>
      </c>
      <c r="B130" s="655"/>
      <c r="C130" s="658"/>
      <c r="D130" s="678"/>
      <c r="E130" s="676"/>
      <c r="F130" s="655"/>
      <c r="G130" s="714"/>
      <c r="H130" s="679"/>
    </row>
    <row r="131">
      <c r="A131" s="655">
        <v>5.0</v>
      </c>
      <c r="B131" s="655"/>
      <c r="C131" s="655"/>
      <c r="D131" s="656"/>
      <c r="E131" s="657"/>
      <c r="F131" s="655"/>
      <c r="G131" s="655"/>
      <c r="H131" s="659"/>
    </row>
    <row r="132">
      <c r="A132" s="655">
        <v>6.0</v>
      </c>
      <c r="B132" s="655"/>
      <c r="C132" s="655"/>
      <c r="D132" s="656"/>
      <c r="E132" s="657"/>
      <c r="F132" s="655"/>
      <c r="G132" s="655"/>
      <c r="H132" s="659"/>
    </row>
    <row r="133">
      <c r="A133" s="655">
        <v>7.0</v>
      </c>
      <c r="B133" s="655"/>
      <c r="C133" s="655"/>
      <c r="D133" s="656"/>
      <c r="E133" s="657"/>
      <c r="F133" s="655"/>
      <c r="G133" s="655"/>
      <c r="H133" s="659"/>
    </row>
    <row r="134">
      <c r="A134" s="655">
        <v>8.0</v>
      </c>
      <c r="B134" s="655"/>
      <c r="C134" s="655"/>
      <c r="D134" s="656"/>
      <c r="E134" s="657"/>
      <c r="F134" s="655"/>
      <c r="G134" s="655"/>
      <c r="H134" s="659"/>
    </row>
    <row r="135">
      <c r="A135" s="655">
        <v>9.0</v>
      </c>
      <c r="B135" s="655"/>
      <c r="C135" s="655"/>
      <c r="D135" s="656"/>
      <c r="E135" s="657"/>
      <c r="F135" s="655"/>
      <c r="G135" s="655"/>
      <c r="H135" s="659"/>
    </row>
    <row r="136">
      <c r="A136" s="655">
        <v>10.0</v>
      </c>
      <c r="B136" s="655"/>
      <c r="C136" s="655"/>
      <c r="D136" s="656"/>
      <c r="E136" s="657"/>
      <c r="F136" s="655"/>
      <c r="G136" s="655"/>
      <c r="H136" s="659"/>
    </row>
    <row r="137">
      <c r="A137" s="655">
        <v>11.0</v>
      </c>
      <c r="B137" s="655"/>
      <c r="C137" s="655"/>
      <c r="D137" s="656"/>
      <c r="E137" s="657"/>
      <c r="F137" s="655"/>
      <c r="G137" s="655"/>
      <c r="H137" s="659"/>
    </row>
    <row r="138">
      <c r="A138" s="655">
        <v>12.0</v>
      </c>
      <c r="B138" s="655"/>
      <c r="C138" s="655"/>
      <c r="D138" s="656"/>
      <c r="E138" s="657"/>
      <c r="F138" s="655"/>
      <c r="G138" s="655"/>
      <c r="H138" s="659"/>
    </row>
    <row r="139">
      <c r="A139" s="655">
        <v>13.0</v>
      </c>
      <c r="B139" s="655"/>
      <c r="C139" s="655"/>
      <c r="D139" s="656"/>
      <c r="E139" s="657"/>
      <c r="F139" s="655"/>
      <c r="G139" s="655"/>
      <c r="H139" s="1066"/>
    </row>
    <row r="140">
      <c r="A140" s="655">
        <v>14.0</v>
      </c>
      <c r="B140" s="655"/>
      <c r="C140" s="655"/>
      <c r="D140" s="656"/>
      <c r="E140" s="657"/>
      <c r="F140" s="655"/>
      <c r="G140" s="655"/>
      <c r="H140" s="659"/>
    </row>
    <row r="141">
      <c r="A141" s="655">
        <v>15.0</v>
      </c>
      <c r="B141" s="655"/>
      <c r="C141" s="655"/>
      <c r="D141" s="656"/>
      <c r="E141" s="657"/>
      <c r="F141" s="655"/>
      <c r="G141" s="655"/>
      <c r="H141" s="659"/>
    </row>
    <row r="142">
      <c r="A142" s="655">
        <v>16.0</v>
      </c>
      <c r="B142" s="655"/>
      <c r="C142" s="655"/>
      <c r="D142" s="656"/>
      <c r="E142" s="657"/>
      <c r="F142" s="655"/>
      <c r="G142" s="655"/>
      <c r="H142" s="659"/>
    </row>
    <row r="143">
      <c r="A143" s="655">
        <v>17.0</v>
      </c>
      <c r="B143" s="655"/>
      <c r="C143" s="655"/>
      <c r="D143" s="656"/>
      <c r="E143" s="657"/>
      <c r="F143" s="655"/>
      <c r="G143" s="655"/>
      <c r="H143" s="659"/>
    </row>
    <row r="144">
      <c r="A144" s="655">
        <v>18.0</v>
      </c>
      <c r="B144" s="655"/>
      <c r="C144" s="655"/>
      <c r="D144" s="656"/>
      <c r="E144" s="657"/>
      <c r="F144" s="655"/>
      <c r="G144" s="655"/>
      <c r="H144" s="659"/>
    </row>
    <row r="145">
      <c r="A145" s="655">
        <v>19.0</v>
      </c>
      <c r="B145" s="655"/>
      <c r="C145" s="655"/>
      <c r="D145" s="656"/>
      <c r="E145" s="657"/>
      <c r="F145" s="655"/>
      <c r="G145" s="655"/>
      <c r="H145" s="659"/>
    </row>
    <row r="146">
      <c r="A146" s="655">
        <v>20.0</v>
      </c>
      <c r="B146" s="655"/>
      <c r="C146" s="655"/>
      <c r="D146" s="656"/>
      <c r="E146" s="657"/>
      <c r="F146" s="655"/>
      <c r="G146" s="655"/>
      <c r="H146" s="659"/>
    </row>
    <row r="147">
      <c r="A147" s="655">
        <v>21.0</v>
      </c>
      <c r="B147" s="655"/>
      <c r="C147" s="655"/>
      <c r="D147" s="656"/>
      <c r="E147" s="657"/>
      <c r="F147" s="655"/>
      <c r="G147" s="655"/>
      <c r="H147" s="659"/>
    </row>
    <row r="148">
      <c r="A148" s="655">
        <v>22.0</v>
      </c>
      <c r="B148" s="655"/>
      <c r="C148" s="655"/>
      <c r="D148" s="656"/>
      <c r="E148" s="657"/>
      <c r="F148" s="655"/>
      <c r="G148" s="655"/>
      <c r="H148" s="659"/>
    </row>
    <row r="149">
      <c r="A149" s="655">
        <v>23.0</v>
      </c>
      <c r="B149" s="655"/>
      <c r="C149" s="655"/>
      <c r="D149" s="656"/>
      <c r="E149" s="657"/>
      <c r="F149" s="655"/>
      <c r="G149" s="655"/>
      <c r="H149" s="659"/>
    </row>
    <row r="150">
      <c r="A150" s="655">
        <v>24.0</v>
      </c>
      <c r="B150" s="655"/>
      <c r="C150" s="655"/>
      <c r="D150" s="656"/>
      <c r="E150" s="657"/>
      <c r="F150" s="655"/>
      <c r="G150" s="655"/>
      <c r="H150" s="659"/>
    </row>
    <row r="151">
      <c r="A151" s="655">
        <v>25.0</v>
      </c>
      <c r="B151" s="655"/>
      <c r="C151" s="655"/>
      <c r="D151" s="656"/>
      <c r="E151" s="657"/>
      <c r="F151" s="655"/>
      <c r="G151" s="655"/>
      <c r="H151" s="659"/>
    </row>
    <row r="152">
      <c r="A152" s="655">
        <v>26.0</v>
      </c>
      <c r="B152" s="655"/>
      <c r="C152" s="655"/>
      <c r="D152" s="656"/>
      <c r="E152" s="657"/>
      <c r="F152" s="655"/>
      <c r="G152" s="655"/>
      <c r="H152" s="659"/>
    </row>
    <row r="153">
      <c r="A153" s="655">
        <v>27.0</v>
      </c>
      <c r="B153" s="655"/>
      <c r="C153" s="655"/>
      <c r="D153" s="656"/>
      <c r="E153" s="657"/>
      <c r="F153" s="655"/>
      <c r="G153" s="655"/>
      <c r="H153" s="655"/>
    </row>
    <row r="154">
      <c r="A154" s="714">
        <v>28.0</v>
      </c>
      <c r="B154" s="658"/>
      <c r="C154" s="658"/>
      <c r="D154" s="678"/>
      <c r="E154" s="676"/>
      <c r="F154" s="655"/>
      <c r="G154" s="658"/>
      <c r="H154" s="658"/>
    </row>
    <row r="155">
      <c r="A155" s="714">
        <v>29.0</v>
      </c>
      <c r="B155" s="655"/>
      <c r="C155" s="658"/>
      <c r="D155" s="678"/>
      <c r="E155" s="676"/>
      <c r="F155" s="655"/>
      <c r="G155" s="658"/>
      <c r="H155" s="719"/>
    </row>
    <row r="156">
      <c r="A156" s="658">
        <v>30.0</v>
      </c>
      <c r="B156" s="720"/>
      <c r="C156" s="299"/>
      <c r="D156" s="678"/>
      <c r="E156" s="676"/>
      <c r="F156" s="658"/>
      <c r="G156" s="658"/>
      <c r="H156" s="679"/>
    </row>
    <row r="157">
      <c r="A157" s="697" t="s">
        <v>1562</v>
      </c>
      <c r="B157" s="3"/>
      <c r="C157" s="658">
        <f>sum(C127:C154)</f>
        <v>5</v>
      </c>
      <c r="D157" s="678">
        <f>sum(D127:D155)</f>
        <v>163.2</v>
      </c>
      <c r="E157" s="676">
        <f>sum(E127:E156)</f>
        <v>2</v>
      </c>
      <c r="F157" s="658"/>
      <c r="G157" s="679"/>
      <c r="H157" s="679"/>
    </row>
    <row r="158">
      <c r="A158" s="689"/>
      <c r="B158" s="689"/>
      <c r="C158" s="689"/>
      <c r="D158" s="689"/>
      <c r="E158" s="689"/>
      <c r="F158" s="689"/>
      <c r="G158" s="689"/>
      <c r="H158" s="689"/>
    </row>
    <row r="159">
      <c r="A159" s="689"/>
      <c r="B159" s="689"/>
      <c r="C159" s="689"/>
      <c r="D159" s="689"/>
      <c r="E159" s="689"/>
      <c r="F159" s="689"/>
      <c r="G159" s="689"/>
      <c r="H159" s="689"/>
    </row>
    <row r="160">
      <c r="A160" s="649" t="s">
        <v>5697</v>
      </c>
      <c r="B160" s="2"/>
      <c r="C160" s="2"/>
      <c r="D160" s="2"/>
      <c r="E160" s="2"/>
      <c r="F160" s="2"/>
      <c r="G160" s="2"/>
      <c r="H160" s="3"/>
    </row>
    <row r="161">
      <c r="A161" s="691" t="s">
        <v>1435</v>
      </c>
      <c r="B161" s="692" t="s">
        <v>1436</v>
      </c>
      <c r="C161" s="691" t="s">
        <v>1843</v>
      </c>
      <c r="D161" s="693" t="s">
        <v>1438</v>
      </c>
      <c r="E161" s="694" t="s">
        <v>1564</v>
      </c>
      <c r="F161" s="691" t="s">
        <v>1440</v>
      </c>
      <c r="G161" s="691" t="s">
        <v>1565</v>
      </c>
      <c r="H161" s="695" t="s">
        <v>1441</v>
      </c>
    </row>
    <row r="162">
      <c r="A162" s="658">
        <v>1.0</v>
      </c>
      <c r="B162" s="658" t="s">
        <v>1443</v>
      </c>
      <c r="C162" s="658">
        <v>1.0</v>
      </c>
      <c r="D162" s="678">
        <v>150.0</v>
      </c>
      <c r="E162" s="676"/>
      <c r="F162" s="658" t="s">
        <v>1518</v>
      </c>
      <c r="G162" s="658" t="s">
        <v>1554</v>
      </c>
      <c r="H162" s="659">
        <v>45141.0</v>
      </c>
    </row>
    <row r="163">
      <c r="A163" s="658">
        <v>2.0</v>
      </c>
      <c r="B163" s="658" t="s">
        <v>1444</v>
      </c>
      <c r="C163" s="658">
        <v>2.0</v>
      </c>
      <c r="D163" s="678">
        <v>3.2</v>
      </c>
      <c r="E163" s="669"/>
      <c r="F163" s="658"/>
      <c r="G163" s="658" t="s">
        <v>1554</v>
      </c>
      <c r="H163" s="659">
        <v>45141.0</v>
      </c>
    </row>
    <row r="164">
      <c r="A164" s="658">
        <v>3.0</v>
      </c>
      <c r="B164" s="658" t="s">
        <v>3673</v>
      </c>
      <c r="C164" s="658">
        <v>1.0</v>
      </c>
      <c r="D164" s="678">
        <v>5.0</v>
      </c>
      <c r="E164" s="676">
        <v>1.0</v>
      </c>
      <c r="F164" s="658"/>
      <c r="G164" s="658" t="s">
        <v>1554</v>
      </c>
      <c r="H164" s="679">
        <v>45141.0</v>
      </c>
    </row>
    <row r="165">
      <c r="A165" s="655"/>
      <c r="B165" s="655"/>
      <c r="C165" s="655"/>
      <c r="D165" s="656"/>
      <c r="E165" s="657"/>
      <c r="F165" s="655"/>
      <c r="G165" s="655"/>
      <c r="H165" s="655"/>
    </row>
    <row r="166">
      <c r="A166" s="655"/>
      <c r="B166" s="655"/>
      <c r="C166" s="655"/>
      <c r="D166" s="656"/>
      <c r="E166" s="657"/>
      <c r="F166" s="655"/>
      <c r="G166" s="655"/>
      <c r="H166" s="655"/>
    </row>
    <row r="167">
      <c r="A167" s="655"/>
      <c r="B167" s="655"/>
      <c r="C167" s="655"/>
      <c r="D167" s="656"/>
      <c r="E167" s="657"/>
      <c r="F167" s="655"/>
      <c r="G167" s="655"/>
      <c r="H167" s="655"/>
    </row>
    <row r="168">
      <c r="A168" s="655"/>
      <c r="B168" s="655"/>
      <c r="C168" s="655"/>
      <c r="D168" s="656"/>
      <c r="E168" s="657"/>
      <c r="F168" s="655"/>
      <c r="G168" s="655"/>
      <c r="H168" s="659"/>
    </row>
    <row r="169">
      <c r="A169" s="655"/>
      <c r="B169" s="655"/>
      <c r="C169" s="655"/>
      <c r="D169" s="656"/>
      <c r="E169" s="657"/>
      <c r="F169" s="655"/>
      <c r="G169" s="655"/>
      <c r="H169" s="659"/>
    </row>
    <row r="170">
      <c r="A170" s="655"/>
      <c r="B170" s="655"/>
      <c r="C170" s="655"/>
      <c r="D170" s="656"/>
      <c r="E170" s="657"/>
      <c r="F170" s="655"/>
      <c r="G170" s="655"/>
      <c r="H170" s="655"/>
    </row>
    <row r="171">
      <c r="A171" s="655"/>
      <c r="B171" s="655"/>
      <c r="C171" s="655"/>
      <c r="D171" s="656"/>
      <c r="E171" s="657"/>
      <c r="F171" s="655"/>
      <c r="G171" s="655"/>
      <c r="H171" s="659"/>
    </row>
    <row r="172">
      <c r="A172" s="655"/>
      <c r="B172" s="655"/>
      <c r="C172" s="655"/>
      <c r="D172" s="656"/>
      <c r="E172" s="657"/>
      <c r="F172" s="655"/>
      <c r="G172" s="655"/>
      <c r="H172" s="655"/>
    </row>
    <row r="173">
      <c r="A173" s="655"/>
      <c r="B173" s="655"/>
      <c r="C173" s="655"/>
      <c r="D173" s="655"/>
      <c r="E173" s="655"/>
      <c r="F173" s="655"/>
      <c r="G173" s="655"/>
      <c r="H173" s="655"/>
    </row>
    <row r="174">
      <c r="A174" s="689"/>
      <c r="B174" s="689"/>
      <c r="C174" s="689"/>
      <c r="D174" s="689"/>
      <c r="E174" s="689"/>
      <c r="F174" s="689"/>
      <c r="G174" s="689"/>
      <c r="H174" s="689"/>
    </row>
    <row r="175">
      <c r="A175" s="658"/>
      <c r="B175" s="658"/>
      <c r="C175" s="658"/>
      <c r="D175" s="658"/>
      <c r="E175" s="658"/>
      <c r="F175" s="658"/>
      <c r="G175" s="658"/>
      <c r="H175" s="658"/>
    </row>
    <row r="176">
      <c r="A176" s="649" t="s">
        <v>5698</v>
      </c>
      <c r="B176" s="2"/>
      <c r="C176" s="2"/>
      <c r="D176" s="2"/>
      <c r="E176" s="2"/>
      <c r="F176" s="2"/>
      <c r="G176" s="2"/>
      <c r="H176" s="3"/>
    </row>
    <row r="177">
      <c r="A177" s="691" t="s">
        <v>1435</v>
      </c>
      <c r="B177" s="692" t="s">
        <v>1436</v>
      </c>
      <c r="C177" s="691" t="s">
        <v>1843</v>
      </c>
      <c r="D177" s="693" t="s">
        <v>1438</v>
      </c>
      <c r="E177" s="694" t="s">
        <v>1564</v>
      </c>
      <c r="F177" s="691" t="s">
        <v>1440</v>
      </c>
      <c r="G177" s="691" t="s">
        <v>1565</v>
      </c>
      <c r="H177" s="695" t="s">
        <v>1441</v>
      </c>
    </row>
    <row r="178">
      <c r="A178" s="658">
        <v>1.0</v>
      </c>
      <c r="B178" s="658" t="s">
        <v>3673</v>
      </c>
      <c r="C178" s="658">
        <v>1.0</v>
      </c>
      <c r="D178" s="678">
        <v>9.0</v>
      </c>
      <c r="E178" s="676">
        <v>1.0</v>
      </c>
      <c r="F178" s="658" t="s">
        <v>1518</v>
      </c>
      <c r="G178" s="658" t="s">
        <v>1554</v>
      </c>
      <c r="H178" s="679">
        <v>45141.0</v>
      </c>
    </row>
    <row r="179">
      <c r="A179" s="658">
        <v>2.0</v>
      </c>
      <c r="B179" s="658" t="s">
        <v>1443</v>
      </c>
      <c r="C179" s="658">
        <v>1.0</v>
      </c>
      <c r="D179" s="678">
        <v>150.0</v>
      </c>
      <c r="E179" s="676"/>
      <c r="F179" s="658"/>
      <c r="G179" s="658" t="s">
        <v>1554</v>
      </c>
      <c r="H179" s="679">
        <v>45141.0</v>
      </c>
    </row>
    <row r="180">
      <c r="A180" s="658">
        <v>3.0</v>
      </c>
      <c r="B180" s="658" t="s">
        <v>1444</v>
      </c>
      <c r="C180" s="658">
        <v>2.0</v>
      </c>
      <c r="D180" s="678">
        <f>3.2*C180</f>
        <v>6.4</v>
      </c>
      <c r="E180" s="676"/>
      <c r="F180" s="658"/>
      <c r="G180" s="658" t="s">
        <v>1554</v>
      </c>
      <c r="H180" s="679">
        <v>45141.0</v>
      </c>
    </row>
    <row r="181">
      <c r="A181" s="658">
        <v>5.0</v>
      </c>
      <c r="B181" s="658"/>
      <c r="C181" s="658"/>
      <c r="D181" s="678"/>
      <c r="E181" s="676"/>
      <c r="F181" s="658"/>
      <c r="G181" s="658"/>
      <c r="H181" s="696"/>
    </row>
    <row r="182">
      <c r="A182" s="658">
        <v>6.0</v>
      </c>
      <c r="B182" s="658"/>
      <c r="C182" s="658"/>
      <c r="D182" s="678"/>
      <c r="E182" s="676"/>
      <c r="F182" s="658"/>
      <c r="G182" s="658"/>
      <c r="H182" s="696"/>
    </row>
    <row r="183">
      <c r="A183" s="658">
        <v>7.0</v>
      </c>
      <c r="B183" s="658"/>
      <c r="C183" s="658"/>
      <c r="D183" s="678"/>
      <c r="E183" s="676"/>
      <c r="F183" s="658"/>
      <c r="G183" s="658"/>
      <c r="H183" s="696"/>
    </row>
    <row r="184">
      <c r="A184" s="658">
        <v>8.0</v>
      </c>
      <c r="B184" s="658"/>
      <c r="C184" s="658"/>
      <c r="D184" s="678"/>
      <c r="E184" s="676"/>
      <c r="F184" s="658"/>
      <c r="G184" s="658"/>
      <c r="H184" s="696"/>
    </row>
    <row r="185">
      <c r="A185" s="658">
        <v>9.0</v>
      </c>
      <c r="B185" s="655"/>
      <c r="C185" s="658"/>
      <c r="D185" s="678"/>
      <c r="E185" s="676"/>
      <c r="F185" s="655"/>
      <c r="G185" s="658"/>
      <c r="H185" s="696"/>
    </row>
    <row r="186">
      <c r="A186" s="658"/>
      <c r="B186" s="658"/>
      <c r="C186" s="658"/>
      <c r="D186" s="678"/>
      <c r="E186" s="676"/>
      <c r="F186" s="658"/>
      <c r="G186" s="658"/>
      <c r="H186" s="679"/>
    </row>
    <row r="187">
      <c r="A187" s="697" t="s">
        <v>1562</v>
      </c>
      <c r="B187" s="3"/>
      <c r="C187" s="658">
        <f>sum(C178:C185)</f>
        <v>4</v>
      </c>
      <c r="D187" s="678">
        <f t="shared" ref="D187:E187" si="7">sum(D178:D186)</f>
        <v>165.4</v>
      </c>
      <c r="E187" s="676">
        <f t="shared" si="7"/>
        <v>1</v>
      </c>
      <c r="F187" s="658"/>
      <c r="G187" s="679"/>
      <c r="H187" s="679"/>
    </row>
    <row r="188">
      <c r="A188" s="689"/>
      <c r="B188" s="689"/>
      <c r="C188" s="689"/>
      <c r="D188" s="689"/>
      <c r="E188" s="689"/>
      <c r="F188" s="689"/>
      <c r="G188" s="689"/>
      <c r="H188" s="689"/>
    </row>
    <row r="189">
      <c r="A189" s="689"/>
      <c r="B189" s="689"/>
      <c r="C189" s="689"/>
      <c r="D189" s="689"/>
      <c r="E189" s="689"/>
      <c r="F189" s="689"/>
      <c r="G189" s="689"/>
      <c r="H189" s="689"/>
    </row>
    <row r="190">
      <c r="A190" s="649" t="s">
        <v>5699</v>
      </c>
      <c r="B190" s="2"/>
      <c r="C190" s="2"/>
      <c r="D190" s="2"/>
      <c r="E190" s="2"/>
      <c r="F190" s="2"/>
      <c r="G190" s="2"/>
      <c r="H190" s="3"/>
    </row>
    <row r="191">
      <c r="A191" s="691" t="s">
        <v>1435</v>
      </c>
      <c r="B191" s="692" t="s">
        <v>1436</v>
      </c>
      <c r="C191" s="691" t="s">
        <v>1843</v>
      </c>
      <c r="D191" s="693" t="s">
        <v>1438</v>
      </c>
      <c r="E191" s="694" t="s">
        <v>1564</v>
      </c>
      <c r="F191" s="691" t="s">
        <v>1440</v>
      </c>
      <c r="G191" s="691" t="s">
        <v>1565</v>
      </c>
      <c r="H191" s="695" t="s">
        <v>1441</v>
      </c>
    </row>
    <row r="192">
      <c r="A192" s="658">
        <v>1.0</v>
      </c>
      <c r="B192" s="658" t="s">
        <v>1443</v>
      </c>
      <c r="C192" s="658">
        <v>1.0</v>
      </c>
      <c r="D192" s="678">
        <v>150.0</v>
      </c>
      <c r="E192" s="676"/>
      <c r="F192" s="658"/>
      <c r="G192" s="658" t="s">
        <v>1554</v>
      </c>
      <c r="H192" s="679">
        <v>45141.0</v>
      </c>
    </row>
    <row r="193">
      <c r="A193" s="658">
        <v>2.0</v>
      </c>
      <c r="B193" s="658" t="s">
        <v>1444</v>
      </c>
      <c r="C193" s="658">
        <v>2.0</v>
      </c>
      <c r="D193" s="678">
        <v>3.2</v>
      </c>
      <c r="E193" s="676"/>
      <c r="F193" s="658"/>
      <c r="G193" s="658" t="s">
        <v>1554</v>
      </c>
      <c r="H193" s="679">
        <v>45141.0</v>
      </c>
    </row>
    <row r="194">
      <c r="A194" s="658">
        <v>3.0</v>
      </c>
      <c r="B194" s="658" t="s">
        <v>3673</v>
      </c>
      <c r="C194" s="658">
        <v>1.0</v>
      </c>
      <c r="D194" s="678">
        <v>5.0</v>
      </c>
      <c r="E194" s="676">
        <v>1.0</v>
      </c>
      <c r="F194" s="658"/>
      <c r="G194" s="658" t="s">
        <v>1554</v>
      </c>
      <c r="H194" s="679">
        <v>45141.0</v>
      </c>
    </row>
    <row r="195">
      <c r="A195" s="658">
        <v>4.0</v>
      </c>
      <c r="B195" s="655"/>
      <c r="C195" s="655"/>
      <c r="D195" s="656"/>
      <c r="E195" s="657"/>
      <c r="F195" s="655"/>
      <c r="G195" s="655"/>
      <c r="H195" s="659"/>
    </row>
    <row r="196">
      <c r="A196" s="658">
        <v>5.0</v>
      </c>
      <c r="B196" s="655"/>
      <c r="C196" s="655"/>
      <c r="D196" s="656"/>
      <c r="E196" s="657"/>
      <c r="F196" s="655"/>
      <c r="G196" s="655"/>
      <c r="H196" s="659"/>
    </row>
    <row r="197">
      <c r="A197" s="658">
        <v>6.0</v>
      </c>
      <c r="B197" s="655"/>
      <c r="C197" s="655"/>
      <c r="D197" s="656"/>
      <c r="E197" s="657"/>
      <c r="F197" s="655"/>
      <c r="G197" s="655"/>
      <c r="H197" s="659"/>
    </row>
    <row r="198">
      <c r="A198" s="658">
        <v>7.0</v>
      </c>
      <c r="B198" s="655"/>
      <c r="C198" s="655"/>
      <c r="D198" s="656"/>
      <c r="E198" s="657"/>
      <c r="F198" s="655"/>
      <c r="G198" s="655"/>
      <c r="H198" s="659"/>
    </row>
    <row r="199">
      <c r="A199" s="658">
        <v>8.0</v>
      </c>
      <c r="B199" s="655"/>
      <c r="C199" s="655"/>
      <c r="D199" s="656"/>
      <c r="E199" s="657"/>
      <c r="F199" s="655"/>
      <c r="G199" s="655"/>
      <c r="H199" s="659"/>
    </row>
    <row r="200">
      <c r="A200" s="658">
        <v>9.0</v>
      </c>
      <c r="B200" s="655"/>
      <c r="C200" s="655"/>
      <c r="D200" s="656"/>
      <c r="E200" s="657"/>
      <c r="F200" s="655"/>
      <c r="G200" s="655"/>
      <c r="H200" s="659"/>
    </row>
    <row r="201">
      <c r="A201" s="658">
        <v>10.0</v>
      </c>
      <c r="B201" s="655"/>
      <c r="C201" s="655"/>
      <c r="D201" s="656"/>
      <c r="E201" s="657"/>
      <c r="F201" s="655"/>
      <c r="G201" s="655"/>
      <c r="H201" s="661"/>
    </row>
    <row r="202">
      <c r="A202" s="658">
        <v>11.0</v>
      </c>
      <c r="B202" s="655"/>
      <c r="C202" s="655"/>
      <c r="D202" s="656"/>
      <c r="E202" s="657"/>
      <c r="F202" s="655"/>
      <c r="G202" s="655"/>
      <c r="H202" s="661"/>
    </row>
    <row r="203">
      <c r="A203" s="658">
        <v>12.0</v>
      </c>
      <c r="B203" s="655"/>
      <c r="C203" s="655"/>
      <c r="D203" s="656"/>
      <c r="E203" s="657"/>
      <c r="F203" s="655"/>
      <c r="G203" s="655"/>
      <c r="H203" s="659"/>
    </row>
    <row r="204">
      <c r="A204" s="655">
        <v>13.0</v>
      </c>
      <c r="B204" s="655"/>
      <c r="C204" s="655"/>
      <c r="D204" s="656"/>
      <c r="E204" s="657"/>
      <c r="F204" s="655"/>
      <c r="G204" s="655"/>
      <c r="H204" s="659"/>
    </row>
    <row r="205">
      <c r="A205" s="655">
        <v>14.0</v>
      </c>
      <c r="B205" s="655"/>
      <c r="C205" s="655"/>
      <c r="D205" s="656"/>
      <c r="E205" s="657"/>
      <c r="F205" s="655"/>
      <c r="G205" s="655"/>
      <c r="H205" s="659"/>
    </row>
    <row r="206">
      <c r="A206" s="655">
        <v>15.0</v>
      </c>
      <c r="B206" s="655"/>
      <c r="C206" s="655"/>
      <c r="D206" s="656"/>
      <c r="E206" s="657"/>
      <c r="F206" s="655"/>
      <c r="G206" s="655"/>
      <c r="H206" s="659"/>
    </row>
    <row r="207">
      <c r="A207" s="655">
        <v>16.0</v>
      </c>
      <c r="B207" s="655"/>
      <c r="C207" s="655"/>
      <c r="D207" s="656"/>
      <c r="E207" s="657"/>
      <c r="F207" s="655"/>
      <c r="G207" s="655"/>
      <c r="H207" s="659"/>
    </row>
    <row r="208">
      <c r="A208" s="658">
        <v>17.0</v>
      </c>
      <c r="B208" s="655"/>
      <c r="C208" s="655"/>
      <c r="D208" s="656"/>
      <c r="E208" s="657"/>
      <c r="F208" s="655"/>
      <c r="G208" s="655"/>
      <c r="H208" s="659"/>
    </row>
    <row r="209">
      <c r="A209" s="655">
        <v>18.0</v>
      </c>
      <c r="B209" s="655"/>
      <c r="C209" s="655"/>
      <c r="D209" s="656"/>
      <c r="E209" s="657"/>
      <c r="F209" s="655"/>
      <c r="G209" s="655"/>
      <c r="H209" s="659"/>
    </row>
    <row r="210">
      <c r="A210" s="655">
        <v>19.0</v>
      </c>
      <c r="B210" s="655"/>
      <c r="C210" s="655"/>
      <c r="D210" s="656"/>
      <c r="E210" s="657"/>
      <c r="F210" s="655"/>
      <c r="G210" s="655"/>
      <c r="H210" s="659"/>
    </row>
    <row r="211">
      <c r="A211" s="697" t="s">
        <v>1562</v>
      </c>
      <c r="B211" s="3"/>
      <c r="C211" s="658">
        <f t="shared" ref="C211:E211" si="8">sum(C192:C203)</f>
        <v>4</v>
      </c>
      <c r="D211" s="678">
        <f t="shared" si="8"/>
        <v>158.2</v>
      </c>
      <c r="E211" s="676">
        <f t="shared" si="8"/>
        <v>1</v>
      </c>
      <c r="F211" s="658"/>
      <c r="G211" s="679"/>
      <c r="H211" s="679"/>
    </row>
    <row r="212">
      <c r="A212" s="689"/>
      <c r="B212" s="689"/>
      <c r="C212" s="689"/>
      <c r="D212" s="689"/>
      <c r="E212" s="689"/>
      <c r="F212" s="689"/>
      <c r="G212" s="689"/>
      <c r="H212" s="689"/>
    </row>
    <row r="213">
      <c r="A213" s="689"/>
      <c r="B213" s="689"/>
      <c r="C213" s="689"/>
      <c r="D213" s="689"/>
      <c r="E213" s="689"/>
      <c r="F213" s="689"/>
      <c r="G213" s="689"/>
      <c r="H213" s="689"/>
    </row>
    <row r="214">
      <c r="A214" s="649" t="s">
        <v>5700</v>
      </c>
      <c r="B214" s="2"/>
      <c r="C214" s="2"/>
      <c r="D214" s="2"/>
      <c r="E214" s="2"/>
      <c r="F214" s="2"/>
      <c r="G214" s="2"/>
      <c r="H214" s="3"/>
    </row>
    <row r="215">
      <c r="A215" s="691" t="s">
        <v>1435</v>
      </c>
      <c r="B215" s="692" t="s">
        <v>1436</v>
      </c>
      <c r="C215" s="691" t="s">
        <v>1843</v>
      </c>
      <c r="D215" s="693" t="s">
        <v>1438</v>
      </c>
      <c r="E215" s="694" t="s">
        <v>1564</v>
      </c>
      <c r="F215" s="691" t="s">
        <v>1440</v>
      </c>
      <c r="G215" s="691" t="s">
        <v>1844</v>
      </c>
      <c r="H215" s="695" t="s">
        <v>1441</v>
      </c>
    </row>
    <row r="216">
      <c r="A216" s="658">
        <v>1.0</v>
      </c>
      <c r="B216" s="658" t="s">
        <v>1443</v>
      </c>
      <c r="C216" s="658">
        <v>1.0</v>
      </c>
      <c r="D216" s="678">
        <v>150.0</v>
      </c>
      <c r="E216" s="676"/>
      <c r="F216" s="658"/>
      <c r="G216" s="658" t="s">
        <v>1554</v>
      </c>
      <c r="H216" s="679">
        <v>45141.0</v>
      </c>
    </row>
    <row r="217">
      <c r="A217" s="658">
        <v>2.0</v>
      </c>
      <c r="B217" s="658" t="s">
        <v>3902</v>
      </c>
      <c r="C217" s="658">
        <v>2.0</v>
      </c>
      <c r="D217" s="678">
        <v>3.2</v>
      </c>
      <c r="E217" s="676"/>
      <c r="F217" s="658"/>
      <c r="G217" s="658" t="s">
        <v>1554</v>
      </c>
      <c r="H217" s="679">
        <v>45141.0</v>
      </c>
    </row>
    <row r="218">
      <c r="A218" s="658">
        <v>3.0</v>
      </c>
      <c r="B218" s="658" t="s">
        <v>3673</v>
      </c>
      <c r="C218" s="658">
        <v>1.0</v>
      </c>
      <c r="D218" s="678">
        <v>5.0</v>
      </c>
      <c r="E218" s="676">
        <v>1.0</v>
      </c>
      <c r="F218" s="658" t="s">
        <v>1518</v>
      </c>
      <c r="G218" s="658" t="s">
        <v>1554</v>
      </c>
      <c r="H218" s="679">
        <v>45141.0</v>
      </c>
    </row>
    <row r="219">
      <c r="A219" s="658">
        <v>4.0</v>
      </c>
      <c r="B219" s="655"/>
      <c r="C219" s="655"/>
      <c r="D219" s="656"/>
      <c r="E219" s="657"/>
      <c r="F219" s="655"/>
      <c r="G219" s="658"/>
      <c r="H219" s="659"/>
    </row>
    <row r="220">
      <c r="A220" s="658">
        <v>5.0</v>
      </c>
      <c r="B220" s="655"/>
      <c r="C220" s="655"/>
      <c r="D220" s="656"/>
      <c r="E220" s="657"/>
      <c r="F220" s="655"/>
      <c r="G220" s="658"/>
      <c r="H220" s="659"/>
    </row>
    <row r="221">
      <c r="A221" s="658">
        <v>6.0</v>
      </c>
      <c r="B221" s="658"/>
      <c r="C221" s="658"/>
      <c r="D221" s="678"/>
      <c r="E221" s="676"/>
      <c r="F221" s="658"/>
      <c r="G221" s="658"/>
      <c r="H221" s="679"/>
    </row>
    <row r="222">
      <c r="A222" s="658">
        <v>7.0</v>
      </c>
      <c r="B222" s="658"/>
      <c r="C222" s="658"/>
      <c r="D222" s="678"/>
      <c r="E222" s="676"/>
      <c r="F222" s="658"/>
      <c r="G222" s="658"/>
      <c r="H222" s="679"/>
    </row>
    <row r="223">
      <c r="A223" s="658">
        <v>8.0</v>
      </c>
      <c r="B223" s="714"/>
      <c r="C223" s="714"/>
      <c r="D223" s="717"/>
      <c r="E223" s="676"/>
      <c r="F223" s="714"/>
      <c r="G223" s="658"/>
      <c r="H223" s="729"/>
    </row>
    <row r="224">
      <c r="A224" s="658">
        <v>9.0</v>
      </c>
      <c r="B224" s="714"/>
      <c r="C224" s="714"/>
      <c r="D224" s="717"/>
      <c r="E224" s="676"/>
      <c r="F224" s="714"/>
      <c r="G224" s="658"/>
      <c r="H224" s="729"/>
    </row>
    <row r="225">
      <c r="A225" s="658">
        <v>10.0</v>
      </c>
      <c r="B225" s="714"/>
      <c r="C225" s="714"/>
      <c r="D225" s="717"/>
      <c r="E225" s="676"/>
      <c r="F225" s="714"/>
      <c r="G225" s="658"/>
      <c r="H225" s="696"/>
    </row>
    <row r="226">
      <c r="A226" s="658">
        <v>11.0</v>
      </c>
      <c r="B226" s="714"/>
      <c r="C226" s="714"/>
      <c r="D226" s="717"/>
      <c r="E226" s="676"/>
      <c r="F226" s="714"/>
      <c r="G226" s="658"/>
      <c r="H226" s="696"/>
    </row>
    <row r="227">
      <c r="A227" s="658">
        <v>12.0</v>
      </c>
      <c r="B227" s="714"/>
      <c r="C227" s="714"/>
      <c r="D227" s="717"/>
      <c r="E227" s="676"/>
      <c r="F227" s="714"/>
      <c r="G227" s="658"/>
      <c r="H227" s="696"/>
    </row>
    <row r="228">
      <c r="A228" s="658">
        <v>13.0</v>
      </c>
      <c r="B228" s="714"/>
      <c r="C228" s="714"/>
      <c r="D228" s="717"/>
      <c r="E228" s="676"/>
      <c r="F228" s="714"/>
      <c r="G228" s="658"/>
      <c r="H228" s="696"/>
    </row>
    <row r="229">
      <c r="A229" s="658">
        <v>14.0</v>
      </c>
      <c r="B229" s="714"/>
      <c r="C229" s="714"/>
      <c r="D229" s="717"/>
      <c r="E229" s="676"/>
      <c r="F229" s="714"/>
      <c r="G229" s="658"/>
      <c r="H229" s="696"/>
    </row>
    <row r="230">
      <c r="A230" s="658">
        <v>15.0</v>
      </c>
      <c r="B230" s="714"/>
      <c r="C230" s="714"/>
      <c r="D230" s="717"/>
      <c r="E230" s="676"/>
      <c r="F230" s="714"/>
      <c r="G230" s="658"/>
      <c r="H230" s="696"/>
    </row>
    <row r="231">
      <c r="A231" s="658">
        <v>16.0</v>
      </c>
      <c r="B231" s="655"/>
      <c r="C231" s="658"/>
      <c r="D231" s="678"/>
      <c r="E231" s="676"/>
      <c r="F231" s="655"/>
      <c r="G231" s="658"/>
      <c r="H231" s="696"/>
    </row>
    <row r="232">
      <c r="A232" s="658">
        <v>17.0</v>
      </c>
      <c r="B232" s="655"/>
      <c r="C232" s="658"/>
      <c r="D232" s="678"/>
      <c r="E232" s="676"/>
      <c r="F232" s="655"/>
      <c r="G232" s="658"/>
      <c r="H232" s="696"/>
    </row>
    <row r="233">
      <c r="A233" s="658">
        <v>18.0</v>
      </c>
      <c r="B233" s="658"/>
      <c r="C233" s="658"/>
      <c r="D233" s="678"/>
      <c r="E233" s="676"/>
      <c r="F233" s="658"/>
      <c r="G233" s="658"/>
      <c r="H233" s="679"/>
    </row>
    <row r="234">
      <c r="A234" s="658">
        <v>19.0</v>
      </c>
      <c r="B234" s="658"/>
      <c r="C234" s="658"/>
      <c r="D234" s="678"/>
      <c r="E234" s="676"/>
      <c r="F234" s="658"/>
      <c r="G234" s="658"/>
      <c r="H234" s="679"/>
    </row>
    <row r="235">
      <c r="A235" s="658">
        <v>20.0</v>
      </c>
      <c r="B235" s="658"/>
      <c r="C235" s="658"/>
      <c r="D235" s="678"/>
      <c r="E235" s="676"/>
      <c r="F235" s="658"/>
      <c r="G235" s="658"/>
      <c r="H235" s="679"/>
    </row>
    <row r="236">
      <c r="A236" s="697" t="s">
        <v>1562</v>
      </c>
      <c r="B236" s="3"/>
      <c r="C236" s="658">
        <f t="shared" ref="C236:E236" si="9">sum(C216:C235)</f>
        <v>4</v>
      </c>
      <c r="D236" s="678">
        <f t="shared" si="9"/>
        <v>158.2</v>
      </c>
      <c r="E236" s="676">
        <f t="shared" si="9"/>
        <v>1</v>
      </c>
      <c r="F236" s="658"/>
      <c r="G236" s="679"/>
      <c r="H236" s="679"/>
    </row>
    <row r="237">
      <c r="A237" s="689"/>
      <c r="B237" s="689"/>
      <c r="C237" s="689"/>
      <c r="D237" s="689"/>
      <c r="E237" s="689"/>
      <c r="F237" s="689"/>
      <c r="G237" s="689"/>
      <c r="H237" s="689"/>
    </row>
    <row r="238">
      <c r="A238" s="689"/>
      <c r="B238" s="689"/>
      <c r="C238" s="689"/>
      <c r="D238" s="689"/>
      <c r="E238" s="689"/>
      <c r="F238" s="689"/>
      <c r="G238" s="689"/>
      <c r="H238" s="689"/>
    </row>
    <row r="239">
      <c r="A239" s="649" t="s">
        <v>5701</v>
      </c>
      <c r="B239" s="2"/>
      <c r="C239" s="2"/>
      <c r="D239" s="2"/>
      <c r="E239" s="2"/>
      <c r="F239" s="2"/>
      <c r="G239" s="2"/>
      <c r="H239" s="3"/>
    </row>
    <row r="240">
      <c r="A240" s="691" t="s">
        <v>1435</v>
      </c>
      <c r="B240" s="692" t="s">
        <v>1436</v>
      </c>
      <c r="C240" s="691" t="s">
        <v>1843</v>
      </c>
      <c r="D240" s="693" t="s">
        <v>1438</v>
      </c>
      <c r="E240" s="694" t="s">
        <v>1564</v>
      </c>
      <c r="F240" s="691" t="s">
        <v>1440</v>
      </c>
      <c r="G240" s="691" t="s">
        <v>1565</v>
      </c>
      <c r="H240" s="695" t="s">
        <v>1441</v>
      </c>
    </row>
    <row r="241">
      <c r="A241" s="658">
        <v>1.0</v>
      </c>
      <c r="B241" s="658" t="s">
        <v>1443</v>
      </c>
      <c r="C241" s="658">
        <v>1.0</v>
      </c>
      <c r="D241" s="678">
        <v>150.0</v>
      </c>
      <c r="E241" s="676"/>
      <c r="F241" s="658"/>
      <c r="G241" s="658" t="s">
        <v>1554</v>
      </c>
      <c r="H241" s="679">
        <v>45141.0</v>
      </c>
    </row>
    <row r="242">
      <c r="A242" s="658">
        <v>2.0</v>
      </c>
      <c r="B242" s="658" t="s">
        <v>3916</v>
      </c>
      <c r="C242" s="658">
        <v>2.0</v>
      </c>
      <c r="D242" s="678">
        <v>3.2</v>
      </c>
      <c r="E242" s="676"/>
      <c r="F242" s="658"/>
      <c r="G242" s="658" t="s">
        <v>1554</v>
      </c>
      <c r="H242" s="679">
        <v>45141.0</v>
      </c>
    </row>
    <row r="243">
      <c r="A243" s="658">
        <v>3.0</v>
      </c>
      <c r="B243" s="658" t="s">
        <v>3673</v>
      </c>
      <c r="C243" s="658">
        <v>1.0</v>
      </c>
      <c r="D243" s="678">
        <v>5.0</v>
      </c>
      <c r="E243" s="676">
        <v>1.0</v>
      </c>
      <c r="F243" s="658" t="s">
        <v>1518</v>
      </c>
      <c r="G243" s="658" t="s">
        <v>1554</v>
      </c>
      <c r="H243" s="679">
        <v>45141.0</v>
      </c>
    </row>
    <row r="244">
      <c r="A244" s="658">
        <v>4.0</v>
      </c>
      <c r="B244" s="655"/>
      <c r="C244" s="655"/>
      <c r="D244" s="656"/>
      <c r="E244" s="657"/>
      <c r="F244" s="655"/>
      <c r="G244" s="655"/>
      <c r="H244" s="659"/>
    </row>
    <row r="245">
      <c r="A245" s="658">
        <v>5.0</v>
      </c>
      <c r="B245" s="655"/>
      <c r="C245" s="655"/>
      <c r="D245" s="656"/>
      <c r="E245" s="657"/>
      <c r="F245" s="655"/>
      <c r="G245" s="655"/>
      <c r="H245" s="659"/>
    </row>
    <row r="246">
      <c r="A246" s="655">
        <v>6.0</v>
      </c>
      <c r="B246" s="655"/>
      <c r="C246" s="655"/>
      <c r="D246" s="655"/>
      <c r="E246" s="657"/>
      <c r="F246" s="655"/>
      <c r="G246" s="655"/>
      <c r="H246" s="661"/>
    </row>
    <row r="247">
      <c r="A247" s="658">
        <v>7.0</v>
      </c>
      <c r="B247" s="655"/>
      <c r="C247" s="655"/>
      <c r="D247" s="656"/>
      <c r="E247" s="657"/>
      <c r="F247" s="655"/>
      <c r="G247" s="655"/>
      <c r="H247" s="661"/>
    </row>
    <row r="248">
      <c r="A248" s="658">
        <v>8.0</v>
      </c>
      <c r="B248" s="655"/>
      <c r="C248" s="655"/>
      <c r="D248" s="656"/>
      <c r="E248" s="657"/>
      <c r="F248" s="655"/>
      <c r="G248" s="655"/>
      <c r="H248" s="661"/>
    </row>
    <row r="249">
      <c r="A249" s="658">
        <v>9.0</v>
      </c>
      <c r="B249" s="655"/>
      <c r="C249" s="655"/>
      <c r="D249" s="656"/>
      <c r="E249" s="657"/>
      <c r="F249" s="655"/>
      <c r="G249" s="655"/>
      <c r="H249" s="661"/>
    </row>
    <row r="250">
      <c r="A250" s="658">
        <v>10.0</v>
      </c>
      <c r="B250" s="655"/>
      <c r="C250" s="655"/>
      <c r="D250" s="656"/>
      <c r="E250" s="657"/>
      <c r="F250" s="655"/>
      <c r="G250" s="655"/>
      <c r="H250" s="661"/>
    </row>
    <row r="251">
      <c r="A251" s="658">
        <v>11.0</v>
      </c>
      <c r="B251" s="655"/>
      <c r="C251" s="655"/>
      <c r="D251" s="656"/>
      <c r="E251" s="657"/>
      <c r="F251" s="655"/>
      <c r="G251" s="655"/>
      <c r="H251" s="661"/>
    </row>
    <row r="252">
      <c r="A252" s="658">
        <v>12.0</v>
      </c>
      <c r="B252" s="655"/>
      <c r="C252" s="655"/>
      <c r="D252" s="656"/>
      <c r="E252" s="657"/>
      <c r="F252" s="655"/>
      <c r="G252" s="655"/>
      <c r="H252" s="661"/>
    </row>
    <row r="253">
      <c r="A253" s="658">
        <v>13.0</v>
      </c>
      <c r="B253" s="655"/>
      <c r="C253" s="658"/>
      <c r="D253" s="678"/>
      <c r="E253" s="676"/>
      <c r="F253" s="655"/>
      <c r="G253" s="655"/>
      <c r="H253" s="696"/>
    </row>
    <row r="254">
      <c r="A254" s="658">
        <v>14.0</v>
      </c>
      <c r="B254" s="655"/>
      <c r="C254" s="658"/>
      <c r="D254" s="678"/>
      <c r="E254" s="676"/>
      <c r="F254" s="655"/>
      <c r="G254" s="655"/>
      <c r="H254" s="696"/>
    </row>
    <row r="255">
      <c r="A255" s="658">
        <v>15.0</v>
      </c>
      <c r="B255" s="655"/>
      <c r="C255" s="658"/>
      <c r="D255" s="678"/>
      <c r="E255" s="676"/>
      <c r="F255" s="655"/>
      <c r="G255" s="655"/>
      <c r="H255" s="696"/>
    </row>
    <row r="256">
      <c r="A256" s="697" t="s">
        <v>1562</v>
      </c>
      <c r="B256" s="3"/>
      <c r="C256" s="658">
        <f t="shared" ref="C256:E256" si="10">sum(C241:C254)</f>
        <v>4</v>
      </c>
      <c r="D256" s="678">
        <f t="shared" si="10"/>
        <v>158.2</v>
      </c>
      <c r="E256" s="676">
        <f t="shared" si="10"/>
        <v>1</v>
      </c>
      <c r="F256" s="658"/>
      <c r="G256" s="679"/>
      <c r="H256" s="679"/>
    </row>
    <row r="257">
      <c r="A257" s="689"/>
      <c r="B257" s="689"/>
      <c r="C257" s="689"/>
      <c r="D257" s="689"/>
      <c r="E257" s="689"/>
      <c r="F257" s="689"/>
      <c r="G257" s="689"/>
      <c r="H257" s="689"/>
    </row>
    <row r="258">
      <c r="A258" s="689"/>
      <c r="B258" s="689"/>
      <c r="C258" s="689"/>
      <c r="D258" s="689"/>
      <c r="E258" s="689"/>
      <c r="F258" s="689"/>
      <c r="G258" s="689"/>
      <c r="H258" s="689"/>
    </row>
    <row r="259">
      <c r="A259" s="649" t="s">
        <v>5702</v>
      </c>
      <c r="B259" s="2"/>
      <c r="C259" s="2"/>
      <c r="D259" s="2"/>
      <c r="E259" s="2"/>
      <c r="F259" s="2"/>
      <c r="G259" s="2"/>
      <c r="H259" s="3"/>
    </row>
    <row r="260">
      <c r="A260" s="691" t="s">
        <v>1435</v>
      </c>
      <c r="B260" s="692" t="s">
        <v>1436</v>
      </c>
      <c r="C260" s="691" t="s">
        <v>1843</v>
      </c>
      <c r="D260" s="693" t="s">
        <v>1438</v>
      </c>
      <c r="E260" s="694" t="s">
        <v>1564</v>
      </c>
      <c r="F260" s="691" t="s">
        <v>1440</v>
      </c>
      <c r="G260" s="691" t="s">
        <v>1844</v>
      </c>
      <c r="H260" s="695" t="s">
        <v>1441</v>
      </c>
    </row>
    <row r="261">
      <c r="A261" s="658">
        <v>1.0</v>
      </c>
      <c r="B261" s="658" t="s">
        <v>1443</v>
      </c>
      <c r="C261" s="658">
        <v>1.0</v>
      </c>
      <c r="D261" s="678">
        <v>150.0</v>
      </c>
      <c r="E261" s="676"/>
      <c r="F261" s="658"/>
      <c r="G261" s="658" t="s">
        <v>1554</v>
      </c>
      <c r="H261" s="679"/>
    </row>
    <row r="262">
      <c r="A262" s="658">
        <v>2.0</v>
      </c>
      <c r="B262" s="658" t="s">
        <v>3916</v>
      </c>
      <c r="C262" s="658">
        <v>2.0</v>
      </c>
      <c r="D262" s="678">
        <v>3.2</v>
      </c>
      <c r="E262" s="676"/>
      <c r="F262" s="658"/>
      <c r="G262" s="658" t="s">
        <v>1554</v>
      </c>
      <c r="H262" s="679"/>
    </row>
    <row r="263">
      <c r="A263" s="658">
        <v>3.0</v>
      </c>
      <c r="B263" s="658" t="s">
        <v>3673</v>
      </c>
      <c r="C263" s="658">
        <v>1.0</v>
      </c>
      <c r="D263" s="678">
        <v>5.0</v>
      </c>
      <c r="E263" s="676">
        <v>1.0</v>
      </c>
      <c r="F263" s="658" t="s">
        <v>1837</v>
      </c>
      <c r="G263" s="658" t="s">
        <v>1554</v>
      </c>
      <c r="H263" s="679">
        <v>45141.0</v>
      </c>
    </row>
    <row r="264">
      <c r="A264" s="658">
        <v>4.0</v>
      </c>
      <c r="B264" s="658"/>
      <c r="C264" s="658"/>
      <c r="D264" s="678"/>
      <c r="E264" s="676"/>
      <c r="F264" s="658"/>
      <c r="G264" s="658"/>
      <c r="H264" s="679"/>
    </row>
    <row r="265">
      <c r="A265" s="658">
        <v>5.0</v>
      </c>
      <c r="B265" s="658"/>
      <c r="C265" s="658"/>
      <c r="D265" s="678"/>
      <c r="E265" s="676"/>
      <c r="F265" s="658"/>
      <c r="G265" s="658"/>
      <c r="H265" s="679"/>
    </row>
    <row r="266">
      <c r="A266" s="658">
        <v>6.0</v>
      </c>
      <c r="B266" s="655"/>
      <c r="C266" s="658"/>
      <c r="D266" s="678"/>
      <c r="E266" s="676"/>
      <c r="F266" s="658"/>
      <c r="G266" s="658"/>
      <c r="H266" s="679"/>
    </row>
    <row r="267">
      <c r="A267" s="658">
        <v>7.0</v>
      </c>
      <c r="B267" s="655"/>
      <c r="C267" s="658"/>
      <c r="D267" s="689"/>
      <c r="E267" s="676"/>
      <c r="F267" s="655"/>
      <c r="G267" s="658"/>
      <c r="H267" s="696"/>
    </row>
    <row r="268">
      <c r="A268" s="658">
        <v>8.0</v>
      </c>
      <c r="B268" s="655"/>
      <c r="C268" s="658"/>
      <c r="D268" s="689"/>
      <c r="E268" s="676"/>
      <c r="F268" s="655"/>
      <c r="G268" s="658"/>
      <c r="H268" s="696"/>
    </row>
    <row r="269">
      <c r="A269" s="658">
        <v>9.0</v>
      </c>
      <c r="B269" s="655"/>
      <c r="C269" s="658"/>
      <c r="D269" s="678"/>
      <c r="E269" s="676"/>
      <c r="F269" s="655"/>
      <c r="G269" s="658"/>
      <c r="H269" s="696"/>
    </row>
    <row r="270">
      <c r="A270" s="658">
        <v>10.0</v>
      </c>
      <c r="B270" s="655"/>
      <c r="C270" s="658"/>
      <c r="D270" s="678"/>
      <c r="E270" s="676"/>
      <c r="F270" s="655"/>
      <c r="G270" s="658"/>
      <c r="H270" s="696"/>
    </row>
    <row r="271">
      <c r="A271" s="658">
        <v>11.0</v>
      </c>
      <c r="B271" s="655"/>
      <c r="C271" s="658"/>
      <c r="D271" s="678"/>
      <c r="E271" s="676"/>
      <c r="F271" s="655"/>
      <c r="G271" s="658"/>
      <c r="H271" s="696"/>
    </row>
    <row r="272">
      <c r="A272" s="697" t="s">
        <v>1562</v>
      </c>
      <c r="B272" s="3"/>
      <c r="C272" s="658">
        <f t="shared" ref="C272:D272" si="11">sum(C261:C271)</f>
        <v>4</v>
      </c>
      <c r="D272" s="678">
        <f t="shared" si="11"/>
        <v>158.2</v>
      </c>
      <c r="E272" s="676">
        <f>sum(E263:E271)</f>
        <v>1</v>
      </c>
      <c r="F272" s="658"/>
      <c r="G272" s="679"/>
      <c r="H272" s="679"/>
    </row>
    <row r="273">
      <c r="A273" s="689"/>
      <c r="B273" s="689"/>
      <c r="C273" s="689"/>
      <c r="D273" s="689"/>
      <c r="E273" s="689"/>
      <c r="F273" s="689"/>
      <c r="G273" s="689"/>
      <c r="H273" s="689"/>
    </row>
    <row r="274">
      <c r="A274" s="689"/>
      <c r="B274" s="689"/>
      <c r="C274" s="689"/>
      <c r="D274" s="689"/>
      <c r="E274" s="689"/>
      <c r="F274" s="689"/>
      <c r="G274" s="689"/>
      <c r="H274" s="689"/>
    </row>
    <row r="275">
      <c r="A275" s="649" t="s">
        <v>5703</v>
      </c>
      <c r="B275" s="2"/>
      <c r="C275" s="2"/>
      <c r="D275" s="2"/>
      <c r="E275" s="2"/>
      <c r="F275" s="2"/>
      <c r="G275" s="2"/>
      <c r="H275" s="3"/>
    </row>
    <row r="276">
      <c r="A276" s="690" t="s">
        <v>1435</v>
      </c>
      <c r="B276" s="690" t="s">
        <v>1436</v>
      </c>
      <c r="C276" s="690" t="s">
        <v>1843</v>
      </c>
      <c r="D276" s="693" t="s">
        <v>1438</v>
      </c>
      <c r="E276" s="694" t="s">
        <v>1564</v>
      </c>
      <c r="F276" s="690" t="s">
        <v>1440</v>
      </c>
      <c r="G276" s="690" t="s">
        <v>1844</v>
      </c>
      <c r="H276" s="695" t="s">
        <v>1441</v>
      </c>
    </row>
    <row r="277">
      <c r="A277" s="658">
        <v>1.0</v>
      </c>
      <c r="B277" s="658" t="s">
        <v>1443</v>
      </c>
      <c r="C277" s="658">
        <v>1.0</v>
      </c>
      <c r="D277" s="678">
        <v>150.0</v>
      </c>
      <c r="E277" s="730"/>
      <c r="F277" s="730"/>
      <c r="G277" s="658" t="s">
        <v>1554</v>
      </c>
      <c r="H277" s="730"/>
    </row>
    <row r="278">
      <c r="A278" s="658">
        <v>2.0</v>
      </c>
      <c r="B278" s="658" t="s">
        <v>3916</v>
      </c>
      <c r="C278" s="658">
        <v>2.0</v>
      </c>
      <c r="D278" s="678">
        <v>3.2</v>
      </c>
      <c r="E278" s="730"/>
      <c r="F278" s="730"/>
      <c r="G278" s="658" t="s">
        <v>1554</v>
      </c>
      <c r="H278" s="730"/>
    </row>
    <row r="279">
      <c r="A279" s="658">
        <v>3.0</v>
      </c>
      <c r="B279" s="658" t="s">
        <v>3673</v>
      </c>
      <c r="C279" s="689">
        <v>1.0</v>
      </c>
      <c r="D279" s="721">
        <v>5.0</v>
      </c>
      <c r="E279" s="669">
        <v>1.0</v>
      </c>
      <c r="F279" s="689" t="s">
        <v>1518</v>
      </c>
      <c r="G279" s="658" t="s">
        <v>1554</v>
      </c>
      <c r="H279" s="731">
        <v>45141.0</v>
      </c>
    </row>
    <row r="280">
      <c r="A280" s="658">
        <v>4.0</v>
      </c>
      <c r="B280" s="658"/>
      <c r="C280" s="658"/>
      <c r="D280" s="678"/>
      <c r="E280" s="676"/>
      <c r="F280" s="655"/>
      <c r="G280" s="658"/>
      <c r="H280" s="679"/>
    </row>
    <row r="281">
      <c r="A281" s="658">
        <v>5.0</v>
      </c>
      <c r="B281" s="655"/>
      <c r="C281" s="658"/>
      <c r="D281" s="678"/>
      <c r="E281" s="676"/>
      <c r="F281" s="655"/>
      <c r="G281" s="658"/>
      <c r="H281" s="679"/>
    </row>
    <row r="282">
      <c r="A282" s="658">
        <v>6.0</v>
      </c>
      <c r="B282" s="655"/>
      <c r="C282" s="658"/>
      <c r="D282" s="658"/>
      <c r="E282" s="676"/>
      <c r="F282" s="655"/>
      <c r="G282" s="658"/>
      <c r="H282" s="679"/>
    </row>
    <row r="283">
      <c r="A283" s="658">
        <v>7.0</v>
      </c>
      <c r="B283" s="655"/>
      <c r="C283" s="658"/>
      <c r="D283" s="658"/>
      <c r="E283" s="676"/>
      <c r="F283" s="655"/>
      <c r="G283" s="658"/>
      <c r="H283" s="679"/>
    </row>
    <row r="284">
      <c r="A284" s="658">
        <v>8.0</v>
      </c>
      <c r="B284" s="730"/>
      <c r="C284" s="689"/>
      <c r="D284" s="689"/>
      <c r="E284" s="669"/>
      <c r="F284" s="730"/>
      <c r="G284" s="689"/>
      <c r="H284" s="670"/>
    </row>
    <row r="285">
      <c r="A285" s="658">
        <v>9.0</v>
      </c>
      <c r="B285" s="730"/>
      <c r="C285" s="689"/>
      <c r="D285" s="721"/>
      <c r="E285" s="669"/>
      <c r="F285" s="730"/>
      <c r="G285" s="689"/>
      <c r="H285" s="670"/>
    </row>
    <row r="286">
      <c r="A286" s="658">
        <v>10.0</v>
      </c>
      <c r="B286" s="730"/>
      <c r="C286" s="689"/>
      <c r="D286" s="721"/>
      <c r="E286" s="669"/>
      <c r="F286" s="730"/>
      <c r="G286" s="689"/>
      <c r="H286" s="670"/>
    </row>
    <row r="287">
      <c r="A287" s="658">
        <v>11.0</v>
      </c>
      <c r="B287" s="730"/>
      <c r="C287" s="689"/>
      <c r="D287" s="721"/>
      <c r="E287" s="669"/>
      <c r="F287" s="730"/>
      <c r="G287" s="689"/>
      <c r="H287" s="670"/>
    </row>
    <row r="288">
      <c r="A288" s="732" t="s">
        <v>1562</v>
      </c>
      <c r="B288" s="3"/>
      <c r="C288" s="689">
        <f t="shared" ref="C288:E288" si="12">sum(C277:C287)</f>
        <v>4</v>
      </c>
      <c r="D288" s="721">
        <f t="shared" si="12"/>
        <v>158.2</v>
      </c>
      <c r="E288" s="669">
        <f t="shared" si="12"/>
        <v>1</v>
      </c>
      <c r="F288" s="689"/>
      <c r="G288" s="731"/>
      <c r="H288" s="731"/>
    </row>
    <row r="289">
      <c r="A289" s="689"/>
      <c r="B289" s="689"/>
      <c r="C289" s="689"/>
      <c r="D289" s="689"/>
      <c r="E289" s="689"/>
      <c r="F289" s="689"/>
      <c r="G289" s="689"/>
      <c r="H289" s="689"/>
    </row>
    <row r="290">
      <c r="A290" s="689"/>
      <c r="B290" s="689"/>
      <c r="C290" s="689"/>
      <c r="D290" s="689"/>
      <c r="E290" s="689"/>
      <c r="F290" s="689"/>
      <c r="G290" s="689"/>
      <c r="H290" s="689"/>
    </row>
    <row r="291">
      <c r="A291" s="649" t="s">
        <v>5704</v>
      </c>
      <c r="B291" s="2"/>
      <c r="C291" s="2"/>
      <c r="D291" s="2"/>
      <c r="E291" s="2"/>
      <c r="F291" s="2"/>
      <c r="G291" s="2"/>
      <c r="H291" s="3"/>
    </row>
    <row r="292">
      <c r="A292" s="690" t="s">
        <v>1435</v>
      </c>
      <c r="B292" s="690" t="s">
        <v>1436</v>
      </c>
      <c r="C292" s="690" t="s">
        <v>1843</v>
      </c>
      <c r="D292" s="693" t="s">
        <v>1438</v>
      </c>
      <c r="E292" s="694" t="s">
        <v>1564</v>
      </c>
      <c r="F292" s="690" t="s">
        <v>1440</v>
      </c>
      <c r="G292" s="690" t="s">
        <v>1844</v>
      </c>
      <c r="H292" s="695" t="s">
        <v>1441</v>
      </c>
    </row>
    <row r="293">
      <c r="A293" s="658">
        <v>1.0</v>
      </c>
      <c r="B293" s="658" t="s">
        <v>1443</v>
      </c>
      <c r="C293" s="658">
        <v>1.0</v>
      </c>
      <c r="D293" s="678">
        <v>150.0</v>
      </c>
      <c r="E293" s="669"/>
      <c r="F293" s="689"/>
      <c r="G293" s="658" t="s">
        <v>1554</v>
      </c>
      <c r="H293" s="731"/>
    </row>
    <row r="294">
      <c r="A294" s="658">
        <v>2.0</v>
      </c>
      <c r="B294" s="658" t="s">
        <v>3916</v>
      </c>
      <c r="C294" s="658">
        <v>2.0</v>
      </c>
      <c r="D294" s="678">
        <v>3.2</v>
      </c>
      <c r="E294" s="669"/>
      <c r="F294" s="689"/>
      <c r="G294" s="658" t="s">
        <v>1554</v>
      </c>
      <c r="H294" s="731"/>
    </row>
    <row r="295">
      <c r="A295" s="658">
        <v>3.0</v>
      </c>
      <c r="B295" s="689" t="s">
        <v>3673</v>
      </c>
      <c r="C295" s="689">
        <v>1.0</v>
      </c>
      <c r="D295" s="721">
        <v>5.0</v>
      </c>
      <c r="E295" s="669">
        <v>1.0</v>
      </c>
      <c r="F295" s="689" t="s">
        <v>1518</v>
      </c>
      <c r="G295" s="658" t="s">
        <v>1554</v>
      </c>
      <c r="H295" s="731">
        <v>45141.0</v>
      </c>
    </row>
    <row r="296">
      <c r="A296" s="658">
        <v>4.0</v>
      </c>
      <c r="B296" s="689"/>
      <c r="C296" s="689"/>
      <c r="D296" s="721"/>
      <c r="E296" s="669"/>
      <c r="F296" s="730"/>
      <c r="G296" s="689"/>
      <c r="H296" s="731"/>
    </row>
    <row r="297">
      <c r="A297" s="658">
        <v>5.0</v>
      </c>
      <c r="B297" s="655"/>
      <c r="C297" s="658"/>
      <c r="D297" s="678"/>
      <c r="E297" s="669"/>
      <c r="F297" s="655"/>
      <c r="G297" s="689"/>
      <c r="H297" s="679"/>
    </row>
    <row r="298">
      <c r="A298" s="658">
        <v>6.0</v>
      </c>
      <c r="B298" s="655"/>
      <c r="C298" s="658"/>
      <c r="D298" s="678"/>
      <c r="E298" s="676"/>
      <c r="F298" s="655"/>
      <c r="G298" s="689"/>
      <c r="H298" s="679"/>
    </row>
    <row r="299">
      <c r="A299" s="658">
        <v>7.0</v>
      </c>
      <c r="B299" s="655"/>
      <c r="C299" s="655"/>
      <c r="D299" s="656"/>
      <c r="E299" s="676"/>
      <c r="F299" s="655"/>
      <c r="G299" s="689"/>
      <c r="H299" s="696"/>
    </row>
    <row r="300">
      <c r="A300" s="658">
        <v>8.0</v>
      </c>
      <c r="B300" s="655"/>
      <c r="C300" s="655"/>
      <c r="D300" s="656"/>
      <c r="E300" s="676"/>
      <c r="F300" s="655"/>
      <c r="G300" s="689"/>
      <c r="H300" s="696"/>
    </row>
    <row r="301">
      <c r="A301" s="658">
        <v>9.0</v>
      </c>
      <c r="B301" s="655"/>
      <c r="C301" s="655"/>
      <c r="D301" s="656"/>
      <c r="E301" s="676"/>
      <c r="F301" s="655"/>
      <c r="G301" s="658"/>
      <c r="H301" s="696"/>
    </row>
    <row r="302">
      <c r="A302" s="658">
        <v>10.0</v>
      </c>
      <c r="B302" s="730"/>
      <c r="C302" s="689"/>
      <c r="D302" s="721"/>
      <c r="E302" s="669"/>
      <c r="F302" s="730"/>
      <c r="G302" s="689"/>
      <c r="H302" s="670"/>
    </row>
    <row r="303">
      <c r="A303" s="658">
        <v>11.0</v>
      </c>
      <c r="B303" s="730"/>
      <c r="C303" s="689"/>
      <c r="D303" s="721"/>
      <c r="E303" s="669"/>
      <c r="F303" s="730"/>
      <c r="G303" s="689"/>
      <c r="H303" s="670"/>
    </row>
    <row r="304">
      <c r="A304" s="732" t="s">
        <v>1562</v>
      </c>
      <c r="B304" s="3"/>
      <c r="C304" s="689">
        <f t="shared" ref="C304:E304" si="13">sum(C293:C303)</f>
        <v>4</v>
      </c>
      <c r="D304" s="721">
        <f t="shared" si="13"/>
        <v>158.2</v>
      </c>
      <c r="E304" s="669">
        <f t="shared" si="13"/>
        <v>1</v>
      </c>
      <c r="F304" s="689"/>
      <c r="G304" s="731"/>
      <c r="H304" s="731"/>
    </row>
    <row r="305">
      <c r="A305" s="689"/>
      <c r="B305" s="689"/>
      <c r="C305" s="689"/>
      <c r="D305" s="689"/>
      <c r="E305" s="689"/>
      <c r="F305" s="689"/>
      <c r="G305" s="689"/>
      <c r="H305" s="689"/>
    </row>
    <row r="306">
      <c r="A306" s="689"/>
      <c r="B306" s="689"/>
      <c r="C306" s="689"/>
      <c r="D306" s="689"/>
      <c r="E306" s="689"/>
      <c r="F306" s="689"/>
      <c r="G306" s="689"/>
      <c r="H306" s="689"/>
    </row>
    <row r="307">
      <c r="A307" s="649" t="s">
        <v>5705</v>
      </c>
      <c r="B307" s="2"/>
      <c r="C307" s="2"/>
      <c r="D307" s="2"/>
      <c r="E307" s="2"/>
      <c r="F307" s="2"/>
      <c r="G307" s="2"/>
      <c r="H307" s="3"/>
    </row>
    <row r="308">
      <c r="A308" s="690" t="s">
        <v>1435</v>
      </c>
      <c r="B308" s="690" t="s">
        <v>1436</v>
      </c>
      <c r="C308" s="690" t="s">
        <v>1843</v>
      </c>
      <c r="D308" s="693" t="s">
        <v>1438</v>
      </c>
      <c r="E308" s="694" t="s">
        <v>1564</v>
      </c>
      <c r="F308" s="690" t="s">
        <v>1440</v>
      </c>
      <c r="G308" s="690" t="s">
        <v>1844</v>
      </c>
      <c r="H308" s="695" t="s">
        <v>1441</v>
      </c>
    </row>
    <row r="309">
      <c r="A309" s="689">
        <v>1.0</v>
      </c>
      <c r="B309" s="658" t="s">
        <v>1443</v>
      </c>
      <c r="C309" s="658">
        <v>1.0</v>
      </c>
      <c r="D309" s="678">
        <v>150.0</v>
      </c>
      <c r="E309" s="669"/>
      <c r="F309" s="689"/>
      <c r="G309" s="658" t="s">
        <v>1554</v>
      </c>
      <c r="H309" s="731"/>
    </row>
    <row r="310">
      <c r="A310" s="658">
        <v>2.0</v>
      </c>
      <c r="B310" s="658" t="s">
        <v>1444</v>
      </c>
      <c r="C310" s="658">
        <v>1.0</v>
      </c>
      <c r="D310" s="678">
        <v>3.2</v>
      </c>
      <c r="E310" s="669"/>
      <c r="F310" s="689"/>
      <c r="G310" s="658" t="s">
        <v>1554</v>
      </c>
      <c r="H310" s="731"/>
    </row>
    <row r="311">
      <c r="A311" s="730">
        <v>2.0</v>
      </c>
      <c r="B311" s="689" t="s">
        <v>3673</v>
      </c>
      <c r="C311" s="689">
        <v>1.0</v>
      </c>
      <c r="D311" s="721">
        <v>5.0</v>
      </c>
      <c r="E311" s="669">
        <v>1.0</v>
      </c>
      <c r="F311" s="689" t="s">
        <v>1518</v>
      </c>
      <c r="G311" s="658" t="s">
        <v>1554</v>
      </c>
      <c r="H311" s="731">
        <v>45141.0</v>
      </c>
    </row>
    <row r="312">
      <c r="A312" s="730">
        <v>3.0</v>
      </c>
      <c r="B312" s="655"/>
      <c r="C312" s="655"/>
      <c r="D312" s="656"/>
      <c r="E312" s="657"/>
      <c r="F312" s="655"/>
      <c r="G312" s="655"/>
      <c r="H312" s="659"/>
    </row>
    <row r="313">
      <c r="A313" s="655">
        <v>4.0</v>
      </c>
      <c r="B313" s="655"/>
      <c r="C313" s="655"/>
      <c r="D313" s="656"/>
      <c r="E313" s="657"/>
      <c r="F313" s="655"/>
      <c r="G313" s="655"/>
      <c r="H313" s="659"/>
    </row>
    <row r="314">
      <c r="A314" s="730">
        <v>5.0</v>
      </c>
      <c r="B314" s="655"/>
      <c r="C314" s="655"/>
      <c r="D314" s="656"/>
      <c r="E314" s="657"/>
      <c r="F314" s="655"/>
      <c r="G314" s="655"/>
      <c r="H314" s="659"/>
    </row>
    <row r="315">
      <c r="A315" s="730">
        <v>6.0</v>
      </c>
      <c r="B315" s="655"/>
      <c r="C315" s="655"/>
      <c r="D315" s="656"/>
      <c r="E315" s="657"/>
      <c r="F315" s="730"/>
      <c r="G315" s="655"/>
      <c r="H315" s="661"/>
    </row>
    <row r="316">
      <c r="A316" s="730">
        <v>7.0</v>
      </c>
      <c r="B316" s="655"/>
      <c r="C316" s="655"/>
      <c r="D316" s="1062"/>
      <c r="E316" s="657"/>
      <c r="F316" s="655"/>
      <c r="G316" s="655"/>
      <c r="H316" s="655"/>
    </row>
    <row r="317">
      <c r="A317" s="730">
        <v>8.0</v>
      </c>
      <c r="B317" s="655"/>
      <c r="C317" s="655"/>
      <c r="D317" s="656"/>
      <c r="E317" s="657"/>
      <c r="F317" s="655"/>
      <c r="G317" s="655"/>
      <c r="H317" s="661"/>
    </row>
    <row r="318">
      <c r="A318" s="730">
        <v>9.0</v>
      </c>
      <c r="B318" s="655"/>
      <c r="C318" s="655"/>
      <c r="D318" s="656"/>
      <c r="E318" s="657"/>
      <c r="F318" s="655"/>
      <c r="G318" s="655"/>
      <c r="H318" s="661"/>
    </row>
    <row r="319">
      <c r="A319" s="658">
        <v>10.0</v>
      </c>
      <c r="B319" s="655"/>
      <c r="C319" s="655"/>
      <c r="D319" s="656"/>
      <c r="E319" s="657"/>
      <c r="F319" s="730"/>
      <c r="G319" s="655"/>
      <c r="H319" s="659"/>
    </row>
    <row r="320">
      <c r="A320" s="732" t="s">
        <v>1562</v>
      </c>
      <c r="B320" s="3"/>
      <c r="C320" s="689">
        <f t="shared" ref="C320:E320" si="14">sum(C309:C319)</f>
        <v>3</v>
      </c>
      <c r="D320" s="721">
        <f t="shared" si="14"/>
        <v>158.2</v>
      </c>
      <c r="E320" s="669">
        <f t="shared" si="14"/>
        <v>1</v>
      </c>
      <c r="F320" s="689"/>
      <c r="G320" s="731"/>
      <c r="H320" s="731"/>
    </row>
    <row r="321">
      <c r="A321" s="689"/>
      <c r="B321" s="689"/>
      <c r="C321" s="689"/>
      <c r="D321" s="689"/>
      <c r="E321" s="689"/>
      <c r="F321" s="689"/>
      <c r="G321" s="689"/>
      <c r="H321" s="689"/>
    </row>
    <row r="322">
      <c r="A322" s="689"/>
      <c r="B322" s="689"/>
      <c r="C322" s="689"/>
      <c r="D322" s="689"/>
      <c r="E322" s="689"/>
      <c r="F322" s="689"/>
      <c r="G322" s="689"/>
      <c r="H322" s="689"/>
    </row>
    <row r="323">
      <c r="A323" s="649" t="s">
        <v>5706</v>
      </c>
      <c r="B323" s="2"/>
      <c r="C323" s="2"/>
      <c r="D323" s="2"/>
      <c r="E323" s="2"/>
      <c r="F323" s="2"/>
      <c r="G323" s="2"/>
      <c r="H323" s="3"/>
    </row>
    <row r="324">
      <c r="A324" s="690" t="s">
        <v>1435</v>
      </c>
      <c r="B324" s="690" t="s">
        <v>1436</v>
      </c>
      <c r="C324" s="690" t="s">
        <v>1843</v>
      </c>
      <c r="D324" s="693" t="s">
        <v>1438</v>
      </c>
      <c r="E324" s="694" t="s">
        <v>1564</v>
      </c>
      <c r="F324" s="690" t="s">
        <v>1440</v>
      </c>
      <c r="G324" s="690" t="s">
        <v>1844</v>
      </c>
      <c r="H324" s="695" t="s">
        <v>1441</v>
      </c>
    </row>
    <row r="325">
      <c r="A325" s="689">
        <v>1.0</v>
      </c>
      <c r="B325" s="658" t="s">
        <v>1443</v>
      </c>
      <c r="C325" s="658">
        <v>1.0</v>
      </c>
      <c r="D325" s="678">
        <v>150.0</v>
      </c>
      <c r="E325" s="669"/>
      <c r="F325" s="689"/>
      <c r="G325" s="658" t="s">
        <v>1554</v>
      </c>
      <c r="H325" s="731"/>
    </row>
    <row r="326">
      <c r="A326" s="689">
        <v>2.0</v>
      </c>
      <c r="B326" s="689" t="s">
        <v>3673</v>
      </c>
      <c r="C326" s="689">
        <v>1.0</v>
      </c>
      <c r="D326" s="721">
        <v>5.0</v>
      </c>
      <c r="E326" s="669">
        <v>1.0</v>
      </c>
      <c r="F326" s="689" t="s">
        <v>1518</v>
      </c>
      <c r="G326" s="689" t="s">
        <v>1554</v>
      </c>
      <c r="H326" s="731">
        <v>45141.0</v>
      </c>
    </row>
    <row r="327">
      <c r="A327" s="689">
        <v>3.0</v>
      </c>
      <c r="B327" s="689" t="s">
        <v>3916</v>
      </c>
      <c r="C327" s="689">
        <v>2.0</v>
      </c>
      <c r="D327" s="678">
        <v>3.2</v>
      </c>
      <c r="E327" s="669"/>
      <c r="F327" s="689"/>
      <c r="G327" s="689" t="s">
        <v>1554</v>
      </c>
      <c r="H327" s="679">
        <v>45141.0</v>
      </c>
    </row>
    <row r="328">
      <c r="A328" s="730">
        <v>4.0</v>
      </c>
      <c r="B328" s="655"/>
      <c r="C328" s="655"/>
      <c r="D328" s="656"/>
      <c r="E328" s="660"/>
      <c r="F328" s="655"/>
      <c r="G328" s="655"/>
      <c r="H328" s="659"/>
    </row>
    <row r="329">
      <c r="A329" s="730">
        <v>5.0</v>
      </c>
      <c r="B329" s="655"/>
      <c r="C329" s="655"/>
      <c r="D329" s="1062"/>
      <c r="E329" s="657"/>
      <c r="F329" s="655"/>
      <c r="G329" s="655"/>
      <c r="H329" s="659"/>
    </row>
    <row r="330">
      <c r="A330" s="730">
        <v>6.0</v>
      </c>
      <c r="B330" s="655"/>
      <c r="C330" s="655"/>
      <c r="D330" s="1062"/>
      <c r="E330" s="657"/>
      <c r="F330" s="655"/>
      <c r="G330" s="655"/>
      <c r="H330" s="659"/>
    </row>
    <row r="331">
      <c r="A331" s="730">
        <v>7.0</v>
      </c>
      <c r="B331" s="655"/>
      <c r="C331" s="655"/>
      <c r="D331" s="1062"/>
      <c r="E331" s="657"/>
      <c r="F331" s="655"/>
      <c r="G331" s="655"/>
      <c r="H331" s="659"/>
    </row>
    <row r="332">
      <c r="A332" s="730">
        <v>8.0</v>
      </c>
      <c r="B332" s="655"/>
      <c r="C332" s="655"/>
      <c r="D332" s="1062"/>
      <c r="E332" s="657"/>
      <c r="F332" s="655"/>
      <c r="G332" s="655"/>
      <c r="H332" s="659"/>
    </row>
    <row r="333">
      <c r="A333" s="730">
        <v>9.0</v>
      </c>
      <c r="B333" s="730"/>
      <c r="C333" s="667"/>
      <c r="D333" s="1062"/>
      <c r="E333" s="660"/>
      <c r="F333" s="667"/>
      <c r="G333" s="667"/>
      <c r="H333" s="1067"/>
    </row>
    <row r="334">
      <c r="A334" s="730">
        <v>10.0</v>
      </c>
      <c r="B334" s="730"/>
      <c r="C334" s="667"/>
      <c r="D334" s="1062"/>
      <c r="E334" s="660"/>
      <c r="F334" s="655"/>
      <c r="G334" s="655"/>
      <c r="H334" s="1067"/>
    </row>
    <row r="335">
      <c r="A335" s="730">
        <v>11.0</v>
      </c>
      <c r="B335" s="730"/>
      <c r="C335" s="667"/>
      <c r="D335" s="1062"/>
      <c r="E335" s="660"/>
      <c r="F335" s="667"/>
      <c r="G335" s="667"/>
      <c r="H335" s="1067"/>
    </row>
    <row r="336">
      <c r="A336" s="730">
        <v>12.0</v>
      </c>
      <c r="B336" s="655"/>
      <c r="C336" s="655"/>
      <c r="D336" s="656"/>
      <c r="E336" s="657"/>
      <c r="F336" s="655"/>
      <c r="G336" s="667"/>
      <c r="H336" s="659"/>
    </row>
    <row r="337">
      <c r="A337" s="730">
        <v>13.0</v>
      </c>
      <c r="B337" s="655"/>
      <c r="C337" s="655"/>
      <c r="D337" s="656"/>
      <c r="E337" s="657"/>
      <c r="F337" s="655"/>
      <c r="G337" s="655"/>
      <c r="H337" s="659"/>
    </row>
    <row r="338">
      <c r="A338" s="730">
        <v>14.0</v>
      </c>
      <c r="B338" s="655"/>
      <c r="C338" s="655"/>
      <c r="D338" s="656"/>
      <c r="E338" s="657"/>
      <c r="F338" s="655"/>
      <c r="G338" s="655"/>
      <c r="H338" s="659"/>
    </row>
    <row r="339">
      <c r="A339" s="655">
        <v>15.0</v>
      </c>
      <c r="B339" s="655"/>
      <c r="C339" s="655"/>
      <c r="D339" s="656"/>
      <c r="E339" s="657"/>
      <c r="F339" s="655"/>
      <c r="G339" s="655"/>
      <c r="H339" s="659"/>
    </row>
    <row r="340">
      <c r="A340" s="655">
        <v>16.0</v>
      </c>
      <c r="B340" s="655"/>
      <c r="C340" s="655"/>
      <c r="D340" s="656"/>
      <c r="E340" s="657"/>
      <c r="F340" s="655"/>
      <c r="G340" s="655"/>
      <c r="H340" s="659"/>
    </row>
    <row r="341">
      <c r="A341" s="655">
        <v>17.0</v>
      </c>
      <c r="B341" s="655"/>
      <c r="C341" s="655"/>
      <c r="D341" s="656"/>
      <c r="E341" s="657"/>
      <c r="F341" s="655"/>
      <c r="G341" s="655"/>
      <c r="H341" s="659"/>
    </row>
    <row r="342">
      <c r="A342" s="655">
        <v>18.0</v>
      </c>
      <c r="B342" s="655"/>
      <c r="C342" s="655"/>
      <c r="D342" s="656"/>
      <c r="E342" s="657"/>
      <c r="F342" s="655"/>
      <c r="G342" s="655"/>
      <c r="H342" s="659"/>
    </row>
    <row r="343">
      <c r="A343" s="655">
        <v>19.0</v>
      </c>
      <c r="B343" s="655"/>
      <c r="C343" s="655"/>
      <c r="D343" s="656"/>
      <c r="E343" s="657"/>
      <c r="F343" s="655"/>
      <c r="G343" s="655"/>
      <c r="H343" s="659"/>
    </row>
    <row r="344">
      <c r="A344" s="655">
        <v>20.0</v>
      </c>
      <c r="B344" s="1068"/>
      <c r="C344" s="655"/>
      <c r="D344" s="656"/>
      <c r="E344" s="657"/>
      <c r="F344" s="1068"/>
      <c r="G344" s="655"/>
      <c r="H344" s="856"/>
    </row>
    <row r="345">
      <c r="A345" s="655">
        <v>21.0</v>
      </c>
      <c r="B345" s="1068"/>
      <c r="C345" s="655"/>
      <c r="D345" s="656"/>
      <c r="E345" s="657"/>
      <c r="F345" s="1068"/>
      <c r="G345" s="655"/>
      <c r="H345" s="856"/>
    </row>
    <row r="346">
      <c r="A346" s="732" t="s">
        <v>1562</v>
      </c>
      <c r="B346" s="3"/>
      <c r="C346" s="689">
        <f t="shared" ref="C346:E346" si="15">sum(C325:C343)</f>
        <v>4</v>
      </c>
      <c r="D346" s="721">
        <f t="shared" si="15"/>
        <v>158.2</v>
      </c>
      <c r="E346" s="669">
        <f t="shared" si="15"/>
        <v>1</v>
      </c>
      <c r="F346" s="689"/>
      <c r="G346" s="731"/>
      <c r="H346" s="731"/>
    </row>
    <row r="347">
      <c r="A347" s="689"/>
      <c r="B347" s="689"/>
      <c r="C347" s="689"/>
      <c r="D347" s="689"/>
      <c r="E347" s="689"/>
      <c r="F347" s="689"/>
      <c r="G347" s="689"/>
      <c r="H347" s="689"/>
    </row>
    <row r="348">
      <c r="A348" s="689"/>
      <c r="B348" s="689"/>
      <c r="C348" s="689"/>
      <c r="D348" s="689"/>
      <c r="E348" s="689"/>
      <c r="F348" s="689"/>
      <c r="G348" s="689"/>
      <c r="H348" s="689"/>
    </row>
    <row r="349">
      <c r="A349" s="649" t="s">
        <v>5707</v>
      </c>
      <c r="B349" s="2"/>
      <c r="C349" s="2"/>
      <c r="D349" s="2"/>
      <c r="E349" s="2"/>
      <c r="F349" s="2"/>
      <c r="G349" s="2"/>
      <c r="H349" s="3"/>
    </row>
    <row r="350">
      <c r="A350" s="690" t="s">
        <v>1435</v>
      </c>
      <c r="B350" s="690" t="s">
        <v>1436</v>
      </c>
      <c r="C350" s="690" t="s">
        <v>1843</v>
      </c>
      <c r="D350" s="693" t="s">
        <v>1438</v>
      </c>
      <c r="E350" s="694" t="s">
        <v>1564</v>
      </c>
      <c r="F350" s="690" t="s">
        <v>1440</v>
      </c>
      <c r="G350" s="690" t="s">
        <v>1844</v>
      </c>
      <c r="H350" s="695" t="s">
        <v>1441</v>
      </c>
    </row>
    <row r="351">
      <c r="A351" s="658">
        <v>1.0</v>
      </c>
      <c r="B351" s="658" t="s">
        <v>1443</v>
      </c>
      <c r="C351" s="658">
        <v>1.0</v>
      </c>
      <c r="D351" s="678">
        <v>150.0</v>
      </c>
      <c r="E351" s="669"/>
      <c r="F351" s="689"/>
      <c r="G351" s="658" t="s">
        <v>1554</v>
      </c>
      <c r="H351" s="731"/>
    </row>
    <row r="352">
      <c r="A352" s="658">
        <v>2.0</v>
      </c>
      <c r="B352" s="689" t="s">
        <v>3673</v>
      </c>
      <c r="C352" s="689">
        <v>1.0</v>
      </c>
      <c r="D352" s="721">
        <v>5.0</v>
      </c>
      <c r="E352" s="669">
        <v>1.0</v>
      </c>
      <c r="F352" s="689" t="s">
        <v>1518</v>
      </c>
      <c r="G352" s="658" t="s">
        <v>1554</v>
      </c>
      <c r="H352" s="731">
        <v>45141.0</v>
      </c>
    </row>
    <row r="353">
      <c r="A353" s="658">
        <v>3.0</v>
      </c>
      <c r="B353" s="658" t="s">
        <v>3996</v>
      </c>
      <c r="C353" s="658">
        <v>1.0</v>
      </c>
      <c r="D353" s="678">
        <v>8.2</v>
      </c>
      <c r="E353" s="676">
        <v>2.0</v>
      </c>
      <c r="F353" s="689"/>
      <c r="G353" s="658" t="s">
        <v>1554</v>
      </c>
      <c r="H353" s="679">
        <v>45274.0</v>
      </c>
    </row>
    <row r="354">
      <c r="A354" s="658">
        <v>4.0</v>
      </c>
      <c r="B354" s="658"/>
      <c r="C354" s="658"/>
      <c r="D354" s="678"/>
      <c r="E354" s="676"/>
      <c r="F354" s="658"/>
      <c r="G354" s="658"/>
      <c r="H354" s="679"/>
    </row>
    <row r="355">
      <c r="A355" s="658">
        <v>5.0</v>
      </c>
      <c r="B355" s="658"/>
      <c r="C355" s="658"/>
      <c r="D355" s="678"/>
      <c r="E355" s="676"/>
      <c r="F355" s="658"/>
      <c r="G355" s="658"/>
      <c r="H355" s="696"/>
    </row>
    <row r="356">
      <c r="A356" s="658">
        <v>6.0</v>
      </c>
      <c r="B356" s="736"/>
      <c r="C356" s="658"/>
      <c r="D356" s="678"/>
      <c r="E356" s="676"/>
      <c r="F356" s="658"/>
      <c r="G356" s="658"/>
      <c r="H356" s="696"/>
    </row>
    <row r="357">
      <c r="A357" s="658">
        <v>7.0</v>
      </c>
      <c r="B357" s="658"/>
      <c r="C357" s="658"/>
      <c r="D357" s="678"/>
      <c r="E357" s="676"/>
      <c r="F357" s="658"/>
      <c r="G357" s="658"/>
      <c r="H357" s="696"/>
    </row>
    <row r="358">
      <c r="A358" s="658">
        <v>8.0</v>
      </c>
      <c r="B358" s="658"/>
      <c r="C358" s="658"/>
      <c r="D358" s="678"/>
      <c r="E358" s="676"/>
      <c r="F358" s="658"/>
      <c r="G358" s="658"/>
      <c r="H358" s="696"/>
    </row>
    <row r="359">
      <c r="A359" s="658">
        <v>9.0</v>
      </c>
      <c r="B359" s="658"/>
      <c r="C359" s="658"/>
      <c r="D359" s="678"/>
      <c r="E359" s="676"/>
      <c r="F359" s="658"/>
      <c r="G359" s="658"/>
      <c r="H359" s="696"/>
    </row>
    <row r="360">
      <c r="A360" s="655">
        <v>10.0</v>
      </c>
      <c r="B360" s="655"/>
      <c r="C360" s="655"/>
      <c r="D360" s="656"/>
      <c r="E360" s="657"/>
      <c r="F360" s="655"/>
      <c r="G360" s="655"/>
      <c r="H360" s="661"/>
    </row>
    <row r="361">
      <c r="A361" s="655">
        <v>11.0</v>
      </c>
      <c r="B361" s="655"/>
      <c r="C361" s="655"/>
      <c r="D361" s="656"/>
      <c r="E361" s="657"/>
      <c r="F361" s="655"/>
      <c r="G361" s="655"/>
      <c r="H361" s="661"/>
    </row>
    <row r="362">
      <c r="A362" s="655">
        <v>12.0</v>
      </c>
      <c r="B362" s="655"/>
      <c r="C362" s="655"/>
      <c r="D362" s="656"/>
      <c r="E362" s="657"/>
      <c r="F362" s="655"/>
      <c r="G362" s="655"/>
      <c r="H362" s="661"/>
    </row>
    <row r="363">
      <c r="A363" s="655">
        <v>13.0</v>
      </c>
      <c r="B363" s="655"/>
      <c r="C363" s="655"/>
      <c r="D363" s="656"/>
      <c r="E363" s="657"/>
      <c r="F363" s="655"/>
      <c r="G363" s="655"/>
      <c r="H363" s="661"/>
    </row>
    <row r="364">
      <c r="A364" s="655">
        <v>14.0</v>
      </c>
      <c r="B364" s="655"/>
      <c r="C364" s="655"/>
      <c r="D364" s="656"/>
      <c r="E364" s="657"/>
      <c r="F364" s="655"/>
      <c r="G364" s="655"/>
      <c r="H364" s="661"/>
    </row>
    <row r="365">
      <c r="A365" s="655">
        <v>15.0</v>
      </c>
      <c r="B365" s="655"/>
      <c r="C365" s="655"/>
      <c r="D365" s="656"/>
      <c r="E365" s="657"/>
      <c r="F365" s="655"/>
      <c r="G365" s="655"/>
      <c r="H365" s="661"/>
    </row>
    <row r="366">
      <c r="A366" s="655">
        <v>16.0</v>
      </c>
      <c r="B366" s="655"/>
      <c r="C366" s="655"/>
      <c r="D366" s="656"/>
      <c r="E366" s="657"/>
      <c r="F366" s="655"/>
      <c r="G366" s="655"/>
      <c r="H366" s="661"/>
    </row>
    <row r="367">
      <c r="A367" s="655">
        <v>17.0</v>
      </c>
      <c r="B367" s="655"/>
      <c r="C367" s="655"/>
      <c r="D367" s="656"/>
      <c r="E367" s="657"/>
      <c r="F367" s="730"/>
      <c r="G367" s="655"/>
      <c r="H367" s="661"/>
    </row>
    <row r="368">
      <c r="A368" s="655">
        <v>18.0</v>
      </c>
      <c r="B368" s="655"/>
      <c r="C368" s="655"/>
      <c r="D368" s="656"/>
      <c r="E368" s="657"/>
      <c r="F368" s="730"/>
      <c r="G368" s="655"/>
      <c r="H368" s="661"/>
    </row>
    <row r="369">
      <c r="A369" s="655">
        <v>19.0</v>
      </c>
      <c r="B369" s="655"/>
      <c r="C369" s="655"/>
      <c r="D369" s="656"/>
      <c r="E369" s="657"/>
      <c r="F369" s="730"/>
      <c r="G369" s="655"/>
      <c r="H369" s="661"/>
    </row>
    <row r="370">
      <c r="A370" s="655">
        <v>20.0</v>
      </c>
      <c r="B370" s="655"/>
      <c r="C370" s="655"/>
      <c r="D370" s="656"/>
      <c r="E370" s="657"/>
      <c r="F370" s="730"/>
      <c r="G370" s="655"/>
      <c r="H370" s="661"/>
    </row>
    <row r="371">
      <c r="A371" s="655">
        <v>21.0</v>
      </c>
      <c r="B371" s="655"/>
      <c r="C371" s="655"/>
      <c r="D371" s="656"/>
      <c r="E371" s="657"/>
      <c r="F371" s="730"/>
      <c r="G371" s="655"/>
      <c r="H371" s="661"/>
    </row>
    <row r="372">
      <c r="A372" s="655">
        <v>22.0</v>
      </c>
      <c r="B372" s="655"/>
      <c r="C372" s="655"/>
      <c r="D372" s="656"/>
      <c r="E372" s="657"/>
      <c r="F372" s="730"/>
      <c r="G372" s="655"/>
      <c r="H372" s="661"/>
    </row>
    <row r="373">
      <c r="A373" s="655">
        <v>23.0</v>
      </c>
      <c r="B373" s="655"/>
      <c r="C373" s="655"/>
      <c r="D373" s="656"/>
      <c r="E373" s="657"/>
      <c r="F373" s="655"/>
      <c r="G373" s="655"/>
      <c r="H373" s="661"/>
    </row>
    <row r="374">
      <c r="A374" s="655">
        <v>24.0</v>
      </c>
      <c r="B374" s="655"/>
      <c r="C374" s="655"/>
      <c r="D374" s="656"/>
      <c r="E374" s="657"/>
      <c r="F374" s="730"/>
      <c r="G374" s="655"/>
      <c r="H374" s="661"/>
    </row>
    <row r="375">
      <c r="A375" s="655">
        <v>25.0</v>
      </c>
      <c r="B375" s="655"/>
      <c r="C375" s="655"/>
      <c r="D375" s="656"/>
      <c r="E375" s="657"/>
      <c r="F375" s="730"/>
      <c r="G375" s="655"/>
      <c r="H375" s="661"/>
    </row>
    <row r="376">
      <c r="A376" s="655">
        <v>26.0</v>
      </c>
      <c r="B376" s="655"/>
      <c r="C376" s="655"/>
      <c r="D376" s="656"/>
      <c r="E376" s="657"/>
      <c r="F376" s="655"/>
      <c r="G376" s="655"/>
      <c r="H376" s="659"/>
    </row>
    <row r="377">
      <c r="A377" s="655">
        <v>27.0</v>
      </c>
      <c r="B377" s="655"/>
      <c r="C377" s="655"/>
      <c r="D377" s="656"/>
      <c r="E377" s="657"/>
      <c r="F377" s="655"/>
      <c r="G377" s="655"/>
      <c r="H377" s="659"/>
    </row>
    <row r="378">
      <c r="A378" s="655">
        <v>28.0</v>
      </c>
      <c r="B378" s="655"/>
      <c r="C378" s="655"/>
      <c r="D378" s="656"/>
      <c r="E378" s="657"/>
      <c r="F378" s="655"/>
      <c r="G378" s="655"/>
      <c r="H378" s="659"/>
    </row>
    <row r="379">
      <c r="A379" s="732" t="s">
        <v>1562</v>
      </c>
      <c r="B379" s="3"/>
      <c r="C379" s="689">
        <f>sum(C351:C378)</f>
        <v>3</v>
      </c>
      <c r="D379" s="721">
        <f>sum(D351:D375)</f>
        <v>163.2</v>
      </c>
      <c r="E379" s="669">
        <f>sum(E352:E378)</f>
        <v>3</v>
      </c>
      <c r="F379" s="689"/>
      <c r="G379" s="731"/>
      <c r="H379" s="731"/>
    </row>
    <row r="380">
      <c r="A380" s="689"/>
      <c r="B380" s="689"/>
      <c r="C380" s="689"/>
      <c r="D380" s="689"/>
      <c r="E380" s="689"/>
      <c r="F380" s="689"/>
      <c r="G380" s="689"/>
      <c r="H380" s="689"/>
    </row>
    <row r="381">
      <c r="A381" s="689"/>
      <c r="B381" s="689"/>
      <c r="C381" s="689"/>
      <c r="D381" s="689"/>
      <c r="E381" s="689"/>
      <c r="F381" s="689"/>
      <c r="G381" s="689"/>
      <c r="H381" s="689"/>
    </row>
    <row r="382">
      <c r="A382" s="649" t="s">
        <v>5708</v>
      </c>
      <c r="B382" s="2"/>
      <c r="C382" s="2"/>
      <c r="D382" s="2"/>
      <c r="E382" s="2"/>
      <c r="F382" s="2"/>
      <c r="G382" s="2"/>
      <c r="H382" s="3"/>
    </row>
    <row r="383">
      <c r="A383" s="690" t="s">
        <v>1435</v>
      </c>
      <c r="B383" s="690" t="s">
        <v>1436</v>
      </c>
      <c r="C383" s="690" t="s">
        <v>1843</v>
      </c>
      <c r="D383" s="693" t="s">
        <v>1438</v>
      </c>
      <c r="E383" s="694" t="s">
        <v>1564</v>
      </c>
      <c r="F383" s="690" t="s">
        <v>1440</v>
      </c>
      <c r="G383" s="690" t="s">
        <v>1844</v>
      </c>
      <c r="H383" s="695" t="s">
        <v>1441</v>
      </c>
    </row>
    <row r="384">
      <c r="A384" s="658">
        <v>1.0</v>
      </c>
      <c r="B384" s="658" t="s">
        <v>1443</v>
      </c>
      <c r="C384" s="658">
        <v>1.0</v>
      </c>
      <c r="D384" s="678">
        <v>150.0</v>
      </c>
      <c r="E384" s="669"/>
      <c r="F384" s="689"/>
      <c r="G384" s="658" t="s">
        <v>1554</v>
      </c>
      <c r="H384" s="731"/>
    </row>
    <row r="385">
      <c r="A385" s="658">
        <v>2.0</v>
      </c>
      <c r="B385" s="689" t="s">
        <v>3673</v>
      </c>
      <c r="C385" s="689">
        <v>1.0</v>
      </c>
      <c r="D385" s="721">
        <v>5.0</v>
      </c>
      <c r="E385" s="669">
        <v>1.0</v>
      </c>
      <c r="F385" s="689" t="s">
        <v>1518</v>
      </c>
      <c r="G385" s="658" t="s">
        <v>1554</v>
      </c>
      <c r="H385" s="731">
        <v>45141.0</v>
      </c>
    </row>
    <row r="386">
      <c r="A386" s="658">
        <v>3.0</v>
      </c>
      <c r="B386" s="658" t="s">
        <v>3996</v>
      </c>
      <c r="C386" s="658">
        <v>2.0</v>
      </c>
      <c r="D386" s="678">
        <v>8.2</v>
      </c>
      <c r="E386" s="676">
        <v>2.0</v>
      </c>
      <c r="F386" s="689"/>
      <c r="G386" s="658" t="s">
        <v>1554</v>
      </c>
      <c r="H386" s="696">
        <v>45275.0</v>
      </c>
    </row>
    <row r="387">
      <c r="A387" s="658">
        <v>4.0</v>
      </c>
      <c r="B387" s="658"/>
      <c r="C387" s="658"/>
      <c r="D387" s="678"/>
      <c r="E387" s="676"/>
      <c r="F387" s="689"/>
      <c r="G387" s="658"/>
      <c r="H387" s="696"/>
    </row>
    <row r="388">
      <c r="A388" s="658">
        <v>5.0</v>
      </c>
      <c r="B388" s="658"/>
      <c r="C388" s="658"/>
      <c r="D388" s="678"/>
      <c r="E388" s="676"/>
      <c r="F388" s="689"/>
      <c r="G388" s="658"/>
      <c r="H388" s="696"/>
    </row>
    <row r="389">
      <c r="A389" s="658">
        <v>6.0</v>
      </c>
      <c r="B389" s="658"/>
      <c r="C389" s="658"/>
      <c r="D389" s="678"/>
      <c r="E389" s="676"/>
      <c r="F389" s="689"/>
      <c r="G389" s="658"/>
      <c r="H389" s="696"/>
    </row>
    <row r="390">
      <c r="A390" s="658">
        <v>7.0</v>
      </c>
      <c r="B390" s="658"/>
      <c r="C390" s="658"/>
      <c r="D390" s="678"/>
      <c r="E390" s="676"/>
      <c r="F390" s="689"/>
      <c r="G390" s="658"/>
      <c r="H390" s="696"/>
    </row>
    <row r="391">
      <c r="A391" s="658">
        <v>8.0</v>
      </c>
      <c r="B391" s="658"/>
      <c r="C391" s="658"/>
      <c r="D391" s="678"/>
      <c r="E391" s="676"/>
      <c r="F391" s="689"/>
      <c r="G391" s="658"/>
      <c r="H391" s="696"/>
    </row>
    <row r="392">
      <c r="A392" s="658">
        <v>9.0</v>
      </c>
      <c r="B392" s="658"/>
      <c r="C392" s="658"/>
      <c r="D392" s="678"/>
      <c r="E392" s="676"/>
      <c r="F392" s="689"/>
      <c r="G392" s="658"/>
      <c r="H392" s="696"/>
    </row>
    <row r="393">
      <c r="A393" s="658">
        <v>10.0</v>
      </c>
      <c r="B393" s="658"/>
      <c r="C393" s="658"/>
      <c r="D393" s="678"/>
      <c r="E393" s="676"/>
      <c r="F393" s="689"/>
      <c r="G393" s="658"/>
      <c r="H393" s="696"/>
    </row>
    <row r="394">
      <c r="A394" s="658">
        <v>11.0</v>
      </c>
      <c r="B394" s="658"/>
      <c r="C394" s="658"/>
      <c r="D394" s="678"/>
      <c r="E394" s="676"/>
      <c r="F394" s="689"/>
      <c r="G394" s="658"/>
      <c r="H394" s="696"/>
    </row>
    <row r="395">
      <c r="A395" s="658">
        <v>12.0</v>
      </c>
      <c r="B395" s="658"/>
      <c r="C395" s="658"/>
      <c r="D395" s="678"/>
      <c r="E395" s="676"/>
      <c r="F395" s="730"/>
      <c r="G395" s="658"/>
      <c r="H395" s="696"/>
    </row>
    <row r="396">
      <c r="A396" s="658">
        <v>13.0</v>
      </c>
      <c r="B396" s="658"/>
      <c r="C396" s="658"/>
      <c r="D396" s="678"/>
      <c r="E396" s="676"/>
      <c r="F396" s="730"/>
      <c r="G396" s="658"/>
      <c r="H396" s="696"/>
    </row>
    <row r="397">
      <c r="A397" s="658">
        <v>14.0</v>
      </c>
      <c r="B397" s="658"/>
      <c r="C397" s="658"/>
      <c r="D397" s="678"/>
      <c r="E397" s="676"/>
      <c r="F397" s="730"/>
      <c r="G397" s="658"/>
      <c r="H397" s="696"/>
    </row>
    <row r="398">
      <c r="A398" s="689"/>
      <c r="B398" s="689"/>
      <c r="C398" s="689"/>
      <c r="D398" s="721"/>
      <c r="E398" s="669"/>
      <c r="F398" s="689"/>
      <c r="G398" s="731"/>
      <c r="H398" s="731"/>
    </row>
    <row r="399">
      <c r="A399" s="732" t="s">
        <v>1562</v>
      </c>
      <c r="B399" s="3"/>
      <c r="C399" s="689">
        <f t="shared" ref="C399:D399" si="16">sum(C384:C397)</f>
        <v>4</v>
      </c>
      <c r="D399" s="721">
        <f t="shared" si="16"/>
        <v>163.2</v>
      </c>
      <c r="E399" s="669">
        <f>SUM(E384:E397)</f>
        <v>3</v>
      </c>
      <c r="F399" s="689"/>
      <c r="G399" s="731"/>
      <c r="H399" s="731"/>
    </row>
    <row r="400">
      <c r="A400" s="689"/>
      <c r="B400" s="689"/>
      <c r="C400" s="689"/>
      <c r="D400" s="689"/>
      <c r="E400" s="689"/>
      <c r="F400" s="689"/>
      <c r="G400" s="689"/>
      <c r="H400" s="689"/>
    </row>
    <row r="401">
      <c r="A401" s="689"/>
      <c r="B401" s="689"/>
      <c r="C401" s="689"/>
      <c r="D401" s="689"/>
      <c r="E401" s="689"/>
      <c r="F401" s="689"/>
      <c r="G401" s="689"/>
      <c r="H401" s="689"/>
    </row>
    <row r="402">
      <c r="A402" s="649" t="s">
        <v>5709</v>
      </c>
      <c r="B402" s="2"/>
      <c r="C402" s="2"/>
      <c r="D402" s="2"/>
      <c r="E402" s="2"/>
      <c r="F402" s="2"/>
      <c r="G402" s="2"/>
      <c r="H402" s="3"/>
    </row>
    <row r="403">
      <c r="A403" s="690" t="s">
        <v>1435</v>
      </c>
      <c r="B403" s="690" t="s">
        <v>1436</v>
      </c>
      <c r="C403" s="690" t="s">
        <v>1843</v>
      </c>
      <c r="D403" s="693" t="s">
        <v>1438</v>
      </c>
      <c r="E403" s="694" t="s">
        <v>1564</v>
      </c>
      <c r="F403" s="690" t="s">
        <v>1440</v>
      </c>
      <c r="G403" s="690" t="s">
        <v>1844</v>
      </c>
      <c r="H403" s="695" t="s">
        <v>1441</v>
      </c>
    </row>
    <row r="404">
      <c r="A404" s="658">
        <v>1.0</v>
      </c>
      <c r="B404" s="658" t="s">
        <v>1443</v>
      </c>
      <c r="C404" s="658">
        <v>1.0</v>
      </c>
      <c r="D404" s="678">
        <v>150.0</v>
      </c>
      <c r="E404" s="669"/>
      <c r="F404" s="689"/>
      <c r="G404" s="658" t="s">
        <v>1554</v>
      </c>
      <c r="H404" s="731"/>
    </row>
    <row r="405">
      <c r="A405" s="658">
        <v>2.0</v>
      </c>
      <c r="B405" s="689" t="s">
        <v>3673</v>
      </c>
      <c r="C405" s="689">
        <v>1.0</v>
      </c>
      <c r="D405" s="721">
        <v>5.0</v>
      </c>
      <c r="E405" s="669">
        <v>1.0</v>
      </c>
      <c r="F405" s="689" t="s">
        <v>1518</v>
      </c>
      <c r="G405" s="658" t="s">
        <v>1554</v>
      </c>
      <c r="H405" s="731">
        <v>45141.0</v>
      </c>
    </row>
    <row r="406">
      <c r="A406" s="658">
        <v>3.0</v>
      </c>
      <c r="B406" s="658" t="s">
        <v>3996</v>
      </c>
      <c r="C406" s="658">
        <v>2.0</v>
      </c>
      <c r="D406" s="678">
        <v>8.2</v>
      </c>
      <c r="E406" s="669"/>
      <c r="F406" s="689"/>
      <c r="G406" s="658" t="s">
        <v>1554</v>
      </c>
      <c r="H406" s="731"/>
    </row>
    <row r="407">
      <c r="A407" s="655">
        <v>4.0</v>
      </c>
      <c r="B407" s="655"/>
      <c r="C407" s="655"/>
      <c r="D407" s="656"/>
      <c r="E407" s="657"/>
      <c r="F407" s="655"/>
      <c r="G407" s="655"/>
      <c r="H407" s="659"/>
    </row>
    <row r="408">
      <c r="A408" s="658">
        <v>5.0</v>
      </c>
      <c r="B408" s="658"/>
      <c r="C408" s="658"/>
      <c r="D408" s="656"/>
      <c r="E408" s="676"/>
      <c r="F408" s="655"/>
      <c r="G408" s="658"/>
      <c r="H408" s="696"/>
    </row>
    <row r="409">
      <c r="A409" s="655">
        <v>6.0</v>
      </c>
      <c r="B409" s="542"/>
      <c r="C409" s="655"/>
      <c r="D409" s="656"/>
      <c r="E409" s="657"/>
      <c r="F409" s="542"/>
      <c r="G409" s="658"/>
      <c r="H409" s="661"/>
    </row>
    <row r="410">
      <c r="A410" s="655">
        <v>7.0</v>
      </c>
      <c r="B410" s="542"/>
      <c r="C410" s="655"/>
      <c r="D410" s="656"/>
      <c r="E410" s="657"/>
      <c r="F410" s="542"/>
      <c r="G410" s="658"/>
      <c r="H410" s="661"/>
    </row>
    <row r="411">
      <c r="A411" s="655">
        <v>8.0</v>
      </c>
      <c r="B411" s="655"/>
      <c r="C411" s="655"/>
      <c r="D411" s="656"/>
      <c r="E411" s="657"/>
      <c r="F411" s="542"/>
      <c r="G411" s="658"/>
      <c r="H411" s="661"/>
    </row>
    <row r="412">
      <c r="A412" s="655">
        <v>9.0</v>
      </c>
      <c r="B412" s="655"/>
      <c r="C412" s="655"/>
      <c r="D412" s="656"/>
      <c r="E412" s="657"/>
      <c r="F412" s="542"/>
      <c r="G412" s="658"/>
      <c r="H412" s="661"/>
    </row>
    <row r="413">
      <c r="A413" s="655">
        <v>11.0</v>
      </c>
      <c r="B413" s="655"/>
      <c r="C413" s="655"/>
      <c r="D413" s="656"/>
      <c r="E413" s="657"/>
      <c r="F413" s="542"/>
      <c r="G413" s="658"/>
      <c r="H413" s="661"/>
    </row>
    <row r="414">
      <c r="A414" s="655">
        <v>12.0</v>
      </c>
      <c r="B414" s="542"/>
      <c r="C414" s="655"/>
      <c r="D414" s="656"/>
      <c r="E414" s="657"/>
      <c r="F414" s="542"/>
      <c r="G414" s="658"/>
      <c r="H414" s="661"/>
    </row>
    <row r="415">
      <c r="A415" s="689"/>
      <c r="B415" s="689"/>
      <c r="C415" s="689"/>
      <c r="D415" s="721"/>
      <c r="E415" s="669"/>
      <c r="F415" s="689"/>
      <c r="G415" s="731"/>
      <c r="H415" s="658"/>
    </row>
    <row r="416">
      <c r="A416" s="689"/>
      <c r="B416" s="689"/>
      <c r="C416" s="689"/>
      <c r="D416" s="721"/>
      <c r="E416" s="669"/>
      <c r="F416" s="689"/>
      <c r="G416" s="731"/>
      <c r="H416" s="731"/>
    </row>
    <row r="417">
      <c r="A417" s="732" t="s">
        <v>1562</v>
      </c>
      <c r="B417" s="3"/>
      <c r="C417" s="689">
        <f t="shared" ref="C417:D417" si="17">sum(C404:C414)</f>
        <v>4</v>
      </c>
      <c r="D417" s="721">
        <f t="shared" si="17"/>
        <v>163.2</v>
      </c>
      <c r="E417" s="669">
        <f>sum(E405:E414)</f>
        <v>1</v>
      </c>
      <c r="F417" s="689"/>
      <c r="G417" s="731"/>
      <c r="H417" s="731"/>
    </row>
    <row r="418">
      <c r="A418" s="689"/>
      <c r="B418" s="689"/>
      <c r="C418" s="689"/>
      <c r="D418" s="689"/>
      <c r="E418" s="689"/>
      <c r="F418" s="689"/>
      <c r="G418" s="689"/>
      <c r="H418" s="689"/>
    </row>
    <row r="419">
      <c r="A419" s="689"/>
      <c r="B419" s="689"/>
      <c r="C419" s="689"/>
      <c r="D419" s="689"/>
      <c r="E419" s="689"/>
      <c r="F419" s="689"/>
      <c r="G419" s="689"/>
      <c r="H419" s="689"/>
    </row>
    <row r="420">
      <c r="A420" s="689"/>
      <c r="B420" s="689"/>
      <c r="C420" s="689"/>
      <c r="D420" s="689"/>
      <c r="E420" s="689"/>
      <c r="F420" s="689"/>
      <c r="G420" s="689"/>
      <c r="H420" s="689"/>
    </row>
    <row r="421">
      <c r="A421" s="699" t="s">
        <v>5710</v>
      </c>
      <c r="B421" s="2"/>
      <c r="C421" s="2"/>
      <c r="D421" s="2"/>
      <c r="E421" s="2"/>
      <c r="F421" s="2"/>
      <c r="G421" s="2"/>
      <c r="H421" s="3"/>
    </row>
    <row r="422">
      <c r="A422" s="738" t="s">
        <v>1435</v>
      </c>
      <c r="B422" s="738" t="s">
        <v>1436</v>
      </c>
      <c r="C422" s="738" t="s">
        <v>1843</v>
      </c>
      <c r="D422" s="702" t="s">
        <v>1438</v>
      </c>
      <c r="E422" s="703" t="s">
        <v>1564</v>
      </c>
      <c r="F422" s="738" t="s">
        <v>1440</v>
      </c>
      <c r="G422" s="738" t="s">
        <v>1844</v>
      </c>
      <c r="H422" s="704" t="s">
        <v>1441</v>
      </c>
    </row>
    <row r="423">
      <c r="A423" s="739">
        <v>1.0</v>
      </c>
      <c r="B423" s="739" t="s">
        <v>1443</v>
      </c>
      <c r="C423" s="739">
        <v>1.0</v>
      </c>
      <c r="D423" s="740">
        <v>150.0</v>
      </c>
      <c r="E423" s="709"/>
      <c r="F423" s="739" t="s">
        <v>1518</v>
      </c>
      <c r="G423" s="87" t="s">
        <v>1446</v>
      </c>
      <c r="H423" s="741"/>
    </row>
    <row r="424">
      <c r="A424" s="739">
        <v>2.0</v>
      </c>
      <c r="B424" s="739" t="s">
        <v>3673</v>
      </c>
      <c r="C424" s="739">
        <v>1.0</v>
      </c>
      <c r="D424" s="740">
        <v>5.0</v>
      </c>
      <c r="E424" s="709">
        <v>1.0</v>
      </c>
      <c r="F424" s="739" t="s">
        <v>1518</v>
      </c>
      <c r="G424" s="87" t="s">
        <v>1446</v>
      </c>
      <c r="H424" s="741">
        <v>45141.0</v>
      </c>
    </row>
    <row r="425">
      <c r="A425" s="739">
        <v>3.0</v>
      </c>
      <c r="B425" s="739" t="s">
        <v>1444</v>
      </c>
      <c r="C425" s="739">
        <v>2.0</v>
      </c>
      <c r="D425" s="740">
        <f>C425*3.2</f>
        <v>6.4</v>
      </c>
      <c r="E425" s="709"/>
      <c r="F425" s="739"/>
      <c r="G425" s="87" t="s">
        <v>1446</v>
      </c>
      <c r="H425" s="741">
        <v>45141.0</v>
      </c>
    </row>
    <row r="426">
      <c r="A426" s="97">
        <v>4.0</v>
      </c>
      <c r="B426" s="97"/>
      <c r="C426" s="97"/>
      <c r="D426" s="742"/>
      <c r="E426" s="743"/>
      <c r="F426" s="97"/>
      <c r="G426" s="97"/>
      <c r="H426" s="708"/>
    </row>
    <row r="427">
      <c r="A427" s="97">
        <v>5.0</v>
      </c>
      <c r="B427" s="97"/>
      <c r="C427" s="97"/>
      <c r="D427" s="742"/>
      <c r="E427" s="748"/>
      <c r="F427" s="97"/>
      <c r="G427" s="97"/>
      <c r="H427" s="1069"/>
    </row>
    <row r="428">
      <c r="A428" s="97">
        <v>6.0</v>
      </c>
      <c r="B428" s="97"/>
      <c r="C428" s="97"/>
      <c r="D428" s="742"/>
      <c r="E428" s="748"/>
      <c r="F428" s="97"/>
      <c r="G428" s="97"/>
      <c r="H428" s="708"/>
    </row>
    <row r="429">
      <c r="A429" s="68">
        <v>28.0</v>
      </c>
      <c r="B429" s="68"/>
      <c r="C429" s="68"/>
      <c r="D429" s="69"/>
      <c r="E429" s="70"/>
      <c r="F429" s="749"/>
      <c r="G429" s="87"/>
      <c r="H429" s="72"/>
    </row>
    <row r="430">
      <c r="A430" s="750" t="s">
        <v>1562</v>
      </c>
      <c r="B430" s="3"/>
      <c r="C430" s="739">
        <f t="shared" ref="C430:E430" si="18">sum(C423:C428)</f>
        <v>4</v>
      </c>
      <c r="D430" s="740">
        <f t="shared" si="18"/>
        <v>161.4</v>
      </c>
      <c r="E430" s="709">
        <f t="shared" si="18"/>
        <v>1</v>
      </c>
      <c r="F430" s="739"/>
      <c r="G430" s="87"/>
      <c r="H430" s="741"/>
    </row>
    <row r="431">
      <c r="A431" s="712"/>
      <c r="B431" s="712"/>
      <c r="C431" s="712"/>
      <c r="D431" s="712"/>
      <c r="E431" s="712"/>
      <c r="F431" s="712"/>
      <c r="G431" s="712"/>
      <c r="H431" s="712"/>
    </row>
    <row r="432">
      <c r="A432" s="712"/>
      <c r="B432" s="712"/>
      <c r="C432" s="712"/>
      <c r="D432" s="712"/>
      <c r="E432" s="712"/>
      <c r="F432" s="712"/>
      <c r="G432" s="712"/>
      <c r="H432" s="712"/>
    </row>
    <row r="433">
      <c r="A433" s="649" t="s">
        <v>5711</v>
      </c>
      <c r="B433" s="2"/>
      <c r="C433" s="2"/>
      <c r="D433" s="2"/>
      <c r="E433" s="2"/>
      <c r="F433" s="2"/>
      <c r="G433" s="2"/>
      <c r="H433" s="3"/>
    </row>
    <row r="434">
      <c r="A434" s="690" t="s">
        <v>1435</v>
      </c>
      <c r="B434" s="690" t="s">
        <v>1436</v>
      </c>
      <c r="C434" s="690" t="s">
        <v>1843</v>
      </c>
      <c r="D434" s="693" t="s">
        <v>1438</v>
      </c>
      <c r="E434" s="694" t="s">
        <v>1564</v>
      </c>
      <c r="F434" s="690" t="s">
        <v>1440</v>
      </c>
      <c r="G434" s="690" t="s">
        <v>1844</v>
      </c>
      <c r="H434" s="695" t="s">
        <v>1441</v>
      </c>
    </row>
    <row r="435">
      <c r="A435" s="689">
        <v>1.0</v>
      </c>
      <c r="B435" s="689" t="s">
        <v>1443</v>
      </c>
      <c r="C435" s="689">
        <v>1.0</v>
      </c>
      <c r="D435" s="678">
        <v>150.0</v>
      </c>
      <c r="E435" s="669">
        <v>1.0</v>
      </c>
      <c r="F435" s="689" t="s">
        <v>1518</v>
      </c>
      <c r="G435" s="658" t="s">
        <v>1554</v>
      </c>
      <c r="H435" s="731"/>
    </row>
    <row r="436">
      <c r="A436" s="689">
        <v>2.0</v>
      </c>
      <c r="B436" s="689" t="s">
        <v>3673</v>
      </c>
      <c r="C436" s="689">
        <v>1.0</v>
      </c>
      <c r="D436" s="721">
        <v>5.0</v>
      </c>
      <c r="E436" s="669">
        <v>1.0</v>
      </c>
      <c r="F436" s="689" t="s">
        <v>1518</v>
      </c>
      <c r="G436" s="658" t="s">
        <v>1554</v>
      </c>
      <c r="H436" s="731">
        <v>45141.0</v>
      </c>
    </row>
    <row r="437">
      <c r="A437" s="689">
        <v>3.0</v>
      </c>
      <c r="B437" s="658" t="s">
        <v>1444</v>
      </c>
      <c r="C437" s="658">
        <v>2.0</v>
      </c>
      <c r="D437" s="678">
        <f>C437*3.2</f>
        <v>6.4</v>
      </c>
      <c r="E437" s="669"/>
      <c r="F437" s="689"/>
      <c r="G437" s="689"/>
      <c r="H437" s="731"/>
    </row>
    <row r="438">
      <c r="A438" s="730">
        <v>4.0</v>
      </c>
      <c r="B438" s="655"/>
      <c r="C438" s="655"/>
      <c r="D438" s="656"/>
      <c r="E438" s="657"/>
      <c r="F438" s="655"/>
      <c r="G438" s="655"/>
      <c r="H438" s="661"/>
    </row>
    <row r="439">
      <c r="A439" s="730">
        <v>5.0</v>
      </c>
      <c r="B439" s="655"/>
      <c r="C439" s="655"/>
      <c r="D439" s="656"/>
      <c r="E439" s="657"/>
      <c r="F439" s="655"/>
      <c r="G439" s="655"/>
      <c r="H439" s="661"/>
    </row>
    <row r="440">
      <c r="A440" s="730">
        <v>6.0</v>
      </c>
      <c r="B440" s="655"/>
      <c r="C440" s="655"/>
      <c r="D440" s="656"/>
      <c r="E440" s="657"/>
      <c r="F440" s="655"/>
      <c r="G440" s="655"/>
      <c r="H440" s="661"/>
    </row>
    <row r="441">
      <c r="A441" s="730">
        <v>7.0</v>
      </c>
      <c r="B441" s="655"/>
      <c r="C441" s="655"/>
      <c r="D441" s="656"/>
      <c r="E441" s="657"/>
      <c r="F441" s="655"/>
      <c r="G441" s="655"/>
      <c r="H441" s="661"/>
    </row>
    <row r="442">
      <c r="A442" s="732" t="s">
        <v>1562</v>
      </c>
      <c r="B442" s="3"/>
      <c r="C442" s="689">
        <f t="shared" ref="C442:E442" si="19">sum(C435:C441)</f>
        <v>4</v>
      </c>
      <c r="D442" s="721">
        <f t="shared" si="19"/>
        <v>161.4</v>
      </c>
      <c r="E442" s="669">
        <f t="shared" si="19"/>
        <v>2</v>
      </c>
      <c r="F442" s="689"/>
      <c r="G442" s="731"/>
      <c r="H442" s="731"/>
    </row>
    <row r="443">
      <c r="A443" s="689"/>
      <c r="B443" s="689"/>
      <c r="C443" s="689"/>
      <c r="D443" s="689"/>
      <c r="E443" s="689"/>
      <c r="F443" s="689"/>
      <c r="G443" s="689"/>
      <c r="H443" s="689"/>
    </row>
    <row r="444">
      <c r="A444" s="689"/>
      <c r="B444" s="689"/>
      <c r="C444" s="689"/>
      <c r="D444" s="689"/>
      <c r="E444" s="689"/>
      <c r="F444" s="689"/>
      <c r="G444" s="689"/>
      <c r="H444" s="689"/>
    </row>
    <row r="445">
      <c r="A445" s="649" t="s">
        <v>5712</v>
      </c>
      <c r="B445" s="2"/>
      <c r="C445" s="2"/>
      <c r="D445" s="2"/>
      <c r="E445" s="2"/>
      <c r="F445" s="2"/>
      <c r="G445" s="2"/>
      <c r="H445" s="3"/>
    </row>
    <row r="446">
      <c r="A446" s="690" t="s">
        <v>1435</v>
      </c>
      <c r="B446" s="690" t="s">
        <v>1436</v>
      </c>
      <c r="C446" s="690" t="s">
        <v>1843</v>
      </c>
      <c r="D446" s="693" t="s">
        <v>1438</v>
      </c>
      <c r="E446" s="694" t="s">
        <v>1564</v>
      </c>
      <c r="F446" s="690" t="s">
        <v>1440</v>
      </c>
      <c r="G446" s="690" t="s">
        <v>1844</v>
      </c>
      <c r="H446" s="695" t="s">
        <v>1441</v>
      </c>
    </row>
    <row r="447">
      <c r="A447" s="689">
        <v>1.0</v>
      </c>
      <c r="B447" s="689" t="s">
        <v>1443</v>
      </c>
      <c r="C447" s="689">
        <v>1.0</v>
      </c>
      <c r="D447" s="678">
        <v>150.0</v>
      </c>
      <c r="E447" s="669"/>
      <c r="F447" s="689" t="s">
        <v>1518</v>
      </c>
      <c r="G447" s="658" t="s">
        <v>1554</v>
      </c>
      <c r="H447" s="731"/>
    </row>
    <row r="448">
      <c r="A448" s="689">
        <v>2.0</v>
      </c>
      <c r="B448" s="689" t="s">
        <v>3673</v>
      </c>
      <c r="C448" s="689">
        <v>1.0</v>
      </c>
      <c r="D448" s="721">
        <v>5.0</v>
      </c>
      <c r="E448" s="669">
        <v>1.0</v>
      </c>
      <c r="F448" s="689" t="s">
        <v>1518</v>
      </c>
      <c r="G448" s="658" t="s">
        <v>1446</v>
      </c>
      <c r="H448" s="731">
        <v>45141.0</v>
      </c>
    </row>
    <row r="449">
      <c r="A449" s="689">
        <v>3.0</v>
      </c>
      <c r="B449" s="658" t="s">
        <v>1444</v>
      </c>
      <c r="C449" s="658">
        <v>2.0</v>
      </c>
      <c r="D449" s="678">
        <f>C449*3.2</f>
        <v>6.4</v>
      </c>
      <c r="E449" s="669"/>
      <c r="F449" s="689"/>
      <c r="G449" s="658" t="s">
        <v>1446</v>
      </c>
      <c r="H449" s="679">
        <v>45141.0</v>
      </c>
    </row>
    <row r="450">
      <c r="A450" s="689">
        <v>4.0</v>
      </c>
      <c r="B450" s="655"/>
      <c r="C450" s="655"/>
      <c r="D450" s="656"/>
      <c r="E450" s="657"/>
      <c r="F450" s="730"/>
      <c r="G450" s="655"/>
      <c r="H450" s="661"/>
    </row>
    <row r="451">
      <c r="A451" s="689">
        <v>5.0</v>
      </c>
      <c r="B451" s="655"/>
      <c r="C451" s="655"/>
      <c r="D451" s="656"/>
      <c r="E451" s="657"/>
      <c r="F451" s="730"/>
      <c r="G451" s="655"/>
      <c r="H451" s="661"/>
    </row>
    <row r="452">
      <c r="A452" s="689">
        <v>6.0</v>
      </c>
      <c r="B452" s="655"/>
      <c r="C452" s="655"/>
      <c r="D452" s="656"/>
      <c r="E452" s="657"/>
      <c r="F452" s="730"/>
      <c r="G452" s="655"/>
      <c r="H452" s="661"/>
    </row>
    <row r="453">
      <c r="A453" s="689">
        <v>7.0</v>
      </c>
      <c r="B453" s="655"/>
      <c r="C453" s="655"/>
      <c r="D453" s="656"/>
      <c r="E453" s="657"/>
      <c r="F453" s="730"/>
      <c r="G453" s="655"/>
      <c r="H453" s="661"/>
    </row>
    <row r="454">
      <c r="A454" s="689">
        <v>8.0</v>
      </c>
      <c r="B454" s="655"/>
      <c r="C454" s="655"/>
      <c r="D454" s="656"/>
      <c r="E454" s="657"/>
      <c r="F454" s="730"/>
      <c r="G454" s="655"/>
      <c r="H454" s="661"/>
    </row>
    <row r="455">
      <c r="A455" s="689">
        <v>9.0</v>
      </c>
      <c r="B455" s="655"/>
      <c r="C455" s="655"/>
      <c r="D455" s="656"/>
      <c r="E455" s="657"/>
      <c r="F455" s="730"/>
      <c r="G455" s="655"/>
      <c r="H455" s="661"/>
    </row>
    <row r="456">
      <c r="A456" s="689">
        <v>10.0</v>
      </c>
      <c r="B456" s="655"/>
      <c r="C456" s="655"/>
      <c r="D456" s="656"/>
      <c r="E456" s="657"/>
      <c r="F456" s="655"/>
      <c r="G456" s="655"/>
      <c r="H456" s="661"/>
    </row>
    <row r="457">
      <c r="A457" s="689">
        <v>11.0</v>
      </c>
      <c r="B457" s="655"/>
      <c r="C457" s="655"/>
      <c r="D457" s="1062"/>
      <c r="E457" s="657"/>
      <c r="F457" s="655"/>
      <c r="G457" s="655"/>
      <c r="H457" s="661"/>
    </row>
    <row r="458">
      <c r="A458" s="730">
        <v>12.0</v>
      </c>
      <c r="B458" s="655"/>
      <c r="C458" s="655"/>
      <c r="D458" s="656"/>
      <c r="E458" s="657"/>
      <c r="F458" s="655"/>
      <c r="G458" s="655"/>
      <c r="H458" s="661"/>
    </row>
    <row r="459">
      <c r="A459" s="658">
        <v>13.0</v>
      </c>
      <c r="B459" s="758"/>
      <c r="C459" s="758"/>
      <c r="D459" s="346"/>
      <c r="E459" s="337"/>
      <c r="F459" s="758"/>
      <c r="G459" s="345"/>
      <c r="H459" s="1070"/>
    </row>
    <row r="460">
      <c r="A460" s="658">
        <v>14.0</v>
      </c>
      <c r="B460" s="345"/>
      <c r="C460" s="345"/>
      <c r="D460" s="757"/>
      <c r="E460" s="347"/>
      <c r="F460" s="758"/>
      <c r="G460" s="338"/>
      <c r="H460" s="759"/>
    </row>
    <row r="461">
      <c r="A461" s="658">
        <v>15.0</v>
      </c>
      <c r="B461" s="345"/>
      <c r="C461" s="345"/>
      <c r="D461" s="757"/>
      <c r="E461" s="347"/>
      <c r="F461" s="758"/>
      <c r="G461" s="338"/>
      <c r="H461" s="759"/>
    </row>
    <row r="462">
      <c r="A462" s="658">
        <v>16.0</v>
      </c>
      <c r="B462" s="345"/>
      <c r="C462" s="345"/>
      <c r="D462" s="757"/>
      <c r="E462" s="347"/>
      <c r="F462" s="758"/>
      <c r="G462" s="338"/>
      <c r="H462" s="759"/>
    </row>
    <row r="463">
      <c r="A463" s="658">
        <v>17.0</v>
      </c>
      <c r="B463" s="345"/>
      <c r="C463" s="345"/>
      <c r="D463" s="757"/>
      <c r="E463" s="347"/>
      <c r="F463" s="758"/>
      <c r="G463" s="338"/>
      <c r="H463" s="759"/>
    </row>
    <row r="464">
      <c r="A464" s="658">
        <v>18.0</v>
      </c>
      <c r="B464" s="345"/>
      <c r="C464" s="345"/>
      <c r="D464" s="757"/>
      <c r="E464" s="347"/>
      <c r="F464" s="758"/>
      <c r="G464" s="338"/>
      <c r="H464" s="759"/>
    </row>
    <row r="465">
      <c r="A465" s="882" t="s">
        <v>1562</v>
      </c>
      <c r="B465" s="291"/>
      <c r="C465" s="797">
        <f t="shared" ref="C465:E465" si="20">sum(C447:C458)</f>
        <v>4</v>
      </c>
      <c r="D465" s="798">
        <f t="shared" si="20"/>
        <v>161.4</v>
      </c>
      <c r="E465" s="799">
        <f t="shared" si="20"/>
        <v>1</v>
      </c>
      <c r="F465" s="797"/>
      <c r="G465" s="881"/>
      <c r="H465" s="881"/>
    </row>
    <row r="466">
      <c r="A466" s="712"/>
      <c r="B466" s="712"/>
      <c r="C466" s="712"/>
      <c r="D466" s="712"/>
      <c r="E466" s="712"/>
      <c r="F466" s="712"/>
      <c r="G466" s="712"/>
      <c r="H466" s="712"/>
    </row>
    <row r="467">
      <c r="A467" s="885"/>
      <c r="B467" s="886"/>
      <c r="C467" s="886"/>
      <c r="D467" s="886"/>
      <c r="E467" s="886"/>
      <c r="F467" s="886"/>
      <c r="G467" s="886"/>
      <c r="H467" s="887"/>
    </row>
    <row r="468">
      <c r="A468" s="649" t="s">
        <v>5713</v>
      </c>
      <c r="B468" s="2"/>
      <c r="C468" s="2"/>
      <c r="D468" s="2"/>
      <c r="E468" s="2"/>
      <c r="F468" s="2"/>
      <c r="G468" s="2"/>
      <c r="H468" s="3"/>
    </row>
    <row r="469">
      <c r="A469" s="690" t="s">
        <v>1435</v>
      </c>
      <c r="B469" s="690" t="s">
        <v>1436</v>
      </c>
      <c r="C469" s="690" t="s">
        <v>1843</v>
      </c>
      <c r="D469" s="693" t="s">
        <v>1438</v>
      </c>
      <c r="E469" s="694" t="s">
        <v>1564</v>
      </c>
      <c r="F469" s="690" t="s">
        <v>1440</v>
      </c>
      <c r="G469" s="690" t="s">
        <v>1844</v>
      </c>
      <c r="H469" s="695" t="s">
        <v>1441</v>
      </c>
    </row>
    <row r="470">
      <c r="A470" s="689">
        <v>1.0</v>
      </c>
      <c r="B470" s="689" t="s">
        <v>1443</v>
      </c>
      <c r="C470" s="689">
        <v>1.0</v>
      </c>
      <c r="D470" s="678">
        <v>150.0</v>
      </c>
      <c r="E470" s="669"/>
      <c r="F470" s="689"/>
      <c r="G470" s="658" t="s">
        <v>1554</v>
      </c>
      <c r="H470" s="731"/>
    </row>
    <row r="471">
      <c r="A471" s="689">
        <v>2.0</v>
      </c>
      <c r="B471" s="689" t="s">
        <v>3673</v>
      </c>
      <c r="C471" s="689">
        <v>1.0</v>
      </c>
      <c r="D471" s="721">
        <v>5.0</v>
      </c>
      <c r="E471" s="669">
        <v>1.0</v>
      </c>
      <c r="F471" s="689" t="s">
        <v>1518</v>
      </c>
      <c r="G471" s="658" t="s">
        <v>1446</v>
      </c>
      <c r="H471" s="731">
        <v>45141.0</v>
      </c>
    </row>
    <row r="472">
      <c r="A472" s="689">
        <v>3.0</v>
      </c>
      <c r="B472" s="658" t="s">
        <v>1444</v>
      </c>
      <c r="C472" s="658">
        <v>2.0</v>
      </c>
      <c r="D472" s="678">
        <f>C472*3.2</f>
        <v>6.4</v>
      </c>
      <c r="E472" s="669"/>
      <c r="F472" s="689"/>
      <c r="G472" s="658" t="s">
        <v>1446</v>
      </c>
      <c r="H472" s="731"/>
    </row>
    <row r="473">
      <c r="A473" s="730">
        <v>4.0</v>
      </c>
      <c r="B473" s="655"/>
      <c r="C473" s="655"/>
      <c r="D473" s="656"/>
      <c r="E473" s="657"/>
      <c r="F473" s="655"/>
      <c r="G473" s="655"/>
      <c r="H473" s="661"/>
    </row>
    <row r="474">
      <c r="A474" s="730">
        <v>5.0</v>
      </c>
      <c r="B474" s="655"/>
      <c r="C474" s="655"/>
      <c r="D474" s="656"/>
      <c r="E474" s="657"/>
      <c r="F474" s="655"/>
      <c r="G474" s="655"/>
      <c r="H474" s="661"/>
    </row>
    <row r="475">
      <c r="A475" s="730">
        <v>6.0</v>
      </c>
      <c r="B475" s="655"/>
      <c r="C475" s="655"/>
      <c r="D475" s="656"/>
      <c r="E475" s="657"/>
      <c r="F475" s="655"/>
      <c r="G475" s="655"/>
      <c r="H475" s="661"/>
    </row>
    <row r="476">
      <c r="A476" s="730">
        <v>7.0</v>
      </c>
      <c r="B476" s="655"/>
      <c r="C476" s="655"/>
      <c r="D476" s="656"/>
      <c r="E476" s="657"/>
      <c r="F476" s="655"/>
      <c r="G476" s="655"/>
      <c r="H476" s="661"/>
    </row>
    <row r="477">
      <c r="A477" s="730">
        <v>8.0</v>
      </c>
      <c r="B477" s="655"/>
      <c r="C477" s="655"/>
      <c r="D477" s="656"/>
      <c r="E477" s="657"/>
      <c r="F477" s="655"/>
      <c r="G477" s="655"/>
      <c r="H477" s="661"/>
    </row>
    <row r="478">
      <c r="A478" s="730">
        <v>9.0</v>
      </c>
      <c r="B478" s="655"/>
      <c r="C478" s="655"/>
      <c r="D478" s="656"/>
      <c r="E478" s="657"/>
      <c r="F478" s="655"/>
      <c r="G478" s="655"/>
      <c r="H478" s="661"/>
    </row>
    <row r="479">
      <c r="A479" s="655">
        <v>10.0</v>
      </c>
      <c r="B479" s="655"/>
      <c r="C479" s="655"/>
      <c r="D479" s="656"/>
      <c r="E479" s="657"/>
      <c r="F479" s="730"/>
      <c r="G479" s="655"/>
      <c r="H479" s="659"/>
    </row>
    <row r="480">
      <c r="A480" s="732" t="s">
        <v>1562</v>
      </c>
      <c r="B480" s="3"/>
      <c r="C480" s="689">
        <f t="shared" ref="C480:E480" si="21">sum(C470:C479)</f>
        <v>4</v>
      </c>
      <c r="D480" s="721">
        <f t="shared" si="21"/>
        <v>161.4</v>
      </c>
      <c r="E480" s="669">
        <f t="shared" si="21"/>
        <v>1</v>
      </c>
      <c r="F480" s="689"/>
      <c r="G480" s="731"/>
      <c r="H480" s="731"/>
    </row>
    <row r="481">
      <c r="A481" s="689"/>
      <c r="B481" s="689"/>
      <c r="C481" s="689"/>
      <c r="D481" s="689"/>
      <c r="E481" s="689"/>
      <c r="F481" s="689"/>
      <c r="G481" s="689"/>
      <c r="H481" s="689"/>
    </row>
    <row r="482">
      <c r="A482" s="760" t="s">
        <v>5714</v>
      </c>
      <c r="B482" s="2"/>
      <c r="C482" s="2"/>
      <c r="D482" s="2"/>
      <c r="E482" s="2"/>
      <c r="F482" s="2"/>
      <c r="G482" s="2"/>
      <c r="H482" s="3"/>
    </row>
    <row r="483">
      <c r="A483" s="658"/>
      <c r="B483" s="658"/>
      <c r="C483" s="658"/>
      <c r="D483" s="658"/>
      <c r="E483" s="658"/>
      <c r="F483" s="658"/>
      <c r="G483" s="658"/>
      <c r="H483" s="658"/>
    </row>
    <row r="484">
      <c r="A484" s="761" t="s">
        <v>5715</v>
      </c>
      <c r="B484" s="2"/>
      <c r="C484" s="2"/>
      <c r="D484" s="2"/>
      <c r="E484" s="2"/>
      <c r="F484" s="2"/>
      <c r="G484" s="2"/>
      <c r="H484" s="3"/>
    </row>
    <row r="485">
      <c r="A485" s="762" t="s">
        <v>1435</v>
      </c>
      <c r="B485" s="762" t="s">
        <v>1436</v>
      </c>
      <c r="C485" s="762" t="s">
        <v>1843</v>
      </c>
      <c r="D485" s="763" t="s">
        <v>1438</v>
      </c>
      <c r="E485" s="764" t="s">
        <v>1564</v>
      </c>
      <c r="F485" s="762" t="s">
        <v>1440</v>
      </c>
      <c r="G485" s="762" t="s">
        <v>1844</v>
      </c>
      <c r="H485" s="765" t="s">
        <v>1441</v>
      </c>
    </row>
    <row r="486">
      <c r="A486" s="525">
        <v>1.0</v>
      </c>
      <c r="B486" s="525" t="s">
        <v>1443</v>
      </c>
      <c r="C486" s="525">
        <v>1.0</v>
      </c>
      <c r="D486" s="526">
        <v>150.0</v>
      </c>
      <c r="E486" s="766"/>
      <c r="F486" s="766"/>
      <c r="G486" s="525" t="s">
        <v>1554</v>
      </c>
      <c r="H486" s="766"/>
    </row>
    <row r="487">
      <c r="A487" s="525">
        <v>2.0</v>
      </c>
      <c r="B487" s="525" t="s">
        <v>3916</v>
      </c>
      <c r="C487" s="525">
        <v>2.0</v>
      </c>
      <c r="D487" s="526">
        <v>3.2</v>
      </c>
      <c r="E487" s="766"/>
      <c r="F487" s="766"/>
      <c r="G487" s="525" t="s">
        <v>1554</v>
      </c>
      <c r="H487" s="766"/>
    </row>
    <row r="488">
      <c r="A488" s="525">
        <v>3.0</v>
      </c>
      <c r="B488" s="579" t="s">
        <v>3673</v>
      </c>
      <c r="C488" s="579">
        <v>1.0</v>
      </c>
      <c r="D488" s="582">
        <v>5.0</v>
      </c>
      <c r="E488" s="580">
        <v>1.0</v>
      </c>
      <c r="F488" s="579" t="s">
        <v>1518</v>
      </c>
      <c r="G488" s="525" t="s">
        <v>1554</v>
      </c>
      <c r="H488" s="581">
        <v>45141.0</v>
      </c>
    </row>
    <row r="489">
      <c r="A489" s="542"/>
      <c r="B489" s="542"/>
      <c r="C489" s="542"/>
      <c r="D489" s="543"/>
      <c r="E489" s="544"/>
      <c r="F489" s="542"/>
      <c r="G489" s="542"/>
      <c r="H489" s="546"/>
    </row>
    <row r="490">
      <c r="A490" s="542"/>
      <c r="B490" s="542"/>
      <c r="C490" s="766"/>
      <c r="D490" s="543"/>
      <c r="E490" s="544"/>
      <c r="F490" s="542"/>
      <c r="G490" s="542"/>
      <c r="H490" s="546"/>
    </row>
    <row r="491">
      <c r="A491" s="542"/>
      <c r="B491" s="542"/>
      <c r="C491" s="766"/>
      <c r="D491" s="543"/>
      <c r="E491" s="544"/>
      <c r="F491" s="542"/>
      <c r="G491" s="542"/>
      <c r="H491" s="542"/>
    </row>
    <row r="492">
      <c r="A492" s="542"/>
      <c r="B492" s="542"/>
      <c r="C492" s="542"/>
      <c r="D492" s="543"/>
      <c r="E492" s="544"/>
      <c r="F492" s="542"/>
      <c r="G492" s="542"/>
      <c r="H492" s="769"/>
    </row>
    <row r="493">
      <c r="A493" s="542"/>
      <c r="B493" s="542"/>
      <c r="C493" s="542"/>
      <c r="D493" s="543"/>
      <c r="E493" s="544"/>
      <c r="F493" s="542"/>
      <c r="G493" s="542"/>
      <c r="H493" s="769"/>
    </row>
    <row r="494">
      <c r="A494" s="585" t="s">
        <v>1562</v>
      </c>
      <c r="B494" s="3"/>
      <c r="C494" s="579">
        <f t="shared" ref="C494:D494" si="22">sum(C486:C493)</f>
        <v>4</v>
      </c>
      <c r="D494" s="582">
        <f t="shared" si="22"/>
        <v>158.2</v>
      </c>
      <c r="E494" s="580">
        <f>sum(E488:E493)</f>
        <v>1</v>
      </c>
      <c r="F494" s="579"/>
      <c r="G494" s="581"/>
      <c r="H494" s="581"/>
    </row>
    <row r="495">
      <c r="A495" s="689"/>
      <c r="B495" s="689"/>
      <c r="C495" s="689"/>
      <c r="D495" s="689"/>
      <c r="E495" s="689"/>
      <c r="F495" s="689"/>
      <c r="G495" s="689"/>
      <c r="H495" s="689"/>
    </row>
    <row r="496">
      <c r="A496" s="689"/>
      <c r="B496" s="689"/>
      <c r="C496" s="689"/>
      <c r="D496" s="689"/>
      <c r="E496" s="689"/>
      <c r="F496" s="689"/>
      <c r="G496" s="689"/>
      <c r="H496" s="689"/>
    </row>
    <row r="497">
      <c r="A497" s="771" t="s">
        <v>5716</v>
      </c>
      <c r="B497" s="2"/>
      <c r="C497" s="2"/>
      <c r="D497" s="2"/>
      <c r="E497" s="2"/>
      <c r="F497" s="2"/>
      <c r="G497" s="2"/>
      <c r="H497" s="3"/>
    </row>
    <row r="498">
      <c r="A498" s="772" t="s">
        <v>1435</v>
      </c>
      <c r="B498" s="772" t="s">
        <v>1436</v>
      </c>
      <c r="C498" s="772" t="s">
        <v>1843</v>
      </c>
      <c r="D498" s="773" t="s">
        <v>1438</v>
      </c>
      <c r="E498" s="774" t="s">
        <v>1564</v>
      </c>
      <c r="F498" s="772" t="s">
        <v>1440</v>
      </c>
      <c r="G498" s="772" t="s">
        <v>1844</v>
      </c>
      <c r="H498" s="775" t="s">
        <v>1441</v>
      </c>
    </row>
    <row r="499">
      <c r="A499" s="68">
        <v>1.0</v>
      </c>
      <c r="B499" s="68" t="s">
        <v>1443</v>
      </c>
      <c r="C499" s="68">
        <v>1.0</v>
      </c>
      <c r="D499" s="69">
        <v>150.0</v>
      </c>
      <c r="E499" s="776"/>
      <c r="F499" s="71"/>
      <c r="G499" s="68" t="s">
        <v>1554</v>
      </c>
      <c r="H499" s="77"/>
    </row>
    <row r="500">
      <c r="A500" s="68">
        <v>2.0</v>
      </c>
      <c r="B500" s="68" t="s">
        <v>1444</v>
      </c>
      <c r="C500" s="68">
        <v>2.0</v>
      </c>
      <c r="D500" s="69">
        <v>3.2</v>
      </c>
      <c r="E500" s="776"/>
      <c r="F500" s="71"/>
      <c r="G500" s="68" t="s">
        <v>1554</v>
      </c>
      <c r="H500" s="77"/>
    </row>
    <row r="501">
      <c r="A501" s="68">
        <v>3.0</v>
      </c>
      <c r="B501" s="71" t="s">
        <v>3673</v>
      </c>
      <c r="C501" s="71">
        <v>1.0</v>
      </c>
      <c r="D501" s="777">
        <v>5.0</v>
      </c>
      <c r="E501" s="776">
        <v>1.0</v>
      </c>
      <c r="F501" s="71" t="s">
        <v>1518</v>
      </c>
      <c r="G501" s="68" t="s">
        <v>1554</v>
      </c>
      <c r="H501" s="77">
        <v>45141.0</v>
      </c>
    </row>
    <row r="502">
      <c r="A502" s="71"/>
      <c r="B502" s="71"/>
      <c r="C502" s="71"/>
      <c r="D502" s="777"/>
      <c r="E502" s="776"/>
      <c r="F502" s="784"/>
      <c r="G502" s="77"/>
      <c r="H502" s="77"/>
    </row>
    <row r="503">
      <c r="A503" s="785" t="s">
        <v>1562</v>
      </c>
      <c r="B503" s="3"/>
      <c r="C503" s="71">
        <f t="shared" ref="C503:E503" si="23">sum(C499:C501)</f>
        <v>4</v>
      </c>
      <c r="D503" s="777">
        <f t="shared" si="23"/>
        <v>158.2</v>
      </c>
      <c r="E503" s="776">
        <f t="shared" si="23"/>
        <v>1</v>
      </c>
      <c r="F503" s="71"/>
      <c r="G503" s="77"/>
      <c r="H503" s="77"/>
    </row>
    <row r="504">
      <c r="A504" s="712"/>
      <c r="B504" s="712"/>
      <c r="C504" s="712"/>
      <c r="D504" s="712"/>
      <c r="E504" s="712"/>
      <c r="F504" s="712"/>
      <c r="G504" s="712"/>
      <c r="H504" s="712"/>
    </row>
    <row r="505">
      <c r="A505" s="712"/>
      <c r="B505" s="712"/>
      <c r="C505" s="712"/>
      <c r="D505" s="712"/>
      <c r="E505" s="712"/>
      <c r="F505" s="712"/>
      <c r="G505" s="712"/>
      <c r="H505" s="712"/>
    </row>
    <row r="506">
      <c r="A506" s="649" t="s">
        <v>5717</v>
      </c>
      <c r="B506" s="2"/>
      <c r="C506" s="2"/>
      <c r="D506" s="2"/>
      <c r="E506" s="2"/>
      <c r="F506" s="2"/>
      <c r="G506" s="2"/>
      <c r="H506" s="3"/>
    </row>
    <row r="507">
      <c r="A507" s="786" t="s">
        <v>1435</v>
      </c>
      <c r="B507" s="786" t="s">
        <v>1436</v>
      </c>
      <c r="C507" s="786" t="s">
        <v>1843</v>
      </c>
      <c r="D507" s="787" t="s">
        <v>1438</v>
      </c>
      <c r="E507" s="788" t="s">
        <v>1564</v>
      </c>
      <c r="F507" s="786" t="s">
        <v>1440</v>
      </c>
      <c r="G507" s="786" t="s">
        <v>1844</v>
      </c>
      <c r="H507" s="789" t="s">
        <v>1441</v>
      </c>
    </row>
    <row r="508">
      <c r="A508" s="658">
        <v>1.0</v>
      </c>
      <c r="B508" s="658" t="s">
        <v>1443</v>
      </c>
      <c r="C508" s="658">
        <v>1.0</v>
      </c>
      <c r="D508" s="678">
        <v>150.0</v>
      </c>
      <c r="E508" s="669"/>
      <c r="F508" s="689"/>
      <c r="G508" s="658" t="s">
        <v>1554</v>
      </c>
      <c r="H508" s="731"/>
    </row>
    <row r="509">
      <c r="A509" s="658">
        <v>2.0</v>
      </c>
      <c r="B509" s="658" t="s">
        <v>1444</v>
      </c>
      <c r="C509" s="658">
        <v>1.0</v>
      </c>
      <c r="D509" s="678">
        <v>3.2</v>
      </c>
      <c r="E509" s="669"/>
      <c r="F509" s="689"/>
      <c r="G509" s="658" t="s">
        <v>1554</v>
      </c>
      <c r="H509" s="731"/>
    </row>
    <row r="510">
      <c r="A510" s="658">
        <v>3.0</v>
      </c>
      <c r="B510" s="689" t="s">
        <v>3673</v>
      </c>
      <c r="C510" s="689">
        <v>1.0</v>
      </c>
      <c r="D510" s="721">
        <v>5.0</v>
      </c>
      <c r="E510" s="669">
        <v>1.0</v>
      </c>
      <c r="F510" s="689" t="s">
        <v>1518</v>
      </c>
      <c r="G510" s="658" t="s">
        <v>1554</v>
      </c>
      <c r="H510" s="731">
        <v>45141.0</v>
      </c>
    </row>
    <row r="511">
      <c r="A511" s="655"/>
      <c r="B511" s="658"/>
      <c r="C511" s="655"/>
      <c r="D511" s="656"/>
      <c r="E511" s="657"/>
      <c r="F511" s="730"/>
      <c r="G511" s="655"/>
      <c r="H511" s="659"/>
    </row>
    <row r="512">
      <c r="A512" s="732" t="s">
        <v>1562</v>
      </c>
      <c r="B512" s="3"/>
      <c r="C512" s="689">
        <f>sum(C503:C511)</f>
        <v>7</v>
      </c>
      <c r="D512" s="721">
        <f>sum(D508:D511)</f>
        <v>158.2</v>
      </c>
      <c r="E512" s="669">
        <f>sum(E503:E511)</f>
        <v>2</v>
      </c>
      <c r="F512" s="689"/>
      <c r="G512" s="731"/>
      <c r="H512" s="731"/>
    </row>
    <row r="513">
      <c r="A513" s="712"/>
      <c r="B513" s="712"/>
      <c r="C513" s="712"/>
      <c r="D513" s="712"/>
      <c r="E513" s="712"/>
      <c r="F513" s="712"/>
      <c r="G513" s="712"/>
      <c r="H513" s="712"/>
    </row>
    <row r="514">
      <c r="A514" s="712"/>
      <c r="B514" s="712"/>
      <c r="C514" s="712"/>
      <c r="D514" s="712"/>
      <c r="E514" s="712"/>
      <c r="F514" s="712"/>
      <c r="G514" s="712"/>
      <c r="H514" s="712"/>
    </row>
    <row r="515">
      <c r="A515" s="712"/>
      <c r="B515" s="712"/>
      <c r="C515" s="712"/>
      <c r="D515" s="712"/>
      <c r="E515" s="712"/>
      <c r="F515" s="712"/>
      <c r="G515" s="712"/>
      <c r="H515" s="712"/>
    </row>
    <row r="516">
      <c r="A516" s="649" t="s">
        <v>5718</v>
      </c>
      <c r="B516" s="2"/>
      <c r="C516" s="2"/>
      <c r="D516" s="2"/>
      <c r="E516" s="2"/>
      <c r="F516" s="2"/>
      <c r="G516" s="2"/>
      <c r="H516" s="3"/>
    </row>
    <row r="517">
      <c r="A517" s="690" t="s">
        <v>1435</v>
      </c>
      <c r="B517" s="690" t="s">
        <v>1436</v>
      </c>
      <c r="C517" s="690" t="s">
        <v>1843</v>
      </c>
      <c r="D517" s="693" t="s">
        <v>1438</v>
      </c>
      <c r="E517" s="694" t="s">
        <v>1564</v>
      </c>
      <c r="F517" s="690" t="s">
        <v>1440</v>
      </c>
      <c r="G517" s="690" t="s">
        <v>1844</v>
      </c>
      <c r="H517" s="695" t="s">
        <v>1441</v>
      </c>
    </row>
    <row r="518">
      <c r="A518" s="658">
        <v>1.0</v>
      </c>
      <c r="B518" s="658" t="s">
        <v>1443</v>
      </c>
      <c r="C518" s="658">
        <v>1.0</v>
      </c>
      <c r="D518" s="678">
        <v>150.0</v>
      </c>
      <c r="E518" s="669"/>
      <c r="F518" s="689"/>
      <c r="G518" s="658" t="s">
        <v>1554</v>
      </c>
      <c r="H518" s="731"/>
    </row>
    <row r="519">
      <c r="A519" s="658">
        <v>2.0</v>
      </c>
      <c r="B519" s="658" t="s">
        <v>1444</v>
      </c>
      <c r="C519" s="658">
        <v>1.0</v>
      </c>
      <c r="D519" s="678">
        <v>3.2</v>
      </c>
      <c r="E519" s="669"/>
      <c r="F519" s="689"/>
      <c r="G519" s="658" t="s">
        <v>1554</v>
      </c>
      <c r="H519" s="731"/>
    </row>
    <row r="520">
      <c r="A520" s="658">
        <v>3.0</v>
      </c>
      <c r="B520" s="689" t="s">
        <v>3673</v>
      </c>
      <c r="C520" s="689">
        <v>1.0</v>
      </c>
      <c r="D520" s="721">
        <v>5.0</v>
      </c>
      <c r="E520" s="669">
        <v>1.0</v>
      </c>
      <c r="F520" s="689" t="s">
        <v>1518</v>
      </c>
      <c r="G520" s="658" t="s">
        <v>1554</v>
      </c>
      <c r="H520" s="731">
        <v>45141.0</v>
      </c>
    </row>
    <row r="521">
      <c r="A521" s="658"/>
      <c r="B521" s="730"/>
      <c r="C521" s="689"/>
      <c r="D521" s="721"/>
      <c r="E521" s="669"/>
      <c r="F521" s="730"/>
      <c r="G521" s="689"/>
      <c r="H521" s="670"/>
    </row>
    <row r="522">
      <c r="A522" s="682"/>
      <c r="B522" s="796"/>
      <c r="C522" s="797"/>
      <c r="D522" s="798"/>
      <c r="E522" s="799"/>
      <c r="F522" s="796"/>
      <c r="G522" s="797"/>
      <c r="H522" s="800"/>
    </row>
    <row r="523">
      <c r="A523" s="732" t="s">
        <v>1562</v>
      </c>
      <c r="B523" s="3"/>
      <c r="C523" s="689">
        <f>sum(C520:C522)</f>
        <v>1</v>
      </c>
      <c r="D523" s="721">
        <f>sum(D518:D522)</f>
        <v>158.2</v>
      </c>
      <c r="E523" s="669">
        <f>sum(E520:E522)</f>
        <v>1</v>
      </c>
      <c r="F523" s="689"/>
      <c r="G523" s="731"/>
      <c r="H523" s="731"/>
    </row>
    <row r="524">
      <c r="A524" s="801"/>
      <c r="B524" s="801"/>
      <c r="C524" s="801"/>
      <c r="D524" s="801"/>
      <c r="E524" s="801"/>
      <c r="F524" s="801"/>
      <c r="G524" s="801"/>
      <c r="H524" s="801"/>
    </row>
    <row r="525">
      <c r="A525" s="802"/>
      <c r="B525" s="802"/>
      <c r="C525" s="802"/>
      <c r="D525" s="802"/>
      <c r="E525" s="802"/>
      <c r="F525" s="802"/>
      <c r="G525" s="802"/>
      <c r="H525" s="802"/>
    </row>
    <row r="526">
      <c r="A526" s="649" t="s">
        <v>5719</v>
      </c>
      <c r="B526" s="2"/>
      <c r="C526" s="2"/>
      <c r="D526" s="2"/>
      <c r="E526" s="2"/>
      <c r="F526" s="2"/>
      <c r="G526" s="2"/>
      <c r="H526" s="3"/>
    </row>
    <row r="527">
      <c r="A527" s="690" t="s">
        <v>1435</v>
      </c>
      <c r="B527" s="690" t="s">
        <v>1436</v>
      </c>
      <c r="C527" s="690" t="s">
        <v>1843</v>
      </c>
      <c r="D527" s="693" t="s">
        <v>1438</v>
      </c>
      <c r="E527" s="694" t="s">
        <v>1564</v>
      </c>
      <c r="F527" s="690" t="s">
        <v>1440</v>
      </c>
      <c r="G527" s="690" t="s">
        <v>1844</v>
      </c>
      <c r="H527" s="695" t="s">
        <v>1441</v>
      </c>
    </row>
    <row r="528">
      <c r="A528" s="658">
        <v>1.0</v>
      </c>
      <c r="B528" s="658" t="s">
        <v>1443</v>
      </c>
      <c r="C528" s="658">
        <v>1.0</v>
      </c>
      <c r="D528" s="678">
        <v>150.0</v>
      </c>
      <c r="E528" s="730"/>
      <c r="F528" s="730"/>
      <c r="G528" s="658" t="s">
        <v>1554</v>
      </c>
      <c r="H528" s="730"/>
    </row>
    <row r="529">
      <c r="A529" s="658">
        <v>2.0</v>
      </c>
      <c r="B529" s="658" t="s">
        <v>3916</v>
      </c>
      <c r="C529" s="658">
        <v>2.0</v>
      </c>
      <c r="D529" s="678">
        <v>3.2</v>
      </c>
      <c r="E529" s="730"/>
      <c r="F529" s="730"/>
      <c r="G529" s="658" t="s">
        <v>1554</v>
      </c>
      <c r="H529" s="730"/>
    </row>
    <row r="530">
      <c r="A530" s="658">
        <v>3.0</v>
      </c>
      <c r="B530" s="689" t="s">
        <v>3673</v>
      </c>
      <c r="C530" s="689">
        <v>1.0</v>
      </c>
      <c r="D530" s="721">
        <v>5.0</v>
      </c>
      <c r="E530" s="669">
        <v>1.0</v>
      </c>
      <c r="F530" s="689" t="s">
        <v>1518</v>
      </c>
      <c r="G530" s="658" t="s">
        <v>1554</v>
      </c>
      <c r="H530" s="731">
        <v>45141.0</v>
      </c>
    </row>
    <row r="531">
      <c r="A531" s="658"/>
      <c r="B531" s="689"/>
      <c r="C531" s="689"/>
      <c r="D531" s="721"/>
      <c r="E531" s="669"/>
      <c r="F531" s="689"/>
      <c r="G531" s="658"/>
      <c r="H531" s="731"/>
    </row>
    <row r="532">
      <c r="A532" s="658"/>
      <c r="B532" s="689"/>
      <c r="C532" s="689"/>
      <c r="D532" s="721"/>
      <c r="E532" s="669"/>
      <c r="F532" s="689"/>
      <c r="G532" s="658"/>
      <c r="H532" s="731"/>
    </row>
    <row r="533">
      <c r="A533" s="732" t="s">
        <v>1562</v>
      </c>
      <c r="B533" s="3"/>
      <c r="C533" s="689">
        <f t="shared" ref="C533:E533" si="24">sum(C528:C530)</f>
        <v>4</v>
      </c>
      <c r="D533" s="721">
        <f t="shared" si="24"/>
        <v>158.2</v>
      </c>
      <c r="E533" s="669">
        <f t="shared" si="24"/>
        <v>1</v>
      </c>
      <c r="F533" s="689"/>
      <c r="G533" s="731"/>
      <c r="H533" s="731"/>
    </row>
    <row r="534">
      <c r="A534" s="801"/>
      <c r="B534" s="801"/>
      <c r="C534" s="801"/>
      <c r="D534" s="801"/>
      <c r="E534" s="801"/>
      <c r="F534" s="801"/>
      <c r="G534" s="801"/>
      <c r="H534" s="801"/>
    </row>
    <row r="535">
      <c r="A535" s="802"/>
      <c r="B535" s="802"/>
      <c r="C535" s="802"/>
      <c r="D535" s="802"/>
      <c r="E535" s="802"/>
      <c r="F535" s="802"/>
      <c r="G535" s="802"/>
      <c r="H535" s="802"/>
    </row>
    <row r="536">
      <c r="A536" s="649" t="s">
        <v>5720</v>
      </c>
      <c r="B536" s="2"/>
      <c r="C536" s="2"/>
      <c r="D536" s="2"/>
      <c r="E536" s="2"/>
      <c r="F536" s="2"/>
      <c r="G536" s="2"/>
      <c r="H536" s="3"/>
    </row>
    <row r="537">
      <c r="A537" s="690" t="s">
        <v>1435</v>
      </c>
      <c r="B537" s="690" t="s">
        <v>1436</v>
      </c>
      <c r="C537" s="690" t="s">
        <v>1843</v>
      </c>
      <c r="D537" s="693" t="s">
        <v>1438</v>
      </c>
      <c r="E537" s="694" t="s">
        <v>1564</v>
      </c>
      <c r="F537" s="690" t="s">
        <v>1440</v>
      </c>
      <c r="G537" s="690" t="s">
        <v>1844</v>
      </c>
      <c r="H537" s="695" t="s">
        <v>1441</v>
      </c>
    </row>
    <row r="538">
      <c r="A538" s="658">
        <v>1.0</v>
      </c>
      <c r="B538" s="658" t="s">
        <v>1443</v>
      </c>
      <c r="C538" s="658">
        <v>1.0</v>
      </c>
      <c r="D538" s="678">
        <v>150.0</v>
      </c>
      <c r="E538" s="730"/>
      <c r="F538" s="730"/>
      <c r="G538" s="658" t="s">
        <v>1554</v>
      </c>
      <c r="H538" s="730"/>
    </row>
    <row r="539">
      <c r="A539" s="658">
        <v>2.0</v>
      </c>
      <c r="B539" s="658" t="s">
        <v>3916</v>
      </c>
      <c r="C539" s="658">
        <v>2.0</v>
      </c>
      <c r="D539" s="678">
        <v>3.2</v>
      </c>
      <c r="E539" s="730"/>
      <c r="F539" s="730"/>
      <c r="G539" s="658" t="s">
        <v>1554</v>
      </c>
      <c r="H539" s="730"/>
    </row>
    <row r="540">
      <c r="A540" s="658">
        <v>3.0</v>
      </c>
      <c r="B540" s="689" t="s">
        <v>3673</v>
      </c>
      <c r="C540" s="689">
        <v>1.0</v>
      </c>
      <c r="D540" s="721">
        <v>5.0</v>
      </c>
      <c r="E540" s="669">
        <v>1.0</v>
      </c>
      <c r="F540" s="689" t="s">
        <v>1518</v>
      </c>
      <c r="G540" s="658" t="s">
        <v>1554</v>
      </c>
      <c r="H540" s="731">
        <v>45141.0</v>
      </c>
    </row>
    <row r="541">
      <c r="A541" s="658"/>
      <c r="B541" s="689"/>
      <c r="C541" s="689"/>
      <c r="D541" s="721"/>
      <c r="E541" s="669"/>
      <c r="F541" s="689"/>
      <c r="G541" s="658"/>
      <c r="H541" s="731"/>
    </row>
    <row r="542">
      <c r="A542" s="732" t="s">
        <v>1562</v>
      </c>
      <c r="B542" s="3"/>
      <c r="C542" s="689">
        <f t="shared" ref="C542:E542" si="25">sum(C538:C540)</f>
        <v>4</v>
      </c>
      <c r="D542" s="721">
        <f t="shared" si="25"/>
        <v>158.2</v>
      </c>
      <c r="E542" s="669">
        <f t="shared" si="25"/>
        <v>1</v>
      </c>
      <c r="F542" s="689"/>
      <c r="G542" s="731"/>
      <c r="H542" s="731"/>
    </row>
    <row r="543">
      <c r="A543" s="712"/>
      <c r="B543" s="712"/>
      <c r="C543" s="712"/>
      <c r="D543" s="712"/>
      <c r="E543" s="712"/>
      <c r="F543" s="712"/>
      <c r="G543" s="712"/>
      <c r="H543" s="712"/>
    </row>
    <row r="544">
      <c r="A544" s="712"/>
      <c r="B544" s="712"/>
      <c r="C544" s="712"/>
      <c r="D544" s="712"/>
      <c r="E544" s="712"/>
      <c r="F544" s="712"/>
      <c r="G544" s="712"/>
      <c r="H544" s="712"/>
    </row>
    <row r="545">
      <c r="A545" s="713" t="s">
        <v>5721</v>
      </c>
      <c r="B545" s="293"/>
      <c r="C545" s="293"/>
      <c r="D545" s="293"/>
      <c r="E545" s="293"/>
      <c r="F545" s="293"/>
      <c r="G545" s="293"/>
      <c r="H545" s="294"/>
    </row>
    <row r="546">
      <c r="A546" s="690" t="s">
        <v>1435</v>
      </c>
      <c r="B546" s="690" t="s">
        <v>1436</v>
      </c>
      <c r="C546" s="690" t="s">
        <v>1843</v>
      </c>
      <c r="D546" s="693" t="s">
        <v>1438</v>
      </c>
      <c r="E546" s="694" t="s">
        <v>1564</v>
      </c>
      <c r="F546" s="690" t="s">
        <v>1440</v>
      </c>
      <c r="G546" s="690" t="s">
        <v>1844</v>
      </c>
      <c r="H546" s="695" t="s">
        <v>1441</v>
      </c>
    </row>
    <row r="547">
      <c r="A547" s="689">
        <v>1.0</v>
      </c>
      <c r="B547" s="689" t="s">
        <v>3673</v>
      </c>
      <c r="C547" s="658">
        <v>1.0</v>
      </c>
      <c r="D547" s="678">
        <v>5.0</v>
      </c>
      <c r="E547" s="669">
        <v>1.0</v>
      </c>
      <c r="F547" s="689" t="s">
        <v>1518</v>
      </c>
      <c r="G547" s="658" t="s">
        <v>1554</v>
      </c>
      <c r="H547" s="731">
        <v>45141.0</v>
      </c>
    </row>
    <row r="548">
      <c r="A548" s="658">
        <v>2.0</v>
      </c>
      <c r="B548" s="689" t="s">
        <v>1443</v>
      </c>
      <c r="C548" s="689">
        <v>1.0</v>
      </c>
      <c r="D548" s="678">
        <v>150.0</v>
      </c>
      <c r="E548" s="669"/>
      <c r="F548" s="689"/>
      <c r="G548" s="658" t="s">
        <v>1554</v>
      </c>
      <c r="H548" s="731"/>
    </row>
    <row r="549">
      <c r="A549" s="682">
        <v>3.0</v>
      </c>
      <c r="B549" s="797" t="s">
        <v>1444</v>
      </c>
      <c r="C549" s="797">
        <v>2.0</v>
      </c>
      <c r="D549" s="684">
        <f>C549*3.2</f>
        <v>6.4</v>
      </c>
      <c r="E549" s="799"/>
      <c r="F549" s="797"/>
      <c r="G549" s="682" t="s">
        <v>1554</v>
      </c>
      <c r="H549" s="881"/>
    </row>
    <row r="550">
      <c r="A550" s="682"/>
      <c r="B550" s="797"/>
      <c r="C550" s="797"/>
      <c r="D550" s="684"/>
      <c r="E550" s="799"/>
      <c r="F550" s="797"/>
      <c r="G550" s="682"/>
      <c r="H550" s="881"/>
    </row>
    <row r="551">
      <c r="A551" s="682"/>
      <c r="B551" s="797"/>
      <c r="C551" s="797"/>
      <c r="D551" s="684"/>
      <c r="E551" s="799"/>
      <c r="F551" s="797"/>
      <c r="G551" s="682"/>
      <c r="H551" s="881"/>
    </row>
    <row r="552">
      <c r="A552" s="732" t="s">
        <v>1562</v>
      </c>
      <c r="B552" s="3"/>
      <c r="C552" s="689">
        <f t="shared" ref="C552:E552" si="26">sum(C546:C548)</f>
        <v>2</v>
      </c>
      <c r="D552" s="721">
        <f t="shared" si="26"/>
        <v>155</v>
      </c>
      <c r="E552" s="669">
        <f t="shared" si="26"/>
        <v>1</v>
      </c>
      <c r="F552" s="689"/>
      <c r="G552" s="731"/>
      <c r="H552" s="731"/>
    </row>
    <row r="553">
      <c r="A553" s="712"/>
      <c r="B553" s="712"/>
      <c r="C553" s="712"/>
      <c r="D553" s="808"/>
      <c r="E553" s="809"/>
      <c r="F553" s="712"/>
      <c r="G553" s="810"/>
      <c r="H553" s="810"/>
    </row>
    <row r="554">
      <c r="A554" s="655"/>
      <c r="B554" s="655"/>
      <c r="C554" s="655"/>
      <c r="D554" s="655"/>
      <c r="E554" s="655"/>
      <c r="F554" s="655"/>
      <c r="G554" s="655"/>
      <c r="H554" s="655"/>
    </row>
    <row r="555">
      <c r="A555" s="649" t="s">
        <v>5722</v>
      </c>
      <c r="B555" s="2"/>
      <c r="C555" s="2"/>
      <c r="D555" s="2"/>
      <c r="E555" s="2"/>
      <c r="F555" s="2"/>
      <c r="G555" s="2"/>
      <c r="H555" s="3"/>
    </row>
    <row r="556">
      <c r="A556" s="690" t="s">
        <v>1435</v>
      </c>
      <c r="B556" s="690" t="s">
        <v>1436</v>
      </c>
      <c r="C556" s="690" t="s">
        <v>1843</v>
      </c>
      <c r="D556" s="693" t="s">
        <v>1438</v>
      </c>
      <c r="E556" s="694" t="s">
        <v>1564</v>
      </c>
      <c r="F556" s="690" t="s">
        <v>1440</v>
      </c>
      <c r="G556" s="690" t="s">
        <v>1844</v>
      </c>
      <c r="H556" s="695" t="s">
        <v>1441</v>
      </c>
    </row>
    <row r="557">
      <c r="A557" s="658">
        <v>1.0</v>
      </c>
      <c r="B557" s="658" t="s">
        <v>1443</v>
      </c>
      <c r="C557" s="658">
        <v>1.0</v>
      </c>
      <c r="D557" s="678">
        <v>150.0</v>
      </c>
      <c r="E557" s="669"/>
      <c r="F557" s="689"/>
      <c r="G557" s="658" t="s">
        <v>1446</v>
      </c>
      <c r="H557" s="731"/>
    </row>
    <row r="558">
      <c r="A558" s="658">
        <v>2.0</v>
      </c>
      <c r="B558" s="658" t="s">
        <v>1444</v>
      </c>
      <c r="C558" s="658">
        <v>1.0</v>
      </c>
      <c r="D558" s="678">
        <v>3.2</v>
      </c>
      <c r="E558" s="669"/>
      <c r="F558" s="689"/>
      <c r="G558" s="658" t="s">
        <v>1446</v>
      </c>
      <c r="H558" s="731"/>
    </row>
    <row r="559">
      <c r="A559" s="658">
        <v>3.0</v>
      </c>
      <c r="B559" s="689" t="s">
        <v>3673</v>
      </c>
      <c r="C559" s="689">
        <v>1.0</v>
      </c>
      <c r="D559" s="721">
        <v>5.0</v>
      </c>
      <c r="E559" s="669">
        <v>1.0</v>
      </c>
      <c r="F559" s="689" t="s">
        <v>1518</v>
      </c>
      <c r="G559" s="658" t="s">
        <v>1446</v>
      </c>
      <c r="H559" s="731">
        <v>45141.0</v>
      </c>
    </row>
    <row r="560">
      <c r="A560" s="658"/>
      <c r="B560" s="689"/>
      <c r="C560" s="689"/>
      <c r="D560" s="721"/>
      <c r="E560" s="669"/>
      <c r="F560" s="689"/>
      <c r="G560" s="658"/>
      <c r="H560" s="731"/>
    </row>
    <row r="561">
      <c r="A561" s="732" t="s">
        <v>1562</v>
      </c>
      <c r="B561" s="3"/>
      <c r="C561" s="689">
        <f t="shared" ref="C561:E561" si="27">sum(C557:C559)</f>
        <v>3</v>
      </c>
      <c r="D561" s="721">
        <f t="shared" si="27"/>
        <v>158.2</v>
      </c>
      <c r="E561" s="669">
        <f t="shared" si="27"/>
        <v>1</v>
      </c>
      <c r="F561" s="689"/>
      <c r="G561" s="731"/>
      <c r="H561" s="731"/>
    </row>
    <row r="562">
      <c r="A562" s="882"/>
      <c r="B562" s="883"/>
      <c r="C562" s="883"/>
      <c r="D562" s="883"/>
      <c r="E562" s="883"/>
      <c r="F562" s="883"/>
      <c r="G562" s="883"/>
      <c r="H562" s="884"/>
    </row>
    <row r="563">
      <c r="A563" s="885"/>
      <c r="B563" s="886"/>
      <c r="C563" s="886"/>
      <c r="D563" s="886"/>
      <c r="E563" s="886"/>
      <c r="F563" s="886"/>
      <c r="G563" s="886"/>
      <c r="H563" s="887"/>
    </row>
    <row r="564">
      <c r="A564" s="649" t="s">
        <v>5723</v>
      </c>
      <c r="B564" s="2"/>
      <c r="C564" s="2"/>
      <c r="D564" s="2"/>
      <c r="E564" s="2"/>
      <c r="F564" s="2"/>
      <c r="G564" s="2"/>
      <c r="H564" s="3"/>
    </row>
    <row r="565">
      <c r="A565" s="690" t="s">
        <v>1435</v>
      </c>
      <c r="B565" s="690" t="s">
        <v>1436</v>
      </c>
      <c r="C565" s="690" t="s">
        <v>1843</v>
      </c>
      <c r="D565" s="693" t="s">
        <v>1438</v>
      </c>
      <c r="E565" s="694" t="s">
        <v>1564</v>
      </c>
      <c r="F565" s="690" t="s">
        <v>1440</v>
      </c>
      <c r="G565" s="690" t="s">
        <v>1844</v>
      </c>
      <c r="H565" s="695" t="s">
        <v>1441</v>
      </c>
    </row>
    <row r="566">
      <c r="A566" s="658">
        <v>1.0</v>
      </c>
      <c r="B566" s="658" t="s">
        <v>1443</v>
      </c>
      <c r="C566" s="658">
        <v>1.0</v>
      </c>
      <c r="D566" s="678">
        <v>150.0</v>
      </c>
      <c r="E566" s="669"/>
      <c r="F566" s="689"/>
      <c r="G566" s="658" t="s">
        <v>1554</v>
      </c>
      <c r="H566" s="731"/>
    </row>
    <row r="567">
      <c r="A567" s="658">
        <v>2.0</v>
      </c>
      <c r="B567" s="658" t="s">
        <v>1444</v>
      </c>
      <c r="C567" s="658">
        <v>1.0</v>
      </c>
      <c r="D567" s="678">
        <v>3.2</v>
      </c>
      <c r="E567" s="669"/>
      <c r="F567" s="689"/>
      <c r="G567" s="658" t="s">
        <v>1554</v>
      </c>
      <c r="H567" s="731"/>
    </row>
    <row r="568">
      <c r="A568" s="658">
        <v>3.0</v>
      </c>
      <c r="B568" s="689" t="s">
        <v>3673</v>
      </c>
      <c r="C568" s="658">
        <v>2.0</v>
      </c>
      <c r="D568" s="721">
        <v>5.0</v>
      </c>
      <c r="E568" s="669">
        <v>1.0</v>
      </c>
      <c r="F568" s="689" t="s">
        <v>1518</v>
      </c>
      <c r="G568" s="658" t="s">
        <v>1446</v>
      </c>
      <c r="H568" s="731">
        <v>45141.0</v>
      </c>
    </row>
    <row r="569">
      <c r="A569" s="658"/>
      <c r="B569" s="689"/>
      <c r="C569" s="658"/>
      <c r="D569" s="721"/>
      <c r="E569" s="669"/>
      <c r="F569" s="689"/>
      <c r="G569" s="658"/>
      <c r="H569" s="731"/>
    </row>
    <row r="570">
      <c r="A570" s="658"/>
      <c r="B570" s="689"/>
      <c r="C570" s="658"/>
      <c r="D570" s="721"/>
      <c r="E570" s="669"/>
      <c r="F570" s="689"/>
      <c r="G570" s="658"/>
      <c r="H570" s="731"/>
    </row>
    <row r="571">
      <c r="A571" s="658"/>
      <c r="B571" s="689"/>
      <c r="C571" s="658"/>
      <c r="D571" s="721"/>
      <c r="E571" s="669"/>
      <c r="F571" s="689"/>
      <c r="G571" s="658"/>
      <c r="H571" s="731"/>
    </row>
    <row r="572">
      <c r="A572" s="732" t="s">
        <v>1562</v>
      </c>
      <c r="B572" s="3"/>
      <c r="C572" s="689">
        <f t="shared" ref="C572:E572" si="28">sum(C565:C567)</f>
        <v>2</v>
      </c>
      <c r="D572" s="721">
        <f t="shared" si="28"/>
        <v>153.2</v>
      </c>
      <c r="E572" s="669">
        <f t="shared" si="28"/>
        <v>0</v>
      </c>
      <c r="F572" s="689"/>
      <c r="G572" s="731"/>
      <c r="H572" s="731"/>
    </row>
    <row r="573">
      <c r="A573" s="732"/>
      <c r="B573" s="899"/>
      <c r="C573" s="899"/>
      <c r="D573" s="899"/>
      <c r="E573" s="899"/>
      <c r="F573" s="899"/>
      <c r="G573" s="899"/>
      <c r="H573" s="900"/>
    </row>
    <row r="574">
      <c r="A574" s="649" t="s">
        <v>5724</v>
      </c>
      <c r="B574" s="2"/>
      <c r="C574" s="2"/>
      <c r="D574" s="2"/>
      <c r="E574" s="2"/>
      <c r="F574" s="2"/>
      <c r="G574" s="2"/>
      <c r="H574" s="3"/>
    </row>
    <row r="575">
      <c r="A575" s="690" t="s">
        <v>1435</v>
      </c>
      <c r="B575" s="690" t="s">
        <v>1436</v>
      </c>
      <c r="C575" s="690" t="s">
        <v>1843</v>
      </c>
      <c r="D575" s="693" t="s">
        <v>1438</v>
      </c>
      <c r="E575" s="694" t="s">
        <v>1564</v>
      </c>
      <c r="F575" s="690" t="s">
        <v>1440</v>
      </c>
      <c r="G575" s="690" t="s">
        <v>1844</v>
      </c>
      <c r="H575" s="695" t="s">
        <v>1441</v>
      </c>
    </row>
    <row r="576">
      <c r="A576" s="658">
        <v>1.0</v>
      </c>
      <c r="B576" s="658" t="s">
        <v>1443</v>
      </c>
      <c r="C576" s="658">
        <v>1.0</v>
      </c>
      <c r="D576" s="678">
        <v>150.0</v>
      </c>
      <c r="E576" s="669"/>
      <c r="F576" s="689"/>
      <c r="G576" s="658" t="s">
        <v>1554</v>
      </c>
      <c r="H576" s="731"/>
    </row>
    <row r="577">
      <c r="A577" s="658">
        <v>2.0</v>
      </c>
      <c r="B577" s="658" t="s">
        <v>1444</v>
      </c>
      <c r="C577" s="658">
        <v>1.0</v>
      </c>
      <c r="D577" s="678">
        <v>3.2</v>
      </c>
      <c r="E577" s="669"/>
      <c r="F577" s="689"/>
      <c r="G577" s="658" t="s">
        <v>1554</v>
      </c>
      <c r="H577" s="731"/>
    </row>
    <row r="578">
      <c r="A578" s="658">
        <v>3.0</v>
      </c>
      <c r="B578" s="689" t="s">
        <v>3673</v>
      </c>
      <c r="C578" s="658">
        <v>2.0</v>
      </c>
      <c r="D578" s="721">
        <v>5.0</v>
      </c>
      <c r="E578" s="669">
        <v>1.0</v>
      </c>
      <c r="F578" s="689" t="s">
        <v>1518</v>
      </c>
      <c r="G578" s="658" t="s">
        <v>1446</v>
      </c>
      <c r="H578" s="731">
        <v>45141.0</v>
      </c>
    </row>
    <row r="579">
      <c r="A579" s="658"/>
      <c r="B579" s="689"/>
      <c r="C579" s="658"/>
      <c r="D579" s="721"/>
      <c r="E579" s="669"/>
      <c r="F579" s="689"/>
      <c r="G579" s="658"/>
      <c r="H579" s="731"/>
    </row>
    <row r="580">
      <c r="A580" s="658"/>
      <c r="B580" s="689"/>
      <c r="C580" s="658"/>
      <c r="D580" s="721"/>
      <c r="E580" s="669"/>
      <c r="F580" s="689"/>
      <c r="G580" s="658"/>
      <c r="H580" s="731"/>
    </row>
    <row r="581">
      <c r="A581" s="658"/>
      <c r="B581" s="689"/>
      <c r="C581" s="658"/>
      <c r="D581" s="721"/>
      <c r="E581" s="669"/>
      <c r="F581" s="689"/>
      <c r="G581" s="658"/>
      <c r="H581" s="731"/>
    </row>
    <row r="582">
      <c r="A582" s="732" t="s">
        <v>1562</v>
      </c>
      <c r="B582" s="3"/>
      <c r="C582" s="689">
        <f t="shared" ref="C582:E582" si="29">sum(C575:C577)</f>
        <v>2</v>
      </c>
      <c r="D582" s="721">
        <f t="shared" si="29"/>
        <v>153.2</v>
      </c>
      <c r="E582" s="669">
        <f t="shared" si="29"/>
        <v>0</v>
      </c>
      <c r="F582" s="689"/>
      <c r="G582" s="731"/>
      <c r="H582" s="731"/>
    </row>
    <row r="583">
      <c r="A583" s="712"/>
      <c r="B583" s="712"/>
      <c r="C583" s="712"/>
      <c r="D583" s="712"/>
      <c r="E583" s="712"/>
      <c r="F583" s="712"/>
      <c r="G583" s="712"/>
      <c r="H583" s="712"/>
    </row>
    <row r="584">
      <c r="A584" s="649" t="s">
        <v>5725</v>
      </c>
      <c r="B584" s="2"/>
      <c r="C584" s="2"/>
      <c r="D584" s="2"/>
      <c r="E584" s="2"/>
      <c r="F584" s="2"/>
      <c r="G584" s="2"/>
      <c r="H584" s="3"/>
    </row>
    <row r="585">
      <c r="A585" s="690" t="s">
        <v>1435</v>
      </c>
      <c r="B585" s="690" t="s">
        <v>1436</v>
      </c>
      <c r="C585" s="690" t="s">
        <v>1843</v>
      </c>
      <c r="D585" s="693" t="s">
        <v>1438</v>
      </c>
      <c r="E585" s="694" t="s">
        <v>1564</v>
      </c>
      <c r="F585" s="690" t="s">
        <v>1440</v>
      </c>
      <c r="G585" s="690" t="s">
        <v>1844</v>
      </c>
      <c r="H585" s="695" t="s">
        <v>1441</v>
      </c>
    </row>
    <row r="586">
      <c r="A586" s="658">
        <v>1.0</v>
      </c>
      <c r="B586" s="658" t="s">
        <v>1443</v>
      </c>
      <c r="C586" s="658">
        <v>1.0</v>
      </c>
      <c r="D586" s="678">
        <v>150.0</v>
      </c>
      <c r="E586" s="669"/>
      <c r="F586" s="689"/>
      <c r="G586" s="658" t="s">
        <v>1554</v>
      </c>
      <c r="H586" s="731"/>
    </row>
    <row r="587">
      <c r="A587" s="658">
        <v>2.0</v>
      </c>
      <c r="B587" s="658" t="s">
        <v>1444</v>
      </c>
      <c r="C587" s="658">
        <v>1.0</v>
      </c>
      <c r="D587" s="678">
        <v>3.2</v>
      </c>
      <c r="E587" s="669"/>
      <c r="F587" s="689"/>
      <c r="G587" s="658" t="s">
        <v>1554</v>
      </c>
      <c r="H587" s="731"/>
    </row>
    <row r="588">
      <c r="A588" s="658">
        <v>3.0</v>
      </c>
      <c r="B588" s="689" t="s">
        <v>3673</v>
      </c>
      <c r="C588" s="658">
        <v>2.0</v>
      </c>
      <c r="D588" s="721">
        <v>5.0</v>
      </c>
      <c r="E588" s="669">
        <v>1.0</v>
      </c>
      <c r="F588" s="689" t="s">
        <v>1518</v>
      </c>
      <c r="G588" s="658" t="s">
        <v>1446</v>
      </c>
      <c r="H588" s="731">
        <v>45141.0</v>
      </c>
    </row>
    <row r="589">
      <c r="A589" s="658"/>
      <c r="B589" s="689"/>
      <c r="C589" s="658"/>
      <c r="D589" s="721"/>
      <c r="E589" s="669"/>
      <c r="F589" s="689"/>
      <c r="G589" s="658"/>
      <c r="H589" s="731"/>
    </row>
    <row r="590">
      <c r="A590" s="658"/>
      <c r="B590" s="689"/>
      <c r="C590" s="658"/>
      <c r="D590" s="721"/>
      <c r="E590" s="669"/>
      <c r="F590" s="689"/>
      <c r="G590" s="658"/>
      <c r="H590" s="731"/>
    </row>
    <row r="591">
      <c r="A591" s="658"/>
      <c r="B591" s="689"/>
      <c r="C591" s="658"/>
      <c r="D591" s="721"/>
      <c r="E591" s="669"/>
      <c r="F591" s="689"/>
      <c r="G591" s="658"/>
      <c r="H591" s="731"/>
    </row>
    <row r="592">
      <c r="A592" s="732" t="s">
        <v>1562</v>
      </c>
      <c r="B592" s="3"/>
      <c r="C592" s="689">
        <f t="shared" ref="C592:E592" si="30">sum(C585:C587)</f>
        <v>2</v>
      </c>
      <c r="D592" s="721">
        <f t="shared" si="30"/>
        <v>153.2</v>
      </c>
      <c r="E592" s="669">
        <f t="shared" si="30"/>
        <v>0</v>
      </c>
      <c r="F592" s="689"/>
      <c r="G592" s="731"/>
      <c r="H592" s="731"/>
    </row>
    <row r="593">
      <c r="A593" s="712"/>
      <c r="B593" s="712"/>
      <c r="C593" s="712"/>
      <c r="D593" s="712"/>
      <c r="E593" s="712"/>
      <c r="F593" s="712"/>
      <c r="G593" s="712"/>
      <c r="H593" s="712"/>
    </row>
    <row r="594">
      <c r="A594" s="649" t="s">
        <v>5726</v>
      </c>
      <c r="B594" s="2"/>
      <c r="C594" s="2"/>
      <c r="D594" s="2"/>
      <c r="E594" s="2"/>
      <c r="F594" s="2"/>
      <c r="G594" s="2"/>
      <c r="H594" s="3"/>
    </row>
    <row r="595">
      <c r="A595" s="690" t="s">
        <v>1435</v>
      </c>
      <c r="B595" s="690" t="s">
        <v>1436</v>
      </c>
      <c r="C595" s="690" t="s">
        <v>1843</v>
      </c>
      <c r="D595" s="693" t="s">
        <v>1438</v>
      </c>
      <c r="E595" s="694" t="s">
        <v>1564</v>
      </c>
      <c r="F595" s="690" t="s">
        <v>1440</v>
      </c>
      <c r="G595" s="690" t="s">
        <v>1844</v>
      </c>
      <c r="H595" s="695" t="s">
        <v>1441</v>
      </c>
    </row>
    <row r="596">
      <c r="A596" s="658">
        <v>1.0</v>
      </c>
      <c r="B596" s="658" t="s">
        <v>1443</v>
      </c>
      <c r="C596" s="658">
        <v>1.0</v>
      </c>
      <c r="D596" s="678">
        <v>150.0</v>
      </c>
      <c r="E596" s="669"/>
      <c r="F596" s="689"/>
      <c r="G596" s="658" t="s">
        <v>1554</v>
      </c>
      <c r="H596" s="731"/>
    </row>
    <row r="597">
      <c r="A597" s="658">
        <v>2.0</v>
      </c>
      <c r="B597" s="658" t="s">
        <v>1444</v>
      </c>
      <c r="C597" s="658">
        <v>1.0</v>
      </c>
      <c r="D597" s="678">
        <v>3.2</v>
      </c>
      <c r="E597" s="669"/>
      <c r="F597" s="689"/>
      <c r="G597" s="658" t="s">
        <v>1554</v>
      </c>
      <c r="H597" s="731"/>
    </row>
    <row r="598">
      <c r="A598" s="658">
        <v>3.0</v>
      </c>
      <c r="B598" s="689" t="s">
        <v>3673</v>
      </c>
      <c r="C598" s="658">
        <v>2.0</v>
      </c>
      <c r="D598" s="721">
        <v>5.0</v>
      </c>
      <c r="E598" s="669">
        <v>1.0</v>
      </c>
      <c r="F598" s="689" t="s">
        <v>1518</v>
      </c>
      <c r="G598" s="658" t="s">
        <v>1446</v>
      </c>
      <c r="H598" s="731">
        <v>45141.0</v>
      </c>
    </row>
    <row r="599">
      <c r="A599" s="658"/>
      <c r="B599" s="689"/>
      <c r="C599" s="658"/>
      <c r="D599" s="721"/>
      <c r="E599" s="669"/>
      <c r="F599" s="689"/>
      <c r="G599" s="658"/>
      <c r="H599" s="731"/>
    </row>
    <row r="600">
      <c r="A600" s="658"/>
      <c r="B600" s="689"/>
      <c r="C600" s="658"/>
      <c r="D600" s="721"/>
      <c r="E600" s="669"/>
      <c r="F600" s="689"/>
      <c r="G600" s="658"/>
      <c r="H600" s="731"/>
    </row>
    <row r="601">
      <c r="A601" s="658"/>
      <c r="B601" s="689"/>
      <c r="C601" s="658"/>
      <c r="D601" s="721"/>
      <c r="E601" s="669"/>
      <c r="F601" s="689"/>
      <c r="G601" s="658"/>
      <c r="H601" s="731"/>
    </row>
    <row r="602">
      <c r="A602" s="732" t="s">
        <v>1562</v>
      </c>
      <c r="B602" s="3"/>
      <c r="C602" s="689">
        <f t="shared" ref="C602:E602" si="31">sum(C595:C597)</f>
        <v>2</v>
      </c>
      <c r="D602" s="721">
        <f t="shared" si="31"/>
        <v>153.2</v>
      </c>
      <c r="E602" s="669">
        <f t="shared" si="31"/>
        <v>0</v>
      </c>
      <c r="F602" s="689"/>
      <c r="G602" s="731"/>
      <c r="H602" s="731"/>
    </row>
    <row r="603">
      <c r="A603" s="732"/>
      <c r="B603" s="899"/>
      <c r="C603" s="899"/>
      <c r="D603" s="899"/>
      <c r="E603" s="899"/>
      <c r="F603" s="899"/>
      <c r="G603" s="899"/>
      <c r="H603" s="900"/>
    </row>
    <row r="604">
      <c r="A604" s="649" t="s">
        <v>5727</v>
      </c>
      <c r="B604" s="2"/>
      <c r="C604" s="2"/>
      <c r="D604" s="2"/>
      <c r="E604" s="2"/>
      <c r="F604" s="2"/>
      <c r="G604" s="2"/>
      <c r="H604" s="3"/>
    </row>
    <row r="605">
      <c r="A605" s="690" t="s">
        <v>1435</v>
      </c>
      <c r="B605" s="690" t="s">
        <v>1436</v>
      </c>
      <c r="C605" s="690" t="s">
        <v>1843</v>
      </c>
      <c r="D605" s="693" t="s">
        <v>1438</v>
      </c>
      <c r="E605" s="694" t="s">
        <v>1564</v>
      </c>
      <c r="F605" s="690" t="s">
        <v>1440</v>
      </c>
      <c r="G605" s="690" t="s">
        <v>1844</v>
      </c>
      <c r="H605" s="695" t="s">
        <v>1441</v>
      </c>
    </row>
    <row r="606">
      <c r="A606" s="658">
        <v>1.0</v>
      </c>
      <c r="B606" s="658" t="s">
        <v>1443</v>
      </c>
      <c r="C606" s="658">
        <v>1.0</v>
      </c>
      <c r="D606" s="678">
        <v>150.0</v>
      </c>
      <c r="E606" s="669"/>
      <c r="F606" s="689"/>
      <c r="G606" s="658" t="s">
        <v>1554</v>
      </c>
      <c r="H606" s="731"/>
    </row>
    <row r="607">
      <c r="A607" s="658">
        <v>2.0</v>
      </c>
      <c r="B607" s="658" t="s">
        <v>1444</v>
      </c>
      <c r="C607" s="658">
        <v>1.0</v>
      </c>
      <c r="D607" s="678">
        <v>3.2</v>
      </c>
      <c r="E607" s="669"/>
      <c r="F607" s="689"/>
      <c r="G607" s="658" t="s">
        <v>1554</v>
      </c>
      <c r="H607" s="731"/>
    </row>
    <row r="608">
      <c r="A608" s="658">
        <v>3.0</v>
      </c>
      <c r="B608" s="689" t="s">
        <v>3673</v>
      </c>
      <c r="C608" s="658">
        <v>2.0</v>
      </c>
      <c r="D608" s="721">
        <v>5.0</v>
      </c>
      <c r="E608" s="669">
        <v>1.0</v>
      </c>
      <c r="F608" s="689" t="s">
        <v>1518</v>
      </c>
      <c r="G608" s="658" t="s">
        <v>1446</v>
      </c>
      <c r="H608" s="731">
        <v>45141.0</v>
      </c>
    </row>
    <row r="609">
      <c r="A609" s="658"/>
      <c r="B609" s="689"/>
      <c r="C609" s="658"/>
      <c r="D609" s="721"/>
      <c r="E609" s="669"/>
      <c r="F609" s="689"/>
      <c r="G609" s="658"/>
      <c r="H609" s="731"/>
    </row>
    <row r="610">
      <c r="A610" s="658"/>
      <c r="B610" s="689"/>
      <c r="C610" s="658"/>
      <c r="D610" s="721"/>
      <c r="E610" s="669"/>
      <c r="F610" s="689"/>
      <c r="G610" s="658"/>
      <c r="H610" s="731"/>
    </row>
    <row r="611">
      <c r="A611" s="658"/>
      <c r="B611" s="689"/>
      <c r="C611" s="658"/>
      <c r="D611" s="721"/>
      <c r="E611" s="669"/>
      <c r="F611" s="689"/>
      <c r="G611" s="658"/>
      <c r="H611" s="731"/>
    </row>
    <row r="612">
      <c r="A612" s="732" t="s">
        <v>1562</v>
      </c>
      <c r="B612" s="3"/>
      <c r="C612" s="689">
        <f t="shared" ref="C612:E612" si="32">sum(C605:C607)</f>
        <v>2</v>
      </c>
      <c r="D612" s="721">
        <f t="shared" si="32"/>
        <v>153.2</v>
      </c>
      <c r="E612" s="669">
        <f t="shared" si="32"/>
        <v>0</v>
      </c>
      <c r="F612" s="689"/>
      <c r="G612" s="731"/>
      <c r="H612" s="731"/>
    </row>
    <row r="613">
      <c r="A613" s="732"/>
      <c r="B613" s="899"/>
      <c r="C613" s="899"/>
      <c r="D613" s="899"/>
      <c r="E613" s="899"/>
      <c r="F613" s="899"/>
      <c r="G613" s="899"/>
      <c r="H613" s="900"/>
    </row>
    <row r="614">
      <c r="A614" s="649" t="s">
        <v>5728</v>
      </c>
      <c r="B614" s="2"/>
      <c r="C614" s="2"/>
      <c r="D614" s="2"/>
      <c r="E614" s="2"/>
      <c r="F614" s="2"/>
      <c r="G614" s="2"/>
      <c r="H614" s="3"/>
    </row>
    <row r="615">
      <c r="A615" s="690" t="s">
        <v>1435</v>
      </c>
      <c r="B615" s="690" t="s">
        <v>1436</v>
      </c>
      <c r="C615" s="690" t="s">
        <v>1843</v>
      </c>
      <c r="D615" s="693" t="s">
        <v>1438</v>
      </c>
      <c r="E615" s="694" t="s">
        <v>1564</v>
      </c>
      <c r="F615" s="690" t="s">
        <v>1440</v>
      </c>
      <c r="G615" s="690" t="s">
        <v>1844</v>
      </c>
      <c r="H615" s="695" t="s">
        <v>1441</v>
      </c>
    </row>
    <row r="616">
      <c r="A616" s="658">
        <v>1.0</v>
      </c>
      <c r="B616" s="658" t="s">
        <v>1443</v>
      </c>
      <c r="C616" s="658">
        <v>1.0</v>
      </c>
      <c r="D616" s="678">
        <v>150.0</v>
      </c>
      <c r="E616" s="669"/>
      <c r="F616" s="689"/>
      <c r="G616" s="658" t="s">
        <v>1554</v>
      </c>
      <c r="H616" s="731"/>
    </row>
    <row r="617">
      <c r="A617" s="658">
        <v>2.0</v>
      </c>
      <c r="B617" s="658" t="s">
        <v>1444</v>
      </c>
      <c r="C617" s="658">
        <v>1.0</v>
      </c>
      <c r="D617" s="678">
        <v>3.2</v>
      </c>
      <c r="E617" s="669"/>
      <c r="F617" s="689"/>
      <c r="G617" s="658" t="s">
        <v>1554</v>
      </c>
      <c r="H617" s="731"/>
    </row>
    <row r="618">
      <c r="A618" s="658">
        <v>3.0</v>
      </c>
      <c r="B618" s="689" t="s">
        <v>3673</v>
      </c>
      <c r="C618" s="658">
        <v>2.0</v>
      </c>
      <c r="D618" s="721">
        <v>5.0</v>
      </c>
      <c r="E618" s="669">
        <v>1.0</v>
      </c>
      <c r="F618" s="689" t="s">
        <v>1518</v>
      </c>
      <c r="G618" s="658" t="s">
        <v>1446</v>
      </c>
      <c r="H618" s="731">
        <v>45141.0</v>
      </c>
    </row>
    <row r="619">
      <c r="A619" s="658"/>
      <c r="B619" s="689"/>
      <c r="C619" s="658"/>
      <c r="D619" s="721"/>
      <c r="E619" s="669"/>
      <c r="F619" s="689"/>
      <c r="G619" s="658"/>
      <c r="H619" s="731"/>
    </row>
    <row r="620">
      <c r="A620" s="658"/>
      <c r="B620" s="689"/>
      <c r="C620" s="658"/>
      <c r="D620" s="721"/>
      <c r="E620" s="669"/>
      <c r="F620" s="689"/>
      <c r="G620" s="658"/>
      <c r="H620" s="731"/>
    </row>
    <row r="621">
      <c r="A621" s="658"/>
      <c r="B621" s="689"/>
      <c r="C621" s="658"/>
      <c r="D621" s="721"/>
      <c r="E621" s="669"/>
      <c r="F621" s="689"/>
      <c r="G621" s="658"/>
      <c r="H621" s="731"/>
    </row>
    <row r="622">
      <c r="A622" s="732" t="s">
        <v>1562</v>
      </c>
      <c r="B622" s="3"/>
      <c r="C622" s="689">
        <f t="shared" ref="C622:E622" si="33">sum(C615:C617)</f>
        <v>2</v>
      </c>
      <c r="D622" s="721">
        <f t="shared" si="33"/>
        <v>153.2</v>
      </c>
      <c r="E622" s="669">
        <f t="shared" si="33"/>
        <v>0</v>
      </c>
      <c r="F622" s="689"/>
      <c r="G622" s="731"/>
      <c r="H622" s="731"/>
    </row>
    <row r="623">
      <c r="A623" s="712"/>
      <c r="B623" s="712"/>
      <c r="C623" s="712"/>
      <c r="D623" s="712"/>
      <c r="E623" s="712"/>
      <c r="F623" s="712"/>
      <c r="G623" s="712"/>
      <c r="H623" s="712"/>
    </row>
    <row r="624">
      <c r="A624" s="712"/>
      <c r="B624" s="712"/>
      <c r="C624" s="712"/>
      <c r="D624" s="712"/>
      <c r="E624" s="712"/>
      <c r="F624" s="712"/>
      <c r="G624" s="712"/>
      <c r="H624" s="712"/>
    </row>
    <row r="625">
      <c r="A625" s="649" t="s">
        <v>5729</v>
      </c>
      <c r="B625" s="2"/>
      <c r="C625" s="2"/>
      <c r="D625" s="2"/>
      <c r="E625" s="2"/>
      <c r="F625" s="2"/>
      <c r="G625" s="2"/>
      <c r="H625" s="3"/>
    </row>
    <row r="626">
      <c r="A626" s="690" t="s">
        <v>1435</v>
      </c>
      <c r="B626" s="690" t="s">
        <v>1436</v>
      </c>
      <c r="C626" s="690" t="s">
        <v>1843</v>
      </c>
      <c r="D626" s="693" t="s">
        <v>1438</v>
      </c>
      <c r="E626" s="694" t="s">
        <v>1564</v>
      </c>
      <c r="F626" s="690" t="s">
        <v>1440</v>
      </c>
      <c r="G626" s="690" t="s">
        <v>1844</v>
      </c>
      <c r="H626" s="695" t="s">
        <v>1441</v>
      </c>
    </row>
    <row r="627">
      <c r="A627" s="658">
        <v>1.0</v>
      </c>
      <c r="B627" s="658" t="s">
        <v>1443</v>
      </c>
      <c r="C627" s="658">
        <v>1.0</v>
      </c>
      <c r="D627" s="678">
        <v>150.0</v>
      </c>
      <c r="E627" s="669"/>
      <c r="F627" s="689"/>
      <c r="G627" s="658" t="s">
        <v>1554</v>
      </c>
      <c r="H627" s="731"/>
    </row>
    <row r="628">
      <c r="A628" s="658">
        <v>2.0</v>
      </c>
      <c r="B628" s="658" t="s">
        <v>1444</v>
      </c>
      <c r="C628" s="658">
        <v>1.0</v>
      </c>
      <c r="D628" s="678">
        <v>3.2</v>
      </c>
      <c r="E628" s="669"/>
      <c r="F628" s="689"/>
      <c r="G628" s="658" t="s">
        <v>1554</v>
      </c>
      <c r="H628" s="731"/>
    </row>
    <row r="629">
      <c r="A629" s="658">
        <v>3.0</v>
      </c>
      <c r="B629" s="689" t="s">
        <v>3673</v>
      </c>
      <c r="C629" s="658">
        <v>2.0</v>
      </c>
      <c r="D629" s="721">
        <v>5.0</v>
      </c>
      <c r="E629" s="669">
        <v>1.0</v>
      </c>
      <c r="F629" s="689" t="s">
        <v>1518</v>
      </c>
      <c r="G629" s="658" t="s">
        <v>1446</v>
      </c>
      <c r="H629" s="731">
        <v>45141.0</v>
      </c>
    </row>
    <row r="630">
      <c r="A630" s="658"/>
      <c r="B630" s="689"/>
      <c r="C630" s="658"/>
      <c r="D630" s="721"/>
      <c r="E630" s="669"/>
      <c r="F630" s="689"/>
      <c r="G630" s="658"/>
      <c r="H630" s="731"/>
    </row>
    <row r="631">
      <c r="A631" s="658"/>
      <c r="B631" s="689"/>
      <c r="C631" s="658"/>
      <c r="D631" s="721"/>
      <c r="E631" s="669"/>
      <c r="F631" s="689"/>
      <c r="G631" s="658"/>
      <c r="H631" s="731"/>
    </row>
    <row r="632">
      <c r="A632" s="658"/>
      <c r="B632" s="689"/>
      <c r="C632" s="658"/>
      <c r="D632" s="721"/>
      <c r="E632" s="669"/>
      <c r="F632" s="689"/>
      <c r="G632" s="658"/>
      <c r="H632" s="731"/>
    </row>
    <row r="633">
      <c r="A633" s="732" t="s">
        <v>1562</v>
      </c>
      <c r="B633" s="3"/>
      <c r="C633" s="689">
        <f t="shared" ref="C633:E633" si="34">sum(C626:C628)</f>
        <v>2</v>
      </c>
      <c r="D633" s="721">
        <f t="shared" si="34"/>
        <v>153.2</v>
      </c>
      <c r="E633" s="669">
        <f t="shared" si="34"/>
        <v>0</v>
      </c>
      <c r="F633" s="689"/>
      <c r="G633" s="731"/>
      <c r="H633" s="731"/>
    </row>
    <row r="634">
      <c r="A634" s="732"/>
      <c r="B634" s="899"/>
      <c r="C634" s="899"/>
      <c r="D634" s="899"/>
      <c r="E634" s="899"/>
      <c r="F634" s="899"/>
      <c r="G634" s="899"/>
      <c r="H634" s="900"/>
    </row>
    <row r="635">
      <c r="A635" s="649" t="s">
        <v>5730</v>
      </c>
      <c r="B635" s="2"/>
      <c r="C635" s="2"/>
      <c r="D635" s="2"/>
      <c r="E635" s="2"/>
      <c r="F635" s="2"/>
      <c r="G635" s="2"/>
      <c r="H635" s="3"/>
    </row>
    <row r="636">
      <c r="A636" s="690" t="s">
        <v>1435</v>
      </c>
      <c r="B636" s="690" t="s">
        <v>1436</v>
      </c>
      <c r="C636" s="690" t="s">
        <v>1843</v>
      </c>
      <c r="D636" s="693" t="s">
        <v>1438</v>
      </c>
      <c r="E636" s="694" t="s">
        <v>1564</v>
      </c>
      <c r="F636" s="690" t="s">
        <v>1440</v>
      </c>
      <c r="G636" s="690" t="s">
        <v>1844</v>
      </c>
      <c r="H636" s="695" t="s">
        <v>1441</v>
      </c>
    </row>
    <row r="637">
      <c r="A637" s="658">
        <v>1.0</v>
      </c>
      <c r="B637" s="658" t="s">
        <v>1443</v>
      </c>
      <c r="C637" s="658">
        <v>1.0</v>
      </c>
      <c r="D637" s="678">
        <v>150.0</v>
      </c>
      <c r="E637" s="669"/>
      <c r="F637" s="689"/>
      <c r="G637" s="658" t="s">
        <v>1554</v>
      </c>
      <c r="H637" s="731"/>
    </row>
    <row r="638">
      <c r="A638" s="658">
        <v>2.0</v>
      </c>
      <c r="B638" s="658" t="s">
        <v>1444</v>
      </c>
      <c r="C638" s="658">
        <v>1.0</v>
      </c>
      <c r="D638" s="678">
        <v>3.2</v>
      </c>
      <c r="E638" s="669"/>
      <c r="F638" s="689"/>
      <c r="G638" s="658" t="s">
        <v>1554</v>
      </c>
      <c r="H638" s="731"/>
    </row>
    <row r="639">
      <c r="A639" s="658">
        <v>3.0</v>
      </c>
      <c r="B639" s="689" t="s">
        <v>3673</v>
      </c>
      <c r="C639" s="658">
        <v>2.0</v>
      </c>
      <c r="D639" s="721">
        <v>5.0</v>
      </c>
      <c r="E639" s="669">
        <v>1.0</v>
      </c>
      <c r="F639" s="689" t="s">
        <v>1518</v>
      </c>
      <c r="G639" s="658" t="s">
        <v>1446</v>
      </c>
      <c r="H639" s="731">
        <v>45141.0</v>
      </c>
    </row>
    <row r="640">
      <c r="A640" s="658"/>
      <c r="B640" s="689"/>
      <c r="C640" s="658"/>
      <c r="D640" s="721"/>
      <c r="E640" s="669"/>
      <c r="F640" s="689"/>
      <c r="G640" s="658"/>
      <c r="H640" s="731"/>
    </row>
    <row r="641">
      <c r="A641" s="658"/>
      <c r="B641" s="689"/>
      <c r="C641" s="658"/>
      <c r="D641" s="721"/>
      <c r="E641" s="669"/>
      <c r="F641" s="689"/>
      <c r="G641" s="658"/>
      <c r="H641" s="731"/>
    </row>
    <row r="642">
      <c r="A642" s="658"/>
      <c r="B642" s="689"/>
      <c r="C642" s="658"/>
      <c r="D642" s="721"/>
      <c r="E642" s="669"/>
      <c r="F642" s="689"/>
      <c r="G642" s="658"/>
      <c r="H642" s="731"/>
    </row>
    <row r="643">
      <c r="A643" s="732" t="s">
        <v>1562</v>
      </c>
      <c r="B643" s="3"/>
      <c r="C643" s="689">
        <f t="shared" ref="C643:E643" si="35">sum(C636:C638)</f>
        <v>2</v>
      </c>
      <c r="D643" s="721">
        <f t="shared" si="35"/>
        <v>153.2</v>
      </c>
      <c r="E643" s="669">
        <f t="shared" si="35"/>
        <v>0</v>
      </c>
      <c r="F643" s="689"/>
      <c r="G643" s="731"/>
      <c r="H643" s="731"/>
    </row>
    <row r="644">
      <c r="A644" s="689"/>
      <c r="B644" s="689"/>
      <c r="C644" s="689"/>
      <c r="D644" s="721"/>
      <c r="E644" s="669"/>
      <c r="F644" s="689"/>
      <c r="G644" s="731"/>
      <c r="H644" s="731"/>
    </row>
    <row r="645">
      <c r="A645" s="649" t="s">
        <v>3001</v>
      </c>
      <c r="B645" s="2"/>
      <c r="C645" s="2"/>
      <c r="D645" s="2"/>
      <c r="E645" s="2"/>
      <c r="F645" s="2"/>
      <c r="G645" s="2"/>
      <c r="H645" s="3"/>
    </row>
    <row r="646">
      <c r="A646" s="690" t="s">
        <v>1435</v>
      </c>
      <c r="B646" s="690" t="s">
        <v>1436</v>
      </c>
      <c r="C646" s="690" t="s">
        <v>1843</v>
      </c>
      <c r="D646" s="693" t="s">
        <v>1438</v>
      </c>
      <c r="E646" s="694" t="s">
        <v>1564</v>
      </c>
      <c r="F646" s="690" t="s">
        <v>1440</v>
      </c>
      <c r="G646" s="690" t="s">
        <v>1844</v>
      </c>
      <c r="H646" s="695" t="s">
        <v>1441</v>
      </c>
    </row>
    <row r="647">
      <c r="A647" s="658">
        <v>1.0</v>
      </c>
      <c r="B647" s="658" t="s">
        <v>1443</v>
      </c>
      <c r="C647" s="658">
        <v>1.0</v>
      </c>
      <c r="D647" s="678">
        <v>150.0</v>
      </c>
      <c r="E647" s="669"/>
      <c r="F647" s="689"/>
      <c r="G647" s="658" t="s">
        <v>1554</v>
      </c>
      <c r="H647" s="731"/>
    </row>
    <row r="648">
      <c r="A648" s="658">
        <v>2.0</v>
      </c>
      <c r="B648" s="658" t="s">
        <v>1444</v>
      </c>
      <c r="C648" s="658">
        <v>1.0</v>
      </c>
      <c r="D648" s="678">
        <v>3.2</v>
      </c>
      <c r="E648" s="669"/>
      <c r="F648" s="689"/>
      <c r="G648" s="658" t="s">
        <v>1554</v>
      </c>
      <c r="H648" s="731"/>
    </row>
    <row r="649">
      <c r="A649" s="658">
        <v>3.0</v>
      </c>
      <c r="B649" s="689" t="s">
        <v>3673</v>
      </c>
      <c r="C649" s="658">
        <v>2.0</v>
      </c>
      <c r="D649" s="721">
        <v>5.0</v>
      </c>
      <c r="E649" s="669">
        <v>1.0</v>
      </c>
      <c r="F649" s="689" t="s">
        <v>1518</v>
      </c>
      <c r="G649" s="658" t="s">
        <v>1446</v>
      </c>
      <c r="H649" s="731">
        <v>45141.0</v>
      </c>
    </row>
    <row r="650">
      <c r="A650" s="658"/>
      <c r="B650" s="689"/>
      <c r="C650" s="658"/>
      <c r="D650" s="721"/>
      <c r="E650" s="669"/>
      <c r="F650" s="689"/>
      <c r="G650" s="658"/>
      <c r="H650" s="731"/>
    </row>
    <row r="651">
      <c r="A651" s="658"/>
      <c r="B651" s="689"/>
      <c r="C651" s="658"/>
      <c r="D651" s="721"/>
      <c r="E651" s="669"/>
      <c r="F651" s="689"/>
      <c r="G651" s="658"/>
      <c r="H651" s="731"/>
    </row>
    <row r="652">
      <c r="A652" s="658"/>
      <c r="B652" s="689"/>
      <c r="C652" s="658"/>
      <c r="D652" s="721"/>
      <c r="E652" s="669"/>
      <c r="F652" s="689"/>
      <c r="G652" s="658"/>
      <c r="H652" s="731"/>
    </row>
    <row r="653">
      <c r="A653" s="732" t="s">
        <v>1562</v>
      </c>
      <c r="B653" s="3"/>
      <c r="C653" s="689">
        <f t="shared" ref="C653:E653" si="36">sum(C646:C648)</f>
        <v>2</v>
      </c>
      <c r="D653" s="721">
        <f t="shared" si="36"/>
        <v>153.2</v>
      </c>
      <c r="E653" s="669">
        <f t="shared" si="36"/>
        <v>0</v>
      </c>
      <c r="F653" s="689"/>
      <c r="G653" s="731"/>
      <c r="H653" s="731"/>
    </row>
    <row r="654">
      <c r="A654" s="882"/>
      <c r="B654" s="883"/>
      <c r="C654" s="883"/>
      <c r="D654" s="883"/>
      <c r="E654" s="883"/>
      <c r="F654" s="883"/>
      <c r="G654" s="883"/>
      <c r="H654" s="884"/>
    </row>
    <row r="655">
      <c r="A655" s="885"/>
      <c r="B655" s="886"/>
      <c r="C655" s="886"/>
      <c r="D655" s="886"/>
      <c r="E655" s="886"/>
      <c r="F655" s="886"/>
      <c r="G655" s="886"/>
      <c r="H655" s="887"/>
    </row>
    <row r="656">
      <c r="A656" s="649" t="s">
        <v>5731</v>
      </c>
      <c r="B656" s="2"/>
      <c r="C656" s="2"/>
      <c r="D656" s="2"/>
      <c r="E656" s="2"/>
      <c r="F656" s="2"/>
      <c r="G656" s="2"/>
      <c r="H656" s="3"/>
    </row>
    <row r="657">
      <c r="A657" s="690" t="s">
        <v>1435</v>
      </c>
      <c r="B657" s="690" t="s">
        <v>1436</v>
      </c>
      <c r="C657" s="690" t="s">
        <v>1843</v>
      </c>
      <c r="D657" s="693" t="s">
        <v>1438</v>
      </c>
      <c r="E657" s="694" t="s">
        <v>1564</v>
      </c>
      <c r="F657" s="690" t="s">
        <v>1440</v>
      </c>
      <c r="G657" s="690" t="s">
        <v>1844</v>
      </c>
      <c r="H657" s="695" t="s">
        <v>1441</v>
      </c>
    </row>
    <row r="658">
      <c r="A658" s="658">
        <v>1.0</v>
      </c>
      <c r="B658" s="658" t="s">
        <v>1443</v>
      </c>
      <c r="C658" s="658">
        <v>1.0</v>
      </c>
      <c r="D658" s="678">
        <v>150.0</v>
      </c>
      <c r="E658" s="669"/>
      <c r="F658" s="689"/>
      <c r="G658" s="658" t="s">
        <v>1554</v>
      </c>
      <c r="H658" s="731"/>
    </row>
    <row r="659">
      <c r="A659" s="658">
        <v>2.0</v>
      </c>
      <c r="B659" s="658" t="s">
        <v>1444</v>
      </c>
      <c r="C659" s="658">
        <v>1.0</v>
      </c>
      <c r="D659" s="678">
        <v>3.2</v>
      </c>
      <c r="E659" s="669"/>
      <c r="F659" s="689"/>
      <c r="G659" s="658" t="s">
        <v>1554</v>
      </c>
      <c r="H659" s="731"/>
    </row>
    <row r="660">
      <c r="A660" s="658">
        <v>3.0</v>
      </c>
      <c r="B660" s="689" t="s">
        <v>3673</v>
      </c>
      <c r="C660" s="658">
        <v>2.0</v>
      </c>
      <c r="D660" s="721">
        <v>5.0</v>
      </c>
      <c r="E660" s="669">
        <v>1.0</v>
      </c>
      <c r="F660" s="689" t="s">
        <v>1518</v>
      </c>
      <c r="G660" s="658" t="s">
        <v>1446</v>
      </c>
      <c r="H660" s="731">
        <v>45141.0</v>
      </c>
    </row>
    <row r="661">
      <c r="A661" s="658"/>
      <c r="B661" s="689"/>
      <c r="C661" s="658"/>
      <c r="D661" s="721"/>
      <c r="E661" s="669"/>
      <c r="F661" s="689"/>
      <c r="G661" s="658"/>
      <c r="H661" s="731"/>
    </row>
    <row r="662">
      <c r="A662" s="658"/>
      <c r="B662" s="689"/>
      <c r="C662" s="658"/>
      <c r="D662" s="721"/>
      <c r="E662" s="669"/>
      <c r="F662" s="689"/>
      <c r="G662" s="658"/>
      <c r="H662" s="731"/>
    </row>
    <row r="663">
      <c r="A663" s="658"/>
      <c r="B663" s="689"/>
      <c r="C663" s="658"/>
      <c r="D663" s="721"/>
      <c r="E663" s="669"/>
      <c r="F663" s="689"/>
      <c r="G663" s="658"/>
      <c r="H663" s="731"/>
    </row>
    <row r="664">
      <c r="A664" s="732" t="s">
        <v>1562</v>
      </c>
      <c r="B664" s="3"/>
      <c r="C664" s="689">
        <f t="shared" ref="C664:E664" si="37">sum(C657:C659)</f>
        <v>2</v>
      </c>
      <c r="D664" s="721">
        <f t="shared" si="37"/>
        <v>153.2</v>
      </c>
      <c r="E664" s="669">
        <f t="shared" si="37"/>
        <v>0</v>
      </c>
      <c r="F664" s="689"/>
      <c r="G664" s="731"/>
      <c r="H664" s="731"/>
    </row>
    <row r="665">
      <c r="A665" s="689"/>
      <c r="B665" s="689"/>
      <c r="C665" s="689"/>
      <c r="D665" s="689"/>
      <c r="E665" s="689"/>
      <c r="F665" s="689"/>
      <c r="G665" s="689"/>
      <c r="H665" s="689"/>
    </row>
    <row r="666">
      <c r="A666" s="649" t="s">
        <v>5732</v>
      </c>
      <c r="B666" s="2"/>
      <c r="C666" s="2"/>
      <c r="D666" s="2"/>
      <c r="E666" s="2"/>
      <c r="F666" s="2"/>
      <c r="G666" s="2"/>
      <c r="H666" s="3"/>
    </row>
    <row r="667">
      <c r="A667" s="690" t="s">
        <v>1435</v>
      </c>
      <c r="B667" s="690" t="s">
        <v>1436</v>
      </c>
      <c r="C667" s="690" t="s">
        <v>1843</v>
      </c>
      <c r="D667" s="693" t="s">
        <v>1438</v>
      </c>
      <c r="E667" s="694" t="s">
        <v>1564</v>
      </c>
      <c r="F667" s="690" t="s">
        <v>1440</v>
      </c>
      <c r="G667" s="690" t="s">
        <v>1844</v>
      </c>
      <c r="H667" s="695" t="s">
        <v>1441</v>
      </c>
    </row>
    <row r="668">
      <c r="A668" s="658">
        <v>1.0</v>
      </c>
      <c r="B668" s="658" t="s">
        <v>1443</v>
      </c>
      <c r="C668" s="658">
        <v>1.0</v>
      </c>
      <c r="D668" s="678">
        <v>150.0</v>
      </c>
      <c r="E668" s="669"/>
      <c r="F668" s="689" t="s">
        <v>1518</v>
      </c>
      <c r="G668" s="658" t="s">
        <v>1554</v>
      </c>
      <c r="H668" s="731">
        <v>45141.0</v>
      </c>
    </row>
    <row r="669">
      <c r="A669" s="662">
        <v>2.0</v>
      </c>
      <c r="B669" s="662" t="s">
        <v>1444</v>
      </c>
      <c r="C669" s="662">
        <v>2.0</v>
      </c>
      <c r="D669" s="673"/>
      <c r="E669" s="665"/>
      <c r="F669" s="662"/>
      <c r="G669" s="662" t="s">
        <v>425</v>
      </c>
      <c r="H669" s="681"/>
    </row>
    <row r="670">
      <c r="A670" s="658">
        <v>3.0</v>
      </c>
      <c r="B670" s="689" t="s">
        <v>3673</v>
      </c>
      <c r="C670" s="689">
        <v>1.0</v>
      </c>
      <c r="D670" s="721">
        <v>5.0</v>
      </c>
      <c r="E670" s="669">
        <v>1.0</v>
      </c>
      <c r="F670" s="689"/>
      <c r="G670" s="658" t="s">
        <v>1554</v>
      </c>
      <c r="H670" s="731">
        <v>45141.0</v>
      </c>
    </row>
    <row r="671">
      <c r="A671" s="658">
        <v>4.0</v>
      </c>
      <c r="B671" s="1071" t="s">
        <v>2158</v>
      </c>
      <c r="C671" s="1071">
        <v>4.0</v>
      </c>
      <c r="D671" s="678">
        <v>19.8</v>
      </c>
      <c r="E671" s="1072">
        <v>1.0</v>
      </c>
      <c r="F671" s="1073"/>
      <c r="G671" s="658" t="s">
        <v>1554</v>
      </c>
      <c r="H671" s="1074">
        <v>46057.0</v>
      </c>
    </row>
    <row r="672">
      <c r="A672" s="658">
        <v>5.0</v>
      </c>
      <c r="B672" s="1071" t="s">
        <v>2513</v>
      </c>
      <c r="C672" s="1071">
        <v>2.0</v>
      </c>
      <c r="D672" s="678">
        <v>21.9</v>
      </c>
      <c r="E672" s="1072">
        <v>1.0</v>
      </c>
      <c r="F672" s="1073"/>
      <c r="G672" s="658" t="s">
        <v>1554</v>
      </c>
      <c r="H672" s="1074">
        <v>46057.0</v>
      </c>
    </row>
    <row r="673">
      <c r="A673" s="658">
        <v>6.0</v>
      </c>
      <c r="B673" s="1071" t="s">
        <v>5733</v>
      </c>
      <c r="C673" s="1071">
        <v>16.0</v>
      </c>
      <c r="D673" s="678">
        <v>18.5</v>
      </c>
      <c r="E673" s="1072">
        <v>1.0</v>
      </c>
      <c r="F673" s="1073"/>
      <c r="G673" s="658" t="s">
        <v>1554</v>
      </c>
      <c r="H673" s="1074">
        <v>46057.0</v>
      </c>
    </row>
    <row r="674">
      <c r="A674" s="1075">
        <v>8.0</v>
      </c>
      <c r="B674" s="1076" t="s">
        <v>5734</v>
      </c>
      <c r="C674" s="1077">
        <v>2.0</v>
      </c>
      <c r="D674" s="1078">
        <f>3.2*C674</f>
        <v>6.4</v>
      </c>
      <c r="E674" s="1079"/>
      <c r="F674" s="1080"/>
      <c r="G674" s="1076" t="s">
        <v>1554</v>
      </c>
      <c r="H674" s="1081">
        <v>46064.0</v>
      </c>
    </row>
    <row r="675">
      <c r="A675" s="1071"/>
      <c r="B675" s="1071"/>
      <c r="C675" s="1073"/>
      <c r="D675" s="721"/>
      <c r="E675" s="1082"/>
      <c r="F675" s="1073"/>
      <c r="G675" s="1071"/>
      <c r="H675" s="1074"/>
    </row>
    <row r="676">
      <c r="A676" s="1073"/>
      <c r="B676" s="1071"/>
      <c r="C676" s="1073"/>
      <c r="D676" s="721"/>
      <c r="E676" s="1082"/>
      <c r="F676" s="1073"/>
      <c r="G676" s="1071"/>
      <c r="H676" s="1074"/>
    </row>
    <row r="677">
      <c r="A677" s="1071"/>
      <c r="B677" s="1071"/>
      <c r="C677" s="1073"/>
      <c r="D677" s="721"/>
      <c r="E677" s="1082"/>
      <c r="F677" s="1073"/>
      <c r="G677" s="1071"/>
      <c r="H677" s="1074"/>
    </row>
    <row r="678">
      <c r="A678" s="1073"/>
      <c r="B678" s="1071"/>
      <c r="C678" s="1073"/>
      <c r="D678" s="721"/>
      <c r="E678" s="1082"/>
      <c r="F678" s="1073"/>
      <c r="G678" s="1071"/>
      <c r="H678" s="1074"/>
    </row>
    <row r="679">
      <c r="A679" s="1071"/>
      <c r="B679" s="1071"/>
      <c r="C679" s="1071"/>
      <c r="D679" s="721"/>
      <c r="E679" s="1072"/>
      <c r="F679" s="1071"/>
      <c r="G679" s="1071"/>
      <c r="H679" s="1074"/>
    </row>
    <row r="680">
      <c r="A680" s="1071"/>
      <c r="B680" s="1071"/>
      <c r="C680" s="1071"/>
      <c r="D680" s="721"/>
      <c r="E680" s="1072"/>
      <c r="F680" s="1071"/>
      <c r="G680" s="1083"/>
      <c r="H680" s="1071"/>
    </row>
    <row r="681">
      <c r="A681" s="1071"/>
      <c r="B681" s="1084"/>
      <c r="C681" s="1071"/>
      <c r="D681" s="721"/>
      <c r="E681" s="1072"/>
      <c r="F681" s="1084"/>
      <c r="G681" s="1071"/>
      <c r="H681" s="1074"/>
    </row>
    <row r="682">
      <c r="A682" s="1071"/>
      <c r="B682" s="1084"/>
      <c r="C682" s="1071"/>
      <c r="D682" s="721"/>
      <c r="E682" s="1072"/>
      <c r="F682" s="1084"/>
      <c r="G682" s="1071"/>
      <c r="H682" s="1074"/>
    </row>
    <row r="683">
      <c r="A683" s="1071"/>
      <c r="B683" s="1085"/>
      <c r="C683" s="1071"/>
      <c r="D683" s="721"/>
      <c r="E683" s="1072"/>
      <c r="F683" s="1085"/>
      <c r="G683" s="1071"/>
      <c r="H683" s="1074"/>
    </row>
    <row r="684">
      <c r="A684" s="1071"/>
      <c r="B684" s="1085"/>
      <c r="C684" s="1071"/>
      <c r="D684" s="721"/>
      <c r="E684" s="1072"/>
      <c r="F684" s="1084"/>
      <c r="G684" s="1071"/>
      <c r="H684" s="1074"/>
    </row>
    <row r="685">
      <c r="A685" s="732" t="s">
        <v>1562</v>
      </c>
      <c r="B685" s="3"/>
      <c r="C685" s="689">
        <f t="shared" ref="C685:E685" si="38">sum(C668:C678)</f>
        <v>28</v>
      </c>
      <c r="D685" s="721">
        <f t="shared" si="38"/>
        <v>221.6</v>
      </c>
      <c r="E685" s="669">
        <f t="shared" si="38"/>
        <v>4</v>
      </c>
      <c r="F685" s="689"/>
      <c r="G685" s="731"/>
      <c r="H685" s="731"/>
    </row>
    <row r="686">
      <c r="A686" s="689"/>
      <c r="B686" s="689"/>
      <c r="C686" s="689"/>
      <c r="D686" s="689"/>
      <c r="E686" s="689"/>
      <c r="F686" s="689"/>
      <c r="G686" s="689"/>
      <c r="H686" s="689"/>
    </row>
    <row r="687">
      <c r="A687" s="689"/>
      <c r="B687" s="689"/>
      <c r="C687" s="689"/>
      <c r="D687" s="689"/>
      <c r="E687" s="689"/>
      <c r="F687" s="689"/>
      <c r="G687" s="689"/>
      <c r="H687" s="689"/>
    </row>
    <row r="688">
      <c r="A688" s="649" t="s">
        <v>5735</v>
      </c>
      <c r="B688" s="2"/>
      <c r="C688" s="2"/>
      <c r="D688" s="2"/>
      <c r="E688" s="2"/>
      <c r="F688" s="2"/>
      <c r="G688" s="2"/>
      <c r="H688" s="3"/>
    </row>
    <row r="689">
      <c r="A689" s="690" t="s">
        <v>1435</v>
      </c>
      <c r="B689" s="690" t="s">
        <v>1436</v>
      </c>
      <c r="C689" s="690" t="s">
        <v>1843</v>
      </c>
      <c r="D689" s="693" t="s">
        <v>1438</v>
      </c>
      <c r="E689" s="694" t="s">
        <v>1564</v>
      </c>
      <c r="F689" s="690" t="s">
        <v>1440</v>
      </c>
      <c r="G689" s="690" t="s">
        <v>1844</v>
      </c>
      <c r="H689" s="695" t="s">
        <v>1441</v>
      </c>
    </row>
    <row r="690">
      <c r="A690" s="658">
        <v>1.0</v>
      </c>
      <c r="B690" s="658" t="s">
        <v>1443</v>
      </c>
      <c r="C690" s="658">
        <v>1.0</v>
      </c>
      <c r="D690" s="678">
        <v>150.0</v>
      </c>
      <c r="E690" s="669"/>
      <c r="F690" s="689" t="s">
        <v>1518</v>
      </c>
      <c r="G690" s="658" t="s">
        <v>1554</v>
      </c>
      <c r="H690" s="731">
        <v>45141.0</v>
      </c>
    </row>
    <row r="691">
      <c r="A691" s="662">
        <v>2.0</v>
      </c>
      <c r="B691" s="662" t="s">
        <v>1444</v>
      </c>
      <c r="C691" s="662">
        <v>2.0</v>
      </c>
      <c r="D691" s="673"/>
      <c r="E691" s="665"/>
      <c r="F691" s="662"/>
      <c r="G691" s="662" t="s">
        <v>425</v>
      </c>
      <c r="H691" s="681"/>
    </row>
    <row r="692">
      <c r="A692" s="658">
        <v>3.0</v>
      </c>
      <c r="B692" s="689" t="s">
        <v>3673</v>
      </c>
      <c r="C692" s="689">
        <v>1.0</v>
      </c>
      <c r="D692" s="678">
        <v>9.0</v>
      </c>
      <c r="E692" s="669">
        <v>1.0</v>
      </c>
      <c r="F692" s="689"/>
      <c r="G692" s="658" t="s">
        <v>1554</v>
      </c>
      <c r="H692" s="679">
        <v>45141.0</v>
      </c>
    </row>
    <row r="693">
      <c r="A693" s="658">
        <v>4.0</v>
      </c>
      <c r="B693" s="1071" t="s">
        <v>2113</v>
      </c>
      <c r="C693" s="1071">
        <v>6.0</v>
      </c>
      <c r="D693" s="678">
        <v>17.5</v>
      </c>
      <c r="E693" s="1072">
        <v>1.0</v>
      </c>
      <c r="F693" s="1073"/>
      <c r="G693" s="658" t="s">
        <v>1554</v>
      </c>
      <c r="H693" s="1074">
        <v>46057.0</v>
      </c>
    </row>
    <row r="694">
      <c r="A694" s="658">
        <v>5.0</v>
      </c>
      <c r="B694" s="1071" t="s">
        <v>3520</v>
      </c>
      <c r="C694" s="1071">
        <v>11.0</v>
      </c>
      <c r="D694" s="1086">
        <v>28.0</v>
      </c>
      <c r="E694" s="1072">
        <v>1.0</v>
      </c>
      <c r="F694" s="1071"/>
      <c r="G694" s="1071"/>
      <c r="H694" s="1087"/>
    </row>
    <row r="695">
      <c r="A695" s="1075">
        <v>8.0</v>
      </c>
      <c r="B695" s="1076" t="s">
        <v>5734</v>
      </c>
      <c r="C695" s="1076">
        <v>2.0</v>
      </c>
      <c r="D695" s="1078">
        <f>3.2*C695</f>
        <v>6.4</v>
      </c>
      <c r="E695" s="1079"/>
      <c r="F695" s="1088"/>
      <c r="G695" s="1076" t="s">
        <v>1554</v>
      </c>
      <c r="H695" s="1081">
        <v>46064.0</v>
      </c>
    </row>
    <row r="696">
      <c r="A696" s="732" t="s">
        <v>1562</v>
      </c>
      <c r="B696" s="3"/>
      <c r="C696" s="689">
        <f t="shared" ref="C696:E696" si="39">sum(C677:C688)</f>
        <v>28</v>
      </c>
      <c r="D696" s="721">
        <f t="shared" si="39"/>
        <v>221.6</v>
      </c>
      <c r="E696" s="669">
        <f t="shared" si="39"/>
        <v>4</v>
      </c>
      <c r="F696" s="689"/>
      <c r="G696" s="731"/>
      <c r="H696" s="731"/>
    </row>
    <row r="697">
      <c r="A697" s="1071"/>
      <c r="B697" s="1071"/>
      <c r="C697" s="1071"/>
      <c r="D697" s="1086"/>
      <c r="E697" s="1072"/>
      <c r="F697" s="1071"/>
      <c r="G697" s="1071"/>
      <c r="H697" s="1087"/>
    </row>
    <row r="698">
      <c r="A698" s="649" t="s">
        <v>5736</v>
      </c>
      <c r="B698" s="2"/>
      <c r="C698" s="2"/>
      <c r="D698" s="2"/>
      <c r="E698" s="2"/>
      <c r="F698" s="2"/>
      <c r="G698" s="2"/>
      <c r="H698" s="3"/>
    </row>
    <row r="699">
      <c r="A699" s="690" t="s">
        <v>1435</v>
      </c>
      <c r="B699" s="690" t="s">
        <v>1436</v>
      </c>
      <c r="C699" s="690" t="s">
        <v>1843</v>
      </c>
      <c r="D699" s="693" t="s">
        <v>1438</v>
      </c>
      <c r="E699" s="694" t="s">
        <v>1564</v>
      </c>
      <c r="F699" s="690" t="s">
        <v>1440</v>
      </c>
      <c r="G699" s="690" t="s">
        <v>1844</v>
      </c>
      <c r="H699" s="695" t="s">
        <v>1441</v>
      </c>
    </row>
    <row r="700">
      <c r="A700" s="658">
        <v>1.0</v>
      </c>
      <c r="B700" s="658" t="s">
        <v>1443</v>
      </c>
      <c r="C700" s="658">
        <v>1.0</v>
      </c>
      <c r="D700" s="678">
        <v>150.0</v>
      </c>
      <c r="E700" s="669"/>
      <c r="F700" s="689" t="s">
        <v>1518</v>
      </c>
      <c r="G700" s="658" t="s">
        <v>1554</v>
      </c>
      <c r="H700" s="731">
        <v>45141.0</v>
      </c>
    </row>
    <row r="701">
      <c r="A701" s="662">
        <v>2.0</v>
      </c>
      <c r="B701" s="662" t="s">
        <v>1444</v>
      </c>
      <c r="C701" s="662">
        <v>2.0</v>
      </c>
      <c r="D701" s="673"/>
      <c r="E701" s="665"/>
      <c r="F701" s="662"/>
      <c r="G701" s="662" t="s">
        <v>425</v>
      </c>
      <c r="H701" s="681"/>
    </row>
    <row r="702">
      <c r="A702" s="658">
        <v>3.0</v>
      </c>
      <c r="B702" s="689" t="s">
        <v>3673</v>
      </c>
      <c r="C702" s="689">
        <v>1.0</v>
      </c>
      <c r="D702" s="721">
        <v>5.0</v>
      </c>
      <c r="E702" s="669">
        <v>1.0</v>
      </c>
      <c r="F702" s="689"/>
      <c r="G702" s="658" t="s">
        <v>1554</v>
      </c>
      <c r="H702" s="679">
        <v>45141.0</v>
      </c>
    </row>
    <row r="703">
      <c r="A703" s="1071">
        <v>4.0</v>
      </c>
      <c r="B703" s="1071" t="s">
        <v>3520</v>
      </c>
      <c r="C703" s="1071">
        <v>15.0</v>
      </c>
      <c r="D703" s="1086">
        <v>28.0</v>
      </c>
      <c r="E703" s="1072">
        <v>1.0</v>
      </c>
      <c r="F703" s="1071"/>
      <c r="G703" s="655" t="s">
        <v>1554</v>
      </c>
      <c r="H703" s="1087">
        <v>46057.0</v>
      </c>
    </row>
    <row r="704">
      <c r="A704" s="658">
        <v>5.0</v>
      </c>
      <c r="B704" s="655" t="s">
        <v>5734</v>
      </c>
      <c r="C704" s="655">
        <v>2.0</v>
      </c>
      <c r="D704" s="656">
        <f>3.2*C704</f>
        <v>6.4</v>
      </c>
      <c r="E704" s="657"/>
      <c r="F704" s="655"/>
      <c r="G704" s="655" t="s">
        <v>1554</v>
      </c>
      <c r="H704" s="659">
        <v>46064.0</v>
      </c>
    </row>
    <row r="705">
      <c r="A705" s="187">
        <v>6.0</v>
      </c>
      <c r="B705" s="187" t="s">
        <v>5737</v>
      </c>
      <c r="C705" s="187">
        <v>1.0</v>
      </c>
      <c r="D705" s="188">
        <v>20.0</v>
      </c>
      <c r="E705" s="189">
        <v>1.0</v>
      </c>
      <c r="F705" s="187">
        <v>8.19580213E8</v>
      </c>
      <c r="G705" s="187" t="s">
        <v>158</v>
      </c>
      <c r="H705" s="895">
        <v>46112.0</v>
      </c>
    </row>
    <row r="706">
      <c r="A706" s="732" t="s">
        <v>1562</v>
      </c>
      <c r="B706" s="3"/>
      <c r="C706" s="689">
        <f t="shared" ref="C706:E706" si="40">sum(C700:C703)</f>
        <v>19</v>
      </c>
      <c r="D706" s="721">
        <f t="shared" si="40"/>
        <v>183</v>
      </c>
      <c r="E706" s="669">
        <f t="shared" si="40"/>
        <v>2</v>
      </c>
      <c r="F706" s="689"/>
      <c r="G706" s="731"/>
      <c r="H706" s="731"/>
    </row>
    <row r="707">
      <c r="A707" s="689"/>
      <c r="B707" s="689"/>
      <c r="C707" s="689"/>
      <c r="D707" s="689"/>
      <c r="E707" s="689"/>
      <c r="F707" s="689"/>
      <c r="G707" s="689"/>
      <c r="H707" s="689"/>
    </row>
    <row r="708">
      <c r="A708" s="689"/>
      <c r="B708" s="689"/>
      <c r="C708" s="689"/>
      <c r="D708" s="689"/>
      <c r="E708" s="689"/>
      <c r="F708" s="689"/>
      <c r="G708" s="689"/>
      <c r="H708" s="689"/>
    </row>
    <row r="709">
      <c r="A709" s="649" t="s">
        <v>5738</v>
      </c>
      <c r="B709" s="2"/>
      <c r="C709" s="2"/>
      <c r="D709" s="2"/>
      <c r="E709" s="2"/>
      <c r="F709" s="2"/>
      <c r="G709" s="2"/>
      <c r="H709" s="3"/>
    </row>
    <row r="710">
      <c r="A710" s="690" t="s">
        <v>1435</v>
      </c>
      <c r="B710" s="690" t="s">
        <v>1436</v>
      </c>
      <c r="C710" s="690" t="s">
        <v>1843</v>
      </c>
      <c r="D710" s="693" t="s">
        <v>1438</v>
      </c>
      <c r="E710" s="694" t="s">
        <v>1564</v>
      </c>
      <c r="F710" s="690" t="s">
        <v>1440</v>
      </c>
      <c r="G710" s="690" t="s">
        <v>1844</v>
      </c>
      <c r="H710" s="695" t="s">
        <v>1441</v>
      </c>
    </row>
    <row r="711">
      <c r="A711" s="658">
        <v>1.0</v>
      </c>
      <c r="B711" s="658" t="s">
        <v>1443</v>
      </c>
      <c r="C711" s="658">
        <v>1.0</v>
      </c>
      <c r="D711" s="678">
        <v>150.0</v>
      </c>
      <c r="E711" s="669"/>
      <c r="F711" s="689" t="s">
        <v>1518</v>
      </c>
      <c r="G711" s="658" t="s">
        <v>1554</v>
      </c>
      <c r="H711" s="731">
        <v>45141.0</v>
      </c>
    </row>
    <row r="712">
      <c r="A712" s="662">
        <v>2.0</v>
      </c>
      <c r="B712" s="662" t="s">
        <v>1444</v>
      </c>
      <c r="C712" s="662">
        <v>2.0</v>
      </c>
      <c r="D712" s="673"/>
      <c r="E712" s="665"/>
      <c r="F712" s="662"/>
      <c r="G712" s="662" t="s">
        <v>425</v>
      </c>
      <c r="H712" s="681"/>
    </row>
    <row r="713">
      <c r="A713" s="658">
        <v>3.0</v>
      </c>
      <c r="B713" s="689" t="s">
        <v>3673</v>
      </c>
      <c r="C713" s="689">
        <v>1.0</v>
      </c>
      <c r="D713" s="721">
        <v>5.0</v>
      </c>
      <c r="E713" s="669">
        <v>1.0</v>
      </c>
      <c r="F713" s="689"/>
      <c r="G713" s="658" t="s">
        <v>1554</v>
      </c>
      <c r="H713" s="679">
        <v>45141.0</v>
      </c>
    </row>
    <row r="714">
      <c r="A714" s="658">
        <v>4.0</v>
      </c>
      <c r="B714" s="1075" t="s">
        <v>3520</v>
      </c>
      <c r="C714" s="1089">
        <v>9.0</v>
      </c>
      <c r="D714" s="1090">
        <v>28.0</v>
      </c>
      <c r="E714" s="1072">
        <v>1.0</v>
      </c>
      <c r="F714" s="1071"/>
      <c r="G714" s="1071"/>
      <c r="H714" s="1087"/>
    </row>
    <row r="715">
      <c r="A715" s="658">
        <v>5.0</v>
      </c>
      <c r="B715" s="658" t="s">
        <v>5739</v>
      </c>
      <c r="C715" s="658">
        <v>1.0</v>
      </c>
      <c r="D715" s="678">
        <v>28.6</v>
      </c>
      <c r="E715" s="1072">
        <v>2.0</v>
      </c>
      <c r="F715" s="1071"/>
      <c r="G715" s="1071"/>
      <c r="H715" s="1087"/>
    </row>
    <row r="716">
      <c r="A716" s="658">
        <v>6.0</v>
      </c>
      <c r="B716" s="658" t="s">
        <v>5740</v>
      </c>
      <c r="C716" s="658">
        <v>6.0</v>
      </c>
      <c r="D716" s="678">
        <v>25.0</v>
      </c>
      <c r="E716" s="1072">
        <v>1.0</v>
      </c>
      <c r="F716" s="1071"/>
      <c r="G716" s="1071"/>
      <c r="H716" s="1087"/>
    </row>
    <row r="717">
      <c r="A717" s="658">
        <v>8.0</v>
      </c>
      <c r="B717" s="655" t="s">
        <v>5734</v>
      </c>
      <c r="C717" s="655">
        <v>2.0</v>
      </c>
      <c r="D717" s="656">
        <f>3.2*C717</f>
        <v>6.4</v>
      </c>
      <c r="E717" s="657"/>
      <c r="F717" s="655"/>
      <c r="G717" s="655" t="s">
        <v>1554</v>
      </c>
      <c r="H717" s="659">
        <v>46064.0</v>
      </c>
    </row>
    <row r="718">
      <c r="A718" s="732" t="s">
        <v>1562</v>
      </c>
      <c r="B718" s="3"/>
      <c r="C718" s="689">
        <f t="shared" ref="C718:E718" si="41">sum(C711:C716)</f>
        <v>20</v>
      </c>
      <c r="D718" s="721">
        <f t="shared" si="41"/>
        <v>236.6</v>
      </c>
      <c r="E718" s="669">
        <f t="shared" si="41"/>
        <v>5</v>
      </c>
      <c r="F718" s="689"/>
      <c r="G718" s="658"/>
      <c r="H718" s="696"/>
    </row>
    <row r="719">
      <c r="A719" s="712"/>
      <c r="B719" s="712"/>
      <c r="C719" s="712"/>
      <c r="D719" s="712"/>
      <c r="E719" s="712"/>
      <c r="F719" s="712"/>
      <c r="G719" s="712"/>
      <c r="H719" s="712"/>
    </row>
    <row r="720">
      <c r="A720" s="712"/>
      <c r="B720" s="712"/>
      <c r="C720" s="712"/>
      <c r="D720" s="712"/>
      <c r="E720" s="712"/>
      <c r="F720" s="712"/>
      <c r="G720" s="712"/>
      <c r="H720" s="712"/>
    </row>
    <row r="721">
      <c r="A721" s="699" t="s">
        <v>5741</v>
      </c>
      <c r="B721" s="2"/>
      <c r="C721" s="2"/>
      <c r="D721" s="2"/>
      <c r="E721" s="2"/>
      <c r="F721" s="2"/>
      <c r="G721" s="2"/>
      <c r="H721" s="3"/>
    </row>
    <row r="722">
      <c r="A722" s="738" t="s">
        <v>1435</v>
      </c>
      <c r="B722" s="738" t="s">
        <v>1436</v>
      </c>
      <c r="C722" s="738" t="s">
        <v>1843</v>
      </c>
      <c r="D722" s="702" t="s">
        <v>1438</v>
      </c>
      <c r="E722" s="703" t="s">
        <v>1564</v>
      </c>
      <c r="F722" s="738" t="s">
        <v>1440</v>
      </c>
      <c r="G722" s="738" t="s">
        <v>1844</v>
      </c>
      <c r="H722" s="704" t="s">
        <v>1441</v>
      </c>
    </row>
    <row r="723">
      <c r="A723" s="87">
        <v>1.0</v>
      </c>
      <c r="B723" s="87" t="s">
        <v>1443</v>
      </c>
      <c r="C723" s="87">
        <v>1.0</v>
      </c>
      <c r="D723" s="705">
        <v>150.0</v>
      </c>
      <c r="E723" s="709"/>
      <c r="F723" s="739" t="s">
        <v>1518</v>
      </c>
      <c r="G723" s="87" t="s">
        <v>1554</v>
      </c>
      <c r="H723" s="741">
        <v>45141.0</v>
      </c>
    </row>
    <row r="724">
      <c r="A724" s="662">
        <v>2.0</v>
      </c>
      <c r="B724" s="662" t="s">
        <v>1444</v>
      </c>
      <c r="C724" s="662">
        <v>2.0</v>
      </c>
      <c r="D724" s="673"/>
      <c r="E724" s="665"/>
      <c r="F724" s="662"/>
      <c r="G724" s="662" t="s">
        <v>425</v>
      </c>
      <c r="H724" s="681"/>
    </row>
    <row r="725">
      <c r="A725" s="87">
        <v>3.0</v>
      </c>
      <c r="B725" s="739" t="s">
        <v>3673</v>
      </c>
      <c r="C725" s="739">
        <v>1.0</v>
      </c>
      <c r="D725" s="740">
        <v>5.0</v>
      </c>
      <c r="E725" s="709">
        <v>1.0</v>
      </c>
      <c r="F725" s="739"/>
      <c r="G725" s="87" t="s">
        <v>1518</v>
      </c>
      <c r="H725" s="741"/>
    </row>
    <row r="726">
      <c r="A726" s="87">
        <v>4.0</v>
      </c>
      <c r="B726" s="658" t="s">
        <v>5740</v>
      </c>
      <c r="C726" s="658">
        <v>6.0</v>
      </c>
      <c r="D726" s="678">
        <v>25.0</v>
      </c>
      <c r="E726" s="1072">
        <v>1.0</v>
      </c>
      <c r="F726" s="68"/>
      <c r="G726" s="68"/>
      <c r="H726" s="1091"/>
    </row>
    <row r="727">
      <c r="A727" s="87">
        <v>5.0</v>
      </c>
      <c r="B727" s="68" t="s">
        <v>5742</v>
      </c>
      <c r="C727" s="68">
        <v>2.0</v>
      </c>
      <c r="D727" s="69">
        <v>12.3</v>
      </c>
      <c r="E727" s="70">
        <v>1.0</v>
      </c>
      <c r="F727" s="68"/>
      <c r="G727" s="68"/>
      <c r="H727" s="1091"/>
    </row>
    <row r="728">
      <c r="A728" s="87">
        <v>6.0</v>
      </c>
      <c r="B728" s="68" t="s">
        <v>5743</v>
      </c>
      <c r="C728" s="68">
        <v>4.0</v>
      </c>
      <c r="D728" s="69">
        <v>8.5</v>
      </c>
      <c r="E728" s="70">
        <v>1.0</v>
      </c>
      <c r="F728" s="68"/>
      <c r="G728" s="68"/>
      <c r="H728" s="1091"/>
    </row>
    <row r="729">
      <c r="A729" s="87">
        <v>7.0</v>
      </c>
      <c r="B729" s="68" t="s">
        <v>5744</v>
      </c>
      <c r="C729" s="68">
        <v>2.0</v>
      </c>
      <c r="D729" s="69">
        <v>4.5</v>
      </c>
      <c r="E729" s="70">
        <v>1.0</v>
      </c>
      <c r="F729" s="68"/>
      <c r="G729" s="68"/>
      <c r="H729" s="1091"/>
    </row>
    <row r="730">
      <c r="A730" s="87">
        <v>8.0</v>
      </c>
      <c r="B730" s="1092" t="s">
        <v>5745</v>
      </c>
      <c r="C730" s="68">
        <v>1.0</v>
      </c>
      <c r="D730" s="69">
        <v>10.0</v>
      </c>
      <c r="E730" s="70">
        <v>1.0</v>
      </c>
      <c r="F730" s="68"/>
      <c r="G730" s="68"/>
      <c r="H730" s="1091"/>
    </row>
    <row r="731">
      <c r="A731" s="87">
        <v>9.0</v>
      </c>
      <c r="B731" s="1092" t="s">
        <v>5746</v>
      </c>
      <c r="C731" s="68">
        <v>1.0</v>
      </c>
      <c r="D731" s="69">
        <v>10.4</v>
      </c>
      <c r="E731" s="70">
        <v>1.0</v>
      </c>
      <c r="F731" s="68"/>
      <c r="G731" s="68"/>
      <c r="H731" s="1091"/>
    </row>
    <row r="732">
      <c r="A732" s="87">
        <v>10.0</v>
      </c>
      <c r="B732" s="1092" t="s">
        <v>5747</v>
      </c>
      <c r="C732" s="68">
        <v>5.0</v>
      </c>
      <c r="D732" s="69">
        <v>8.8</v>
      </c>
      <c r="E732" s="70">
        <v>1.0</v>
      </c>
      <c r="F732" s="68"/>
      <c r="G732" s="68"/>
      <c r="H732" s="72"/>
    </row>
    <row r="733">
      <c r="A733" s="658">
        <v>8.0</v>
      </c>
      <c r="B733" s="655" t="s">
        <v>5734</v>
      </c>
      <c r="C733" s="655">
        <v>2.0</v>
      </c>
      <c r="D733" s="656">
        <f>3.2*C733</f>
        <v>6.4</v>
      </c>
      <c r="E733" s="657"/>
      <c r="F733" s="655"/>
      <c r="G733" s="655" t="s">
        <v>1554</v>
      </c>
      <c r="H733" s="659">
        <v>46064.0</v>
      </c>
    </row>
    <row r="734">
      <c r="A734" s="68"/>
      <c r="B734" s="1092"/>
      <c r="C734" s="68"/>
      <c r="D734" s="69"/>
      <c r="E734" s="70"/>
      <c r="F734" s="68"/>
      <c r="G734" s="68"/>
      <c r="H734" s="72"/>
    </row>
    <row r="735">
      <c r="A735" s="739"/>
      <c r="B735" s="739"/>
      <c r="C735" s="739"/>
      <c r="D735" s="740"/>
      <c r="E735" s="709"/>
      <c r="F735" s="739"/>
      <c r="G735" s="741"/>
      <c r="H735" s="741"/>
    </row>
    <row r="736">
      <c r="A736" s="739"/>
      <c r="B736" s="739"/>
      <c r="C736" s="739"/>
      <c r="D736" s="740"/>
      <c r="E736" s="709"/>
      <c r="F736" s="739"/>
      <c r="G736" s="741"/>
      <c r="H736" s="741"/>
    </row>
    <row r="737">
      <c r="A737" s="750" t="s">
        <v>1562</v>
      </c>
      <c r="B737" s="3"/>
      <c r="C737" s="739">
        <f t="shared" ref="C737:E737" si="42">sum(C723:C731)</f>
        <v>20</v>
      </c>
      <c r="D737" s="740">
        <f t="shared" si="42"/>
        <v>225.7</v>
      </c>
      <c r="E737" s="709">
        <f t="shared" si="42"/>
        <v>7</v>
      </c>
      <c r="F737" s="739"/>
      <c r="G737" s="741"/>
      <c r="H737" s="741"/>
    </row>
    <row r="738">
      <c r="A738" s="712"/>
      <c r="B738" s="712"/>
      <c r="C738" s="712"/>
      <c r="D738" s="712"/>
      <c r="E738" s="712"/>
      <c r="F738" s="712"/>
      <c r="G738" s="712"/>
      <c r="H738" s="712"/>
    </row>
    <row r="739">
      <c r="A739" s="712"/>
      <c r="B739" s="712"/>
      <c r="C739" s="712"/>
      <c r="D739" s="712"/>
      <c r="E739" s="712"/>
      <c r="F739" s="712"/>
      <c r="G739" s="712"/>
      <c r="H739" s="712"/>
    </row>
    <row r="740">
      <c r="A740" s="713" t="s">
        <v>5748</v>
      </c>
      <c r="B740" s="293"/>
      <c r="C740" s="293"/>
      <c r="D740" s="293"/>
      <c r="E740" s="293"/>
      <c r="F740" s="293"/>
      <c r="G740" s="293"/>
      <c r="H740" s="294"/>
    </row>
    <row r="741">
      <c r="A741" s="690" t="s">
        <v>1435</v>
      </c>
      <c r="B741" s="690" t="s">
        <v>1436</v>
      </c>
      <c r="C741" s="690" t="s">
        <v>1843</v>
      </c>
      <c r="D741" s="693" t="s">
        <v>1438</v>
      </c>
      <c r="E741" s="694" t="s">
        <v>1564</v>
      </c>
      <c r="F741" s="690" t="s">
        <v>1440</v>
      </c>
      <c r="G741" s="690" t="s">
        <v>1844</v>
      </c>
      <c r="H741" s="695" t="s">
        <v>1441</v>
      </c>
    </row>
    <row r="742">
      <c r="A742" s="658">
        <v>1.0</v>
      </c>
      <c r="B742" s="658" t="s">
        <v>1443</v>
      </c>
      <c r="C742" s="658">
        <v>1.0</v>
      </c>
      <c r="D742" s="678">
        <v>150.0</v>
      </c>
      <c r="E742" s="669"/>
      <c r="F742" s="689" t="s">
        <v>1518</v>
      </c>
      <c r="G742" s="658" t="s">
        <v>1554</v>
      </c>
      <c r="H742" s="731">
        <v>45141.0</v>
      </c>
    </row>
    <row r="743">
      <c r="A743" s="662">
        <v>2.0</v>
      </c>
      <c r="B743" s="662" t="s">
        <v>1444</v>
      </c>
      <c r="C743" s="662">
        <v>2.0</v>
      </c>
      <c r="D743" s="673"/>
      <c r="E743" s="665"/>
      <c r="F743" s="662"/>
      <c r="G743" s="662" t="s">
        <v>425</v>
      </c>
      <c r="H743" s="681"/>
    </row>
    <row r="744">
      <c r="A744" s="658">
        <v>3.0</v>
      </c>
      <c r="B744" s="689" t="s">
        <v>3673</v>
      </c>
      <c r="C744" s="689">
        <v>1.0</v>
      </c>
      <c r="D744" s="721">
        <v>5.0</v>
      </c>
      <c r="E744" s="676">
        <v>1.0</v>
      </c>
      <c r="F744" s="658" t="s">
        <v>1518</v>
      </c>
      <c r="G744" s="658" t="s">
        <v>1518</v>
      </c>
      <c r="H744" s="679"/>
    </row>
    <row r="745">
      <c r="A745" s="662">
        <v>4.0</v>
      </c>
      <c r="B745" s="662" t="s">
        <v>5749</v>
      </c>
      <c r="C745" s="662">
        <v>2.0</v>
      </c>
      <c r="D745" s="673">
        <v>26.5</v>
      </c>
      <c r="E745" s="665"/>
      <c r="F745" s="662"/>
      <c r="G745" s="662" t="s">
        <v>1554</v>
      </c>
      <c r="H745" s="698">
        <v>46058.0</v>
      </c>
    </row>
    <row r="746">
      <c r="A746" s="658">
        <v>5.0</v>
      </c>
      <c r="B746" s="655" t="s">
        <v>5750</v>
      </c>
      <c r="C746" s="655">
        <v>2.0</v>
      </c>
      <c r="D746" s="656">
        <v>12.3</v>
      </c>
      <c r="E746" s="657"/>
      <c r="F746" s="655"/>
      <c r="G746" s="655" t="s">
        <v>1554</v>
      </c>
      <c r="H746" s="661">
        <v>46058.0</v>
      </c>
    </row>
    <row r="747">
      <c r="A747" s="658">
        <v>6.0</v>
      </c>
      <c r="B747" s="655" t="s">
        <v>5751</v>
      </c>
      <c r="C747" s="655">
        <v>1.0</v>
      </c>
      <c r="D747" s="656">
        <v>10.0</v>
      </c>
      <c r="E747" s="657"/>
      <c r="F747" s="655"/>
      <c r="G747" s="655" t="s">
        <v>1554</v>
      </c>
      <c r="H747" s="661">
        <v>46058.0</v>
      </c>
    </row>
    <row r="748">
      <c r="A748" s="658">
        <v>7.0</v>
      </c>
      <c r="B748" s="655" t="s">
        <v>5168</v>
      </c>
      <c r="C748" s="655">
        <v>2.0</v>
      </c>
      <c r="D748" s="656">
        <v>8.53</v>
      </c>
      <c r="E748" s="657"/>
      <c r="F748" s="655"/>
      <c r="G748" s="655" t="s">
        <v>1554</v>
      </c>
      <c r="H748" s="661">
        <v>46058.0</v>
      </c>
    </row>
    <row r="749">
      <c r="A749" s="658">
        <v>8.0</v>
      </c>
      <c r="B749" s="655" t="s">
        <v>5734</v>
      </c>
      <c r="C749" s="655">
        <v>2.0</v>
      </c>
      <c r="D749" s="656">
        <f>3.2*C749</f>
        <v>6.4</v>
      </c>
      <c r="E749" s="657"/>
      <c r="F749" s="655"/>
      <c r="G749" s="655" t="s">
        <v>1554</v>
      </c>
      <c r="H749" s="659">
        <v>46064.0</v>
      </c>
    </row>
    <row r="750">
      <c r="A750" s="187">
        <v>9.0</v>
      </c>
      <c r="B750" s="187" t="s">
        <v>2016</v>
      </c>
      <c r="C750" s="187">
        <v>1.0</v>
      </c>
      <c r="D750" s="188">
        <v>17.4</v>
      </c>
      <c r="E750" s="189"/>
      <c r="F750" s="187" t="s">
        <v>5752</v>
      </c>
      <c r="G750" s="187" t="s">
        <v>158</v>
      </c>
      <c r="H750" s="190">
        <v>46112.0</v>
      </c>
    </row>
    <row r="751">
      <c r="A751" s="655"/>
      <c r="B751" s="655"/>
      <c r="C751" s="655"/>
      <c r="D751" s="656"/>
      <c r="E751" s="657"/>
      <c r="F751" s="655"/>
      <c r="G751" s="655"/>
      <c r="H751" s="655"/>
    </row>
    <row r="752">
      <c r="A752" s="732" t="s">
        <v>1562</v>
      </c>
      <c r="B752" s="3"/>
      <c r="C752" s="689">
        <f t="shared" ref="C752:E752" si="43">sum(C742:C751)</f>
        <v>14</v>
      </c>
      <c r="D752" s="721">
        <f t="shared" si="43"/>
        <v>236.13</v>
      </c>
      <c r="E752" s="669">
        <f t="shared" si="43"/>
        <v>1</v>
      </c>
      <c r="F752" s="689"/>
      <c r="G752" s="731"/>
      <c r="H752" s="731"/>
    </row>
    <row r="753">
      <c r="A753" s="689"/>
      <c r="B753" s="689"/>
      <c r="C753" s="689"/>
      <c r="D753" s="689"/>
      <c r="E753" s="689"/>
      <c r="F753" s="689"/>
      <c r="G753" s="689"/>
      <c r="H753" s="689"/>
    </row>
    <row r="754">
      <c r="A754" s="712"/>
      <c r="B754" s="712"/>
      <c r="C754" s="712"/>
      <c r="D754" s="808"/>
      <c r="E754" s="809"/>
      <c r="F754" s="712"/>
      <c r="G754" s="810"/>
      <c r="H754" s="810"/>
    </row>
    <row r="755">
      <c r="A755" s="712"/>
      <c r="B755" s="712"/>
      <c r="C755" s="712"/>
      <c r="D755" s="808"/>
      <c r="E755" s="809"/>
      <c r="F755" s="712"/>
      <c r="G755" s="810"/>
      <c r="H755" s="810"/>
    </row>
    <row r="756">
      <c r="A756" s="712"/>
      <c r="B756" s="712"/>
      <c r="C756" s="712"/>
      <c r="D756" s="808"/>
      <c r="E756" s="809"/>
      <c r="F756" s="712"/>
      <c r="G756" s="810"/>
      <c r="H756" s="810"/>
    </row>
    <row r="757">
      <c r="A757" s="712"/>
      <c r="B757" s="712"/>
      <c r="C757" s="712"/>
      <c r="D757" s="808"/>
      <c r="E757" s="809"/>
      <c r="F757" s="712"/>
      <c r="G757" s="810"/>
      <c r="H757" s="810"/>
    </row>
    <row r="758">
      <c r="A758" s="712"/>
      <c r="B758" s="712"/>
      <c r="C758" s="712"/>
      <c r="D758" s="808"/>
      <c r="E758" s="809"/>
      <c r="F758" s="712"/>
      <c r="G758" s="810"/>
      <c r="H758" s="810"/>
    </row>
    <row r="759">
      <c r="A759" s="712"/>
      <c r="B759" s="712"/>
      <c r="C759" s="712"/>
      <c r="D759" s="808"/>
      <c r="E759" s="809"/>
      <c r="F759" s="712"/>
      <c r="G759" s="810"/>
      <c r="H759" s="810"/>
    </row>
    <row r="760">
      <c r="A760" s="712"/>
      <c r="B760" s="712"/>
      <c r="C760" s="712"/>
      <c r="D760" s="808"/>
      <c r="E760" s="809"/>
      <c r="F760" s="712"/>
      <c r="G760" s="810"/>
      <c r="H760" s="810"/>
    </row>
    <row r="761">
      <c r="A761" s="712"/>
      <c r="B761" s="712"/>
      <c r="C761" s="712"/>
      <c r="D761" s="808"/>
      <c r="E761" s="809"/>
      <c r="F761" s="712"/>
      <c r="G761" s="810"/>
      <c r="H761" s="810"/>
    </row>
    <row r="762">
      <c r="A762" s="712"/>
      <c r="B762" s="712"/>
      <c r="C762" s="712"/>
      <c r="D762" s="808"/>
      <c r="E762" s="809"/>
      <c r="F762" s="712"/>
      <c r="G762" s="810"/>
      <c r="H762" s="810"/>
    </row>
    <row r="763">
      <c r="A763" s="712"/>
      <c r="B763" s="712"/>
      <c r="C763" s="712"/>
      <c r="D763" s="808"/>
      <c r="E763" s="809"/>
      <c r="F763" s="712"/>
      <c r="G763" s="810"/>
      <c r="H763" s="810"/>
    </row>
    <row r="764">
      <c r="A764" s="712"/>
      <c r="B764" s="712"/>
      <c r="C764" s="712"/>
      <c r="D764" s="808"/>
      <c r="E764" s="809"/>
      <c r="F764" s="712"/>
      <c r="G764" s="810"/>
      <c r="H764" s="810"/>
    </row>
    <row r="765">
      <c r="A765" s="712"/>
      <c r="B765" s="712"/>
      <c r="C765" s="712"/>
      <c r="D765" s="808"/>
      <c r="E765" s="809"/>
      <c r="F765" s="712"/>
      <c r="G765" s="810"/>
      <c r="H765" s="810"/>
    </row>
    <row r="766">
      <c r="A766" s="712"/>
      <c r="B766" s="712"/>
      <c r="C766" s="712"/>
      <c r="D766" s="808"/>
      <c r="E766" s="809"/>
      <c r="F766" s="712"/>
      <c r="G766" s="810"/>
      <c r="H766" s="810"/>
    </row>
    <row r="767">
      <c r="A767" s="712"/>
      <c r="B767" s="712"/>
      <c r="C767" s="712"/>
      <c r="D767" s="808"/>
      <c r="E767" s="809"/>
      <c r="F767" s="712"/>
      <c r="G767" s="810"/>
      <c r="H767" s="810"/>
    </row>
    <row r="768">
      <c r="A768" s="712"/>
      <c r="B768" s="712"/>
      <c r="C768" s="712"/>
      <c r="D768" s="808"/>
      <c r="E768" s="809"/>
      <c r="F768" s="712"/>
      <c r="G768" s="810"/>
      <c r="H768" s="810"/>
    </row>
    <row r="769">
      <c r="A769" s="712"/>
      <c r="B769" s="712"/>
      <c r="C769" s="712"/>
      <c r="D769" s="808"/>
      <c r="E769" s="809"/>
      <c r="F769" s="712"/>
      <c r="G769" s="810"/>
      <c r="H769" s="810"/>
    </row>
    <row r="770">
      <c r="A770" s="712"/>
      <c r="B770" s="712"/>
      <c r="C770" s="712"/>
      <c r="D770" s="808"/>
      <c r="E770" s="809"/>
      <c r="F770" s="712"/>
      <c r="G770" s="810"/>
      <c r="H770" s="810"/>
    </row>
    <row r="771">
      <c r="A771" s="712"/>
      <c r="B771" s="712"/>
      <c r="C771" s="712"/>
      <c r="D771" s="808"/>
      <c r="E771" s="809"/>
      <c r="F771" s="712"/>
      <c r="G771" s="810"/>
      <c r="H771" s="810"/>
    </row>
    <row r="772">
      <c r="A772" s="712"/>
      <c r="B772" s="712"/>
      <c r="C772" s="712"/>
      <c r="D772" s="808"/>
      <c r="E772" s="809"/>
      <c r="F772" s="712"/>
      <c r="G772" s="810"/>
      <c r="H772" s="810"/>
    </row>
    <row r="773">
      <c r="A773" s="712"/>
      <c r="B773" s="712"/>
      <c r="C773" s="712"/>
      <c r="D773" s="808"/>
      <c r="E773" s="809"/>
      <c r="F773" s="712"/>
      <c r="G773" s="810"/>
      <c r="H773" s="810"/>
    </row>
    <row r="774">
      <c r="A774" s="712"/>
      <c r="B774" s="712"/>
      <c r="C774" s="712"/>
      <c r="D774" s="808"/>
      <c r="E774" s="809"/>
      <c r="F774" s="712"/>
      <c r="G774" s="810"/>
      <c r="H774" s="810"/>
    </row>
    <row r="775">
      <c r="A775" s="712"/>
      <c r="B775" s="712"/>
      <c r="C775" s="712"/>
      <c r="D775" s="808"/>
      <c r="E775" s="809"/>
      <c r="F775" s="712"/>
      <c r="G775" s="810"/>
      <c r="H775" s="810"/>
    </row>
    <row r="776">
      <c r="A776" s="712"/>
      <c r="B776" s="712"/>
      <c r="C776" s="712"/>
      <c r="D776" s="808"/>
      <c r="E776" s="809"/>
      <c r="F776" s="712"/>
      <c r="G776" s="810"/>
      <c r="H776" s="810"/>
    </row>
    <row r="777">
      <c r="A777" s="712"/>
      <c r="B777" s="712"/>
      <c r="C777" s="712"/>
      <c r="D777" s="808"/>
      <c r="E777" s="809"/>
      <c r="F777" s="712"/>
      <c r="G777" s="810"/>
      <c r="H777" s="810"/>
    </row>
    <row r="778">
      <c r="A778" s="712"/>
      <c r="B778" s="712"/>
      <c r="C778" s="712"/>
      <c r="D778" s="808"/>
      <c r="E778" s="809"/>
      <c r="F778" s="712"/>
      <c r="G778" s="810"/>
      <c r="H778" s="810"/>
    </row>
    <row r="779">
      <c r="A779" s="712"/>
      <c r="B779" s="712"/>
      <c r="C779" s="712"/>
      <c r="D779" s="808"/>
      <c r="E779" s="809"/>
      <c r="F779" s="712"/>
      <c r="G779" s="810"/>
      <c r="H779" s="810"/>
    </row>
    <row r="780">
      <c r="A780" s="712"/>
      <c r="B780" s="712"/>
      <c r="C780" s="712"/>
      <c r="D780" s="808"/>
      <c r="E780" s="809"/>
      <c r="F780" s="712"/>
      <c r="G780" s="810"/>
      <c r="H780" s="810"/>
    </row>
    <row r="781">
      <c r="A781" s="712"/>
      <c r="B781" s="712"/>
      <c r="C781" s="712"/>
      <c r="D781" s="808"/>
      <c r="E781" s="809"/>
      <c r="F781" s="712"/>
      <c r="G781" s="810"/>
      <c r="H781" s="810"/>
    </row>
    <row r="782">
      <c r="A782" s="712"/>
      <c r="B782" s="712"/>
      <c r="C782" s="712"/>
      <c r="D782" s="808"/>
      <c r="E782" s="809"/>
      <c r="F782" s="712"/>
      <c r="G782" s="810"/>
      <c r="H782" s="810"/>
    </row>
    <row r="783">
      <c r="A783" s="712"/>
      <c r="B783" s="712"/>
      <c r="C783" s="712"/>
      <c r="D783" s="808"/>
      <c r="E783" s="809"/>
      <c r="F783" s="712"/>
      <c r="G783" s="810"/>
      <c r="H783" s="810"/>
    </row>
    <row r="784">
      <c r="A784" s="712"/>
      <c r="B784" s="712"/>
      <c r="C784" s="712"/>
      <c r="D784" s="808"/>
      <c r="E784" s="809"/>
      <c r="F784" s="712"/>
      <c r="G784" s="810"/>
      <c r="H784" s="810"/>
    </row>
    <row r="785">
      <c r="A785" s="712"/>
      <c r="B785" s="712"/>
      <c r="C785" s="712"/>
      <c r="D785" s="808"/>
      <c r="E785" s="809"/>
      <c r="F785" s="712"/>
      <c r="G785" s="810"/>
      <c r="H785" s="810"/>
    </row>
    <row r="786">
      <c r="A786" s="712"/>
      <c r="B786" s="712"/>
      <c r="C786" s="712"/>
      <c r="D786" s="808"/>
      <c r="E786" s="809"/>
      <c r="F786" s="712"/>
      <c r="G786" s="810"/>
      <c r="H786" s="810"/>
    </row>
    <row r="787">
      <c r="A787" s="712"/>
      <c r="B787" s="712"/>
      <c r="C787" s="712"/>
      <c r="D787" s="808"/>
      <c r="E787" s="809"/>
      <c r="F787" s="712"/>
      <c r="G787" s="810"/>
      <c r="H787" s="810"/>
    </row>
    <row r="788">
      <c r="A788" s="712"/>
      <c r="B788" s="712"/>
      <c r="C788" s="712"/>
      <c r="D788" s="808"/>
      <c r="E788" s="809"/>
      <c r="F788" s="712"/>
      <c r="G788" s="810"/>
      <c r="H788" s="810"/>
    </row>
    <row r="789">
      <c r="A789" s="712"/>
      <c r="B789" s="712"/>
      <c r="C789" s="712"/>
      <c r="D789" s="808"/>
      <c r="E789" s="809"/>
      <c r="F789" s="712"/>
      <c r="G789" s="810"/>
      <c r="H789" s="810"/>
    </row>
    <row r="790">
      <c r="A790" s="712"/>
      <c r="B790" s="712"/>
      <c r="C790" s="712"/>
      <c r="D790" s="808"/>
      <c r="E790" s="809"/>
      <c r="F790" s="712"/>
      <c r="G790" s="810"/>
      <c r="H790" s="810"/>
    </row>
    <row r="791">
      <c r="A791" s="712"/>
      <c r="B791" s="712"/>
      <c r="C791" s="712"/>
      <c r="D791" s="808"/>
      <c r="E791" s="809"/>
      <c r="F791" s="712"/>
      <c r="G791" s="810"/>
      <c r="H791" s="810"/>
    </row>
    <row r="792">
      <c r="A792" s="712"/>
      <c r="B792" s="712"/>
      <c r="C792" s="712"/>
      <c r="D792" s="808"/>
      <c r="E792" s="809"/>
      <c r="F792" s="712"/>
      <c r="G792" s="810"/>
      <c r="H792" s="810"/>
    </row>
    <row r="793">
      <c r="A793" s="712"/>
      <c r="B793" s="712"/>
      <c r="C793" s="712"/>
      <c r="D793" s="808"/>
      <c r="E793" s="809"/>
      <c r="F793" s="712"/>
      <c r="G793" s="810"/>
      <c r="H793" s="810"/>
    </row>
    <row r="794">
      <c r="A794" s="712"/>
      <c r="B794" s="712"/>
      <c r="C794" s="712"/>
      <c r="D794" s="808"/>
      <c r="E794" s="809"/>
      <c r="F794" s="712"/>
      <c r="G794" s="810"/>
      <c r="H794" s="810"/>
    </row>
    <row r="795">
      <c r="A795" s="712"/>
      <c r="B795" s="712"/>
      <c r="C795" s="712"/>
      <c r="D795" s="808"/>
      <c r="E795" s="809"/>
      <c r="F795" s="712"/>
      <c r="G795" s="810"/>
      <c r="H795" s="810"/>
    </row>
    <row r="796">
      <c r="A796" s="712"/>
      <c r="B796" s="712"/>
      <c r="C796" s="712"/>
      <c r="D796" s="808"/>
      <c r="E796" s="809"/>
      <c r="F796" s="712"/>
      <c r="G796" s="810"/>
      <c r="H796" s="810"/>
    </row>
    <row r="797">
      <c r="A797" s="712"/>
      <c r="B797" s="712"/>
      <c r="C797" s="712"/>
      <c r="D797" s="808"/>
      <c r="E797" s="809"/>
      <c r="F797" s="712"/>
      <c r="G797" s="810"/>
      <c r="H797" s="810"/>
    </row>
    <row r="798">
      <c r="A798" s="712"/>
      <c r="B798" s="712"/>
      <c r="C798" s="712"/>
      <c r="D798" s="808"/>
      <c r="E798" s="809"/>
      <c r="F798" s="712"/>
      <c r="G798" s="810"/>
      <c r="H798" s="810"/>
    </row>
    <row r="799">
      <c r="A799" s="712"/>
      <c r="B799" s="712"/>
      <c r="C799" s="712"/>
      <c r="D799" s="808"/>
      <c r="E799" s="809"/>
      <c r="F799" s="712"/>
      <c r="G799" s="810"/>
      <c r="H799" s="810"/>
    </row>
    <row r="800">
      <c r="A800" s="712"/>
      <c r="B800" s="712"/>
      <c r="C800" s="712"/>
      <c r="D800" s="808"/>
      <c r="E800" s="809"/>
      <c r="F800" s="712"/>
      <c r="G800" s="810"/>
      <c r="H800" s="810"/>
    </row>
    <row r="801">
      <c r="A801" s="712"/>
      <c r="B801" s="712"/>
      <c r="C801" s="712"/>
      <c r="D801" s="808"/>
      <c r="E801" s="809"/>
      <c r="F801" s="712"/>
      <c r="G801" s="810"/>
      <c r="H801" s="810"/>
    </row>
    <row r="802">
      <c r="A802" s="712"/>
      <c r="B802" s="712"/>
      <c r="C802" s="712"/>
      <c r="D802" s="808"/>
      <c r="E802" s="809"/>
      <c r="F802" s="712"/>
      <c r="G802" s="810"/>
      <c r="H802" s="810"/>
    </row>
    <row r="803">
      <c r="A803" s="712"/>
      <c r="B803" s="712"/>
      <c r="C803" s="712"/>
      <c r="D803" s="808"/>
      <c r="E803" s="809"/>
      <c r="F803" s="712"/>
      <c r="G803" s="810"/>
      <c r="H803" s="810"/>
    </row>
    <row r="804">
      <c r="A804" s="712"/>
      <c r="B804" s="712"/>
      <c r="C804" s="712"/>
      <c r="D804" s="808"/>
      <c r="E804" s="809"/>
      <c r="F804" s="712"/>
      <c r="G804" s="810"/>
      <c r="H804" s="810"/>
    </row>
    <row r="805">
      <c r="A805" s="712"/>
      <c r="B805" s="712"/>
      <c r="C805" s="712"/>
      <c r="D805" s="808"/>
      <c r="E805" s="809"/>
      <c r="F805" s="712"/>
      <c r="G805" s="810"/>
      <c r="H805" s="810"/>
    </row>
    <row r="806">
      <c r="A806" s="712"/>
      <c r="B806" s="712"/>
      <c r="C806" s="712"/>
      <c r="D806" s="808"/>
      <c r="E806" s="809"/>
      <c r="F806" s="712"/>
      <c r="G806" s="810"/>
      <c r="H806" s="810"/>
    </row>
    <row r="807">
      <c r="A807" s="712"/>
      <c r="B807" s="712"/>
      <c r="C807" s="712"/>
      <c r="D807" s="808"/>
      <c r="E807" s="809"/>
      <c r="F807" s="712"/>
      <c r="G807" s="810"/>
      <c r="H807" s="810"/>
    </row>
    <row r="808">
      <c r="A808" s="712"/>
      <c r="B808" s="712"/>
      <c r="C808" s="712"/>
      <c r="D808" s="808"/>
      <c r="E808" s="809"/>
      <c r="F808" s="712"/>
      <c r="G808" s="810"/>
      <c r="H808" s="810"/>
    </row>
    <row r="809">
      <c r="A809" s="712"/>
      <c r="B809" s="712"/>
      <c r="C809" s="712"/>
      <c r="D809" s="808"/>
      <c r="E809" s="809"/>
      <c r="F809" s="712"/>
      <c r="G809" s="810"/>
      <c r="H809" s="810"/>
    </row>
    <row r="810">
      <c r="A810" s="712"/>
      <c r="B810" s="712"/>
      <c r="C810" s="712"/>
      <c r="D810" s="808"/>
      <c r="E810" s="809"/>
      <c r="F810" s="712"/>
      <c r="G810" s="810"/>
      <c r="H810" s="810"/>
    </row>
    <row r="811">
      <c r="A811" s="712"/>
      <c r="B811" s="712"/>
      <c r="C811" s="712"/>
      <c r="D811" s="808"/>
      <c r="E811" s="809"/>
      <c r="F811" s="712"/>
      <c r="G811" s="810"/>
      <c r="H811" s="810"/>
    </row>
    <row r="812">
      <c r="A812" s="712"/>
      <c r="B812" s="712"/>
      <c r="C812" s="712"/>
      <c r="D812" s="808"/>
      <c r="E812" s="809"/>
      <c r="F812" s="712"/>
      <c r="G812" s="810"/>
      <c r="H812" s="810"/>
    </row>
    <row r="813">
      <c r="A813" s="712"/>
      <c r="B813" s="712"/>
      <c r="C813" s="712"/>
      <c r="D813" s="808"/>
      <c r="E813" s="809"/>
      <c r="F813" s="712"/>
      <c r="G813" s="810"/>
      <c r="H813" s="810"/>
    </row>
    <row r="814">
      <c r="A814" s="712"/>
      <c r="B814" s="712"/>
      <c r="C814" s="712"/>
      <c r="D814" s="808"/>
      <c r="E814" s="809"/>
      <c r="F814" s="712"/>
      <c r="G814" s="810"/>
      <c r="H814" s="810"/>
    </row>
    <row r="815">
      <c r="A815" s="712"/>
      <c r="B815" s="712"/>
      <c r="C815" s="712"/>
      <c r="D815" s="808"/>
      <c r="E815" s="809"/>
      <c r="F815" s="712"/>
      <c r="G815" s="810"/>
      <c r="H815" s="810"/>
    </row>
    <row r="816">
      <c r="A816" s="712"/>
      <c r="B816" s="712"/>
      <c r="C816" s="712"/>
      <c r="D816" s="808"/>
      <c r="E816" s="809"/>
      <c r="F816" s="712"/>
      <c r="G816" s="810"/>
      <c r="H816" s="810"/>
    </row>
    <row r="817">
      <c r="A817" s="712"/>
      <c r="B817" s="712"/>
      <c r="C817" s="712"/>
      <c r="D817" s="808"/>
      <c r="E817" s="809"/>
      <c r="F817" s="712"/>
      <c r="G817" s="810"/>
      <c r="H817" s="810"/>
    </row>
    <row r="818">
      <c r="A818" s="712"/>
      <c r="B818" s="712"/>
      <c r="C818" s="712"/>
      <c r="D818" s="808"/>
      <c r="E818" s="809"/>
      <c r="F818" s="712"/>
      <c r="G818" s="810"/>
      <c r="H818" s="810"/>
    </row>
    <row r="819">
      <c r="A819" s="712"/>
      <c r="B819" s="712"/>
      <c r="C819" s="712"/>
      <c r="D819" s="808"/>
      <c r="E819" s="809"/>
      <c r="F819" s="712"/>
      <c r="G819" s="810"/>
      <c r="H819" s="810"/>
    </row>
    <row r="820">
      <c r="A820" s="712"/>
      <c r="B820" s="712"/>
      <c r="C820" s="712"/>
      <c r="D820" s="808"/>
      <c r="E820" s="809"/>
      <c r="F820" s="712"/>
      <c r="G820" s="810"/>
      <c r="H820" s="810"/>
    </row>
    <row r="821">
      <c r="A821" s="712"/>
      <c r="B821" s="712"/>
      <c r="C821" s="712"/>
      <c r="D821" s="808"/>
      <c r="E821" s="809"/>
      <c r="F821" s="712"/>
      <c r="G821" s="810"/>
      <c r="H821" s="810"/>
    </row>
    <row r="822">
      <c r="A822" s="712"/>
      <c r="B822" s="712"/>
      <c r="C822" s="712"/>
      <c r="D822" s="808"/>
      <c r="E822" s="809"/>
      <c r="F822" s="712"/>
      <c r="G822" s="810"/>
      <c r="H822" s="810"/>
    </row>
    <row r="823">
      <c r="A823" s="712"/>
      <c r="B823" s="712"/>
      <c r="C823" s="712"/>
      <c r="D823" s="808"/>
      <c r="E823" s="809"/>
      <c r="F823" s="712"/>
      <c r="G823" s="810"/>
      <c r="H823" s="810"/>
    </row>
    <row r="824">
      <c r="A824" s="712"/>
      <c r="B824" s="712"/>
      <c r="C824" s="712"/>
      <c r="D824" s="808"/>
      <c r="E824" s="809"/>
      <c r="F824" s="712"/>
      <c r="G824" s="810"/>
      <c r="H824" s="810"/>
    </row>
    <row r="825">
      <c r="A825" s="712"/>
      <c r="B825" s="712"/>
      <c r="C825" s="712"/>
      <c r="D825" s="808"/>
      <c r="E825" s="809"/>
      <c r="F825" s="712"/>
      <c r="G825" s="810"/>
      <c r="H825" s="810"/>
    </row>
    <row r="826">
      <c r="A826" s="712"/>
      <c r="B826" s="712"/>
      <c r="C826" s="712"/>
      <c r="D826" s="808"/>
      <c r="E826" s="809"/>
      <c r="F826" s="712"/>
      <c r="G826" s="810"/>
      <c r="H826" s="810"/>
    </row>
    <row r="827">
      <c r="A827" s="712"/>
      <c r="B827" s="712"/>
      <c r="C827" s="712"/>
      <c r="D827" s="808"/>
      <c r="E827" s="809"/>
      <c r="F827" s="712"/>
      <c r="G827" s="810"/>
      <c r="H827" s="810"/>
    </row>
    <row r="828">
      <c r="A828" s="712"/>
      <c r="B828" s="712"/>
      <c r="C828" s="712"/>
      <c r="D828" s="808"/>
      <c r="E828" s="809"/>
      <c r="F828" s="712"/>
      <c r="G828" s="810"/>
      <c r="H828" s="810"/>
    </row>
    <row r="829">
      <c r="A829" s="712"/>
      <c r="B829" s="712"/>
      <c r="C829" s="712"/>
      <c r="D829" s="808"/>
      <c r="E829" s="809"/>
      <c r="F829" s="712"/>
      <c r="G829" s="810"/>
      <c r="H829" s="810"/>
    </row>
    <row r="830">
      <c r="A830" s="712"/>
      <c r="B830" s="712"/>
      <c r="C830" s="712"/>
      <c r="D830" s="808"/>
      <c r="E830" s="809"/>
      <c r="F830" s="712"/>
      <c r="G830" s="810"/>
      <c r="H830" s="810"/>
    </row>
    <row r="831">
      <c r="A831" s="712"/>
      <c r="B831" s="712"/>
      <c r="C831" s="712"/>
      <c r="D831" s="808"/>
      <c r="E831" s="809"/>
      <c r="F831" s="712"/>
      <c r="G831" s="810"/>
      <c r="H831" s="810"/>
    </row>
    <row r="832">
      <c r="A832" s="712"/>
      <c r="B832" s="712"/>
      <c r="C832" s="712"/>
      <c r="D832" s="808"/>
      <c r="E832" s="809"/>
      <c r="F832" s="712"/>
      <c r="G832" s="810"/>
      <c r="H832" s="810"/>
    </row>
    <row r="833">
      <c r="A833" s="712"/>
      <c r="B833" s="712"/>
      <c r="C833" s="712"/>
      <c r="D833" s="808"/>
      <c r="E833" s="809"/>
      <c r="F833" s="712"/>
      <c r="G833" s="810"/>
      <c r="H833" s="810"/>
    </row>
    <row r="834">
      <c r="A834" s="712"/>
      <c r="B834" s="712"/>
      <c r="C834" s="712"/>
      <c r="D834" s="808"/>
      <c r="E834" s="809"/>
      <c r="F834" s="712"/>
      <c r="G834" s="810"/>
      <c r="H834" s="810"/>
    </row>
    <row r="835">
      <c r="A835" s="712"/>
      <c r="B835" s="712"/>
      <c r="C835" s="712"/>
      <c r="D835" s="808"/>
      <c r="E835" s="809"/>
      <c r="F835" s="712"/>
      <c r="G835" s="810"/>
      <c r="H835" s="810"/>
    </row>
    <row r="836">
      <c r="A836" s="712"/>
      <c r="B836" s="712"/>
      <c r="C836" s="712"/>
      <c r="D836" s="808"/>
      <c r="E836" s="809"/>
      <c r="F836" s="712"/>
      <c r="G836" s="810"/>
      <c r="H836" s="810"/>
    </row>
    <row r="837">
      <c r="A837" s="712"/>
      <c r="B837" s="712"/>
      <c r="C837" s="712"/>
      <c r="D837" s="808"/>
      <c r="E837" s="809"/>
      <c r="F837" s="712"/>
      <c r="G837" s="810"/>
      <c r="H837" s="810"/>
    </row>
    <row r="838">
      <c r="A838" s="712"/>
      <c r="B838" s="712"/>
      <c r="C838" s="712"/>
      <c r="D838" s="808"/>
      <c r="E838" s="809"/>
      <c r="F838" s="712"/>
      <c r="G838" s="810"/>
      <c r="H838" s="810"/>
    </row>
    <row r="839">
      <c r="A839" s="712"/>
      <c r="B839" s="712"/>
      <c r="C839" s="712"/>
      <c r="D839" s="808"/>
      <c r="E839" s="809"/>
      <c r="F839" s="712"/>
      <c r="G839" s="810"/>
      <c r="H839" s="810"/>
    </row>
    <row r="840">
      <c r="A840" s="712"/>
      <c r="B840" s="712"/>
      <c r="C840" s="712"/>
      <c r="D840" s="808"/>
      <c r="E840" s="809"/>
      <c r="F840" s="712"/>
      <c r="G840" s="810"/>
      <c r="H840" s="810"/>
    </row>
    <row r="841">
      <c r="A841" s="712"/>
      <c r="B841" s="712"/>
      <c r="C841" s="712"/>
      <c r="D841" s="808"/>
      <c r="E841" s="809"/>
      <c r="F841" s="712"/>
      <c r="G841" s="810"/>
      <c r="H841" s="810"/>
    </row>
    <row r="842">
      <c r="A842" s="712"/>
      <c r="B842" s="712"/>
      <c r="C842" s="712"/>
      <c r="D842" s="808"/>
      <c r="E842" s="809"/>
      <c r="F842" s="712"/>
      <c r="G842" s="810"/>
      <c r="H842" s="810"/>
    </row>
    <row r="843">
      <c r="A843" s="712"/>
      <c r="B843" s="712"/>
      <c r="C843" s="712"/>
      <c r="D843" s="808"/>
      <c r="E843" s="809"/>
      <c r="F843" s="712"/>
      <c r="G843" s="810"/>
      <c r="H843" s="810"/>
    </row>
    <row r="844">
      <c r="A844" s="712"/>
      <c r="B844" s="712"/>
      <c r="C844" s="712"/>
      <c r="D844" s="808"/>
      <c r="E844" s="809"/>
      <c r="F844" s="712"/>
      <c r="G844" s="810"/>
      <c r="H844" s="810"/>
    </row>
    <row r="845">
      <c r="A845" s="712"/>
      <c r="B845" s="712"/>
      <c r="C845" s="712"/>
      <c r="D845" s="808"/>
      <c r="E845" s="809"/>
      <c r="F845" s="712"/>
      <c r="G845" s="810"/>
      <c r="H845" s="810"/>
    </row>
    <row r="846">
      <c r="A846" s="712"/>
      <c r="B846" s="712"/>
      <c r="C846" s="712"/>
      <c r="D846" s="808"/>
      <c r="E846" s="809"/>
      <c r="F846" s="712"/>
      <c r="G846" s="810"/>
      <c r="H846" s="810"/>
    </row>
    <row r="847">
      <c r="A847" s="712"/>
      <c r="B847" s="712"/>
      <c r="C847" s="712"/>
      <c r="D847" s="808"/>
      <c r="E847" s="809"/>
      <c r="F847" s="712"/>
      <c r="G847" s="810"/>
      <c r="H847" s="810"/>
    </row>
    <row r="848">
      <c r="A848" s="712"/>
      <c r="B848" s="712"/>
      <c r="C848" s="712"/>
      <c r="D848" s="808"/>
      <c r="E848" s="809"/>
      <c r="F848" s="712"/>
      <c r="G848" s="810"/>
      <c r="H848" s="810"/>
    </row>
    <row r="849">
      <c r="A849" s="712"/>
      <c r="B849" s="712"/>
      <c r="C849" s="712"/>
      <c r="D849" s="808"/>
      <c r="E849" s="809"/>
      <c r="F849" s="712"/>
      <c r="G849" s="810"/>
      <c r="H849" s="810"/>
    </row>
    <row r="850">
      <c r="A850" s="712"/>
      <c r="B850" s="712"/>
      <c r="C850" s="712"/>
      <c r="D850" s="808"/>
      <c r="E850" s="809"/>
      <c r="F850" s="712"/>
      <c r="G850" s="810"/>
      <c r="H850" s="810"/>
    </row>
    <row r="851">
      <c r="A851" s="712"/>
      <c r="B851" s="712"/>
      <c r="C851" s="712"/>
      <c r="D851" s="808"/>
      <c r="E851" s="809"/>
      <c r="F851" s="712"/>
      <c r="G851" s="810"/>
      <c r="H851" s="810"/>
    </row>
    <row r="852">
      <c r="A852" s="712"/>
      <c r="B852" s="712"/>
      <c r="C852" s="712"/>
      <c r="D852" s="808"/>
      <c r="E852" s="809"/>
      <c r="F852" s="712"/>
      <c r="G852" s="810"/>
      <c r="H852" s="810"/>
    </row>
    <row r="853">
      <c r="A853" s="712"/>
      <c r="B853" s="712"/>
      <c r="C853" s="712"/>
      <c r="D853" s="808"/>
      <c r="E853" s="809"/>
      <c r="F853" s="712"/>
      <c r="G853" s="810"/>
      <c r="H853" s="810"/>
    </row>
    <row r="854">
      <c r="A854" s="712"/>
      <c r="B854" s="712"/>
      <c r="C854" s="712"/>
      <c r="D854" s="808"/>
      <c r="E854" s="809"/>
      <c r="F854" s="712"/>
      <c r="G854" s="810"/>
      <c r="H854" s="810"/>
    </row>
    <row r="855">
      <c r="A855" s="712"/>
      <c r="B855" s="712"/>
      <c r="C855" s="712"/>
      <c r="D855" s="808"/>
      <c r="E855" s="809"/>
      <c r="F855" s="712"/>
      <c r="G855" s="810"/>
      <c r="H855" s="810"/>
    </row>
    <row r="856">
      <c r="A856" s="712"/>
      <c r="B856" s="712"/>
      <c r="C856" s="712"/>
      <c r="D856" s="808"/>
      <c r="E856" s="809"/>
      <c r="F856" s="712"/>
      <c r="G856" s="810"/>
      <c r="H856" s="810"/>
    </row>
    <row r="857">
      <c r="A857" s="712"/>
      <c r="B857" s="712"/>
      <c r="C857" s="712"/>
      <c r="D857" s="808"/>
      <c r="E857" s="809"/>
      <c r="F857" s="712"/>
      <c r="G857" s="810"/>
      <c r="H857" s="810"/>
    </row>
    <row r="858">
      <c r="A858" s="712"/>
      <c r="B858" s="712"/>
      <c r="C858" s="712"/>
      <c r="D858" s="808"/>
      <c r="E858" s="809"/>
      <c r="F858" s="712"/>
      <c r="G858" s="810"/>
      <c r="H858" s="810"/>
    </row>
    <row r="859">
      <c r="A859" s="712"/>
      <c r="B859" s="712"/>
      <c r="C859" s="712"/>
      <c r="D859" s="808"/>
      <c r="E859" s="809"/>
      <c r="F859" s="712"/>
      <c r="G859" s="810"/>
      <c r="H859" s="810"/>
    </row>
    <row r="860">
      <c r="A860" s="712"/>
      <c r="B860" s="712"/>
      <c r="C860" s="712"/>
      <c r="D860" s="808"/>
      <c r="E860" s="809"/>
      <c r="F860" s="712"/>
      <c r="G860" s="810"/>
      <c r="H860" s="810"/>
    </row>
    <row r="861">
      <c r="A861" s="712"/>
      <c r="B861" s="712"/>
      <c r="C861" s="712"/>
      <c r="D861" s="808"/>
      <c r="E861" s="809"/>
      <c r="F861" s="712"/>
      <c r="G861" s="810"/>
      <c r="H861" s="810"/>
    </row>
    <row r="862">
      <c r="A862" s="712"/>
      <c r="B862" s="712"/>
      <c r="C862" s="712"/>
      <c r="D862" s="808"/>
      <c r="E862" s="809"/>
      <c r="F862" s="712"/>
      <c r="G862" s="810"/>
      <c r="H862" s="810"/>
    </row>
    <row r="863">
      <c r="A863" s="712"/>
      <c r="B863" s="712"/>
      <c r="C863" s="712"/>
      <c r="D863" s="808"/>
      <c r="E863" s="809"/>
      <c r="F863" s="712"/>
      <c r="G863" s="810"/>
      <c r="H863" s="810"/>
    </row>
    <row r="864">
      <c r="A864" s="712"/>
      <c r="B864" s="712"/>
      <c r="C864" s="712"/>
      <c r="D864" s="808"/>
      <c r="E864" s="809"/>
      <c r="F864" s="712"/>
      <c r="G864" s="810"/>
      <c r="H864" s="810"/>
    </row>
    <row r="865">
      <c r="A865" s="712"/>
      <c r="B865" s="712"/>
      <c r="C865" s="712"/>
      <c r="D865" s="808"/>
      <c r="E865" s="809"/>
      <c r="F865" s="712"/>
      <c r="G865" s="810"/>
      <c r="H865" s="810"/>
    </row>
    <row r="866">
      <c r="A866" s="712"/>
      <c r="B866" s="712"/>
      <c r="C866" s="712"/>
      <c r="D866" s="808"/>
      <c r="E866" s="809"/>
      <c r="F866" s="712"/>
      <c r="G866" s="810"/>
      <c r="H866" s="810"/>
    </row>
    <row r="867">
      <c r="A867" s="712"/>
      <c r="B867" s="712"/>
      <c r="C867" s="712"/>
      <c r="D867" s="808"/>
      <c r="E867" s="809"/>
      <c r="F867" s="712"/>
      <c r="G867" s="810"/>
      <c r="H867" s="810"/>
    </row>
    <row r="868">
      <c r="A868" s="712"/>
      <c r="B868" s="712"/>
      <c r="C868" s="712"/>
      <c r="D868" s="808"/>
      <c r="E868" s="809"/>
      <c r="F868" s="712"/>
      <c r="G868" s="810"/>
      <c r="H868" s="810"/>
    </row>
    <row r="869">
      <c r="A869" s="712"/>
      <c r="B869" s="712"/>
      <c r="C869" s="712"/>
      <c r="D869" s="808"/>
      <c r="E869" s="809"/>
      <c r="F869" s="712"/>
      <c r="G869" s="810"/>
      <c r="H869" s="810"/>
    </row>
    <row r="870">
      <c r="A870" s="712"/>
      <c r="B870" s="712"/>
      <c r="C870" s="712"/>
      <c r="D870" s="808"/>
      <c r="E870" s="809"/>
      <c r="F870" s="712"/>
      <c r="G870" s="810"/>
      <c r="H870" s="810"/>
    </row>
    <row r="871">
      <c r="A871" s="712"/>
      <c r="B871" s="712"/>
      <c r="C871" s="712"/>
      <c r="D871" s="808"/>
      <c r="E871" s="809"/>
      <c r="F871" s="712"/>
      <c r="G871" s="810"/>
      <c r="H871" s="810"/>
    </row>
    <row r="872">
      <c r="A872" s="712"/>
      <c r="B872" s="712"/>
      <c r="C872" s="712"/>
      <c r="D872" s="808"/>
      <c r="E872" s="809"/>
      <c r="F872" s="712"/>
      <c r="G872" s="810"/>
      <c r="H872" s="810"/>
    </row>
    <row r="873">
      <c r="A873" s="712"/>
      <c r="B873" s="712"/>
      <c r="C873" s="712"/>
      <c r="D873" s="808"/>
      <c r="E873" s="809"/>
      <c r="F873" s="712"/>
      <c r="G873" s="810"/>
      <c r="H873" s="810"/>
    </row>
    <row r="874">
      <c r="A874" s="712"/>
      <c r="B874" s="712"/>
      <c r="C874" s="712"/>
      <c r="D874" s="808"/>
      <c r="E874" s="809"/>
      <c r="F874" s="712"/>
      <c r="G874" s="810"/>
      <c r="H874" s="810"/>
    </row>
    <row r="875">
      <c r="A875" s="712"/>
      <c r="B875" s="712"/>
      <c r="C875" s="712"/>
      <c r="D875" s="808"/>
      <c r="E875" s="809"/>
      <c r="F875" s="712"/>
      <c r="G875" s="810"/>
      <c r="H875" s="810"/>
    </row>
    <row r="876">
      <c r="A876" s="712"/>
      <c r="B876" s="712"/>
      <c r="C876" s="712"/>
      <c r="D876" s="808"/>
      <c r="E876" s="809"/>
      <c r="F876" s="712"/>
      <c r="G876" s="810"/>
      <c r="H876" s="810"/>
    </row>
    <row r="877">
      <c r="A877" s="712"/>
      <c r="B877" s="712"/>
      <c r="C877" s="712"/>
      <c r="D877" s="808"/>
      <c r="E877" s="809"/>
      <c r="F877" s="712"/>
      <c r="G877" s="810"/>
      <c r="H877" s="810"/>
    </row>
    <row r="878">
      <c r="A878" s="712"/>
      <c r="B878" s="712"/>
      <c r="C878" s="712"/>
      <c r="D878" s="808"/>
      <c r="E878" s="809"/>
      <c r="F878" s="712"/>
      <c r="G878" s="810"/>
      <c r="H878" s="810"/>
    </row>
    <row r="879">
      <c r="A879" s="712"/>
      <c r="B879" s="712"/>
      <c r="C879" s="712"/>
      <c r="D879" s="808"/>
      <c r="E879" s="809"/>
      <c r="F879" s="712"/>
      <c r="G879" s="810"/>
      <c r="H879" s="810"/>
    </row>
    <row r="880">
      <c r="A880" s="712"/>
      <c r="B880" s="712"/>
      <c r="C880" s="712"/>
      <c r="D880" s="808"/>
      <c r="E880" s="809"/>
      <c r="F880" s="712"/>
      <c r="G880" s="810"/>
      <c r="H880" s="810"/>
    </row>
    <row r="881">
      <c r="A881" s="712"/>
      <c r="B881" s="712"/>
      <c r="C881" s="712"/>
      <c r="D881" s="808"/>
      <c r="E881" s="809"/>
      <c r="F881" s="712"/>
      <c r="G881" s="810"/>
      <c r="H881" s="810"/>
    </row>
    <row r="882">
      <c r="A882" s="712"/>
      <c r="B882" s="712"/>
      <c r="C882" s="712"/>
      <c r="D882" s="808"/>
      <c r="E882" s="809"/>
      <c r="F882" s="712"/>
      <c r="G882" s="810"/>
      <c r="H882" s="810"/>
    </row>
    <row r="883">
      <c r="A883" s="712"/>
      <c r="B883" s="712"/>
      <c r="C883" s="712"/>
      <c r="D883" s="808"/>
      <c r="E883" s="809"/>
      <c r="F883" s="712"/>
      <c r="G883" s="810"/>
      <c r="H883" s="810"/>
    </row>
    <row r="884">
      <c r="A884" s="712"/>
      <c r="B884" s="712"/>
      <c r="C884" s="712"/>
      <c r="D884" s="808"/>
      <c r="E884" s="809"/>
      <c r="F884" s="712"/>
      <c r="G884" s="810"/>
      <c r="H884" s="810"/>
    </row>
    <row r="885">
      <c r="A885" s="712"/>
      <c r="B885" s="712"/>
      <c r="C885" s="712"/>
      <c r="D885" s="808"/>
      <c r="E885" s="809"/>
      <c r="F885" s="712"/>
      <c r="G885" s="810"/>
      <c r="H885" s="810"/>
    </row>
    <row r="886">
      <c r="A886" s="712"/>
      <c r="B886" s="712"/>
      <c r="C886" s="712"/>
      <c r="D886" s="808"/>
      <c r="E886" s="809"/>
      <c r="F886" s="712"/>
      <c r="G886" s="810"/>
      <c r="H886" s="810"/>
    </row>
    <row r="887">
      <c r="A887" s="712"/>
      <c r="B887" s="712"/>
      <c r="C887" s="712"/>
      <c r="D887" s="808"/>
      <c r="E887" s="809"/>
      <c r="F887" s="712"/>
      <c r="G887" s="810"/>
      <c r="H887" s="810"/>
    </row>
    <row r="888">
      <c r="A888" s="712"/>
      <c r="B888" s="712"/>
      <c r="C888" s="712"/>
      <c r="D888" s="808"/>
      <c r="E888" s="809"/>
      <c r="F888" s="712"/>
      <c r="G888" s="810"/>
      <c r="H888" s="810"/>
    </row>
    <row r="889">
      <c r="A889" s="712"/>
      <c r="B889" s="712"/>
      <c r="C889" s="712"/>
      <c r="D889" s="808"/>
      <c r="E889" s="809"/>
      <c r="F889" s="712"/>
      <c r="G889" s="810"/>
      <c r="H889" s="810"/>
    </row>
    <row r="890">
      <c r="A890" s="712"/>
      <c r="B890" s="712"/>
      <c r="C890" s="712"/>
      <c r="D890" s="808"/>
      <c r="E890" s="809"/>
      <c r="F890" s="712"/>
      <c r="G890" s="810"/>
      <c r="H890" s="810"/>
    </row>
    <row r="891">
      <c r="A891" s="712"/>
      <c r="B891" s="712"/>
      <c r="C891" s="712"/>
      <c r="D891" s="808"/>
      <c r="E891" s="809"/>
      <c r="F891" s="712"/>
      <c r="G891" s="810"/>
      <c r="H891" s="810"/>
    </row>
    <row r="892">
      <c r="A892" s="712"/>
      <c r="B892" s="712"/>
      <c r="C892" s="712"/>
      <c r="D892" s="808"/>
      <c r="E892" s="809"/>
      <c r="F892" s="712"/>
      <c r="G892" s="810"/>
      <c r="H892" s="810"/>
    </row>
    <row r="893">
      <c r="A893" s="712"/>
      <c r="B893" s="712"/>
      <c r="C893" s="712"/>
      <c r="D893" s="808"/>
      <c r="E893" s="809"/>
      <c r="F893" s="712"/>
      <c r="G893" s="810"/>
      <c r="H893" s="810"/>
    </row>
    <row r="894">
      <c r="A894" s="712"/>
      <c r="B894" s="712"/>
      <c r="C894" s="712"/>
      <c r="D894" s="808"/>
      <c r="E894" s="809"/>
      <c r="F894" s="712"/>
      <c r="G894" s="810"/>
      <c r="H894" s="810"/>
    </row>
    <row r="895">
      <c r="A895" s="712"/>
      <c r="B895" s="712"/>
      <c r="C895" s="712"/>
      <c r="D895" s="808"/>
      <c r="E895" s="809"/>
      <c r="F895" s="712"/>
      <c r="G895" s="810"/>
      <c r="H895" s="810"/>
    </row>
    <row r="896">
      <c r="A896" s="712"/>
      <c r="B896" s="712"/>
      <c r="C896" s="712"/>
      <c r="D896" s="808"/>
      <c r="E896" s="809"/>
      <c r="F896" s="712"/>
      <c r="G896" s="810"/>
      <c r="H896" s="810"/>
    </row>
    <row r="897">
      <c r="A897" s="712"/>
      <c r="B897" s="712"/>
      <c r="C897" s="712"/>
      <c r="D897" s="808"/>
      <c r="E897" s="809"/>
      <c r="F897" s="712"/>
      <c r="G897" s="810"/>
      <c r="H897" s="810"/>
    </row>
    <row r="898">
      <c r="A898" s="712"/>
      <c r="B898" s="712"/>
      <c r="C898" s="712"/>
      <c r="D898" s="808"/>
      <c r="E898" s="809"/>
      <c r="F898" s="712"/>
      <c r="G898" s="810"/>
      <c r="H898" s="810"/>
    </row>
    <row r="899">
      <c r="A899" s="712"/>
      <c r="B899" s="712"/>
      <c r="C899" s="712"/>
      <c r="D899" s="808"/>
      <c r="E899" s="809"/>
      <c r="F899" s="712"/>
      <c r="G899" s="810"/>
      <c r="H899" s="810"/>
    </row>
    <row r="900">
      <c r="A900" s="712"/>
      <c r="B900" s="712"/>
      <c r="C900" s="712"/>
      <c r="D900" s="808"/>
      <c r="E900" s="809"/>
      <c r="F900" s="712"/>
      <c r="G900" s="810"/>
      <c r="H900" s="810"/>
    </row>
    <row r="901">
      <c r="A901" s="712"/>
      <c r="B901" s="712"/>
      <c r="C901" s="712"/>
      <c r="D901" s="808"/>
      <c r="E901" s="809"/>
      <c r="F901" s="712"/>
      <c r="G901" s="810"/>
      <c r="H901" s="810"/>
    </row>
    <row r="902">
      <c r="A902" s="712"/>
      <c r="B902" s="712"/>
      <c r="C902" s="712"/>
      <c r="D902" s="808"/>
      <c r="E902" s="809"/>
      <c r="F902" s="712"/>
      <c r="G902" s="810"/>
      <c r="H902" s="810"/>
    </row>
    <row r="903">
      <c r="A903" s="712"/>
      <c r="B903" s="712"/>
      <c r="C903" s="712"/>
      <c r="D903" s="808"/>
      <c r="E903" s="809"/>
      <c r="F903" s="712"/>
      <c r="G903" s="810"/>
      <c r="H903" s="810"/>
    </row>
    <row r="904">
      <c r="A904" s="712"/>
      <c r="B904" s="712"/>
      <c r="C904" s="712"/>
      <c r="D904" s="808"/>
      <c r="E904" s="809"/>
      <c r="F904" s="712"/>
      <c r="G904" s="810"/>
      <c r="H904" s="810"/>
    </row>
    <row r="905">
      <c r="A905" s="712"/>
      <c r="B905" s="712"/>
      <c r="C905" s="712"/>
      <c r="D905" s="808"/>
      <c r="E905" s="809"/>
      <c r="F905" s="712"/>
      <c r="G905" s="810"/>
      <c r="H905" s="810"/>
    </row>
    <row r="906">
      <c r="A906" s="712"/>
      <c r="B906" s="712"/>
      <c r="C906" s="712"/>
      <c r="D906" s="808"/>
      <c r="E906" s="809"/>
      <c r="F906" s="712"/>
      <c r="G906" s="810"/>
      <c r="H906" s="810"/>
    </row>
    <row r="907">
      <c r="A907" s="712"/>
      <c r="B907" s="712"/>
      <c r="C907" s="712"/>
      <c r="D907" s="808"/>
      <c r="E907" s="809"/>
      <c r="F907" s="712"/>
      <c r="G907" s="810"/>
      <c r="H907" s="810"/>
    </row>
    <row r="908">
      <c r="A908" s="712"/>
      <c r="B908" s="712"/>
      <c r="C908" s="712"/>
      <c r="D908" s="808"/>
      <c r="E908" s="809"/>
      <c r="F908" s="712"/>
      <c r="G908" s="810"/>
      <c r="H908" s="810"/>
    </row>
    <row r="909">
      <c r="A909" s="712"/>
      <c r="B909" s="712"/>
      <c r="C909" s="712"/>
      <c r="D909" s="808"/>
      <c r="E909" s="809"/>
      <c r="F909" s="712"/>
      <c r="G909" s="810"/>
      <c r="H909" s="810"/>
    </row>
    <row r="910">
      <c r="A910" s="712"/>
      <c r="B910" s="712"/>
      <c r="C910" s="712"/>
      <c r="D910" s="808"/>
      <c r="E910" s="809"/>
      <c r="F910" s="712"/>
      <c r="G910" s="810"/>
      <c r="H910" s="810"/>
    </row>
    <row r="911">
      <c r="A911" s="712"/>
      <c r="B911" s="712"/>
      <c r="C911" s="712"/>
      <c r="D911" s="808"/>
      <c r="E911" s="809"/>
      <c r="F911" s="712"/>
      <c r="G911" s="810"/>
      <c r="H911" s="810"/>
    </row>
    <row r="912">
      <c r="A912" s="712"/>
      <c r="B912" s="712"/>
      <c r="C912" s="712"/>
      <c r="D912" s="808"/>
      <c r="E912" s="809"/>
      <c r="F912" s="712"/>
      <c r="G912" s="810"/>
      <c r="H912" s="810"/>
    </row>
    <row r="913">
      <c r="A913" s="712"/>
      <c r="B913" s="712"/>
      <c r="C913" s="712"/>
      <c r="D913" s="808"/>
      <c r="E913" s="809"/>
      <c r="F913" s="712"/>
      <c r="G913" s="810"/>
      <c r="H913" s="810"/>
    </row>
    <row r="914">
      <c r="A914" s="712"/>
      <c r="B914" s="712"/>
      <c r="C914" s="712"/>
      <c r="D914" s="808"/>
      <c r="E914" s="809"/>
      <c r="F914" s="712"/>
      <c r="G914" s="810"/>
      <c r="H914" s="810"/>
    </row>
    <row r="915">
      <c r="A915" s="712"/>
      <c r="B915" s="712"/>
      <c r="C915" s="712"/>
      <c r="D915" s="808"/>
      <c r="E915" s="809"/>
      <c r="F915" s="712"/>
      <c r="G915" s="810"/>
      <c r="H915" s="810"/>
    </row>
    <row r="916">
      <c r="A916" s="712"/>
      <c r="B916" s="712"/>
      <c r="C916" s="712"/>
      <c r="D916" s="808"/>
      <c r="E916" s="809"/>
      <c r="F916" s="712"/>
      <c r="G916" s="810"/>
      <c r="H916" s="810"/>
    </row>
    <row r="917">
      <c r="A917" s="712"/>
      <c r="B917" s="712"/>
      <c r="C917" s="712"/>
      <c r="D917" s="808"/>
      <c r="E917" s="809"/>
      <c r="F917" s="712"/>
      <c r="G917" s="810"/>
      <c r="H917" s="810"/>
    </row>
    <row r="918">
      <c r="A918" s="712"/>
      <c r="B918" s="712"/>
      <c r="C918" s="712"/>
      <c r="D918" s="808"/>
      <c r="E918" s="809"/>
      <c r="F918" s="712"/>
      <c r="G918" s="810"/>
      <c r="H918" s="810"/>
    </row>
    <row r="919">
      <c r="A919" s="712"/>
      <c r="B919" s="712"/>
      <c r="C919" s="712"/>
      <c r="D919" s="808"/>
      <c r="E919" s="809"/>
      <c r="F919" s="712"/>
      <c r="G919" s="810"/>
      <c r="H919" s="810"/>
    </row>
    <row r="920">
      <c r="A920" s="712"/>
      <c r="B920" s="712"/>
      <c r="C920" s="712"/>
      <c r="D920" s="808"/>
      <c r="E920" s="809"/>
      <c r="F920" s="712"/>
      <c r="G920" s="810"/>
      <c r="H920" s="810"/>
    </row>
    <row r="921">
      <c r="A921" s="712"/>
      <c r="B921" s="712"/>
      <c r="C921" s="712"/>
      <c r="D921" s="808"/>
      <c r="E921" s="809"/>
      <c r="F921" s="712"/>
      <c r="G921" s="810"/>
      <c r="H921" s="810"/>
    </row>
    <row r="922">
      <c r="A922" s="712"/>
      <c r="B922" s="712"/>
      <c r="C922" s="712"/>
      <c r="D922" s="808"/>
      <c r="E922" s="809"/>
      <c r="F922" s="712"/>
      <c r="G922" s="810"/>
      <c r="H922" s="810"/>
    </row>
    <row r="923">
      <c r="A923" s="712"/>
      <c r="B923" s="712"/>
      <c r="C923" s="712"/>
      <c r="D923" s="808"/>
      <c r="E923" s="809"/>
      <c r="F923" s="712"/>
      <c r="G923" s="810"/>
      <c r="H923" s="810"/>
    </row>
    <row r="924">
      <c r="A924" s="712"/>
      <c r="B924" s="712"/>
      <c r="C924" s="712"/>
      <c r="D924" s="808"/>
      <c r="E924" s="809"/>
      <c r="F924" s="712"/>
      <c r="G924" s="810"/>
      <c r="H924" s="810"/>
    </row>
    <row r="925">
      <c r="A925" s="712"/>
      <c r="B925" s="712"/>
      <c r="C925" s="712"/>
      <c r="D925" s="808"/>
      <c r="E925" s="809"/>
      <c r="F925" s="712"/>
      <c r="G925" s="810"/>
      <c r="H925" s="810"/>
    </row>
    <row r="926">
      <c r="A926" s="712"/>
      <c r="B926" s="712"/>
      <c r="C926" s="712"/>
      <c r="D926" s="808"/>
      <c r="E926" s="809"/>
      <c r="F926" s="712"/>
      <c r="G926" s="810"/>
      <c r="H926" s="810"/>
    </row>
    <row r="927">
      <c r="A927" s="712"/>
      <c r="B927" s="712"/>
      <c r="C927" s="712"/>
      <c r="D927" s="808"/>
      <c r="E927" s="809"/>
      <c r="F927" s="712"/>
      <c r="G927" s="810"/>
      <c r="H927" s="810"/>
    </row>
    <row r="928">
      <c r="A928" s="712"/>
      <c r="B928" s="712"/>
      <c r="C928" s="712"/>
      <c r="D928" s="808"/>
      <c r="E928" s="809"/>
      <c r="F928" s="712"/>
      <c r="G928" s="810"/>
      <c r="H928" s="810"/>
    </row>
    <row r="929">
      <c r="A929" s="712"/>
      <c r="B929" s="712"/>
      <c r="C929" s="712"/>
      <c r="D929" s="808"/>
      <c r="E929" s="809"/>
      <c r="F929" s="712"/>
      <c r="G929" s="810"/>
      <c r="H929" s="810"/>
    </row>
    <row r="930">
      <c r="A930" s="712"/>
      <c r="B930" s="712"/>
      <c r="C930" s="712"/>
      <c r="D930" s="808"/>
      <c r="E930" s="809"/>
      <c r="F930" s="712"/>
      <c r="G930" s="810"/>
      <c r="H930" s="810"/>
    </row>
    <row r="931">
      <c r="A931" s="712"/>
      <c r="B931" s="712"/>
      <c r="C931" s="712"/>
      <c r="D931" s="808"/>
      <c r="E931" s="809"/>
      <c r="F931" s="712"/>
      <c r="G931" s="810"/>
      <c r="H931" s="810"/>
    </row>
    <row r="932">
      <c r="A932" s="712"/>
      <c r="B932" s="712"/>
      <c r="C932" s="712"/>
      <c r="D932" s="808"/>
      <c r="E932" s="809"/>
      <c r="F932" s="712"/>
      <c r="G932" s="810"/>
      <c r="H932" s="810"/>
    </row>
    <row r="933">
      <c r="A933" s="712"/>
      <c r="B933" s="712"/>
      <c r="C933" s="712"/>
      <c r="D933" s="808"/>
      <c r="E933" s="809"/>
      <c r="F933" s="712"/>
      <c r="G933" s="810"/>
      <c r="H933" s="810"/>
    </row>
    <row r="934">
      <c r="A934" s="712"/>
      <c r="B934" s="712"/>
      <c r="C934" s="712"/>
      <c r="D934" s="808"/>
      <c r="E934" s="809"/>
      <c r="F934" s="712"/>
      <c r="G934" s="810"/>
      <c r="H934" s="810"/>
    </row>
    <row r="935">
      <c r="A935" s="712"/>
      <c r="B935" s="712"/>
      <c r="C935" s="712"/>
      <c r="D935" s="808"/>
      <c r="E935" s="809"/>
      <c r="F935" s="712"/>
      <c r="G935" s="810"/>
      <c r="H935" s="810"/>
    </row>
    <row r="936">
      <c r="A936" s="712"/>
      <c r="B936" s="712"/>
      <c r="C936" s="712"/>
      <c r="D936" s="808"/>
      <c r="E936" s="809"/>
      <c r="F936" s="712"/>
      <c r="G936" s="810"/>
      <c r="H936" s="810"/>
    </row>
    <row r="937">
      <c r="A937" s="712"/>
      <c r="B937" s="712"/>
      <c r="C937" s="712"/>
      <c r="D937" s="808"/>
      <c r="E937" s="809"/>
      <c r="F937" s="712"/>
      <c r="G937" s="810"/>
      <c r="H937" s="810"/>
    </row>
    <row r="938">
      <c r="A938" s="712"/>
      <c r="B938" s="712"/>
      <c r="C938" s="712"/>
      <c r="D938" s="808"/>
      <c r="E938" s="809"/>
      <c r="F938" s="712"/>
      <c r="G938" s="810"/>
      <c r="H938" s="810"/>
    </row>
    <row r="939">
      <c r="A939" s="712"/>
      <c r="B939" s="712"/>
      <c r="C939" s="712"/>
      <c r="D939" s="808"/>
      <c r="E939" s="809"/>
      <c r="F939" s="712"/>
      <c r="G939" s="810"/>
      <c r="H939" s="810"/>
    </row>
    <row r="940">
      <c r="A940" s="712"/>
      <c r="B940" s="712"/>
      <c r="C940" s="712"/>
      <c r="D940" s="808"/>
      <c r="E940" s="809"/>
      <c r="F940" s="712"/>
      <c r="G940" s="810"/>
      <c r="H940" s="810"/>
    </row>
    <row r="941">
      <c r="A941" s="712"/>
      <c r="B941" s="712"/>
      <c r="C941" s="712"/>
      <c r="D941" s="808"/>
      <c r="E941" s="809"/>
      <c r="F941" s="712"/>
      <c r="G941" s="810"/>
      <c r="H941" s="810"/>
    </row>
    <row r="942">
      <c r="A942" s="712"/>
      <c r="B942" s="712"/>
      <c r="C942" s="712"/>
      <c r="D942" s="808"/>
      <c r="E942" s="809"/>
      <c r="F942" s="712"/>
      <c r="G942" s="810"/>
      <c r="H942" s="810"/>
    </row>
    <row r="943">
      <c r="A943" s="712"/>
      <c r="B943" s="712"/>
      <c r="C943" s="712"/>
      <c r="D943" s="808"/>
      <c r="E943" s="809"/>
      <c r="F943" s="712"/>
      <c r="G943" s="810"/>
      <c r="H943" s="810"/>
    </row>
    <row r="944">
      <c r="A944" s="712"/>
      <c r="B944" s="712"/>
      <c r="C944" s="712"/>
      <c r="D944" s="808"/>
      <c r="E944" s="809"/>
      <c r="F944" s="712"/>
      <c r="G944" s="810"/>
      <c r="H944" s="810"/>
    </row>
    <row r="945">
      <c r="A945" s="712"/>
      <c r="B945" s="712"/>
      <c r="C945" s="712"/>
      <c r="D945" s="808"/>
      <c r="E945" s="809"/>
      <c r="F945" s="712"/>
      <c r="G945" s="810"/>
      <c r="H945" s="810"/>
    </row>
    <row r="946">
      <c r="A946" s="712"/>
      <c r="B946" s="712"/>
      <c r="C946" s="712"/>
      <c r="D946" s="808"/>
      <c r="E946" s="809"/>
      <c r="F946" s="712"/>
      <c r="G946" s="810"/>
      <c r="H946" s="810"/>
    </row>
    <row r="947">
      <c r="A947" s="712"/>
      <c r="B947" s="712"/>
      <c r="C947" s="712"/>
      <c r="D947" s="808"/>
      <c r="E947" s="809"/>
      <c r="F947" s="712"/>
      <c r="G947" s="810"/>
      <c r="H947" s="810"/>
    </row>
    <row r="948">
      <c r="A948" s="712"/>
      <c r="B948" s="712"/>
      <c r="C948" s="712"/>
      <c r="D948" s="808"/>
      <c r="E948" s="809"/>
      <c r="F948" s="712"/>
      <c r="G948" s="810"/>
      <c r="H948" s="810"/>
    </row>
    <row r="949">
      <c r="A949" s="712"/>
      <c r="B949" s="712"/>
      <c r="C949" s="712"/>
      <c r="D949" s="808"/>
      <c r="E949" s="809"/>
      <c r="F949" s="712"/>
      <c r="G949" s="810"/>
      <c r="H949" s="810"/>
    </row>
    <row r="950">
      <c r="A950" s="712"/>
      <c r="B950" s="712"/>
      <c r="C950" s="712"/>
      <c r="D950" s="808"/>
      <c r="E950" s="809"/>
      <c r="F950" s="712"/>
      <c r="G950" s="810"/>
      <c r="H950" s="810"/>
    </row>
    <row r="951">
      <c r="A951" s="712"/>
      <c r="B951" s="712"/>
      <c r="C951" s="712"/>
      <c r="D951" s="808"/>
      <c r="E951" s="809"/>
      <c r="F951" s="712"/>
      <c r="G951" s="810"/>
      <c r="H951" s="810"/>
    </row>
    <row r="952">
      <c r="A952" s="712"/>
      <c r="B952" s="712"/>
      <c r="C952" s="712"/>
      <c r="D952" s="808"/>
      <c r="E952" s="809"/>
      <c r="F952" s="712"/>
      <c r="G952" s="810"/>
      <c r="H952" s="810"/>
    </row>
    <row r="953">
      <c r="A953" s="712"/>
      <c r="B953" s="712"/>
      <c r="C953" s="712"/>
      <c r="D953" s="808"/>
      <c r="E953" s="809"/>
      <c r="F953" s="712"/>
      <c r="G953" s="810"/>
      <c r="H953" s="810"/>
    </row>
    <row r="954">
      <c r="A954" s="712"/>
      <c r="B954" s="712"/>
      <c r="C954" s="712"/>
      <c r="D954" s="808"/>
      <c r="E954" s="809"/>
      <c r="F954" s="712"/>
      <c r="G954" s="810"/>
      <c r="H954" s="810"/>
    </row>
    <row r="955">
      <c r="A955" s="712"/>
      <c r="B955" s="712"/>
      <c r="C955" s="712"/>
      <c r="D955" s="808"/>
      <c r="E955" s="809"/>
      <c r="F955" s="712"/>
      <c r="G955" s="810"/>
      <c r="H955" s="810"/>
    </row>
    <row r="956">
      <c r="A956" s="712"/>
      <c r="B956" s="712"/>
      <c r="C956" s="712"/>
      <c r="D956" s="808"/>
      <c r="E956" s="809"/>
      <c r="F956" s="712"/>
      <c r="G956" s="810"/>
      <c r="H956" s="810"/>
    </row>
    <row r="957">
      <c r="A957" s="712"/>
      <c r="B957" s="712"/>
      <c r="C957" s="712"/>
      <c r="D957" s="808"/>
      <c r="E957" s="809"/>
      <c r="F957" s="712"/>
      <c r="G957" s="810"/>
      <c r="H957" s="810"/>
    </row>
    <row r="958">
      <c r="A958" s="712"/>
      <c r="B958" s="712"/>
      <c r="C958" s="712"/>
      <c r="D958" s="808"/>
      <c r="E958" s="809"/>
      <c r="F958" s="712"/>
      <c r="G958" s="810"/>
      <c r="H958" s="810"/>
    </row>
    <row r="959">
      <c r="A959" s="712"/>
      <c r="B959" s="712"/>
      <c r="C959" s="712"/>
      <c r="D959" s="808"/>
      <c r="E959" s="809"/>
      <c r="F959" s="712"/>
      <c r="G959" s="810"/>
      <c r="H959" s="810"/>
    </row>
    <row r="960">
      <c r="A960" s="712"/>
      <c r="B960" s="712"/>
      <c r="C960" s="712"/>
      <c r="D960" s="808"/>
      <c r="E960" s="809"/>
      <c r="F960" s="712"/>
      <c r="G960" s="810"/>
      <c r="H960" s="810"/>
    </row>
    <row r="961">
      <c r="A961" s="712"/>
      <c r="B961" s="712"/>
      <c r="C961" s="712"/>
      <c r="D961" s="808"/>
      <c r="E961" s="809"/>
      <c r="F961" s="712"/>
      <c r="G961" s="810"/>
      <c r="H961" s="810"/>
    </row>
    <row r="962">
      <c r="A962" s="712"/>
      <c r="B962" s="712"/>
      <c r="C962" s="712"/>
      <c r="D962" s="808"/>
      <c r="E962" s="809"/>
      <c r="F962" s="712"/>
      <c r="G962" s="810"/>
      <c r="H962" s="810"/>
    </row>
    <row r="963">
      <c r="A963" s="712"/>
      <c r="B963" s="712"/>
      <c r="C963" s="712"/>
      <c r="D963" s="808"/>
      <c r="E963" s="809"/>
      <c r="F963" s="712"/>
      <c r="G963" s="810"/>
      <c r="H963" s="810"/>
    </row>
    <row r="964">
      <c r="A964" s="712"/>
      <c r="B964" s="712"/>
      <c r="C964" s="712"/>
      <c r="D964" s="808"/>
      <c r="E964" s="809"/>
      <c r="F964" s="712"/>
      <c r="G964" s="810"/>
      <c r="H964" s="810"/>
    </row>
    <row r="965">
      <c r="A965" s="712"/>
      <c r="B965" s="712"/>
      <c r="C965" s="712"/>
      <c r="D965" s="808"/>
      <c r="E965" s="809"/>
      <c r="F965" s="712"/>
      <c r="G965" s="810"/>
      <c r="H965" s="810"/>
    </row>
    <row r="966">
      <c r="A966" s="712"/>
      <c r="B966" s="712"/>
      <c r="C966" s="712"/>
      <c r="D966" s="808"/>
      <c r="E966" s="809"/>
      <c r="F966" s="712"/>
      <c r="G966" s="810"/>
      <c r="H966" s="810"/>
    </row>
    <row r="967">
      <c r="A967" s="712"/>
      <c r="B967" s="712"/>
      <c r="C967" s="712"/>
      <c r="D967" s="808"/>
      <c r="E967" s="809"/>
      <c r="F967" s="712"/>
      <c r="G967" s="810"/>
      <c r="H967" s="810"/>
    </row>
    <row r="968">
      <c r="A968" s="712"/>
      <c r="B968" s="712"/>
      <c r="C968" s="712"/>
      <c r="D968" s="808"/>
      <c r="E968" s="809"/>
      <c r="F968" s="712"/>
      <c r="G968" s="810"/>
      <c r="H968" s="810"/>
    </row>
    <row r="969">
      <c r="A969" s="712"/>
      <c r="B969" s="712"/>
      <c r="C969" s="712"/>
      <c r="D969" s="808"/>
      <c r="E969" s="809"/>
      <c r="F969" s="712"/>
      <c r="G969" s="810"/>
      <c r="H969" s="810"/>
    </row>
    <row r="970">
      <c r="A970" s="712"/>
      <c r="B970" s="712"/>
      <c r="C970" s="712"/>
      <c r="D970" s="808"/>
      <c r="E970" s="809"/>
      <c r="F970" s="712"/>
      <c r="G970" s="810"/>
      <c r="H970" s="810"/>
    </row>
    <row r="971">
      <c r="A971" s="712"/>
      <c r="B971" s="712"/>
      <c r="C971" s="712"/>
      <c r="D971" s="808"/>
      <c r="E971" s="809"/>
      <c r="F971" s="712"/>
      <c r="G971" s="810"/>
      <c r="H971" s="810"/>
    </row>
    <row r="972">
      <c r="A972" s="712"/>
      <c r="B972" s="712"/>
      <c r="C972" s="712"/>
      <c r="D972" s="808"/>
      <c r="E972" s="809"/>
      <c r="F972" s="712"/>
      <c r="G972" s="810"/>
      <c r="H972" s="810"/>
    </row>
    <row r="973">
      <c r="A973" s="712"/>
      <c r="B973" s="712"/>
      <c r="C973" s="712"/>
      <c r="D973" s="808"/>
      <c r="E973" s="809"/>
      <c r="F973" s="712"/>
      <c r="G973" s="810"/>
      <c r="H973" s="810"/>
    </row>
    <row r="974">
      <c r="A974" s="712"/>
      <c r="B974" s="712"/>
      <c r="C974" s="712"/>
      <c r="D974" s="808"/>
      <c r="E974" s="809"/>
      <c r="F974" s="712"/>
      <c r="G974" s="810"/>
      <c r="H974" s="810"/>
    </row>
    <row r="975">
      <c r="A975" s="712"/>
      <c r="B975" s="712"/>
      <c r="C975" s="712"/>
      <c r="D975" s="808"/>
      <c r="E975" s="809"/>
      <c r="F975" s="712"/>
      <c r="G975" s="810"/>
      <c r="H975" s="810"/>
    </row>
    <row r="976">
      <c r="A976" s="712"/>
      <c r="B976" s="712"/>
      <c r="C976" s="712"/>
      <c r="D976" s="808"/>
      <c r="E976" s="809"/>
      <c r="F976" s="712"/>
      <c r="G976" s="810"/>
      <c r="H976" s="810"/>
    </row>
    <row r="977">
      <c r="A977" s="712"/>
      <c r="B977" s="712"/>
      <c r="C977" s="712"/>
      <c r="D977" s="808"/>
      <c r="E977" s="809"/>
      <c r="F977" s="712"/>
      <c r="G977" s="810"/>
      <c r="H977" s="810"/>
    </row>
    <row r="978">
      <c r="A978" s="712"/>
      <c r="B978" s="712"/>
      <c r="C978" s="712"/>
      <c r="D978" s="808"/>
      <c r="E978" s="809"/>
      <c r="F978" s="712"/>
      <c r="G978" s="810"/>
      <c r="H978" s="810"/>
    </row>
    <row r="979">
      <c r="A979" s="712"/>
      <c r="B979" s="712"/>
      <c r="C979" s="712"/>
      <c r="D979" s="808"/>
      <c r="E979" s="809"/>
      <c r="F979" s="712"/>
      <c r="G979" s="810"/>
      <c r="H979" s="810"/>
    </row>
    <row r="980">
      <c r="A980" s="712"/>
      <c r="B980" s="712"/>
      <c r="C980" s="712"/>
      <c r="D980" s="808"/>
      <c r="E980" s="809"/>
      <c r="F980" s="712"/>
      <c r="G980" s="810"/>
      <c r="H980" s="810"/>
    </row>
    <row r="981">
      <c r="A981" s="712"/>
      <c r="B981" s="712"/>
      <c r="C981" s="712"/>
      <c r="D981" s="808"/>
      <c r="E981" s="809"/>
      <c r="F981" s="712"/>
      <c r="G981" s="810"/>
      <c r="H981" s="810"/>
    </row>
    <row r="982">
      <c r="A982" s="712"/>
      <c r="B982" s="712"/>
      <c r="C982" s="712"/>
      <c r="D982" s="808"/>
      <c r="E982" s="809"/>
      <c r="F982" s="712"/>
      <c r="G982" s="810"/>
      <c r="H982" s="810"/>
    </row>
    <row r="983">
      <c r="A983" s="712"/>
      <c r="B983" s="712"/>
      <c r="C983" s="712"/>
      <c r="D983" s="808"/>
      <c r="E983" s="809"/>
      <c r="F983" s="712"/>
      <c r="G983" s="810"/>
      <c r="H983" s="810"/>
    </row>
    <row r="984">
      <c r="A984" s="712"/>
      <c r="B984" s="712"/>
      <c r="C984" s="712"/>
      <c r="D984" s="808"/>
      <c r="E984" s="809"/>
      <c r="F984" s="712"/>
      <c r="G984" s="810"/>
      <c r="H984" s="810"/>
    </row>
    <row r="985">
      <c r="A985" s="712"/>
      <c r="B985" s="712"/>
      <c r="C985" s="712"/>
      <c r="D985" s="808"/>
      <c r="E985" s="809"/>
      <c r="F985" s="712"/>
      <c r="G985" s="810"/>
      <c r="H985" s="810"/>
    </row>
    <row r="986">
      <c r="A986" s="712"/>
      <c r="B986" s="712"/>
      <c r="C986" s="712"/>
      <c r="D986" s="808"/>
      <c r="E986" s="809"/>
      <c r="F986" s="712"/>
      <c r="G986" s="810"/>
      <c r="H986" s="810"/>
    </row>
    <row r="987">
      <c r="A987" s="712"/>
      <c r="B987" s="712"/>
      <c r="C987" s="712"/>
      <c r="D987" s="808"/>
      <c r="E987" s="809"/>
      <c r="F987" s="712"/>
      <c r="G987" s="810"/>
      <c r="H987" s="810"/>
    </row>
    <row r="988">
      <c r="A988" s="712"/>
      <c r="B988" s="712"/>
      <c r="C988" s="712"/>
      <c r="D988" s="808"/>
      <c r="E988" s="809"/>
      <c r="F988" s="712"/>
      <c r="G988" s="810"/>
      <c r="H988" s="810"/>
    </row>
    <row r="989">
      <c r="A989" s="712"/>
      <c r="B989" s="712"/>
      <c r="C989" s="712"/>
      <c r="D989" s="808"/>
      <c r="E989" s="809"/>
      <c r="F989" s="712"/>
      <c r="G989" s="810"/>
      <c r="H989" s="810"/>
    </row>
    <row r="990">
      <c r="A990" s="712"/>
      <c r="B990" s="712"/>
      <c r="C990" s="712"/>
      <c r="D990" s="808"/>
      <c r="E990" s="809"/>
      <c r="F990" s="712"/>
      <c r="G990" s="810"/>
      <c r="H990" s="810"/>
    </row>
    <row r="991">
      <c r="A991" s="712"/>
      <c r="B991" s="712"/>
      <c r="C991" s="712"/>
      <c r="D991" s="808"/>
      <c r="E991" s="809"/>
      <c r="F991" s="712"/>
      <c r="G991" s="810"/>
      <c r="H991" s="810"/>
    </row>
    <row r="992">
      <c r="A992" s="712"/>
      <c r="B992" s="712"/>
      <c r="C992" s="712"/>
      <c r="D992" s="808"/>
      <c r="E992" s="809"/>
      <c r="F992" s="712"/>
      <c r="G992" s="810"/>
      <c r="H992" s="810"/>
    </row>
    <row r="993">
      <c r="A993" s="712"/>
      <c r="B993" s="712"/>
      <c r="C993" s="712"/>
      <c r="D993" s="808"/>
      <c r="E993" s="809"/>
      <c r="F993" s="712"/>
      <c r="G993" s="810"/>
      <c r="H993" s="810"/>
    </row>
    <row r="994">
      <c r="A994" s="712"/>
      <c r="B994" s="712"/>
      <c r="C994" s="712"/>
      <c r="D994" s="808"/>
      <c r="E994" s="809"/>
      <c r="F994" s="712"/>
      <c r="G994" s="810"/>
      <c r="H994" s="810"/>
    </row>
    <row r="995">
      <c r="A995" s="712"/>
      <c r="B995" s="712"/>
      <c r="C995" s="712"/>
      <c r="D995" s="808"/>
      <c r="E995" s="809"/>
      <c r="F995" s="712"/>
      <c r="G995" s="810"/>
      <c r="H995" s="810"/>
    </row>
    <row r="996">
      <c r="A996" s="712"/>
      <c r="B996" s="712"/>
      <c r="C996" s="712"/>
      <c r="D996" s="808"/>
      <c r="E996" s="809"/>
      <c r="F996" s="712"/>
      <c r="G996" s="810"/>
      <c r="H996" s="810"/>
    </row>
    <row r="997">
      <c r="A997" s="712"/>
      <c r="B997" s="712"/>
      <c r="C997" s="712"/>
      <c r="D997" s="808"/>
      <c r="E997" s="809"/>
      <c r="F997" s="712"/>
      <c r="G997" s="810"/>
      <c r="H997" s="810"/>
    </row>
    <row r="998">
      <c r="A998" s="712"/>
      <c r="B998" s="712"/>
      <c r="C998" s="712"/>
      <c r="D998" s="808"/>
      <c r="E998" s="809"/>
      <c r="F998" s="712"/>
      <c r="G998" s="810"/>
      <c r="H998" s="810"/>
    </row>
    <row r="999">
      <c r="A999" s="712"/>
      <c r="B999" s="712"/>
      <c r="C999" s="712"/>
      <c r="D999" s="808"/>
      <c r="E999" s="809"/>
      <c r="F999" s="712"/>
      <c r="G999" s="810"/>
      <c r="H999" s="810"/>
    </row>
    <row r="1000">
      <c r="A1000" s="712"/>
      <c r="B1000" s="712"/>
      <c r="C1000" s="712"/>
      <c r="D1000" s="808"/>
      <c r="E1000" s="809"/>
      <c r="F1000" s="712"/>
      <c r="G1000" s="810"/>
      <c r="H1000" s="810"/>
    </row>
    <row r="1001">
      <c r="A1001" s="712"/>
      <c r="B1001" s="712"/>
      <c r="C1001" s="712"/>
      <c r="D1001" s="808"/>
      <c r="E1001" s="809"/>
      <c r="F1001" s="712"/>
      <c r="G1001" s="810"/>
      <c r="H1001" s="810"/>
    </row>
    <row r="1002">
      <c r="A1002" s="712"/>
      <c r="B1002" s="712"/>
      <c r="C1002" s="712"/>
      <c r="D1002" s="808"/>
      <c r="E1002" s="809"/>
      <c r="F1002" s="712"/>
      <c r="G1002" s="810"/>
      <c r="H1002" s="810"/>
    </row>
    <row r="1003">
      <c r="A1003" s="712"/>
      <c r="B1003" s="712"/>
      <c r="C1003" s="712"/>
      <c r="D1003" s="808"/>
      <c r="E1003" s="809"/>
      <c r="F1003" s="712"/>
      <c r="G1003" s="810"/>
      <c r="H1003" s="810"/>
    </row>
    <row r="1004">
      <c r="A1004" s="712"/>
      <c r="B1004" s="712"/>
      <c r="C1004" s="712"/>
      <c r="D1004" s="808"/>
      <c r="E1004" s="809"/>
      <c r="F1004" s="712"/>
      <c r="G1004" s="810"/>
      <c r="H1004" s="810"/>
    </row>
    <row r="1005">
      <c r="A1005" s="712"/>
      <c r="B1005" s="712"/>
      <c r="C1005" s="712"/>
      <c r="D1005" s="808"/>
      <c r="E1005" s="809"/>
      <c r="F1005" s="712"/>
      <c r="G1005" s="810"/>
      <c r="H1005" s="810"/>
    </row>
    <row r="1006">
      <c r="A1006" s="712"/>
      <c r="B1006" s="712"/>
      <c r="C1006" s="712"/>
      <c r="D1006" s="808"/>
      <c r="E1006" s="809"/>
      <c r="F1006" s="712"/>
      <c r="G1006" s="810"/>
      <c r="H1006" s="810"/>
    </row>
    <row r="1007">
      <c r="A1007" s="712"/>
      <c r="B1007" s="712"/>
      <c r="C1007" s="712"/>
      <c r="D1007" s="808"/>
      <c r="E1007" s="809"/>
      <c r="F1007" s="712"/>
      <c r="G1007" s="810"/>
      <c r="H1007" s="810"/>
    </row>
    <row r="1008">
      <c r="A1008" s="712"/>
      <c r="B1008" s="712"/>
      <c r="C1008" s="712"/>
      <c r="D1008" s="808"/>
      <c r="E1008" s="809"/>
      <c r="F1008" s="712"/>
      <c r="G1008" s="810"/>
      <c r="H1008" s="810"/>
    </row>
    <row r="1009">
      <c r="A1009" s="712"/>
      <c r="B1009" s="712"/>
      <c r="C1009" s="712"/>
      <c r="D1009" s="808"/>
      <c r="E1009" s="809"/>
      <c r="F1009" s="712"/>
      <c r="G1009" s="810"/>
      <c r="H1009" s="810"/>
    </row>
    <row r="1010">
      <c r="A1010" s="712"/>
      <c r="B1010" s="712"/>
      <c r="C1010" s="712"/>
      <c r="D1010" s="808"/>
      <c r="E1010" s="809"/>
      <c r="F1010" s="712"/>
      <c r="G1010" s="810"/>
      <c r="H1010" s="810"/>
    </row>
    <row r="1011">
      <c r="A1011" s="712"/>
      <c r="B1011" s="712"/>
      <c r="C1011" s="712"/>
      <c r="D1011" s="808"/>
      <c r="E1011" s="809"/>
      <c r="F1011" s="712"/>
      <c r="G1011" s="810"/>
      <c r="H1011" s="810"/>
    </row>
    <row r="1012">
      <c r="A1012" s="712"/>
      <c r="B1012" s="712"/>
      <c r="C1012" s="712"/>
      <c r="D1012" s="808"/>
      <c r="E1012" s="809"/>
      <c r="F1012" s="712"/>
      <c r="G1012" s="810"/>
      <c r="H1012" s="810"/>
    </row>
    <row r="1013">
      <c r="A1013" s="712"/>
      <c r="B1013" s="712"/>
      <c r="C1013" s="712"/>
      <c r="D1013" s="808"/>
      <c r="E1013" s="809"/>
      <c r="F1013" s="712"/>
      <c r="G1013" s="810"/>
      <c r="H1013" s="810"/>
    </row>
    <row r="1014">
      <c r="A1014" s="712"/>
      <c r="B1014" s="712"/>
      <c r="C1014" s="712"/>
      <c r="D1014" s="808"/>
      <c r="E1014" s="809"/>
      <c r="F1014" s="712"/>
      <c r="G1014" s="810"/>
      <c r="H1014" s="810"/>
    </row>
    <row r="1015">
      <c r="A1015" s="712"/>
      <c r="B1015" s="712"/>
      <c r="C1015" s="712"/>
      <c r="D1015" s="808"/>
      <c r="E1015" s="809"/>
      <c r="F1015" s="712"/>
      <c r="G1015" s="810"/>
      <c r="H1015" s="810"/>
    </row>
    <row r="1016">
      <c r="A1016" s="712"/>
      <c r="B1016" s="712"/>
      <c r="C1016" s="712"/>
      <c r="D1016" s="808"/>
      <c r="E1016" s="809"/>
      <c r="F1016" s="712"/>
      <c r="G1016" s="810"/>
      <c r="H1016" s="810"/>
    </row>
    <row r="1017">
      <c r="A1017" s="712"/>
      <c r="B1017" s="712"/>
      <c r="C1017" s="712"/>
      <c r="D1017" s="808"/>
      <c r="E1017" s="809"/>
      <c r="F1017" s="712"/>
      <c r="G1017" s="810"/>
      <c r="H1017" s="810"/>
    </row>
    <row r="1018">
      <c r="A1018" s="712"/>
      <c r="B1018" s="712"/>
      <c r="C1018" s="712"/>
      <c r="D1018" s="808"/>
      <c r="E1018" s="809"/>
      <c r="F1018" s="712"/>
      <c r="G1018" s="810"/>
      <c r="H1018" s="810"/>
    </row>
    <row r="1019">
      <c r="A1019" s="712"/>
      <c r="B1019" s="712"/>
      <c r="C1019" s="712"/>
      <c r="D1019" s="808"/>
      <c r="E1019" s="809"/>
      <c r="F1019" s="712"/>
      <c r="G1019" s="810"/>
      <c r="H1019" s="810"/>
    </row>
    <row r="1020">
      <c r="A1020" s="712"/>
      <c r="B1020" s="712"/>
      <c r="C1020" s="712"/>
      <c r="D1020" s="808"/>
      <c r="E1020" s="809"/>
      <c r="F1020" s="712"/>
      <c r="G1020" s="810"/>
      <c r="H1020" s="810"/>
    </row>
    <row r="1021">
      <c r="A1021" s="712"/>
      <c r="B1021" s="712"/>
      <c r="C1021" s="712"/>
      <c r="D1021" s="808"/>
      <c r="E1021" s="809"/>
      <c r="F1021" s="712"/>
      <c r="G1021" s="810"/>
      <c r="H1021" s="810"/>
    </row>
    <row r="1022">
      <c r="A1022" s="712"/>
      <c r="B1022" s="712"/>
      <c r="C1022" s="712"/>
      <c r="D1022" s="808"/>
      <c r="E1022" s="809"/>
      <c r="F1022" s="712"/>
      <c r="G1022" s="810"/>
      <c r="H1022" s="810"/>
    </row>
    <row r="1023">
      <c r="A1023" s="712"/>
      <c r="B1023" s="712"/>
      <c r="C1023" s="712"/>
      <c r="D1023" s="808"/>
      <c r="E1023" s="809"/>
      <c r="F1023" s="712"/>
      <c r="G1023" s="810"/>
      <c r="H1023" s="810"/>
    </row>
    <row r="1024">
      <c r="A1024" s="712"/>
      <c r="B1024" s="712"/>
      <c r="C1024" s="712"/>
      <c r="D1024" s="808"/>
      <c r="E1024" s="809"/>
      <c r="F1024" s="712"/>
      <c r="G1024" s="810"/>
      <c r="H1024" s="810"/>
    </row>
    <row r="1025">
      <c r="A1025" s="712"/>
      <c r="B1025" s="712"/>
      <c r="C1025" s="712"/>
      <c r="D1025" s="808"/>
      <c r="E1025" s="809"/>
      <c r="F1025" s="712"/>
      <c r="G1025" s="810"/>
      <c r="H1025" s="810"/>
    </row>
    <row r="1026">
      <c r="A1026" s="712"/>
      <c r="B1026" s="712"/>
      <c r="C1026" s="712"/>
      <c r="D1026" s="808"/>
      <c r="E1026" s="809"/>
      <c r="F1026" s="712"/>
      <c r="G1026" s="810"/>
      <c r="H1026" s="810"/>
    </row>
    <row r="1027">
      <c r="A1027" s="712"/>
      <c r="B1027" s="712"/>
      <c r="C1027" s="712"/>
      <c r="D1027" s="808"/>
      <c r="E1027" s="809"/>
      <c r="F1027" s="712"/>
      <c r="G1027" s="810"/>
      <c r="H1027" s="810"/>
    </row>
    <row r="1028">
      <c r="A1028" s="712"/>
      <c r="B1028" s="712"/>
      <c r="C1028" s="712"/>
      <c r="D1028" s="808"/>
      <c r="E1028" s="809"/>
      <c r="F1028" s="712"/>
      <c r="G1028" s="810"/>
      <c r="H1028" s="810"/>
    </row>
    <row r="1029">
      <c r="A1029" s="712"/>
      <c r="B1029" s="712"/>
      <c r="C1029" s="712"/>
      <c r="D1029" s="808"/>
      <c r="E1029" s="809"/>
      <c r="F1029" s="712"/>
      <c r="G1029" s="810"/>
      <c r="H1029" s="810"/>
    </row>
    <row r="1030">
      <c r="A1030" s="712"/>
      <c r="B1030" s="712"/>
      <c r="C1030" s="712"/>
      <c r="D1030" s="808"/>
      <c r="E1030" s="809"/>
      <c r="F1030" s="712"/>
      <c r="G1030" s="810"/>
      <c r="H1030" s="810"/>
    </row>
    <row r="1031">
      <c r="A1031" s="712"/>
      <c r="B1031" s="712"/>
      <c r="C1031" s="712"/>
      <c r="D1031" s="808"/>
      <c r="E1031" s="809"/>
      <c r="F1031" s="712"/>
      <c r="G1031" s="810"/>
      <c r="H1031" s="810"/>
    </row>
    <row r="1032">
      <c r="A1032" s="712"/>
      <c r="B1032" s="712"/>
      <c r="C1032" s="712"/>
      <c r="D1032" s="808"/>
      <c r="E1032" s="809"/>
      <c r="F1032" s="712"/>
      <c r="G1032" s="810"/>
      <c r="H1032" s="810"/>
    </row>
    <row r="1033">
      <c r="A1033" s="712"/>
      <c r="B1033" s="712"/>
      <c r="C1033" s="712"/>
      <c r="D1033" s="808"/>
      <c r="E1033" s="809"/>
      <c r="F1033" s="712"/>
      <c r="G1033" s="810"/>
      <c r="H1033" s="810"/>
    </row>
    <row r="1034">
      <c r="A1034" s="712"/>
      <c r="B1034" s="712"/>
      <c r="C1034" s="712"/>
      <c r="D1034" s="808"/>
      <c r="E1034" s="809"/>
      <c r="F1034" s="712"/>
      <c r="G1034" s="810"/>
      <c r="H1034" s="810"/>
    </row>
    <row r="1035">
      <c r="A1035" s="712"/>
      <c r="B1035" s="712"/>
      <c r="C1035" s="712"/>
      <c r="D1035" s="808"/>
      <c r="E1035" s="809"/>
      <c r="F1035" s="712"/>
      <c r="G1035" s="810"/>
      <c r="H1035" s="810"/>
    </row>
    <row r="1036">
      <c r="A1036" s="712"/>
      <c r="B1036" s="712"/>
      <c r="C1036" s="712"/>
      <c r="D1036" s="808"/>
      <c r="E1036" s="809"/>
      <c r="F1036" s="712"/>
      <c r="G1036" s="810"/>
      <c r="H1036" s="810"/>
    </row>
    <row r="1037">
      <c r="A1037" s="712"/>
      <c r="B1037" s="712"/>
      <c r="C1037" s="712"/>
      <c r="D1037" s="808"/>
      <c r="E1037" s="809"/>
      <c r="F1037" s="712"/>
      <c r="G1037" s="810"/>
      <c r="H1037" s="810"/>
    </row>
    <row r="1038">
      <c r="A1038" s="712"/>
      <c r="B1038" s="712"/>
      <c r="C1038" s="712"/>
      <c r="D1038" s="808"/>
      <c r="E1038" s="809"/>
      <c r="F1038" s="712"/>
      <c r="G1038" s="810"/>
      <c r="H1038" s="810"/>
    </row>
    <row r="1039">
      <c r="A1039" s="712"/>
      <c r="B1039" s="712"/>
      <c r="C1039" s="712"/>
      <c r="D1039" s="808"/>
      <c r="E1039" s="809"/>
      <c r="F1039" s="712"/>
      <c r="G1039" s="810"/>
      <c r="H1039" s="810"/>
    </row>
    <row r="1040">
      <c r="A1040" s="712"/>
      <c r="B1040" s="712"/>
      <c r="C1040" s="712"/>
      <c r="D1040" s="808"/>
      <c r="E1040" s="809"/>
      <c r="F1040" s="712"/>
      <c r="G1040" s="810"/>
      <c r="H1040" s="810"/>
    </row>
    <row r="1041">
      <c r="A1041" s="712"/>
      <c r="B1041" s="712"/>
      <c r="C1041" s="712"/>
      <c r="D1041" s="808"/>
      <c r="E1041" s="809"/>
      <c r="F1041" s="712"/>
      <c r="G1041" s="810"/>
      <c r="H1041" s="810"/>
    </row>
    <row r="1042">
      <c r="A1042" s="712"/>
      <c r="B1042" s="712"/>
      <c r="C1042" s="712"/>
      <c r="D1042" s="808"/>
      <c r="E1042" s="809"/>
      <c r="F1042" s="712"/>
      <c r="G1042" s="810"/>
      <c r="H1042" s="810"/>
    </row>
    <row r="1043">
      <c r="A1043" s="712"/>
      <c r="B1043" s="712"/>
      <c r="C1043" s="712"/>
      <c r="D1043" s="808"/>
      <c r="E1043" s="809"/>
      <c r="F1043" s="712"/>
      <c r="G1043" s="810"/>
      <c r="H1043" s="810"/>
    </row>
    <row r="1044">
      <c r="A1044" s="712"/>
      <c r="B1044" s="712"/>
      <c r="C1044" s="712"/>
      <c r="D1044" s="808"/>
      <c r="E1044" s="809"/>
      <c r="F1044" s="712"/>
      <c r="G1044" s="810"/>
      <c r="H1044" s="810"/>
    </row>
    <row r="1045">
      <c r="A1045" s="712"/>
      <c r="B1045" s="712"/>
      <c r="C1045" s="712"/>
      <c r="D1045" s="808"/>
      <c r="E1045" s="809"/>
      <c r="F1045" s="712"/>
      <c r="G1045" s="810"/>
      <c r="H1045" s="810"/>
    </row>
    <row r="1046">
      <c r="A1046" s="712"/>
      <c r="B1046" s="712"/>
      <c r="C1046" s="712"/>
      <c r="D1046" s="808"/>
      <c r="E1046" s="809"/>
      <c r="F1046" s="712"/>
      <c r="G1046" s="810"/>
      <c r="H1046" s="810"/>
    </row>
    <row r="1047">
      <c r="A1047" s="712"/>
      <c r="B1047" s="712"/>
      <c r="C1047" s="712"/>
      <c r="D1047" s="808"/>
      <c r="E1047" s="809"/>
      <c r="F1047" s="712"/>
      <c r="G1047" s="810"/>
      <c r="H1047" s="810"/>
    </row>
    <row r="1048">
      <c r="A1048" s="712"/>
      <c r="B1048" s="712"/>
      <c r="C1048" s="712"/>
      <c r="D1048" s="808"/>
      <c r="E1048" s="809"/>
      <c r="F1048" s="712"/>
      <c r="G1048" s="810"/>
      <c r="H1048" s="810"/>
    </row>
    <row r="1049">
      <c r="A1049" s="712"/>
      <c r="B1049" s="712"/>
      <c r="C1049" s="712"/>
      <c r="D1049" s="808"/>
      <c r="E1049" s="809"/>
      <c r="F1049" s="712"/>
      <c r="G1049" s="810"/>
      <c r="H1049" s="810"/>
    </row>
    <row r="1050">
      <c r="A1050" s="712"/>
      <c r="B1050" s="712"/>
      <c r="C1050" s="712"/>
      <c r="D1050" s="808"/>
      <c r="E1050" s="809"/>
      <c r="F1050" s="712"/>
      <c r="G1050" s="810"/>
      <c r="H1050" s="810"/>
    </row>
    <row r="1051">
      <c r="A1051" s="712"/>
      <c r="B1051" s="712"/>
      <c r="C1051" s="712"/>
      <c r="D1051" s="808"/>
      <c r="E1051" s="809"/>
      <c r="F1051" s="712"/>
      <c r="G1051" s="810"/>
      <c r="H1051" s="810"/>
    </row>
    <row r="1052">
      <c r="A1052" s="712"/>
      <c r="B1052" s="712"/>
      <c r="C1052" s="712"/>
      <c r="D1052" s="808"/>
      <c r="E1052" s="809"/>
      <c r="F1052" s="712"/>
      <c r="G1052" s="810"/>
      <c r="H1052" s="810"/>
    </row>
    <row r="1053">
      <c r="A1053" s="712"/>
      <c r="B1053" s="712"/>
      <c r="C1053" s="712"/>
      <c r="D1053" s="808"/>
      <c r="E1053" s="809"/>
      <c r="F1053" s="712"/>
      <c r="G1053" s="810"/>
      <c r="H1053" s="810"/>
    </row>
    <row r="1054">
      <c r="A1054" s="712"/>
      <c r="B1054" s="712"/>
      <c r="C1054" s="712"/>
      <c r="D1054" s="808"/>
      <c r="E1054" s="809"/>
      <c r="F1054" s="712"/>
      <c r="G1054" s="810"/>
      <c r="H1054" s="810"/>
    </row>
    <row r="1055">
      <c r="A1055" s="712"/>
      <c r="B1055" s="712"/>
      <c r="C1055" s="712"/>
      <c r="D1055" s="808"/>
      <c r="E1055" s="809"/>
      <c r="F1055" s="712"/>
      <c r="G1055" s="810"/>
      <c r="H1055" s="810"/>
    </row>
    <row r="1056">
      <c r="A1056" s="712"/>
      <c r="B1056" s="712"/>
      <c r="C1056" s="712"/>
      <c r="D1056" s="808"/>
      <c r="E1056" s="809"/>
      <c r="F1056" s="712"/>
      <c r="G1056" s="810"/>
      <c r="H1056" s="810"/>
    </row>
    <row r="1057">
      <c r="A1057" s="712"/>
      <c r="B1057" s="712"/>
      <c r="C1057" s="712"/>
      <c r="D1057" s="808"/>
      <c r="E1057" s="809"/>
      <c r="F1057" s="712"/>
      <c r="G1057" s="810"/>
      <c r="H1057" s="810"/>
    </row>
    <row r="1058">
      <c r="A1058" s="712"/>
      <c r="B1058" s="712"/>
      <c r="C1058" s="712"/>
      <c r="D1058" s="808"/>
      <c r="E1058" s="809"/>
      <c r="F1058" s="712"/>
      <c r="G1058" s="810"/>
      <c r="H1058" s="810"/>
    </row>
    <row r="1059">
      <c r="A1059" s="712"/>
      <c r="B1059" s="712"/>
      <c r="C1059" s="712"/>
      <c r="D1059" s="808"/>
      <c r="E1059" s="809"/>
      <c r="F1059" s="712"/>
      <c r="G1059" s="810"/>
      <c r="H1059" s="810"/>
    </row>
    <row r="1060">
      <c r="A1060" s="712"/>
      <c r="B1060" s="712"/>
      <c r="C1060" s="712"/>
      <c r="D1060" s="808"/>
      <c r="E1060" s="809"/>
      <c r="F1060" s="712"/>
      <c r="G1060" s="810"/>
      <c r="H1060" s="810"/>
    </row>
    <row r="1061">
      <c r="A1061" s="712"/>
      <c r="B1061" s="712"/>
      <c r="C1061" s="712"/>
      <c r="D1061" s="808"/>
      <c r="E1061" s="809"/>
      <c r="F1061" s="712"/>
      <c r="G1061" s="810"/>
      <c r="H1061" s="810"/>
    </row>
    <row r="1062">
      <c r="A1062" s="712"/>
      <c r="B1062" s="712"/>
      <c r="C1062" s="712"/>
      <c r="D1062" s="808"/>
      <c r="E1062" s="809"/>
      <c r="F1062" s="712"/>
      <c r="G1062" s="810"/>
      <c r="H1062" s="810"/>
    </row>
    <row r="1063">
      <c r="A1063" s="712"/>
      <c r="B1063" s="712"/>
      <c r="C1063" s="712"/>
      <c r="D1063" s="808"/>
      <c r="E1063" s="809"/>
      <c r="F1063" s="712"/>
      <c r="G1063" s="810"/>
      <c r="H1063" s="810"/>
    </row>
    <row r="1064">
      <c r="A1064" s="712"/>
      <c r="B1064" s="712"/>
      <c r="C1064" s="712"/>
      <c r="D1064" s="808"/>
      <c r="E1064" s="809"/>
      <c r="F1064" s="712"/>
      <c r="G1064" s="810"/>
      <c r="H1064" s="810"/>
    </row>
    <row r="1065">
      <c r="A1065" s="712"/>
      <c r="B1065" s="712"/>
      <c r="C1065" s="712"/>
      <c r="D1065" s="808"/>
      <c r="E1065" s="809"/>
      <c r="F1065" s="712"/>
      <c r="G1065" s="810"/>
      <c r="H1065" s="810"/>
    </row>
    <row r="1066">
      <c r="A1066" s="712"/>
      <c r="B1066" s="712"/>
      <c r="C1066" s="712"/>
      <c r="D1066" s="808"/>
      <c r="E1066" s="809"/>
      <c r="F1066" s="712"/>
      <c r="G1066" s="810"/>
      <c r="H1066" s="810"/>
    </row>
    <row r="1067">
      <c r="A1067" s="712"/>
      <c r="B1067" s="712"/>
      <c r="C1067" s="712"/>
      <c r="D1067" s="808"/>
      <c r="E1067" s="809"/>
      <c r="F1067" s="712"/>
      <c r="G1067" s="810"/>
      <c r="H1067" s="810"/>
    </row>
    <row r="1068">
      <c r="A1068" s="712"/>
      <c r="B1068" s="712"/>
      <c r="C1068" s="712"/>
      <c r="D1068" s="808"/>
      <c r="E1068" s="809"/>
      <c r="F1068" s="712"/>
      <c r="G1068" s="810"/>
      <c r="H1068" s="810"/>
    </row>
    <row r="1069">
      <c r="A1069" s="712"/>
      <c r="B1069" s="712"/>
      <c r="C1069" s="712"/>
      <c r="D1069" s="808"/>
      <c r="E1069" s="809"/>
      <c r="F1069" s="712"/>
      <c r="G1069" s="810"/>
      <c r="H1069" s="810"/>
    </row>
    <row r="1070">
      <c r="A1070" s="712"/>
      <c r="B1070" s="712"/>
      <c r="C1070" s="712"/>
      <c r="D1070" s="808"/>
      <c r="E1070" s="809"/>
      <c r="F1070" s="712"/>
      <c r="G1070" s="810"/>
      <c r="H1070" s="810"/>
    </row>
    <row r="1071">
      <c r="A1071" s="712"/>
      <c r="B1071" s="712"/>
      <c r="C1071" s="712"/>
      <c r="D1071" s="808"/>
      <c r="E1071" s="809"/>
      <c r="F1071" s="712"/>
      <c r="G1071" s="810"/>
      <c r="H1071" s="810"/>
    </row>
    <row r="1072">
      <c r="A1072" s="712"/>
      <c r="B1072" s="712"/>
      <c r="C1072" s="712"/>
      <c r="D1072" s="808"/>
      <c r="E1072" s="809"/>
      <c r="F1072" s="712"/>
      <c r="G1072" s="810"/>
      <c r="H1072" s="810"/>
    </row>
    <row r="1073">
      <c r="A1073" s="712"/>
      <c r="B1073" s="712"/>
      <c r="C1073" s="712"/>
      <c r="D1073" s="808"/>
      <c r="E1073" s="809"/>
      <c r="F1073" s="712"/>
      <c r="G1073" s="810"/>
      <c r="H1073" s="810"/>
    </row>
    <row r="1074">
      <c r="A1074" s="712"/>
      <c r="B1074" s="712"/>
      <c r="C1074" s="712"/>
      <c r="D1074" s="808"/>
      <c r="E1074" s="809"/>
      <c r="F1074" s="712"/>
      <c r="G1074" s="810"/>
      <c r="H1074" s="810"/>
    </row>
    <row r="1075">
      <c r="A1075" s="712"/>
      <c r="B1075" s="712"/>
      <c r="C1075" s="712"/>
      <c r="D1075" s="808"/>
      <c r="E1075" s="809"/>
      <c r="F1075" s="712"/>
      <c r="G1075" s="810"/>
      <c r="H1075" s="810"/>
    </row>
    <row r="1076">
      <c r="A1076" s="712"/>
      <c r="B1076" s="712"/>
      <c r="C1076" s="712"/>
      <c r="D1076" s="808"/>
      <c r="E1076" s="809"/>
      <c r="F1076" s="712"/>
      <c r="G1076" s="810"/>
      <c r="H1076" s="810"/>
    </row>
    <row r="1077">
      <c r="A1077" s="712"/>
      <c r="B1077" s="712"/>
      <c r="C1077" s="712"/>
      <c r="D1077" s="808"/>
      <c r="E1077" s="809"/>
      <c r="F1077" s="712"/>
      <c r="G1077" s="810"/>
      <c r="H1077" s="810"/>
    </row>
    <row r="1078">
      <c r="A1078" s="712"/>
      <c r="B1078" s="712"/>
      <c r="C1078" s="712"/>
      <c r="D1078" s="808"/>
      <c r="E1078" s="809"/>
      <c r="F1078" s="712"/>
      <c r="G1078" s="810"/>
      <c r="H1078" s="810"/>
    </row>
    <row r="1079">
      <c r="A1079" s="712"/>
      <c r="B1079" s="712"/>
      <c r="C1079" s="712"/>
      <c r="D1079" s="808"/>
      <c r="E1079" s="809"/>
      <c r="F1079" s="712"/>
      <c r="G1079" s="810"/>
      <c r="H1079" s="810"/>
    </row>
    <row r="1080">
      <c r="A1080" s="712"/>
      <c r="B1080" s="712"/>
      <c r="C1080" s="712"/>
      <c r="D1080" s="808"/>
      <c r="E1080" s="809"/>
      <c r="F1080" s="712"/>
      <c r="G1080" s="810"/>
      <c r="H1080" s="810"/>
    </row>
    <row r="1081">
      <c r="A1081" s="712"/>
      <c r="B1081" s="712"/>
      <c r="C1081" s="712"/>
      <c r="D1081" s="808"/>
      <c r="E1081" s="809"/>
      <c r="F1081" s="712"/>
      <c r="G1081" s="810"/>
      <c r="H1081" s="810"/>
    </row>
    <row r="1082">
      <c r="A1082" s="712"/>
      <c r="B1082" s="712"/>
      <c r="C1082" s="712"/>
      <c r="D1082" s="808"/>
      <c r="E1082" s="809"/>
      <c r="F1082" s="712"/>
      <c r="G1082" s="810"/>
      <c r="H1082" s="810"/>
    </row>
    <row r="1083">
      <c r="A1083" s="712"/>
      <c r="B1083" s="712"/>
      <c r="C1083" s="712"/>
      <c r="D1083" s="808"/>
      <c r="E1083" s="809"/>
      <c r="F1083" s="712"/>
      <c r="G1083" s="810"/>
      <c r="H1083" s="810"/>
    </row>
    <row r="1084">
      <c r="A1084" s="712"/>
      <c r="B1084" s="712"/>
      <c r="C1084" s="712"/>
      <c r="D1084" s="808"/>
      <c r="E1084" s="809"/>
      <c r="F1084" s="712"/>
      <c r="G1084" s="810"/>
      <c r="H1084" s="810"/>
    </row>
    <row r="1085">
      <c r="A1085" s="712"/>
      <c r="B1085" s="712"/>
      <c r="C1085" s="712"/>
      <c r="D1085" s="808"/>
      <c r="E1085" s="809"/>
      <c r="F1085" s="712"/>
      <c r="G1085" s="810"/>
      <c r="H1085" s="810"/>
    </row>
    <row r="1086">
      <c r="A1086" s="712"/>
      <c r="B1086" s="712"/>
      <c r="C1086" s="712"/>
      <c r="D1086" s="808"/>
      <c r="E1086" s="809"/>
      <c r="F1086" s="712"/>
      <c r="G1086" s="810"/>
      <c r="H1086" s="810"/>
    </row>
    <row r="1087">
      <c r="A1087" s="712"/>
      <c r="B1087" s="712"/>
      <c r="C1087" s="712"/>
      <c r="D1087" s="808"/>
      <c r="E1087" s="809"/>
      <c r="F1087" s="712"/>
      <c r="G1087" s="810"/>
      <c r="H1087" s="810"/>
    </row>
    <row r="1088">
      <c r="A1088" s="712"/>
      <c r="B1088" s="712"/>
      <c r="C1088" s="712"/>
      <c r="D1088" s="808"/>
      <c r="E1088" s="809"/>
      <c r="F1088" s="712"/>
      <c r="G1088" s="810"/>
      <c r="H1088" s="810"/>
    </row>
    <row r="1089">
      <c r="A1089" s="712"/>
      <c r="B1089" s="712"/>
      <c r="C1089" s="712"/>
      <c r="D1089" s="808"/>
      <c r="E1089" s="809"/>
      <c r="F1089" s="712"/>
      <c r="G1089" s="810"/>
      <c r="H1089" s="810"/>
    </row>
    <row r="1090">
      <c r="A1090" s="712"/>
      <c r="B1090" s="712"/>
      <c r="C1090" s="712"/>
      <c r="D1090" s="808"/>
      <c r="E1090" s="809"/>
      <c r="F1090" s="712"/>
      <c r="G1090" s="810"/>
      <c r="H1090" s="810"/>
    </row>
    <row r="1091">
      <c r="A1091" s="712"/>
      <c r="B1091" s="712"/>
      <c r="C1091" s="712"/>
      <c r="D1091" s="808"/>
      <c r="E1091" s="809"/>
      <c r="F1091" s="712"/>
      <c r="G1091" s="810"/>
      <c r="H1091" s="810"/>
    </row>
    <row r="1092">
      <c r="A1092" s="712"/>
      <c r="B1092" s="712"/>
      <c r="C1092" s="712"/>
      <c r="D1092" s="808"/>
      <c r="E1092" s="809"/>
      <c r="F1092" s="712"/>
      <c r="G1092" s="810"/>
      <c r="H1092" s="810"/>
    </row>
    <row r="1093">
      <c r="A1093" s="712"/>
      <c r="B1093" s="712"/>
      <c r="C1093" s="712"/>
      <c r="D1093" s="808"/>
      <c r="E1093" s="809"/>
      <c r="F1093" s="712"/>
      <c r="G1093" s="810"/>
      <c r="H1093" s="810"/>
    </row>
    <row r="1094">
      <c r="A1094" s="712"/>
      <c r="B1094" s="712"/>
      <c r="C1094" s="712"/>
      <c r="D1094" s="808"/>
      <c r="E1094" s="809"/>
      <c r="F1094" s="712"/>
      <c r="G1094" s="810"/>
      <c r="H1094" s="810"/>
    </row>
    <row r="1095">
      <c r="A1095" s="712"/>
      <c r="B1095" s="712"/>
      <c r="C1095" s="712"/>
      <c r="D1095" s="808"/>
      <c r="E1095" s="809"/>
      <c r="F1095" s="712"/>
      <c r="G1095" s="810"/>
      <c r="H1095" s="810"/>
    </row>
    <row r="1096">
      <c r="A1096" s="712"/>
      <c r="B1096" s="712"/>
      <c r="C1096" s="712"/>
      <c r="D1096" s="808"/>
      <c r="E1096" s="809"/>
      <c r="F1096" s="712"/>
      <c r="G1096" s="810"/>
      <c r="H1096" s="810"/>
    </row>
    <row r="1097">
      <c r="A1097" s="712"/>
      <c r="B1097" s="712"/>
      <c r="C1097" s="712"/>
      <c r="D1097" s="808"/>
      <c r="E1097" s="809"/>
      <c r="F1097" s="712"/>
      <c r="G1097" s="810"/>
      <c r="H1097" s="810"/>
    </row>
    <row r="1098">
      <c r="A1098" s="712"/>
      <c r="B1098" s="712"/>
      <c r="C1098" s="712"/>
      <c r="D1098" s="808"/>
      <c r="E1098" s="809"/>
      <c r="F1098" s="712"/>
      <c r="G1098" s="810"/>
      <c r="H1098" s="810"/>
    </row>
    <row r="1099">
      <c r="A1099" s="712"/>
      <c r="B1099" s="712"/>
      <c r="C1099" s="712"/>
      <c r="D1099" s="808"/>
      <c r="E1099" s="809"/>
      <c r="F1099" s="712"/>
      <c r="G1099" s="810"/>
      <c r="H1099" s="810"/>
    </row>
    <row r="1100">
      <c r="A1100" s="712"/>
      <c r="B1100" s="712"/>
      <c r="C1100" s="712"/>
      <c r="D1100" s="808"/>
      <c r="E1100" s="809"/>
      <c r="F1100" s="712"/>
      <c r="G1100" s="810"/>
      <c r="H1100" s="810"/>
    </row>
    <row r="1101">
      <c r="A1101" s="712"/>
      <c r="B1101" s="712"/>
      <c r="C1101" s="712"/>
      <c r="D1101" s="808"/>
      <c r="E1101" s="809"/>
      <c r="F1101" s="712"/>
      <c r="G1101" s="810"/>
      <c r="H1101" s="810"/>
    </row>
    <row r="1102">
      <c r="A1102" s="712"/>
      <c r="B1102" s="712"/>
      <c r="C1102" s="712"/>
      <c r="D1102" s="808"/>
      <c r="E1102" s="809"/>
      <c r="F1102" s="712"/>
      <c r="G1102" s="810"/>
      <c r="H1102" s="810"/>
    </row>
    <row r="1103">
      <c r="A1103" s="712"/>
      <c r="B1103" s="712"/>
      <c r="C1103" s="712"/>
      <c r="D1103" s="808"/>
      <c r="E1103" s="809"/>
      <c r="F1103" s="712"/>
      <c r="G1103" s="810"/>
      <c r="H1103" s="810"/>
    </row>
    <row r="1104">
      <c r="A1104" s="712"/>
      <c r="B1104" s="712"/>
      <c r="C1104" s="712"/>
      <c r="D1104" s="808"/>
      <c r="E1104" s="809"/>
      <c r="F1104" s="712"/>
      <c r="G1104" s="810"/>
      <c r="H1104" s="810"/>
    </row>
    <row r="1105">
      <c r="A1105" s="712"/>
      <c r="B1105" s="712"/>
      <c r="C1105" s="712"/>
      <c r="D1105" s="808"/>
      <c r="E1105" s="809"/>
      <c r="F1105" s="712"/>
      <c r="G1105" s="810"/>
      <c r="H1105" s="810"/>
    </row>
    <row r="1106">
      <c r="A1106" s="712"/>
      <c r="B1106" s="712"/>
      <c r="C1106" s="712"/>
      <c r="D1106" s="808"/>
      <c r="E1106" s="809"/>
      <c r="F1106" s="712"/>
      <c r="G1106" s="810"/>
      <c r="H1106" s="810"/>
    </row>
    <row r="1107">
      <c r="A1107" s="712"/>
      <c r="B1107" s="712"/>
      <c r="C1107" s="712"/>
      <c r="D1107" s="808"/>
      <c r="E1107" s="809"/>
      <c r="F1107" s="712"/>
      <c r="G1107" s="810"/>
      <c r="H1107" s="810"/>
    </row>
    <row r="1108">
      <c r="A1108" s="712"/>
      <c r="B1108" s="712"/>
      <c r="C1108" s="712"/>
      <c r="D1108" s="808"/>
      <c r="E1108" s="809"/>
      <c r="F1108" s="712"/>
      <c r="G1108" s="810"/>
      <c r="H1108" s="810"/>
    </row>
    <row r="1109">
      <c r="A1109" s="712"/>
      <c r="B1109" s="712"/>
      <c r="C1109" s="712"/>
      <c r="D1109" s="808"/>
      <c r="E1109" s="809"/>
      <c r="F1109" s="712"/>
      <c r="G1109" s="810"/>
      <c r="H1109" s="810"/>
    </row>
    <row r="1110">
      <c r="A1110" s="712"/>
      <c r="B1110" s="712"/>
      <c r="C1110" s="712"/>
      <c r="D1110" s="808"/>
      <c r="E1110" s="809"/>
      <c r="F1110" s="712"/>
      <c r="G1110" s="810"/>
      <c r="H1110" s="810"/>
    </row>
    <row r="1111">
      <c r="A1111" s="712"/>
      <c r="B1111" s="712"/>
      <c r="C1111" s="712"/>
      <c r="D1111" s="808"/>
      <c r="E1111" s="809"/>
      <c r="F1111" s="712"/>
      <c r="G1111" s="810"/>
      <c r="H1111" s="810"/>
    </row>
    <row r="1112">
      <c r="A1112" s="712"/>
      <c r="B1112" s="712"/>
      <c r="C1112" s="712"/>
      <c r="D1112" s="808"/>
      <c r="E1112" s="809"/>
      <c r="F1112" s="712"/>
      <c r="G1112" s="810"/>
      <c r="H1112" s="810"/>
    </row>
    <row r="1113">
      <c r="A1113" s="712"/>
      <c r="B1113" s="712"/>
      <c r="C1113" s="712"/>
      <c r="D1113" s="808"/>
      <c r="E1113" s="809"/>
      <c r="F1113" s="712"/>
      <c r="G1113" s="810"/>
      <c r="H1113" s="810"/>
    </row>
    <row r="1114">
      <c r="A1114" s="712"/>
      <c r="B1114" s="712"/>
      <c r="C1114" s="712"/>
      <c r="D1114" s="808"/>
      <c r="E1114" s="809"/>
      <c r="F1114" s="712"/>
      <c r="G1114" s="810"/>
      <c r="H1114" s="810"/>
    </row>
    <row r="1115">
      <c r="A1115" s="712"/>
      <c r="B1115" s="712"/>
      <c r="C1115" s="712"/>
      <c r="D1115" s="808"/>
      <c r="E1115" s="809"/>
      <c r="F1115" s="712"/>
      <c r="G1115" s="810"/>
      <c r="H1115" s="810"/>
    </row>
    <row r="1116">
      <c r="A1116" s="712"/>
      <c r="B1116" s="712"/>
      <c r="C1116" s="712"/>
      <c r="D1116" s="808"/>
      <c r="E1116" s="809"/>
      <c r="F1116" s="712"/>
      <c r="G1116" s="810"/>
      <c r="H1116" s="810"/>
    </row>
    <row r="1117">
      <c r="A1117" s="712"/>
      <c r="B1117" s="712"/>
      <c r="C1117" s="712"/>
      <c r="D1117" s="808"/>
      <c r="E1117" s="809"/>
      <c r="F1117" s="712"/>
      <c r="G1117" s="810"/>
      <c r="H1117" s="810"/>
    </row>
    <row r="1118">
      <c r="A1118" s="712"/>
      <c r="B1118" s="712"/>
      <c r="C1118" s="712"/>
      <c r="D1118" s="808"/>
      <c r="E1118" s="809"/>
      <c r="F1118" s="712"/>
      <c r="G1118" s="810"/>
      <c r="H1118" s="810"/>
    </row>
    <row r="1119">
      <c r="A1119" s="712"/>
      <c r="B1119" s="712"/>
      <c r="C1119" s="712"/>
      <c r="D1119" s="808"/>
      <c r="E1119" s="809"/>
      <c r="F1119" s="712"/>
      <c r="G1119" s="810"/>
      <c r="H1119" s="810"/>
    </row>
    <row r="1120">
      <c r="A1120" s="712"/>
      <c r="B1120" s="712"/>
      <c r="C1120" s="712"/>
      <c r="D1120" s="808"/>
      <c r="E1120" s="809"/>
      <c r="F1120" s="712"/>
      <c r="G1120" s="810"/>
      <c r="H1120" s="810"/>
    </row>
    <row r="1121">
      <c r="A1121" s="712"/>
      <c r="B1121" s="712"/>
      <c r="C1121" s="712"/>
      <c r="D1121" s="808"/>
      <c r="E1121" s="809"/>
      <c r="F1121" s="712"/>
      <c r="G1121" s="810"/>
      <c r="H1121" s="810"/>
    </row>
    <row r="1122">
      <c r="A1122" s="712"/>
      <c r="B1122" s="712"/>
      <c r="C1122" s="712"/>
      <c r="D1122" s="808"/>
      <c r="E1122" s="809"/>
      <c r="F1122" s="712"/>
      <c r="G1122" s="810"/>
      <c r="H1122" s="810"/>
    </row>
    <row r="1123">
      <c r="A1123" s="712"/>
      <c r="B1123" s="712"/>
      <c r="C1123" s="712"/>
      <c r="D1123" s="808"/>
      <c r="E1123" s="809"/>
      <c r="F1123" s="712"/>
      <c r="G1123" s="810"/>
      <c r="H1123" s="810"/>
    </row>
    <row r="1124">
      <c r="A1124" s="712"/>
      <c r="B1124" s="712"/>
      <c r="C1124" s="712"/>
      <c r="D1124" s="808"/>
      <c r="E1124" s="809"/>
      <c r="F1124" s="712"/>
      <c r="G1124" s="810"/>
      <c r="H1124" s="810"/>
    </row>
    <row r="1125">
      <c r="A1125" s="712"/>
      <c r="B1125" s="712"/>
      <c r="C1125" s="712"/>
      <c r="D1125" s="808"/>
      <c r="E1125" s="809"/>
      <c r="F1125" s="712"/>
      <c r="G1125" s="810"/>
      <c r="H1125" s="810"/>
    </row>
    <row r="1126">
      <c r="A1126" s="712"/>
      <c r="B1126" s="712"/>
      <c r="C1126" s="712"/>
      <c r="D1126" s="808"/>
      <c r="E1126" s="809"/>
      <c r="F1126" s="712"/>
      <c r="G1126" s="810"/>
      <c r="H1126" s="810"/>
    </row>
    <row r="1127">
      <c r="A1127" s="712"/>
      <c r="B1127" s="712"/>
      <c r="C1127" s="712"/>
      <c r="D1127" s="808"/>
      <c r="E1127" s="809"/>
      <c r="F1127" s="712"/>
      <c r="G1127" s="810"/>
      <c r="H1127" s="810"/>
    </row>
    <row r="1128">
      <c r="A1128" s="712"/>
      <c r="B1128" s="712"/>
      <c r="C1128" s="712"/>
      <c r="D1128" s="808"/>
      <c r="E1128" s="809"/>
      <c r="F1128" s="712"/>
      <c r="G1128" s="810"/>
      <c r="H1128" s="810"/>
    </row>
    <row r="1129">
      <c r="A1129" s="712"/>
      <c r="B1129" s="712"/>
      <c r="C1129" s="712"/>
      <c r="D1129" s="808"/>
      <c r="E1129" s="809"/>
      <c r="F1129" s="712"/>
      <c r="G1129" s="810"/>
      <c r="H1129" s="810"/>
    </row>
    <row r="1130">
      <c r="A1130" s="712"/>
      <c r="B1130" s="712"/>
      <c r="C1130" s="712"/>
      <c r="D1130" s="808"/>
      <c r="E1130" s="809"/>
      <c r="F1130" s="712"/>
      <c r="G1130" s="810"/>
      <c r="H1130" s="810"/>
    </row>
    <row r="1131">
      <c r="A1131" s="712"/>
      <c r="B1131" s="712"/>
      <c r="C1131" s="712"/>
      <c r="D1131" s="808"/>
      <c r="E1131" s="809"/>
      <c r="F1131" s="712"/>
      <c r="G1131" s="810"/>
      <c r="H1131" s="810"/>
    </row>
    <row r="1132">
      <c r="A1132" s="712"/>
      <c r="B1132" s="712"/>
      <c r="C1132" s="712"/>
      <c r="D1132" s="808"/>
      <c r="E1132" s="809"/>
      <c r="F1132" s="712"/>
      <c r="G1132" s="810"/>
      <c r="H1132" s="810"/>
    </row>
    <row r="1133">
      <c r="A1133" s="712"/>
      <c r="B1133" s="712"/>
      <c r="C1133" s="712"/>
      <c r="D1133" s="808"/>
      <c r="E1133" s="809"/>
      <c r="F1133" s="712"/>
      <c r="G1133" s="810"/>
      <c r="H1133" s="810"/>
    </row>
    <row r="1134">
      <c r="A1134" s="712"/>
      <c r="B1134" s="712"/>
      <c r="C1134" s="712"/>
      <c r="D1134" s="808"/>
      <c r="E1134" s="809"/>
      <c r="F1134" s="712"/>
      <c r="G1134" s="810"/>
      <c r="H1134" s="810"/>
    </row>
    <row r="1135">
      <c r="A1135" s="712"/>
      <c r="B1135" s="712"/>
      <c r="C1135" s="712"/>
      <c r="D1135" s="808"/>
      <c r="E1135" s="809"/>
      <c r="F1135" s="712"/>
      <c r="G1135" s="810"/>
      <c r="H1135" s="810"/>
    </row>
    <row r="1136">
      <c r="A1136" s="712"/>
      <c r="B1136" s="712"/>
      <c r="C1136" s="712"/>
      <c r="D1136" s="808"/>
      <c r="E1136" s="809"/>
      <c r="F1136" s="712"/>
      <c r="G1136" s="810"/>
      <c r="H1136" s="810"/>
    </row>
    <row r="1137">
      <c r="A1137" s="712"/>
      <c r="B1137" s="712"/>
      <c r="C1137" s="712"/>
      <c r="D1137" s="808"/>
      <c r="E1137" s="809"/>
      <c r="F1137" s="712"/>
      <c r="G1137" s="810"/>
      <c r="H1137" s="810"/>
    </row>
    <row r="1138">
      <c r="A1138" s="712"/>
      <c r="B1138" s="712"/>
      <c r="C1138" s="712"/>
      <c r="D1138" s="808"/>
      <c r="E1138" s="809"/>
      <c r="F1138" s="712"/>
      <c r="G1138" s="810"/>
      <c r="H1138" s="810"/>
    </row>
    <row r="1139">
      <c r="A1139" s="712"/>
      <c r="B1139" s="712"/>
      <c r="C1139" s="712"/>
      <c r="D1139" s="808"/>
      <c r="E1139" s="809"/>
      <c r="F1139" s="712"/>
      <c r="G1139" s="810"/>
      <c r="H1139" s="810"/>
    </row>
    <row r="1140">
      <c r="A1140" s="712"/>
      <c r="B1140" s="712"/>
      <c r="C1140" s="712"/>
      <c r="D1140" s="808"/>
      <c r="E1140" s="809"/>
      <c r="F1140" s="712"/>
      <c r="G1140" s="810"/>
      <c r="H1140" s="810"/>
    </row>
    <row r="1141">
      <c r="A1141" s="712"/>
      <c r="B1141" s="712"/>
      <c r="C1141" s="712"/>
      <c r="D1141" s="808"/>
      <c r="E1141" s="809"/>
      <c r="F1141" s="712"/>
      <c r="G1141" s="810"/>
      <c r="H1141" s="810"/>
    </row>
    <row r="1142">
      <c r="A1142" s="712"/>
      <c r="B1142" s="712"/>
      <c r="C1142" s="712"/>
      <c r="D1142" s="808"/>
      <c r="E1142" s="809"/>
      <c r="F1142" s="712"/>
      <c r="G1142" s="810"/>
      <c r="H1142" s="810"/>
    </row>
    <row r="1143">
      <c r="A1143" s="712"/>
      <c r="B1143" s="712"/>
      <c r="C1143" s="712"/>
      <c r="D1143" s="808"/>
      <c r="E1143" s="809"/>
      <c r="F1143" s="712"/>
      <c r="G1143" s="810"/>
      <c r="H1143" s="810"/>
    </row>
    <row r="1144">
      <c r="A1144" s="712"/>
      <c r="B1144" s="712"/>
      <c r="C1144" s="712"/>
      <c r="D1144" s="808"/>
      <c r="E1144" s="809"/>
      <c r="F1144" s="712"/>
      <c r="G1144" s="810"/>
      <c r="H1144" s="810"/>
    </row>
    <row r="1145">
      <c r="A1145" s="712"/>
      <c r="B1145" s="712"/>
      <c r="C1145" s="712"/>
      <c r="D1145" s="808"/>
      <c r="E1145" s="809"/>
      <c r="F1145" s="712"/>
      <c r="G1145" s="810"/>
      <c r="H1145" s="810"/>
    </row>
    <row r="1146">
      <c r="A1146" s="712"/>
      <c r="B1146" s="712"/>
      <c r="C1146" s="712"/>
      <c r="D1146" s="808"/>
      <c r="E1146" s="809"/>
      <c r="F1146" s="712"/>
      <c r="G1146" s="810"/>
      <c r="H1146" s="810"/>
    </row>
    <row r="1147">
      <c r="A1147" s="712"/>
      <c r="B1147" s="712"/>
      <c r="C1147" s="712"/>
      <c r="D1147" s="808"/>
      <c r="E1147" s="809"/>
      <c r="F1147" s="712"/>
      <c r="G1147" s="810"/>
      <c r="H1147" s="810"/>
    </row>
    <row r="1148">
      <c r="A1148" s="712"/>
      <c r="B1148" s="712"/>
      <c r="C1148" s="712"/>
      <c r="D1148" s="808"/>
      <c r="E1148" s="809"/>
      <c r="F1148" s="712"/>
      <c r="G1148" s="810"/>
      <c r="H1148" s="810"/>
    </row>
    <row r="1149">
      <c r="A1149" s="712"/>
      <c r="B1149" s="712"/>
      <c r="C1149" s="712"/>
      <c r="D1149" s="808"/>
      <c r="E1149" s="809"/>
      <c r="F1149" s="712"/>
      <c r="G1149" s="810"/>
      <c r="H1149" s="810"/>
    </row>
    <row r="1150">
      <c r="A1150" s="712"/>
      <c r="B1150" s="712"/>
      <c r="C1150" s="712"/>
      <c r="D1150" s="808"/>
      <c r="E1150" s="809"/>
      <c r="F1150" s="712"/>
      <c r="G1150" s="810"/>
      <c r="H1150" s="810"/>
    </row>
    <row r="1151">
      <c r="A1151" s="712"/>
      <c r="B1151" s="712"/>
      <c r="C1151" s="712"/>
      <c r="D1151" s="808"/>
      <c r="E1151" s="809"/>
      <c r="F1151" s="712"/>
      <c r="G1151" s="810"/>
      <c r="H1151" s="810"/>
    </row>
    <row r="1152">
      <c r="A1152" s="712"/>
      <c r="B1152" s="712"/>
      <c r="C1152" s="712"/>
      <c r="D1152" s="808"/>
      <c r="E1152" s="809"/>
      <c r="F1152" s="712"/>
      <c r="G1152" s="810"/>
      <c r="H1152" s="810"/>
    </row>
    <row r="1153">
      <c r="A1153" s="712"/>
      <c r="B1153" s="712"/>
      <c r="C1153" s="712"/>
      <c r="D1153" s="808"/>
      <c r="E1153" s="809"/>
      <c r="F1153" s="712"/>
      <c r="G1153" s="810"/>
      <c r="H1153" s="810"/>
    </row>
    <row r="1154">
      <c r="A1154" s="712"/>
      <c r="B1154" s="712"/>
      <c r="C1154" s="712"/>
      <c r="D1154" s="808"/>
      <c r="E1154" s="809"/>
      <c r="F1154" s="712"/>
      <c r="G1154" s="810"/>
      <c r="H1154" s="810"/>
    </row>
    <row r="1155">
      <c r="A1155" s="712"/>
      <c r="B1155" s="712"/>
      <c r="C1155" s="712"/>
      <c r="D1155" s="808"/>
      <c r="E1155" s="809"/>
      <c r="F1155" s="712"/>
      <c r="G1155" s="810"/>
      <c r="H1155" s="810"/>
    </row>
    <row r="1156">
      <c r="A1156" s="712"/>
      <c r="B1156" s="712"/>
      <c r="C1156" s="712"/>
      <c r="D1156" s="808"/>
      <c r="E1156" s="809"/>
      <c r="F1156" s="712"/>
      <c r="G1156" s="810"/>
      <c r="H1156" s="810"/>
    </row>
    <row r="1157">
      <c r="A1157" s="712"/>
      <c r="B1157" s="712"/>
      <c r="C1157" s="712"/>
      <c r="D1157" s="808"/>
      <c r="E1157" s="809"/>
      <c r="F1157" s="712"/>
      <c r="G1157" s="810"/>
      <c r="H1157" s="810"/>
    </row>
    <row r="1158">
      <c r="A1158" s="712"/>
      <c r="B1158" s="712"/>
      <c r="C1158" s="712"/>
      <c r="D1158" s="808"/>
      <c r="E1158" s="809"/>
      <c r="F1158" s="712"/>
      <c r="G1158" s="810"/>
      <c r="H1158" s="810"/>
    </row>
    <row r="1159">
      <c r="A1159" s="712"/>
      <c r="B1159" s="712"/>
      <c r="C1159" s="712"/>
      <c r="D1159" s="808"/>
      <c r="E1159" s="809"/>
      <c r="F1159" s="712"/>
      <c r="G1159" s="810"/>
      <c r="H1159" s="810"/>
    </row>
    <row r="1160">
      <c r="A1160" s="712"/>
      <c r="B1160" s="712"/>
      <c r="C1160" s="712"/>
      <c r="D1160" s="808"/>
      <c r="E1160" s="809"/>
      <c r="F1160" s="712"/>
      <c r="G1160" s="810"/>
      <c r="H1160" s="810"/>
    </row>
    <row r="1161">
      <c r="A1161" s="712"/>
      <c r="B1161" s="712"/>
      <c r="C1161" s="712"/>
      <c r="D1161" s="808"/>
      <c r="E1161" s="809"/>
      <c r="F1161" s="712"/>
      <c r="G1161" s="810"/>
      <c r="H1161" s="810"/>
    </row>
    <row r="1162">
      <c r="A1162" s="712"/>
      <c r="B1162" s="712"/>
      <c r="C1162" s="712"/>
      <c r="D1162" s="808"/>
      <c r="E1162" s="809"/>
      <c r="F1162" s="712"/>
      <c r="G1162" s="810"/>
      <c r="H1162" s="810"/>
    </row>
    <row r="1163">
      <c r="A1163" s="712"/>
      <c r="B1163" s="712"/>
      <c r="C1163" s="712"/>
      <c r="D1163" s="808"/>
      <c r="E1163" s="809"/>
      <c r="F1163" s="712"/>
      <c r="G1163" s="810"/>
      <c r="H1163" s="810"/>
    </row>
    <row r="1164">
      <c r="A1164" s="712"/>
      <c r="B1164" s="712"/>
      <c r="C1164" s="712"/>
      <c r="D1164" s="808"/>
      <c r="E1164" s="809"/>
      <c r="F1164" s="712"/>
      <c r="G1164" s="810"/>
      <c r="H1164" s="810"/>
    </row>
    <row r="1165">
      <c r="A1165" s="712"/>
      <c r="B1165" s="712"/>
      <c r="C1165" s="712"/>
      <c r="D1165" s="808"/>
      <c r="E1165" s="809"/>
      <c r="F1165" s="712"/>
      <c r="G1165" s="810"/>
      <c r="H1165" s="810"/>
    </row>
    <row r="1166">
      <c r="A1166" s="712"/>
      <c r="B1166" s="712"/>
      <c r="C1166" s="712"/>
      <c r="D1166" s="808"/>
      <c r="E1166" s="809"/>
      <c r="F1166" s="712"/>
      <c r="G1166" s="810"/>
      <c r="H1166" s="810"/>
    </row>
    <row r="1167">
      <c r="A1167" s="712"/>
      <c r="B1167" s="712"/>
      <c r="C1167" s="712"/>
      <c r="D1167" s="808"/>
      <c r="E1167" s="809"/>
      <c r="F1167" s="712"/>
      <c r="G1167" s="810"/>
      <c r="H1167" s="810"/>
    </row>
    <row r="1168">
      <c r="A1168" s="712"/>
      <c r="B1168" s="712"/>
      <c r="C1168" s="712"/>
      <c r="D1168" s="808"/>
      <c r="E1168" s="809"/>
      <c r="F1168" s="712"/>
      <c r="G1168" s="810"/>
      <c r="H1168" s="810"/>
    </row>
    <row r="1169">
      <c r="A1169" s="712"/>
      <c r="B1169" s="712"/>
      <c r="C1169" s="712"/>
      <c r="D1169" s="808"/>
      <c r="E1169" s="809"/>
      <c r="F1169" s="712"/>
      <c r="G1169" s="810"/>
      <c r="H1169" s="810"/>
    </row>
    <row r="1170">
      <c r="A1170" s="712"/>
      <c r="B1170" s="712"/>
      <c r="C1170" s="712"/>
      <c r="D1170" s="808"/>
      <c r="E1170" s="809"/>
      <c r="F1170" s="712"/>
      <c r="G1170" s="810"/>
      <c r="H1170" s="810"/>
    </row>
    <row r="1171">
      <c r="A1171" s="712"/>
      <c r="B1171" s="712"/>
      <c r="C1171" s="712"/>
      <c r="D1171" s="808"/>
      <c r="E1171" s="809"/>
      <c r="F1171" s="712"/>
      <c r="G1171" s="810"/>
      <c r="H1171" s="810"/>
    </row>
    <row r="1172">
      <c r="A1172" s="712"/>
      <c r="B1172" s="712"/>
      <c r="C1172" s="712"/>
      <c r="D1172" s="808"/>
      <c r="E1172" s="809"/>
      <c r="F1172" s="712"/>
      <c r="G1172" s="810"/>
      <c r="H1172" s="810"/>
    </row>
    <row r="1173">
      <c r="A1173" s="712"/>
      <c r="B1173" s="712"/>
      <c r="C1173" s="712"/>
      <c r="D1173" s="808"/>
      <c r="E1173" s="809"/>
      <c r="F1173" s="712"/>
      <c r="G1173" s="810"/>
      <c r="H1173" s="810"/>
    </row>
    <row r="1174">
      <c r="A1174" s="712"/>
      <c r="B1174" s="712"/>
      <c r="C1174" s="712"/>
      <c r="D1174" s="808"/>
      <c r="E1174" s="809"/>
      <c r="F1174" s="712"/>
      <c r="G1174" s="810"/>
      <c r="H1174" s="810"/>
    </row>
    <row r="1175">
      <c r="A1175" s="712"/>
      <c r="B1175" s="712"/>
      <c r="C1175" s="712"/>
      <c r="D1175" s="808"/>
      <c r="E1175" s="809"/>
      <c r="F1175" s="712"/>
      <c r="G1175" s="810"/>
      <c r="H1175" s="810"/>
    </row>
    <row r="1176">
      <c r="A1176" s="712"/>
      <c r="B1176" s="712"/>
      <c r="C1176" s="712"/>
      <c r="D1176" s="808"/>
      <c r="E1176" s="809"/>
      <c r="F1176" s="712"/>
      <c r="G1176" s="810"/>
      <c r="H1176" s="810"/>
    </row>
    <row r="1177">
      <c r="A1177" s="712"/>
      <c r="B1177" s="712"/>
      <c r="C1177" s="712"/>
      <c r="D1177" s="808"/>
      <c r="E1177" s="809"/>
      <c r="F1177" s="712"/>
      <c r="G1177" s="810"/>
      <c r="H1177" s="810"/>
    </row>
    <row r="1178">
      <c r="A1178" s="712"/>
      <c r="B1178" s="712"/>
      <c r="C1178" s="712"/>
      <c r="D1178" s="808"/>
      <c r="E1178" s="809"/>
      <c r="F1178" s="712"/>
      <c r="G1178" s="810"/>
      <c r="H1178" s="810"/>
    </row>
    <row r="1179">
      <c r="A1179" s="712"/>
      <c r="B1179" s="712"/>
      <c r="C1179" s="712"/>
      <c r="D1179" s="808"/>
      <c r="E1179" s="809"/>
      <c r="F1179" s="712"/>
      <c r="G1179" s="810"/>
      <c r="H1179" s="810"/>
    </row>
    <row r="1180">
      <c r="A1180" s="712"/>
      <c r="B1180" s="712"/>
      <c r="C1180" s="712"/>
      <c r="D1180" s="808"/>
      <c r="E1180" s="809"/>
      <c r="F1180" s="712"/>
      <c r="G1180" s="810"/>
      <c r="H1180" s="810"/>
    </row>
    <row r="1181">
      <c r="A1181" s="712"/>
      <c r="B1181" s="712"/>
      <c r="C1181" s="712"/>
      <c r="D1181" s="808"/>
      <c r="E1181" s="809"/>
      <c r="F1181" s="712"/>
      <c r="G1181" s="810"/>
      <c r="H1181" s="810"/>
    </row>
    <row r="1182">
      <c r="A1182" s="712"/>
      <c r="B1182" s="712"/>
      <c r="C1182" s="712"/>
      <c r="D1182" s="808"/>
      <c r="E1182" s="809"/>
      <c r="F1182" s="712"/>
      <c r="G1182" s="810"/>
      <c r="H1182" s="810"/>
    </row>
    <row r="1183">
      <c r="A1183" s="712"/>
      <c r="B1183" s="712"/>
      <c r="C1183" s="712"/>
      <c r="D1183" s="808"/>
      <c r="E1183" s="809"/>
      <c r="F1183" s="712"/>
      <c r="G1183" s="810"/>
      <c r="H1183" s="810"/>
    </row>
    <row r="1184">
      <c r="A1184" s="712"/>
      <c r="B1184" s="712"/>
      <c r="C1184" s="712"/>
      <c r="D1184" s="808"/>
      <c r="E1184" s="809"/>
      <c r="F1184" s="712"/>
      <c r="G1184" s="810"/>
      <c r="H1184" s="810"/>
    </row>
    <row r="1185">
      <c r="A1185" s="712"/>
      <c r="B1185" s="712"/>
      <c r="C1185" s="712"/>
      <c r="D1185" s="808"/>
      <c r="E1185" s="809"/>
      <c r="F1185" s="712"/>
      <c r="G1185" s="810"/>
      <c r="H1185" s="810"/>
    </row>
    <row r="1186">
      <c r="A1186" s="712"/>
      <c r="B1186" s="712"/>
      <c r="C1186" s="712"/>
      <c r="D1186" s="808"/>
      <c r="E1186" s="809"/>
      <c r="F1186" s="712"/>
      <c r="G1186" s="810"/>
      <c r="H1186" s="810"/>
    </row>
    <row r="1187">
      <c r="A1187" s="712"/>
      <c r="B1187" s="712"/>
      <c r="C1187" s="712"/>
      <c r="D1187" s="808"/>
      <c r="E1187" s="809"/>
      <c r="F1187" s="712"/>
      <c r="G1187" s="810"/>
      <c r="H1187" s="810"/>
    </row>
    <row r="1188">
      <c r="A1188" s="712"/>
      <c r="B1188" s="712"/>
      <c r="C1188" s="712"/>
      <c r="D1188" s="808"/>
      <c r="E1188" s="809"/>
      <c r="F1188" s="712"/>
      <c r="G1188" s="810"/>
      <c r="H1188" s="810"/>
    </row>
    <row r="1189">
      <c r="A1189" s="712"/>
      <c r="B1189" s="712"/>
      <c r="C1189" s="712"/>
      <c r="D1189" s="808"/>
      <c r="E1189" s="809"/>
      <c r="F1189" s="712"/>
      <c r="G1189" s="810"/>
      <c r="H1189" s="810"/>
    </row>
    <row r="1190">
      <c r="A1190" s="712"/>
      <c r="B1190" s="712"/>
      <c r="C1190" s="712"/>
      <c r="D1190" s="808"/>
      <c r="E1190" s="809"/>
      <c r="F1190" s="712"/>
      <c r="G1190" s="810"/>
      <c r="H1190" s="810"/>
    </row>
    <row r="1191">
      <c r="A1191" s="712"/>
      <c r="B1191" s="712"/>
      <c r="C1191" s="712"/>
      <c r="D1191" s="808"/>
      <c r="E1191" s="809"/>
      <c r="F1191" s="712"/>
      <c r="G1191" s="810"/>
      <c r="H1191" s="810"/>
    </row>
    <row r="1192">
      <c r="A1192" s="712"/>
      <c r="B1192" s="712"/>
      <c r="C1192" s="712"/>
      <c r="D1192" s="808"/>
      <c r="E1192" s="809"/>
      <c r="F1192" s="712"/>
      <c r="G1192" s="810"/>
      <c r="H1192" s="810"/>
    </row>
    <row r="1193">
      <c r="A1193" s="712"/>
      <c r="B1193" s="712"/>
      <c r="C1193" s="712"/>
      <c r="D1193" s="808"/>
      <c r="E1193" s="809"/>
      <c r="F1193" s="712"/>
      <c r="G1193" s="810"/>
      <c r="H1193" s="810"/>
    </row>
    <row r="1194">
      <c r="A1194" s="712"/>
      <c r="B1194" s="712"/>
      <c r="C1194" s="712"/>
      <c r="D1194" s="808"/>
      <c r="E1194" s="809"/>
      <c r="F1194" s="712"/>
      <c r="G1194" s="810"/>
      <c r="H1194" s="810"/>
    </row>
    <row r="1195">
      <c r="A1195" s="712"/>
      <c r="B1195" s="712"/>
      <c r="C1195" s="712"/>
      <c r="D1195" s="808"/>
      <c r="E1195" s="809"/>
      <c r="F1195" s="712"/>
      <c r="G1195" s="810"/>
      <c r="H1195" s="810"/>
    </row>
    <row r="1196">
      <c r="A1196" s="712"/>
      <c r="B1196" s="712"/>
      <c r="C1196" s="712"/>
      <c r="D1196" s="808"/>
      <c r="E1196" s="809"/>
      <c r="F1196" s="712"/>
      <c r="G1196" s="810"/>
      <c r="H1196" s="810"/>
    </row>
    <row r="1197">
      <c r="A1197" s="712"/>
      <c r="B1197" s="712"/>
      <c r="C1197" s="712"/>
      <c r="D1197" s="808"/>
      <c r="E1197" s="809"/>
      <c r="F1197" s="712"/>
      <c r="G1197" s="810"/>
      <c r="H1197" s="810"/>
    </row>
    <row r="1198">
      <c r="A1198" s="712"/>
      <c r="B1198" s="712"/>
      <c r="C1198" s="712"/>
      <c r="D1198" s="808"/>
      <c r="E1198" s="809"/>
      <c r="F1198" s="712"/>
      <c r="G1198" s="810"/>
      <c r="H1198" s="810"/>
    </row>
    <row r="1199">
      <c r="A1199" s="712"/>
      <c r="B1199" s="712"/>
      <c r="C1199" s="712"/>
      <c r="D1199" s="808"/>
      <c r="E1199" s="809"/>
      <c r="F1199" s="712"/>
      <c r="G1199" s="810"/>
      <c r="H1199" s="810"/>
    </row>
    <row r="1200">
      <c r="A1200" s="712"/>
      <c r="B1200" s="712"/>
      <c r="C1200" s="712"/>
      <c r="D1200" s="808"/>
      <c r="E1200" s="809"/>
      <c r="F1200" s="712"/>
      <c r="G1200" s="810"/>
      <c r="H1200" s="810"/>
    </row>
    <row r="1201">
      <c r="A1201" s="712"/>
      <c r="B1201" s="712"/>
      <c r="C1201" s="712"/>
      <c r="D1201" s="808"/>
      <c r="E1201" s="809"/>
      <c r="F1201" s="712"/>
      <c r="G1201" s="810"/>
      <c r="H1201" s="810"/>
    </row>
  </sheetData>
  <mergeCells count="96">
    <mergeCell ref="A494:B494"/>
    <mergeCell ref="A497:H497"/>
    <mergeCell ref="A503:B503"/>
    <mergeCell ref="A506:H506"/>
    <mergeCell ref="A512:B512"/>
    <mergeCell ref="A516:H516"/>
    <mergeCell ref="A526:H526"/>
    <mergeCell ref="A523:B523"/>
    <mergeCell ref="A533:B533"/>
    <mergeCell ref="A542:B542"/>
    <mergeCell ref="A552:B552"/>
    <mergeCell ref="A561:B561"/>
    <mergeCell ref="A572:B572"/>
    <mergeCell ref="A582:B582"/>
    <mergeCell ref="A604:H604"/>
    <mergeCell ref="A614:H614"/>
    <mergeCell ref="A625:H625"/>
    <mergeCell ref="A635:H635"/>
    <mergeCell ref="A645:H645"/>
    <mergeCell ref="A656:H656"/>
    <mergeCell ref="A666:H666"/>
    <mergeCell ref="A536:H536"/>
    <mergeCell ref="A545:H545"/>
    <mergeCell ref="A555:H555"/>
    <mergeCell ref="A564:H564"/>
    <mergeCell ref="A574:H574"/>
    <mergeCell ref="A584:H584"/>
    <mergeCell ref="A594:H594"/>
    <mergeCell ref="A592:B592"/>
    <mergeCell ref="A602:B602"/>
    <mergeCell ref="A612:B612"/>
    <mergeCell ref="A622:B622"/>
    <mergeCell ref="A633:B633"/>
    <mergeCell ref="A643:B643"/>
    <mergeCell ref="A653:B653"/>
    <mergeCell ref="A718:B718"/>
    <mergeCell ref="A721:H721"/>
    <mergeCell ref="A737:B737"/>
    <mergeCell ref="A740:H740"/>
    <mergeCell ref="A752:B752"/>
    <mergeCell ref="A664:B664"/>
    <mergeCell ref="A685:B685"/>
    <mergeCell ref="A688:H688"/>
    <mergeCell ref="A696:B696"/>
    <mergeCell ref="A698:H698"/>
    <mergeCell ref="A706:B706"/>
    <mergeCell ref="A709:H709"/>
    <mergeCell ref="A1:H1"/>
    <mergeCell ref="A21:B21"/>
    <mergeCell ref="A23:H23"/>
    <mergeCell ref="A42:B42"/>
    <mergeCell ref="A45:H45"/>
    <mergeCell ref="A63:B63"/>
    <mergeCell ref="A66:H66"/>
    <mergeCell ref="A79:B79"/>
    <mergeCell ref="A82:H82"/>
    <mergeCell ref="A104:B104"/>
    <mergeCell ref="A107:H107"/>
    <mergeCell ref="A122:B122"/>
    <mergeCell ref="A125:H125"/>
    <mergeCell ref="A157:B157"/>
    <mergeCell ref="A160:H160"/>
    <mergeCell ref="A176:H176"/>
    <mergeCell ref="A187:B187"/>
    <mergeCell ref="A190:H190"/>
    <mergeCell ref="A211:B211"/>
    <mergeCell ref="A214:H214"/>
    <mergeCell ref="A239:H239"/>
    <mergeCell ref="A236:B236"/>
    <mergeCell ref="A256:B256"/>
    <mergeCell ref="A259:H259"/>
    <mergeCell ref="A272:B272"/>
    <mergeCell ref="A275:H275"/>
    <mergeCell ref="A288:B288"/>
    <mergeCell ref="A291:H291"/>
    <mergeCell ref="A304:B304"/>
    <mergeCell ref="A307:H307"/>
    <mergeCell ref="A320:B320"/>
    <mergeCell ref="A323:H323"/>
    <mergeCell ref="A346:B346"/>
    <mergeCell ref="A349:H349"/>
    <mergeCell ref="A382:H382"/>
    <mergeCell ref="A379:B379"/>
    <mergeCell ref="A399:B399"/>
    <mergeCell ref="A402:H402"/>
    <mergeCell ref="A417:B417"/>
    <mergeCell ref="A421:H421"/>
    <mergeCell ref="A430:B430"/>
    <mergeCell ref="A433:H433"/>
    <mergeCell ref="A442:B442"/>
    <mergeCell ref="A445:H445"/>
    <mergeCell ref="A465:B465"/>
    <mergeCell ref="A468:H468"/>
    <mergeCell ref="A480:B480"/>
    <mergeCell ref="A482:H482"/>
    <mergeCell ref="A484:H484"/>
  </mergeCells>
  <printOptions/>
  <pageMargins bottom="0.75" footer="0.0" header="0.0" left="0.7" right="0.7" top="0.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4.0"/>
    <col customWidth="1" min="3" max="3" width="8.29"/>
    <col customWidth="1" min="6" max="6" width="27.71"/>
    <col customWidth="1" min="7" max="7" width="47.0"/>
    <col customWidth="1" min="8" max="8" width="36.14"/>
  </cols>
  <sheetData>
    <row r="1">
      <c r="A1" s="1093" t="s">
        <v>215</v>
      </c>
      <c r="B1" s="1094"/>
      <c r="C1" s="1095"/>
      <c r="D1" s="1095"/>
      <c r="E1" s="1095"/>
      <c r="F1" s="1096"/>
      <c r="G1" s="1095"/>
      <c r="H1" s="1095"/>
    </row>
    <row r="2">
      <c r="A2" s="1095"/>
      <c r="B2" s="1094"/>
      <c r="C2" s="1095"/>
      <c r="D2" s="1095"/>
      <c r="E2" s="1095"/>
      <c r="F2" s="1096"/>
      <c r="G2" s="1095"/>
      <c r="H2" s="1095"/>
    </row>
    <row r="3">
      <c r="A3" s="145" t="s">
        <v>5753</v>
      </c>
      <c r="B3" s="2"/>
      <c r="C3" s="2"/>
      <c r="D3" s="2"/>
      <c r="E3" s="2"/>
      <c r="F3" s="2"/>
      <c r="G3" s="2"/>
      <c r="H3" s="3"/>
    </row>
    <row r="4">
      <c r="A4" s="146" t="s">
        <v>1435</v>
      </c>
      <c r="B4" s="147" t="s">
        <v>1436</v>
      </c>
      <c r="C4" s="146" t="s">
        <v>1843</v>
      </c>
      <c r="D4" s="148" t="s">
        <v>1438</v>
      </c>
      <c r="E4" s="149" t="s">
        <v>1564</v>
      </c>
      <c r="F4" s="603" t="s">
        <v>1440</v>
      </c>
      <c r="G4" s="146" t="s">
        <v>1844</v>
      </c>
      <c r="H4" s="147" t="s">
        <v>1441</v>
      </c>
    </row>
    <row r="5">
      <c r="A5" s="151">
        <v>1.0</v>
      </c>
      <c r="B5" s="151" t="s">
        <v>5754</v>
      </c>
      <c r="C5" s="151">
        <v>1.0</v>
      </c>
      <c r="D5" s="152">
        <v>5.6</v>
      </c>
      <c r="E5" s="157">
        <v>1.0</v>
      </c>
      <c r="F5" s="525"/>
      <c r="G5" s="151" t="s">
        <v>1571</v>
      </c>
      <c r="H5" s="156"/>
    </row>
    <row r="6">
      <c r="A6" s="151">
        <v>2.0</v>
      </c>
      <c r="B6" s="151" t="s">
        <v>5755</v>
      </c>
      <c r="C6" s="151">
        <v>1.0</v>
      </c>
      <c r="D6" s="152">
        <v>5.6</v>
      </c>
      <c r="E6" s="157">
        <v>1.0</v>
      </c>
      <c r="F6" s="525"/>
      <c r="G6" s="151" t="s">
        <v>5756</v>
      </c>
      <c r="H6" s="156">
        <v>44622.0</v>
      </c>
    </row>
    <row r="7">
      <c r="A7" s="151">
        <v>3.0</v>
      </c>
      <c r="B7" s="151" t="s">
        <v>5757</v>
      </c>
      <c r="C7" s="151">
        <v>1.0</v>
      </c>
      <c r="D7" s="152">
        <v>4.7</v>
      </c>
      <c r="E7" s="157">
        <v>1.0</v>
      </c>
      <c r="F7" s="525" t="s">
        <v>2033</v>
      </c>
      <c r="G7" s="151" t="s">
        <v>5758</v>
      </c>
      <c r="H7" s="156">
        <v>44613.0</v>
      </c>
    </row>
    <row r="8">
      <c r="A8" s="1097">
        <v>4.0</v>
      </c>
      <c r="B8" s="1097" t="s">
        <v>5759</v>
      </c>
      <c r="C8" s="1097">
        <v>1.0</v>
      </c>
      <c r="D8" s="1098">
        <v>8.9</v>
      </c>
      <c r="E8" s="1099">
        <v>1.0</v>
      </c>
      <c r="F8" s="1100" t="s">
        <v>3979</v>
      </c>
      <c r="G8" s="1097" t="s">
        <v>5760</v>
      </c>
      <c r="H8" s="1101">
        <v>44629.0</v>
      </c>
    </row>
    <row r="9">
      <c r="A9" s="162">
        <v>5.0</v>
      </c>
      <c r="B9" s="162" t="s">
        <v>5761</v>
      </c>
      <c r="C9" s="162">
        <v>1.0</v>
      </c>
      <c r="D9" s="163"/>
      <c r="E9" s="167"/>
      <c r="F9" s="259"/>
      <c r="G9" s="162" t="s">
        <v>5762</v>
      </c>
      <c r="H9" s="258">
        <v>45084.0</v>
      </c>
    </row>
    <row r="10">
      <c r="A10" s="151">
        <v>6.0</v>
      </c>
      <c r="B10" s="1102" t="s">
        <v>5763</v>
      </c>
      <c r="C10" s="160">
        <v>1.0</v>
      </c>
      <c r="D10" s="158">
        <v>9.2</v>
      </c>
      <c r="E10" s="197">
        <v>1.0</v>
      </c>
      <c r="F10" s="1103" t="s">
        <v>2117</v>
      </c>
      <c r="G10" s="160" t="s">
        <v>5758</v>
      </c>
      <c r="H10" s="1104">
        <v>45260.0</v>
      </c>
    </row>
    <row r="11">
      <c r="A11" s="135">
        <v>7.0</v>
      </c>
      <c r="B11" s="516" t="s">
        <v>2685</v>
      </c>
      <c r="C11" s="135">
        <v>1.0</v>
      </c>
      <c r="D11" s="1105">
        <v>9.8</v>
      </c>
      <c r="E11" s="1106">
        <v>1.0</v>
      </c>
      <c r="F11" s="516" t="s">
        <v>2686</v>
      </c>
      <c r="G11" s="344"/>
      <c r="H11" s="1107">
        <v>45611.0</v>
      </c>
    </row>
    <row r="12">
      <c r="A12" s="162">
        <v>8.0</v>
      </c>
      <c r="B12" s="1108" t="s">
        <v>2110</v>
      </c>
      <c r="C12" s="162">
        <v>1.0</v>
      </c>
      <c r="D12" s="163"/>
      <c r="E12" s="167">
        <v>1.0</v>
      </c>
      <c r="F12" s="1108" t="s">
        <v>2117</v>
      </c>
      <c r="G12" s="162" t="s">
        <v>5764</v>
      </c>
      <c r="H12" s="258">
        <v>46002.0</v>
      </c>
    </row>
    <row r="13">
      <c r="A13" s="151">
        <v>9.0</v>
      </c>
      <c r="B13" s="1109" t="s">
        <v>5765</v>
      </c>
      <c r="C13" s="151">
        <v>1.0</v>
      </c>
      <c r="D13" s="152"/>
      <c r="E13" s="157">
        <v>1.0</v>
      </c>
      <c r="F13" s="1109" t="s">
        <v>5766</v>
      </c>
      <c r="G13" s="151" t="s">
        <v>5767</v>
      </c>
      <c r="H13" s="156">
        <v>46002.0</v>
      </c>
    </row>
    <row r="14">
      <c r="A14" s="151">
        <v>10.0</v>
      </c>
      <c r="B14" s="151"/>
      <c r="C14" s="151"/>
      <c r="D14" s="152"/>
      <c r="E14" s="157"/>
      <c r="F14" s="525"/>
      <c r="G14" s="151"/>
      <c r="H14" s="156"/>
    </row>
    <row r="15">
      <c r="A15" s="161" t="s">
        <v>1562</v>
      </c>
      <c r="B15" s="3"/>
      <c r="C15" s="151">
        <f>sum(C5:C14)</f>
        <v>9</v>
      </c>
      <c r="D15" s="152">
        <f>SUM(D5:D14)</f>
        <v>43.8</v>
      </c>
      <c r="E15" s="157">
        <v>5.0</v>
      </c>
      <c r="F15" s="525"/>
      <c r="G15" s="155"/>
      <c r="H15" s="1110"/>
    </row>
    <row r="16">
      <c r="A16" s="1095"/>
      <c r="B16" s="1094"/>
      <c r="C16" s="1095"/>
      <c r="D16" s="1095"/>
      <c r="E16" s="1095"/>
      <c r="F16" s="1096"/>
      <c r="G16" s="1095"/>
      <c r="H16" s="1095"/>
    </row>
    <row r="17">
      <c r="A17" s="1095"/>
      <c r="B17" s="1094"/>
      <c r="C17" s="1095"/>
      <c r="D17" s="1095"/>
      <c r="E17" s="1095"/>
      <c r="F17" s="1096"/>
      <c r="G17" s="1095"/>
      <c r="H17" s="1095"/>
    </row>
    <row r="18">
      <c r="A18" s="1095"/>
      <c r="B18" s="1094"/>
      <c r="C18" s="1095"/>
      <c r="D18" s="1095"/>
      <c r="E18" s="1095"/>
      <c r="F18" s="1096"/>
      <c r="G18" s="1095"/>
      <c r="H18" s="1095"/>
    </row>
    <row r="19">
      <c r="A19" s="1095"/>
      <c r="B19" s="1094"/>
      <c r="C19" s="1095"/>
      <c r="D19" s="1095"/>
      <c r="E19" s="1095"/>
      <c r="F19" s="1096"/>
      <c r="G19" s="1095"/>
      <c r="H19" s="1095"/>
    </row>
    <row r="20">
      <c r="A20" s="145" t="s">
        <v>5768</v>
      </c>
      <c r="B20" s="2"/>
      <c r="C20" s="2"/>
      <c r="D20" s="2"/>
      <c r="E20" s="2"/>
      <c r="F20" s="2"/>
      <c r="G20" s="2"/>
      <c r="H20" s="3"/>
    </row>
    <row r="21">
      <c r="A21" s="146" t="s">
        <v>1435</v>
      </c>
      <c r="B21" s="147" t="s">
        <v>1436</v>
      </c>
      <c r="C21" s="146" t="s">
        <v>1843</v>
      </c>
      <c r="D21" s="148" t="s">
        <v>1438</v>
      </c>
      <c r="E21" s="149" t="s">
        <v>1564</v>
      </c>
      <c r="F21" s="603" t="s">
        <v>1440</v>
      </c>
      <c r="G21" s="146" t="s">
        <v>1844</v>
      </c>
      <c r="H21" s="147" t="s">
        <v>1441</v>
      </c>
    </row>
    <row r="22">
      <c r="A22" s="151">
        <v>1.0</v>
      </c>
      <c r="B22" s="151" t="s">
        <v>5769</v>
      </c>
      <c r="C22" s="151">
        <v>1.0</v>
      </c>
      <c r="D22" s="152">
        <v>8.2</v>
      </c>
      <c r="E22" s="157">
        <v>1.0</v>
      </c>
      <c r="F22" s="525"/>
      <c r="G22" s="151" t="s">
        <v>5770</v>
      </c>
      <c r="H22" s="156">
        <v>44622.0</v>
      </c>
    </row>
    <row r="23">
      <c r="A23" s="151">
        <v>2.0</v>
      </c>
      <c r="B23" s="151" t="s">
        <v>5771</v>
      </c>
      <c r="C23" s="151">
        <v>1.0</v>
      </c>
      <c r="D23" s="152">
        <v>10.6</v>
      </c>
      <c r="E23" s="157">
        <v>1.0</v>
      </c>
      <c r="F23" s="525"/>
      <c r="G23" s="151" t="s">
        <v>5772</v>
      </c>
      <c r="H23" s="156">
        <v>44643.0</v>
      </c>
    </row>
    <row r="24">
      <c r="A24" s="151">
        <v>3.0</v>
      </c>
      <c r="B24" s="253" t="s">
        <v>5773</v>
      </c>
      <c r="C24" s="151">
        <v>1.0</v>
      </c>
      <c r="D24" s="152">
        <v>5.2</v>
      </c>
      <c r="E24" s="157">
        <v>1.0</v>
      </c>
      <c r="F24" s="344">
        <v>2.0073000967E10</v>
      </c>
      <c r="G24" s="151" t="s">
        <v>5774</v>
      </c>
      <c r="H24" s="156">
        <v>45017.0</v>
      </c>
    </row>
    <row r="25">
      <c r="A25" s="151">
        <v>4.0</v>
      </c>
      <c r="B25" s="1111" t="s">
        <v>5775</v>
      </c>
      <c r="C25" s="151">
        <v>1.0</v>
      </c>
      <c r="D25" s="152">
        <v>2.0</v>
      </c>
      <c r="E25" s="157">
        <v>1.0</v>
      </c>
      <c r="F25" s="344" t="s">
        <v>5776</v>
      </c>
      <c r="G25" s="151" t="s">
        <v>5777</v>
      </c>
      <c r="H25" s="156">
        <v>45026.0</v>
      </c>
    </row>
    <row r="26">
      <c r="A26" s="162">
        <v>5.0</v>
      </c>
      <c r="B26" s="1112" t="s">
        <v>5778</v>
      </c>
      <c r="C26" s="162">
        <v>1.0</v>
      </c>
      <c r="D26" s="163">
        <v>2.8</v>
      </c>
      <c r="E26" s="167">
        <v>1.0</v>
      </c>
      <c r="F26" s="240" t="s">
        <v>5779</v>
      </c>
      <c r="G26" s="162" t="s">
        <v>5780</v>
      </c>
      <c r="H26" s="162" t="s">
        <v>5781</v>
      </c>
    </row>
    <row r="27">
      <c r="A27" s="151">
        <v>6.0</v>
      </c>
      <c r="B27" s="151" t="s">
        <v>5782</v>
      </c>
      <c r="C27" s="151">
        <v>1.0</v>
      </c>
      <c r="D27" s="152">
        <v>4.3</v>
      </c>
      <c r="E27" s="157">
        <v>1.0</v>
      </c>
      <c r="F27" s="1113" t="s">
        <v>5783</v>
      </c>
      <c r="G27" s="151" t="s">
        <v>13</v>
      </c>
      <c r="H27" s="156">
        <v>45180.0</v>
      </c>
    </row>
    <row r="28">
      <c r="A28" s="151">
        <v>7.0</v>
      </c>
      <c r="B28" s="151" t="s">
        <v>5784</v>
      </c>
      <c r="C28" s="151">
        <v>1.0</v>
      </c>
      <c r="D28" s="152">
        <v>6.3</v>
      </c>
      <c r="E28" s="157">
        <v>1.0</v>
      </c>
      <c r="F28" s="525" t="s">
        <v>5785</v>
      </c>
      <c r="G28" s="151" t="s">
        <v>5786</v>
      </c>
      <c r="H28" s="255">
        <v>46041.0</v>
      </c>
    </row>
    <row r="29">
      <c r="A29" s="214">
        <v>8.0</v>
      </c>
      <c r="B29" s="214" t="s">
        <v>4829</v>
      </c>
      <c r="C29" s="214">
        <v>1.0</v>
      </c>
      <c r="D29" s="215">
        <v>5.0</v>
      </c>
      <c r="E29" s="216">
        <v>1.0</v>
      </c>
      <c r="F29" s="858" t="s">
        <v>4830</v>
      </c>
      <c r="G29" s="214" t="s">
        <v>5787</v>
      </c>
      <c r="H29" s="859">
        <v>46078.0</v>
      </c>
    </row>
    <row r="30">
      <c r="A30" s="151">
        <v>9.0</v>
      </c>
      <c r="B30" s="151"/>
      <c r="C30" s="151"/>
      <c r="D30" s="152"/>
      <c r="E30" s="157"/>
      <c r="F30" s="1114"/>
      <c r="G30" s="151"/>
      <c r="H30" s="156"/>
    </row>
    <row r="31">
      <c r="A31" s="151">
        <v>10.0</v>
      </c>
      <c r="B31" s="151"/>
      <c r="C31" s="151"/>
      <c r="D31" s="152"/>
      <c r="E31" s="157"/>
      <c r="F31" s="525"/>
      <c r="G31" s="151"/>
      <c r="H31" s="156"/>
    </row>
    <row r="32">
      <c r="A32" s="161" t="s">
        <v>1562</v>
      </c>
      <c r="B32" s="3"/>
      <c r="C32" s="151">
        <f t="shared" ref="C32:E32" si="1">sum(C22:C31)</f>
        <v>8</v>
      </c>
      <c r="D32" s="152">
        <f t="shared" si="1"/>
        <v>44.4</v>
      </c>
      <c r="E32" s="157">
        <f t="shared" si="1"/>
        <v>8</v>
      </c>
      <c r="F32" s="525"/>
      <c r="G32" s="155"/>
      <c r="H32" s="1110"/>
    </row>
    <row r="33">
      <c r="A33" s="1095"/>
      <c r="B33" s="1094"/>
      <c r="C33" s="1095"/>
      <c r="D33" s="1095"/>
      <c r="E33" s="1095"/>
      <c r="F33" s="1096"/>
      <c r="G33" s="1095"/>
      <c r="H33" s="1095"/>
    </row>
    <row r="34">
      <c r="A34" s="1095"/>
      <c r="B34" s="1094"/>
      <c r="C34" s="1095"/>
      <c r="D34" s="1095"/>
      <c r="E34" s="1095"/>
      <c r="F34" s="1096"/>
      <c r="G34" s="1095"/>
      <c r="H34" s="1095"/>
    </row>
    <row r="35">
      <c r="A35" s="1095"/>
      <c r="B35" s="1094"/>
      <c r="C35" s="1095"/>
      <c r="D35" s="1095"/>
      <c r="F35" s="1096"/>
      <c r="G35" s="1095"/>
      <c r="H35" s="1095"/>
    </row>
    <row r="36">
      <c r="A36" s="1095"/>
      <c r="B36" s="1094"/>
      <c r="C36" s="1095"/>
      <c r="D36" s="1095"/>
      <c r="E36" s="1095"/>
      <c r="F36" s="1096"/>
      <c r="G36" s="1095"/>
      <c r="H36" s="1095"/>
    </row>
    <row r="37">
      <c r="A37" s="1095"/>
      <c r="B37" s="1094"/>
      <c r="C37" s="1095"/>
      <c r="D37" s="1095"/>
      <c r="E37" s="1095"/>
      <c r="F37" s="1096"/>
      <c r="G37" s="1095"/>
      <c r="H37" s="1095"/>
    </row>
    <row r="38">
      <c r="A38" s="145" t="s">
        <v>5788</v>
      </c>
      <c r="B38" s="2"/>
      <c r="C38" s="2"/>
      <c r="D38" s="2"/>
      <c r="E38" s="2"/>
      <c r="F38" s="2"/>
      <c r="G38" s="2"/>
      <c r="H38" s="3"/>
    </row>
    <row r="39">
      <c r="A39" s="146" t="s">
        <v>1435</v>
      </c>
      <c r="B39" s="147" t="s">
        <v>1436</v>
      </c>
      <c r="C39" s="146" t="s">
        <v>1843</v>
      </c>
      <c r="D39" s="148" t="s">
        <v>1438</v>
      </c>
      <c r="E39" s="149" t="s">
        <v>1564</v>
      </c>
      <c r="F39" s="603" t="s">
        <v>1440</v>
      </c>
      <c r="G39" s="146" t="s">
        <v>1844</v>
      </c>
      <c r="H39" s="147" t="s">
        <v>1441</v>
      </c>
    </row>
    <row r="40">
      <c r="A40" s="151">
        <v>1.0</v>
      </c>
      <c r="B40" s="151" t="s">
        <v>5789</v>
      </c>
      <c r="C40" s="151">
        <v>1.0</v>
      </c>
      <c r="D40" s="152"/>
      <c r="E40" s="157">
        <v>1.0</v>
      </c>
      <c r="F40" s="525" t="s">
        <v>5790</v>
      </c>
      <c r="G40" s="151"/>
      <c r="H40" s="156">
        <v>44630.0</v>
      </c>
    </row>
    <row r="41">
      <c r="A41" s="151">
        <v>2.0</v>
      </c>
      <c r="B41" s="151" t="s">
        <v>5771</v>
      </c>
      <c r="C41" s="151">
        <v>1.0</v>
      </c>
      <c r="D41" s="152">
        <v>10.6</v>
      </c>
      <c r="E41" s="157">
        <v>1.0</v>
      </c>
      <c r="F41" s="525"/>
      <c r="G41" s="151" t="s">
        <v>5791</v>
      </c>
      <c r="H41" s="156">
        <v>44643.0</v>
      </c>
    </row>
    <row r="42">
      <c r="A42" s="151">
        <v>3.0</v>
      </c>
      <c r="B42" s="151" t="s">
        <v>5789</v>
      </c>
      <c r="C42" s="151">
        <v>1.0</v>
      </c>
      <c r="D42" s="152"/>
      <c r="E42" s="157">
        <v>1.0</v>
      </c>
      <c r="F42" s="525"/>
      <c r="G42" s="151" t="s">
        <v>1449</v>
      </c>
      <c r="H42" s="156">
        <v>44910.0</v>
      </c>
    </row>
    <row r="43">
      <c r="A43" s="162">
        <v>4.0</v>
      </c>
      <c r="B43" s="162" t="s">
        <v>5792</v>
      </c>
      <c r="C43" s="162">
        <v>1.0</v>
      </c>
      <c r="D43" s="163"/>
      <c r="E43" s="167"/>
      <c r="F43" s="834" t="s">
        <v>5793</v>
      </c>
      <c r="G43" s="162" t="s">
        <v>5794</v>
      </c>
      <c r="H43" s="258">
        <v>45057.0</v>
      </c>
    </row>
    <row r="44">
      <c r="A44" s="162">
        <v>5.0</v>
      </c>
      <c r="B44" s="259" t="s">
        <v>1608</v>
      </c>
      <c r="C44" s="1115">
        <v>1.0</v>
      </c>
      <c r="D44" s="1116"/>
      <c r="E44" s="167"/>
      <c r="F44" s="162" t="s">
        <v>1609</v>
      </c>
      <c r="G44" s="162" t="s">
        <v>5795</v>
      </c>
      <c r="H44" s="162" t="s">
        <v>5796</v>
      </c>
    </row>
    <row r="45">
      <c r="A45" s="162">
        <v>6.0</v>
      </c>
      <c r="B45" s="259" t="s">
        <v>1611</v>
      </c>
      <c r="C45" s="1115">
        <v>1.0</v>
      </c>
      <c r="D45" s="1116"/>
      <c r="E45" s="167"/>
      <c r="F45" s="162">
        <v>100358.0</v>
      </c>
      <c r="G45" s="162" t="s">
        <v>5795</v>
      </c>
      <c r="H45" s="162" t="s">
        <v>5796</v>
      </c>
    </row>
    <row r="46">
      <c r="A46" s="162">
        <v>7.0</v>
      </c>
      <c r="B46" s="162" t="s">
        <v>5797</v>
      </c>
      <c r="C46" s="162">
        <v>1.0</v>
      </c>
      <c r="D46" s="163"/>
      <c r="E46" s="167"/>
      <c r="F46" s="1117" t="s">
        <v>2822</v>
      </c>
      <c r="G46" s="162"/>
      <c r="H46" s="258"/>
    </row>
    <row r="47">
      <c r="A47" s="151">
        <v>8.0</v>
      </c>
      <c r="B47" s="151" t="s">
        <v>1697</v>
      </c>
      <c r="C47" s="151">
        <v>1.0</v>
      </c>
      <c r="D47" s="158">
        <v>10.1</v>
      </c>
      <c r="E47" s="157">
        <v>1.0</v>
      </c>
      <c r="F47" s="525">
        <v>1.02736544957E11</v>
      </c>
      <c r="G47" s="151" t="s">
        <v>1571</v>
      </c>
      <c r="H47" s="156">
        <v>45371.0</v>
      </c>
    </row>
    <row r="48">
      <c r="A48" s="151">
        <v>9.0</v>
      </c>
      <c r="B48" s="1118" t="s">
        <v>1506</v>
      </c>
      <c r="C48" s="151">
        <v>1.0</v>
      </c>
      <c r="D48" s="152">
        <v>5.7</v>
      </c>
      <c r="E48" s="157">
        <v>1.0</v>
      </c>
      <c r="F48" s="1119" t="s">
        <v>5798</v>
      </c>
      <c r="G48" s="151" t="s">
        <v>5799</v>
      </c>
      <c r="H48" s="156">
        <v>45368.0</v>
      </c>
    </row>
    <row r="49">
      <c r="A49" s="151">
        <v>10.0</v>
      </c>
      <c r="B49" s="151" t="s">
        <v>5800</v>
      </c>
      <c r="C49" s="151">
        <v>1.0</v>
      </c>
      <c r="D49" s="152">
        <v>2.0</v>
      </c>
      <c r="E49" s="157">
        <v>1.0</v>
      </c>
      <c r="F49" s="525" t="s">
        <v>5801</v>
      </c>
      <c r="G49" s="151" t="s">
        <v>5799</v>
      </c>
      <c r="H49" s="156">
        <v>45739.0</v>
      </c>
    </row>
    <row r="50">
      <c r="A50" s="161" t="s">
        <v>1562</v>
      </c>
      <c r="B50" s="3"/>
      <c r="C50" s="151">
        <f t="shared" ref="C50:E50" si="2">sum(C40:C49)</f>
        <v>10</v>
      </c>
      <c r="D50" s="152">
        <f t="shared" si="2"/>
        <v>28.4</v>
      </c>
      <c r="E50" s="157">
        <f t="shared" si="2"/>
        <v>6</v>
      </c>
      <c r="F50" s="525"/>
      <c r="G50" s="155"/>
      <c r="H50" s="151"/>
    </row>
    <row r="51">
      <c r="A51" s="1095"/>
      <c r="B51" s="1094"/>
      <c r="C51" s="1095"/>
      <c r="D51" s="1095"/>
      <c r="E51" s="1095"/>
      <c r="F51" s="1096"/>
      <c r="G51" s="1095"/>
      <c r="H51" s="1095"/>
    </row>
    <row r="52">
      <c r="A52" s="1095"/>
      <c r="B52" s="1094"/>
      <c r="C52" s="1095"/>
      <c r="D52" s="1095"/>
      <c r="E52" s="1095"/>
      <c r="F52" s="1096"/>
      <c r="G52" s="1095"/>
      <c r="H52" s="1095"/>
    </row>
    <row r="53">
      <c r="A53" s="1095"/>
      <c r="B53" s="1094"/>
      <c r="C53" s="1095"/>
      <c r="D53" s="1095"/>
      <c r="E53" s="1095"/>
      <c r="F53" s="1096"/>
      <c r="G53" s="1095"/>
      <c r="H53" s="1095"/>
    </row>
    <row r="54">
      <c r="A54" s="1095"/>
      <c r="B54" s="1094"/>
      <c r="C54" s="1095"/>
      <c r="D54" s="1095"/>
      <c r="E54" s="1095"/>
      <c r="F54" s="1096"/>
      <c r="G54" s="1095"/>
      <c r="H54" s="1095"/>
    </row>
    <row r="55">
      <c r="A55" s="1095"/>
      <c r="B55" s="1094"/>
      <c r="C55" s="1095"/>
      <c r="D55" s="1095"/>
      <c r="E55" s="1095"/>
      <c r="F55" s="1096"/>
      <c r="G55" s="1095"/>
      <c r="H55" s="1095"/>
    </row>
    <row r="56">
      <c r="A56" s="1095"/>
      <c r="B56" s="1094"/>
      <c r="C56" s="1095"/>
      <c r="D56" s="1095"/>
      <c r="E56" s="1095"/>
      <c r="F56" s="1096"/>
      <c r="G56" s="1095"/>
      <c r="H56" s="1095"/>
    </row>
    <row r="57">
      <c r="A57" s="145" t="s">
        <v>5802</v>
      </c>
      <c r="B57" s="2"/>
      <c r="C57" s="2"/>
      <c r="D57" s="2"/>
      <c r="E57" s="2"/>
      <c r="F57" s="2"/>
      <c r="G57" s="2"/>
      <c r="H57" s="3"/>
    </row>
    <row r="58">
      <c r="A58" s="146" t="s">
        <v>1435</v>
      </c>
      <c r="B58" s="147" t="s">
        <v>1436</v>
      </c>
      <c r="C58" s="146" t="s">
        <v>1843</v>
      </c>
      <c r="D58" s="148" t="s">
        <v>1438</v>
      </c>
      <c r="E58" s="149" t="s">
        <v>1564</v>
      </c>
      <c r="F58" s="603" t="s">
        <v>1440</v>
      </c>
      <c r="G58" s="146" t="s">
        <v>1844</v>
      </c>
      <c r="H58" s="147" t="s">
        <v>1441</v>
      </c>
    </row>
    <row r="59">
      <c r="A59" s="151">
        <v>1.0</v>
      </c>
      <c r="C59" s="151"/>
      <c r="D59" s="152"/>
      <c r="E59" s="157"/>
      <c r="F59" s="525"/>
      <c r="G59" s="151"/>
      <c r="H59" s="156"/>
    </row>
    <row r="60">
      <c r="A60" s="151">
        <v>2.0</v>
      </c>
      <c r="B60" s="200"/>
      <c r="C60" s="201"/>
      <c r="D60" s="1120"/>
      <c r="E60" s="197"/>
      <c r="F60" s="160"/>
      <c r="G60" s="160"/>
      <c r="H60" s="160"/>
    </row>
    <row r="61">
      <c r="A61" s="151">
        <v>3.0</v>
      </c>
      <c r="B61" s="200"/>
      <c r="C61" s="201"/>
      <c r="D61" s="1120"/>
      <c r="E61" s="197"/>
      <c r="F61" s="160"/>
      <c r="G61" s="160"/>
      <c r="H61" s="160"/>
    </row>
    <row r="62">
      <c r="A62" s="151">
        <v>4.0</v>
      </c>
      <c r="B62" s="151"/>
      <c r="C62" s="151"/>
      <c r="D62" s="152"/>
      <c r="E62" s="157"/>
      <c r="F62" s="525"/>
      <c r="G62" s="151"/>
      <c r="H62" s="156"/>
    </row>
    <row r="63">
      <c r="A63" s="151">
        <v>5.0</v>
      </c>
      <c r="B63" s="151"/>
      <c r="C63" s="151"/>
      <c r="D63" s="152"/>
      <c r="E63" s="157"/>
      <c r="F63" s="525"/>
      <c r="G63" s="151"/>
      <c r="H63" s="156"/>
    </row>
    <row r="64">
      <c r="A64" s="151">
        <v>6.0</v>
      </c>
      <c r="B64" s="151"/>
      <c r="C64" s="151"/>
      <c r="D64" s="152"/>
      <c r="E64" s="157"/>
      <c r="F64" s="525"/>
      <c r="G64" s="151"/>
      <c r="H64" s="156"/>
    </row>
    <row r="65">
      <c r="A65" s="151">
        <v>7.0</v>
      </c>
      <c r="B65" s="151"/>
      <c r="C65" s="151"/>
      <c r="D65" s="152"/>
      <c r="E65" s="157"/>
      <c r="F65" s="525"/>
      <c r="G65" s="151"/>
      <c r="H65" s="156"/>
    </row>
    <row r="66">
      <c r="A66" s="151">
        <v>8.0</v>
      </c>
      <c r="B66" s="151"/>
      <c r="C66" s="151"/>
      <c r="D66" s="152"/>
      <c r="E66" s="157"/>
      <c r="F66" s="525"/>
      <c r="G66" s="151"/>
      <c r="H66" s="156"/>
    </row>
    <row r="67">
      <c r="A67" s="151">
        <v>9.0</v>
      </c>
      <c r="B67" s="151"/>
      <c r="C67" s="151"/>
      <c r="D67" s="152"/>
      <c r="E67" s="157"/>
      <c r="F67" s="525"/>
      <c r="G67" s="151"/>
      <c r="H67" s="156"/>
    </row>
    <row r="68">
      <c r="A68" s="151">
        <v>10.0</v>
      </c>
      <c r="B68" s="151"/>
      <c r="C68" s="151"/>
      <c r="D68" s="152"/>
      <c r="E68" s="157"/>
      <c r="F68" s="525"/>
      <c r="G68" s="151"/>
      <c r="H68" s="156"/>
    </row>
    <row r="69">
      <c r="A69" s="161" t="s">
        <v>1562</v>
      </c>
      <c r="B69" s="3"/>
      <c r="C69" s="151">
        <f t="shared" ref="C69:E69" si="3">sum(C59:C68)</f>
        <v>0</v>
      </c>
      <c r="D69" s="152">
        <f t="shared" si="3"/>
        <v>0</v>
      </c>
      <c r="E69" s="157">
        <f t="shared" si="3"/>
        <v>0</v>
      </c>
      <c r="F69" s="525"/>
      <c r="G69" s="155"/>
      <c r="H69" s="1110"/>
    </row>
    <row r="70">
      <c r="A70" s="1095"/>
      <c r="B70" s="1094"/>
      <c r="C70" s="1095"/>
      <c r="D70" s="1095"/>
      <c r="E70" s="1095"/>
      <c r="F70" s="1096"/>
      <c r="G70" s="1095"/>
      <c r="H70" s="1095"/>
    </row>
    <row r="71">
      <c r="A71" s="1095"/>
      <c r="B71" s="1094"/>
      <c r="C71" s="1095"/>
      <c r="D71" s="1095"/>
      <c r="E71" s="1095"/>
      <c r="F71" s="1096"/>
      <c r="G71" s="1095"/>
      <c r="H71" s="1095"/>
    </row>
    <row r="72">
      <c r="A72" s="1095"/>
      <c r="B72" s="1094"/>
      <c r="C72" s="1095"/>
      <c r="D72" s="1095"/>
      <c r="E72" s="1095"/>
      <c r="F72" s="1096"/>
      <c r="G72" s="1095"/>
      <c r="H72" s="1095"/>
    </row>
    <row r="73">
      <c r="A73" s="1095"/>
      <c r="B73" s="1094"/>
      <c r="C73" s="1095"/>
      <c r="D73" s="1095"/>
      <c r="E73" s="1095"/>
      <c r="F73" s="1096"/>
      <c r="G73" s="1095"/>
      <c r="H73" s="1095"/>
    </row>
    <row r="74">
      <c r="A74" s="1095"/>
      <c r="B74" s="1094"/>
      <c r="C74" s="1095"/>
      <c r="D74" s="1095"/>
      <c r="E74" s="1095"/>
      <c r="F74" s="1096"/>
      <c r="G74" s="1095"/>
      <c r="H74" s="1095"/>
    </row>
    <row r="75">
      <c r="A75" s="145" t="s">
        <v>5803</v>
      </c>
      <c r="B75" s="2"/>
      <c r="C75" s="2"/>
      <c r="D75" s="2"/>
      <c r="E75" s="2"/>
      <c r="F75" s="2"/>
      <c r="G75" s="2"/>
      <c r="H75" s="3"/>
    </row>
    <row r="76">
      <c r="A76" s="146" t="s">
        <v>1435</v>
      </c>
      <c r="B76" s="147" t="s">
        <v>1436</v>
      </c>
      <c r="C76" s="146" t="s">
        <v>1843</v>
      </c>
      <c r="D76" s="148" t="s">
        <v>1438</v>
      </c>
      <c r="E76" s="149" t="s">
        <v>1564</v>
      </c>
      <c r="F76" s="603" t="s">
        <v>1440</v>
      </c>
      <c r="G76" s="146" t="s">
        <v>1844</v>
      </c>
      <c r="H76" s="147" t="s">
        <v>1441</v>
      </c>
    </row>
    <row r="77">
      <c r="A77" s="151">
        <v>1.0</v>
      </c>
      <c r="B77" s="151" t="s">
        <v>1697</v>
      </c>
      <c r="C77" s="151">
        <v>1.0</v>
      </c>
      <c r="D77" s="152">
        <v>8.8</v>
      </c>
      <c r="E77" s="157">
        <v>1.0</v>
      </c>
      <c r="F77" s="525" t="s">
        <v>5804</v>
      </c>
      <c r="G77" s="151" t="s">
        <v>1571</v>
      </c>
      <c r="H77" s="156">
        <v>44642.0</v>
      </c>
    </row>
    <row r="78">
      <c r="A78" s="162">
        <v>2.0</v>
      </c>
      <c r="B78" s="162" t="s">
        <v>5805</v>
      </c>
      <c r="C78" s="162">
        <v>2.0</v>
      </c>
      <c r="D78" s="163">
        <v>17.7</v>
      </c>
      <c r="E78" s="167">
        <v>4.0</v>
      </c>
      <c r="F78" s="259"/>
      <c r="G78" s="162" t="s">
        <v>1571</v>
      </c>
      <c r="H78" s="162" t="s">
        <v>5806</v>
      </c>
    </row>
    <row r="79">
      <c r="A79" s="151">
        <v>3.0</v>
      </c>
      <c r="B79" s="1121" t="s">
        <v>1741</v>
      </c>
      <c r="C79" s="1122">
        <v>1.0</v>
      </c>
      <c r="D79" s="1123">
        <v>11.0</v>
      </c>
      <c r="E79" s="387">
        <v>1.0</v>
      </c>
      <c r="F79" s="875" t="s">
        <v>2151</v>
      </c>
      <c r="G79" s="151" t="s">
        <v>5807</v>
      </c>
      <c r="H79" s="155">
        <v>44673.0</v>
      </c>
    </row>
    <row r="80">
      <c r="A80" s="162">
        <v>4.0</v>
      </c>
      <c r="B80" s="162" t="s">
        <v>2007</v>
      </c>
      <c r="C80" s="162">
        <v>1.0</v>
      </c>
      <c r="D80" s="163">
        <v>2.8</v>
      </c>
      <c r="E80" s="167">
        <v>1.0</v>
      </c>
      <c r="F80" s="259" t="s">
        <v>5808</v>
      </c>
      <c r="G80" s="162" t="s">
        <v>546</v>
      </c>
      <c r="H80" s="162" t="s">
        <v>5809</v>
      </c>
    </row>
    <row r="81">
      <c r="A81" s="151">
        <v>5.0</v>
      </c>
      <c r="B81" s="1121" t="s">
        <v>1797</v>
      </c>
      <c r="C81" s="151">
        <v>1.0</v>
      </c>
      <c r="D81" s="152">
        <v>7.7</v>
      </c>
      <c r="E81" s="157">
        <v>1.0</v>
      </c>
      <c r="F81" s="525"/>
      <c r="G81" s="151" t="s">
        <v>1571</v>
      </c>
      <c r="H81" s="156">
        <v>45084.0</v>
      </c>
    </row>
    <row r="82">
      <c r="A82" s="162">
        <v>6.0</v>
      </c>
      <c r="B82" s="162" t="s">
        <v>3673</v>
      </c>
      <c r="C82" s="162">
        <v>2.0</v>
      </c>
      <c r="D82" s="163">
        <v>5.0</v>
      </c>
      <c r="E82" s="167">
        <v>1.0</v>
      </c>
      <c r="F82" s="259"/>
      <c r="G82" s="162" t="s">
        <v>1571</v>
      </c>
      <c r="H82" s="162" t="s">
        <v>5810</v>
      </c>
    </row>
    <row r="83">
      <c r="A83" s="151">
        <v>7.0</v>
      </c>
      <c r="B83" s="151" t="s">
        <v>5811</v>
      </c>
      <c r="C83" s="151">
        <v>1.0</v>
      </c>
      <c r="D83" s="152">
        <v>7.7</v>
      </c>
      <c r="E83" s="157">
        <v>1.0</v>
      </c>
      <c r="F83" s="525"/>
      <c r="G83" s="151" t="s">
        <v>1571</v>
      </c>
      <c r="H83" s="156"/>
    </row>
    <row r="84">
      <c r="A84" s="1097">
        <v>8.0</v>
      </c>
      <c r="B84" s="1097" t="s">
        <v>2798</v>
      </c>
      <c r="C84" s="1097">
        <v>1.0</v>
      </c>
      <c r="D84" s="1098">
        <v>8.8</v>
      </c>
      <c r="E84" s="1099">
        <v>1.0</v>
      </c>
      <c r="F84" s="1097">
        <v>1.02376092692E11</v>
      </c>
      <c r="G84" s="1097" t="s">
        <v>5812</v>
      </c>
      <c r="H84" s="1101">
        <v>45632.0</v>
      </c>
    </row>
    <row r="85">
      <c r="A85" s="162">
        <v>9.0</v>
      </c>
      <c r="B85" s="162" t="s">
        <v>1697</v>
      </c>
      <c r="C85" s="162">
        <v>1.0</v>
      </c>
      <c r="D85" s="163">
        <v>8.8</v>
      </c>
      <c r="E85" s="167">
        <v>1.0</v>
      </c>
      <c r="F85" s="259"/>
      <c r="G85" s="162" t="s">
        <v>5813</v>
      </c>
      <c r="H85" s="258">
        <v>45678.0</v>
      </c>
    </row>
    <row r="86">
      <c r="A86" s="151">
        <v>10.0</v>
      </c>
      <c r="B86" s="151"/>
      <c r="C86" s="151"/>
      <c r="D86" s="152"/>
      <c r="E86" s="157"/>
      <c r="F86" s="525"/>
      <c r="H86" s="156"/>
    </row>
    <row r="87">
      <c r="A87" s="161" t="s">
        <v>1562</v>
      </c>
      <c r="B87" s="3"/>
      <c r="C87" s="151">
        <f t="shared" ref="C87:E87" si="4">sum(C77:C86)</f>
        <v>11</v>
      </c>
      <c r="D87" s="152">
        <f t="shared" si="4"/>
        <v>78.3</v>
      </c>
      <c r="E87" s="157">
        <f t="shared" si="4"/>
        <v>12</v>
      </c>
      <c r="F87" s="525"/>
      <c r="G87" s="155"/>
      <c r="H87" s="1110"/>
    </row>
    <row r="88">
      <c r="A88" s="1095"/>
      <c r="B88" s="1094"/>
      <c r="C88" s="1095"/>
      <c r="D88" s="1095"/>
      <c r="E88" s="1095"/>
      <c r="F88" s="1096"/>
      <c r="G88" s="1095"/>
      <c r="H88" s="1095"/>
    </row>
    <row r="89">
      <c r="A89" s="145" t="s">
        <v>5814</v>
      </c>
      <c r="B89" s="2"/>
      <c r="C89" s="2"/>
      <c r="D89" s="2"/>
      <c r="E89" s="2"/>
      <c r="F89" s="2"/>
      <c r="G89" s="2"/>
      <c r="H89" s="3"/>
    </row>
    <row r="90">
      <c r="A90" s="146" t="s">
        <v>1435</v>
      </c>
      <c r="B90" s="147" t="s">
        <v>1436</v>
      </c>
      <c r="C90" s="146" t="s">
        <v>1843</v>
      </c>
      <c r="D90" s="148" t="s">
        <v>1438</v>
      </c>
      <c r="E90" s="149" t="s">
        <v>1564</v>
      </c>
      <c r="F90" s="146" t="s">
        <v>1440</v>
      </c>
      <c r="G90" s="146" t="s">
        <v>1844</v>
      </c>
      <c r="H90" s="147" t="s">
        <v>1441</v>
      </c>
    </row>
    <row r="91">
      <c r="A91" s="151">
        <v>1.0</v>
      </c>
      <c r="B91" s="151" t="s">
        <v>3349</v>
      </c>
      <c r="C91" s="151">
        <v>1.0</v>
      </c>
      <c r="D91" s="1124">
        <v>1.7</v>
      </c>
      <c r="E91" s="157">
        <v>1.0</v>
      </c>
      <c r="F91" s="151" t="s">
        <v>5815</v>
      </c>
      <c r="G91" s="151" t="s">
        <v>5816</v>
      </c>
      <c r="H91" s="1125">
        <v>44847.0</v>
      </c>
    </row>
    <row r="92">
      <c r="A92" s="1126">
        <v>2.0</v>
      </c>
      <c r="B92" s="1126" t="s">
        <v>3105</v>
      </c>
      <c r="C92" s="1126"/>
      <c r="D92" s="1127"/>
      <c r="E92" s="1128"/>
      <c r="F92" s="1129" t="s">
        <v>3106</v>
      </c>
      <c r="G92" s="1126" t="s">
        <v>5817</v>
      </c>
      <c r="H92" s="1130">
        <v>44924.0</v>
      </c>
    </row>
    <row r="93">
      <c r="A93" s="1126">
        <v>3.0</v>
      </c>
      <c r="B93" s="1126" t="s">
        <v>1620</v>
      </c>
      <c r="C93" s="1126"/>
      <c r="D93" s="1127"/>
      <c r="E93" s="1128"/>
      <c r="F93" s="1126" t="s">
        <v>3108</v>
      </c>
      <c r="G93" s="1126" t="s">
        <v>5817</v>
      </c>
      <c r="H93" s="1130">
        <v>44924.0</v>
      </c>
    </row>
    <row r="94">
      <c r="A94" s="211">
        <v>4.0</v>
      </c>
      <c r="B94" s="211" t="s">
        <v>5818</v>
      </c>
      <c r="C94" s="211">
        <v>1.0</v>
      </c>
      <c r="D94" s="260">
        <v>2.8</v>
      </c>
      <c r="E94" s="252">
        <v>1.0</v>
      </c>
      <c r="F94" s="211" t="s">
        <v>5819</v>
      </c>
      <c r="G94" s="211" t="s">
        <v>5820</v>
      </c>
      <c r="H94" s="1131">
        <v>44938.0</v>
      </c>
    </row>
    <row r="95">
      <c r="A95" s="162">
        <v>5.0</v>
      </c>
      <c r="B95" s="162" t="s">
        <v>5818</v>
      </c>
      <c r="C95" s="162">
        <v>1.0</v>
      </c>
      <c r="D95" s="163">
        <v>2.8</v>
      </c>
      <c r="E95" s="167">
        <v>1.0</v>
      </c>
      <c r="F95" s="1132"/>
      <c r="G95" s="1133" t="s">
        <v>5821</v>
      </c>
      <c r="H95" s="1134">
        <v>44959.0</v>
      </c>
    </row>
    <row r="96">
      <c r="A96" s="162">
        <v>6.0</v>
      </c>
      <c r="B96" s="261" t="s">
        <v>5822</v>
      </c>
      <c r="C96" s="162"/>
      <c r="D96" s="163"/>
      <c r="E96" s="167"/>
      <c r="F96" s="1132" t="s">
        <v>5823</v>
      </c>
      <c r="G96" s="1133" t="s">
        <v>5824</v>
      </c>
      <c r="H96" s="1134">
        <v>44961.0</v>
      </c>
    </row>
    <row r="97">
      <c r="A97" s="151">
        <v>7.0</v>
      </c>
      <c r="B97" s="1135" t="s">
        <v>5825</v>
      </c>
      <c r="C97" s="151">
        <v>1.0</v>
      </c>
      <c r="D97" s="152">
        <v>2.2</v>
      </c>
      <c r="E97" s="157">
        <v>1.0</v>
      </c>
      <c r="F97" s="1136" t="s">
        <v>5826</v>
      </c>
      <c r="G97" s="1137" t="s">
        <v>5827</v>
      </c>
      <c r="H97" s="1125">
        <v>44961.0</v>
      </c>
    </row>
    <row r="98">
      <c r="A98" s="162">
        <v>8.0</v>
      </c>
      <c r="B98" s="162" t="s">
        <v>5828</v>
      </c>
      <c r="C98" s="162"/>
      <c r="D98" s="163"/>
      <c r="E98" s="167"/>
      <c r="F98" s="261" t="s">
        <v>5829</v>
      </c>
      <c r="G98" s="162" t="s">
        <v>5830</v>
      </c>
      <c r="H98" s="162" t="s">
        <v>5831</v>
      </c>
    </row>
    <row r="99">
      <c r="A99" s="151">
        <v>9.0</v>
      </c>
      <c r="B99" s="1138" t="s">
        <v>5832</v>
      </c>
      <c r="C99" s="151">
        <v>1.0</v>
      </c>
      <c r="D99" s="152">
        <v>2.8</v>
      </c>
      <c r="E99" s="157">
        <v>1.0</v>
      </c>
      <c r="F99" s="1139" t="s">
        <v>5833</v>
      </c>
      <c r="G99" s="211" t="s">
        <v>5820</v>
      </c>
      <c r="H99" s="1125">
        <v>45093.0</v>
      </c>
    </row>
    <row r="100">
      <c r="A100" s="162">
        <v>10.0</v>
      </c>
      <c r="B100" s="162" t="s">
        <v>5834</v>
      </c>
      <c r="C100" s="162">
        <v>1.0</v>
      </c>
      <c r="D100" s="163">
        <v>2.0</v>
      </c>
      <c r="E100" s="167">
        <v>1.0</v>
      </c>
      <c r="F100" s="162">
        <v>7.80088096861744E14</v>
      </c>
      <c r="G100" s="162" t="s">
        <v>5835</v>
      </c>
      <c r="H100" s="162" t="s">
        <v>5836</v>
      </c>
    </row>
    <row r="101">
      <c r="A101" s="151">
        <v>11.0</v>
      </c>
      <c r="B101" s="1140" t="s">
        <v>2198</v>
      </c>
      <c r="C101" s="151">
        <v>1.0</v>
      </c>
      <c r="D101" s="152">
        <v>2.0</v>
      </c>
      <c r="E101" s="157">
        <v>1.0</v>
      </c>
      <c r="F101" s="1141" t="s">
        <v>5837</v>
      </c>
      <c r="G101" s="151" t="s">
        <v>5838</v>
      </c>
      <c r="H101" s="1125">
        <v>45135.0</v>
      </c>
    </row>
    <row r="102">
      <c r="A102" s="162">
        <v>12.0</v>
      </c>
      <c r="B102" s="1142" t="s">
        <v>3140</v>
      </c>
      <c r="C102" s="162"/>
      <c r="D102" s="163"/>
      <c r="E102" s="167"/>
      <c r="F102" s="1143" t="s">
        <v>3141</v>
      </c>
      <c r="G102" s="162" t="s">
        <v>5839</v>
      </c>
      <c r="H102" s="1134" t="s">
        <v>5840</v>
      </c>
    </row>
    <row r="103">
      <c r="A103" s="162">
        <v>13.0</v>
      </c>
      <c r="B103" s="1142" t="s">
        <v>5841</v>
      </c>
      <c r="C103" s="162"/>
      <c r="D103" s="163"/>
      <c r="E103" s="167"/>
      <c r="F103" s="1143" t="s">
        <v>5842</v>
      </c>
      <c r="G103" s="162" t="s">
        <v>5838</v>
      </c>
      <c r="H103" s="162" t="s">
        <v>5843</v>
      </c>
    </row>
    <row r="104">
      <c r="A104" s="259">
        <v>14.0</v>
      </c>
      <c r="B104" s="1144" t="s">
        <v>5825</v>
      </c>
      <c r="C104" s="259">
        <v>1.0</v>
      </c>
      <c r="D104" s="530">
        <v>2.2</v>
      </c>
      <c r="E104" s="531">
        <v>1.0</v>
      </c>
      <c r="F104" s="1145" t="s">
        <v>5844</v>
      </c>
      <c r="G104" s="259" t="s">
        <v>5845</v>
      </c>
      <c r="H104" s="259" t="s">
        <v>5846</v>
      </c>
    </row>
    <row r="105">
      <c r="A105" s="162">
        <v>15.0</v>
      </c>
      <c r="B105" s="1132" t="s">
        <v>2204</v>
      </c>
      <c r="C105" s="162"/>
      <c r="D105" s="163"/>
      <c r="E105" s="167"/>
      <c r="F105" s="1142" t="s">
        <v>5847</v>
      </c>
      <c r="G105" s="162" t="s">
        <v>5848</v>
      </c>
      <c r="H105" s="162" t="s">
        <v>5849</v>
      </c>
    </row>
    <row r="106">
      <c r="A106" s="162">
        <v>16.0</v>
      </c>
      <c r="B106" s="162" t="s">
        <v>3349</v>
      </c>
      <c r="C106" s="162"/>
      <c r="D106" s="163"/>
      <c r="E106" s="167"/>
      <c r="F106" s="162" t="s">
        <v>5850</v>
      </c>
      <c r="G106" s="162" t="s">
        <v>5851</v>
      </c>
      <c r="H106" s="162" t="s">
        <v>5852</v>
      </c>
    </row>
    <row r="107">
      <c r="A107" s="162">
        <v>17.0</v>
      </c>
      <c r="B107" s="1146" t="s">
        <v>2954</v>
      </c>
      <c r="C107" s="162">
        <v>1.0</v>
      </c>
      <c r="D107" s="163">
        <v>2.2</v>
      </c>
      <c r="E107" s="167">
        <v>1.0</v>
      </c>
      <c r="F107" s="162" t="s">
        <v>5853</v>
      </c>
      <c r="G107" s="162" t="s">
        <v>5851</v>
      </c>
      <c r="H107" s="162" t="s">
        <v>5854</v>
      </c>
    </row>
    <row r="108">
      <c r="A108" s="151">
        <v>18.0</v>
      </c>
      <c r="B108" s="1147" t="s">
        <v>1652</v>
      </c>
      <c r="C108" s="151">
        <v>1.0</v>
      </c>
      <c r="D108" s="152">
        <v>2.0</v>
      </c>
      <c r="E108" s="157">
        <v>1.0</v>
      </c>
      <c r="F108" s="1147" t="s">
        <v>5855</v>
      </c>
      <c r="G108" s="1148" t="s">
        <v>5838</v>
      </c>
      <c r="H108" s="1125">
        <v>45379.0</v>
      </c>
    </row>
    <row r="109">
      <c r="A109" s="162">
        <v>19.0</v>
      </c>
      <c r="B109" s="162" t="s">
        <v>5856</v>
      </c>
      <c r="C109" s="162">
        <v>1.0</v>
      </c>
      <c r="D109" s="163">
        <v>2.0</v>
      </c>
      <c r="E109" s="167">
        <v>1.0</v>
      </c>
      <c r="F109" s="1149" t="s">
        <v>5857</v>
      </c>
      <c r="G109" s="162" t="s">
        <v>5858</v>
      </c>
      <c r="H109" s="162" t="s">
        <v>5859</v>
      </c>
    </row>
    <row r="110">
      <c r="A110" s="162">
        <v>20.0</v>
      </c>
      <c r="B110" s="162" t="s">
        <v>5856</v>
      </c>
      <c r="C110" s="162">
        <v>1.0</v>
      </c>
      <c r="D110" s="163">
        <v>2.0</v>
      </c>
      <c r="E110" s="167">
        <v>1.0</v>
      </c>
      <c r="F110" s="1150" t="s">
        <v>5860</v>
      </c>
      <c r="G110" s="162" t="s">
        <v>5861</v>
      </c>
      <c r="H110" s="1134">
        <v>45301.0</v>
      </c>
    </row>
    <row r="111">
      <c r="A111" s="211">
        <v>21.0</v>
      </c>
      <c r="B111" s="211" t="s">
        <v>3347</v>
      </c>
      <c r="C111" s="211">
        <v>1.0</v>
      </c>
      <c r="D111" s="260">
        <v>2.0</v>
      </c>
      <c r="E111" s="252">
        <v>1.0</v>
      </c>
      <c r="F111" s="1151" t="s">
        <v>5862</v>
      </c>
      <c r="G111" s="211" t="s">
        <v>5863</v>
      </c>
      <c r="H111" s="1131"/>
    </row>
    <row r="112">
      <c r="A112" s="161" t="s">
        <v>1562</v>
      </c>
      <c r="B112" s="3"/>
      <c r="C112" s="151">
        <f t="shared" ref="C112:D112" si="5">sum(C91:C109)</f>
        <v>11</v>
      </c>
      <c r="D112" s="152">
        <f t="shared" si="5"/>
        <v>24.7</v>
      </c>
      <c r="E112" s="157">
        <f>sum(E91:E111)</f>
        <v>13</v>
      </c>
      <c r="F112" s="151"/>
      <c r="G112" s="155"/>
      <c r="H112" s="1110"/>
    </row>
    <row r="113">
      <c r="A113" s="1095"/>
      <c r="B113" s="1094"/>
      <c r="C113" s="1095"/>
      <c r="D113" s="1095"/>
      <c r="E113" s="1095"/>
      <c r="F113" s="1096"/>
      <c r="G113" s="1095"/>
      <c r="H113" s="1095"/>
    </row>
    <row r="114">
      <c r="A114" s="1095"/>
      <c r="B114" s="1094"/>
      <c r="C114" s="1095"/>
      <c r="D114" s="1095"/>
      <c r="E114" s="1095"/>
      <c r="F114" s="1096"/>
      <c r="G114" s="1095"/>
      <c r="H114" s="1095"/>
    </row>
    <row r="115">
      <c r="A115" s="1095"/>
      <c r="B115" s="1094"/>
      <c r="C115" s="1095"/>
      <c r="D115" s="1095"/>
      <c r="E115" s="1095"/>
      <c r="F115" s="1096"/>
      <c r="G115" s="1095"/>
      <c r="H115" s="1095"/>
    </row>
    <row r="116">
      <c r="A116" s="1095"/>
      <c r="B116" s="1094"/>
      <c r="C116" s="1095"/>
      <c r="D116" s="1095"/>
      <c r="E116" s="1095"/>
      <c r="F116" s="1096"/>
      <c r="G116" s="1095"/>
      <c r="H116" s="1095"/>
    </row>
    <row r="117">
      <c r="A117" s="1095"/>
      <c r="B117" s="1094"/>
      <c r="C117" s="1095"/>
      <c r="D117" s="1095"/>
      <c r="E117" s="1095"/>
      <c r="F117" s="1096"/>
      <c r="G117" s="1095"/>
      <c r="H117" s="1095"/>
    </row>
    <row r="118">
      <c r="A118" s="1095"/>
      <c r="B118" s="1094"/>
      <c r="C118" s="1095"/>
      <c r="D118" s="1095"/>
      <c r="E118" s="1095"/>
      <c r="F118" s="1096"/>
      <c r="G118" s="1095"/>
      <c r="H118" s="1095"/>
    </row>
    <row r="119">
      <c r="A119" s="1095"/>
      <c r="B119" s="1094"/>
      <c r="C119" s="1095"/>
      <c r="D119" s="1095"/>
      <c r="E119" s="1095"/>
      <c r="F119" s="1096"/>
      <c r="G119" s="1095"/>
      <c r="H119" s="1095"/>
    </row>
    <row r="120">
      <c r="A120" s="1095"/>
      <c r="B120" s="1094"/>
      <c r="C120" s="1095"/>
      <c r="D120" s="1095"/>
      <c r="E120" s="1095"/>
      <c r="F120" s="1096"/>
      <c r="G120" s="1095"/>
      <c r="H120" s="1095"/>
    </row>
    <row r="121">
      <c r="A121" s="1095"/>
      <c r="B121" s="1094"/>
      <c r="C121" s="1095"/>
      <c r="D121" s="1095"/>
      <c r="E121" s="1095"/>
      <c r="F121" s="1096"/>
      <c r="G121" s="1095"/>
      <c r="H121" s="1095"/>
    </row>
    <row r="122">
      <c r="A122" s="1095"/>
      <c r="B122" s="1094"/>
      <c r="C122" s="1095"/>
      <c r="D122" s="1095"/>
      <c r="E122" s="1095"/>
      <c r="F122" s="1096"/>
      <c r="G122" s="1095"/>
      <c r="H122" s="1095"/>
    </row>
    <row r="123">
      <c r="A123" s="1095"/>
      <c r="B123" s="1094"/>
      <c r="C123" s="1095"/>
      <c r="D123" s="1095"/>
      <c r="E123" s="1095"/>
      <c r="F123" s="1096"/>
      <c r="G123" s="1095"/>
      <c r="H123" s="1095"/>
    </row>
    <row r="124">
      <c r="A124" s="1095"/>
      <c r="B124" s="1094"/>
      <c r="C124" s="1095"/>
      <c r="D124" s="1095"/>
      <c r="E124" s="1095"/>
      <c r="F124" s="1096"/>
      <c r="G124" s="1095"/>
      <c r="H124" s="1095"/>
    </row>
    <row r="125">
      <c r="A125" s="1095"/>
      <c r="B125" s="1094"/>
      <c r="C125" s="1095"/>
      <c r="D125" s="1095"/>
      <c r="E125" s="1095"/>
      <c r="F125" s="1096"/>
      <c r="G125" s="1095"/>
      <c r="H125" s="1095"/>
    </row>
    <row r="126">
      <c r="A126" s="1095"/>
      <c r="B126" s="1094"/>
      <c r="C126" s="1095"/>
      <c r="D126" s="1095"/>
      <c r="E126" s="1095"/>
      <c r="F126" s="1096"/>
      <c r="G126" s="1095"/>
      <c r="H126" s="1095"/>
    </row>
    <row r="127">
      <c r="A127" s="1095"/>
      <c r="B127" s="1094"/>
      <c r="C127" s="1095"/>
      <c r="D127" s="1095"/>
      <c r="E127" s="1095"/>
      <c r="F127" s="1096"/>
      <c r="G127" s="1095"/>
      <c r="H127" s="1095"/>
    </row>
    <row r="128">
      <c r="A128" s="1095"/>
      <c r="B128" s="1094"/>
      <c r="C128" s="1095"/>
      <c r="D128" s="1095"/>
      <c r="E128" s="1095"/>
      <c r="F128" s="1096"/>
      <c r="G128" s="1095"/>
      <c r="H128" s="1095"/>
    </row>
    <row r="129">
      <c r="A129" s="1095"/>
      <c r="B129" s="1094"/>
      <c r="C129" s="1095"/>
      <c r="D129" s="1095"/>
      <c r="E129" s="1095"/>
      <c r="F129" s="1096"/>
      <c r="G129" s="1095"/>
      <c r="H129" s="1095"/>
    </row>
    <row r="130">
      <c r="A130" s="1095"/>
      <c r="B130" s="1094"/>
      <c r="C130" s="1095"/>
      <c r="D130" s="1095"/>
      <c r="E130" s="1095"/>
      <c r="F130" s="1096"/>
      <c r="G130" s="1095"/>
      <c r="H130" s="1095"/>
    </row>
    <row r="131">
      <c r="A131" s="1095"/>
      <c r="B131" s="1094"/>
      <c r="C131" s="1095"/>
      <c r="D131" s="1095"/>
      <c r="E131" s="1095"/>
      <c r="F131" s="1096"/>
      <c r="G131" s="1095"/>
      <c r="H131" s="1095"/>
    </row>
    <row r="132">
      <c r="A132" s="1095"/>
      <c r="B132" s="1094"/>
      <c r="C132" s="1095"/>
      <c r="D132" s="1095"/>
      <c r="E132" s="1095"/>
      <c r="F132" s="1096"/>
      <c r="G132" s="1095"/>
      <c r="H132" s="1095"/>
    </row>
    <row r="133">
      <c r="A133" s="1095"/>
      <c r="B133" s="1094"/>
      <c r="C133" s="1095"/>
      <c r="D133" s="1095"/>
      <c r="E133" s="1095"/>
      <c r="F133" s="1096"/>
      <c r="G133" s="1095"/>
      <c r="H133" s="1095"/>
    </row>
    <row r="134">
      <c r="A134" s="1095"/>
      <c r="B134" s="1094"/>
      <c r="C134" s="1095"/>
      <c r="D134" s="1095"/>
      <c r="E134" s="1095"/>
      <c r="F134" s="1096"/>
      <c r="G134" s="1095"/>
      <c r="H134" s="1095"/>
    </row>
    <row r="135">
      <c r="A135" s="1095"/>
      <c r="B135" s="1094"/>
      <c r="C135" s="1095"/>
      <c r="D135" s="1095"/>
      <c r="E135" s="1095"/>
      <c r="F135" s="1096"/>
      <c r="G135" s="1095"/>
      <c r="H135" s="1095"/>
    </row>
    <row r="136">
      <c r="A136" s="1095"/>
      <c r="B136" s="1094"/>
      <c r="C136" s="1095"/>
      <c r="D136" s="1095"/>
      <c r="E136" s="1095"/>
      <c r="F136" s="1096"/>
      <c r="G136" s="1095"/>
      <c r="H136" s="1095"/>
    </row>
    <row r="137">
      <c r="A137" s="1095"/>
      <c r="B137" s="1094"/>
      <c r="C137" s="1095"/>
      <c r="D137" s="1095"/>
      <c r="E137" s="1095"/>
      <c r="F137" s="1096"/>
      <c r="G137" s="1095"/>
      <c r="H137" s="1095"/>
    </row>
    <row r="138">
      <c r="A138" s="1095"/>
      <c r="B138" s="1094"/>
      <c r="C138" s="1095"/>
      <c r="D138" s="1095"/>
      <c r="E138" s="1095"/>
      <c r="F138" s="1096"/>
      <c r="G138" s="1095"/>
      <c r="H138" s="1095"/>
    </row>
    <row r="139">
      <c r="A139" s="1095"/>
      <c r="B139" s="1094"/>
      <c r="C139" s="1095"/>
      <c r="D139" s="1095"/>
      <c r="E139" s="1095"/>
      <c r="F139" s="1096"/>
      <c r="G139" s="1095"/>
      <c r="H139" s="1095"/>
    </row>
    <row r="140">
      <c r="A140" s="1095"/>
      <c r="B140" s="1094"/>
      <c r="C140" s="1095"/>
      <c r="D140" s="1095"/>
      <c r="E140" s="1095"/>
      <c r="F140" s="1096"/>
      <c r="G140" s="1095"/>
      <c r="H140" s="1095"/>
    </row>
    <row r="141">
      <c r="A141" s="1095"/>
      <c r="B141" s="1094"/>
      <c r="C141" s="1095"/>
      <c r="D141" s="1095"/>
      <c r="E141" s="1095"/>
      <c r="F141" s="1096"/>
      <c r="G141" s="1095"/>
      <c r="H141" s="1095"/>
    </row>
    <row r="142">
      <c r="A142" s="1095"/>
      <c r="B142" s="1094"/>
      <c r="C142" s="1095"/>
      <c r="D142" s="1095"/>
      <c r="E142" s="1095"/>
      <c r="F142" s="1096"/>
      <c r="G142" s="1095"/>
      <c r="H142" s="1095"/>
    </row>
    <row r="143">
      <c r="A143" s="1095"/>
      <c r="B143" s="1094"/>
      <c r="C143" s="1095"/>
      <c r="D143" s="1095"/>
      <c r="E143" s="1095"/>
      <c r="F143" s="1096"/>
      <c r="G143" s="1095"/>
      <c r="H143" s="1095"/>
    </row>
    <row r="144">
      <c r="A144" s="1095"/>
      <c r="B144" s="1094"/>
      <c r="C144" s="1095"/>
      <c r="D144" s="1095"/>
      <c r="E144" s="1095"/>
      <c r="F144" s="1096"/>
      <c r="G144" s="1095"/>
      <c r="H144" s="1095"/>
    </row>
    <row r="145">
      <c r="A145" s="1095"/>
      <c r="B145" s="1094"/>
      <c r="C145" s="1095"/>
      <c r="D145" s="1095"/>
      <c r="E145" s="1095"/>
      <c r="F145" s="1096"/>
      <c r="G145" s="1095"/>
      <c r="H145" s="1095"/>
    </row>
    <row r="146">
      <c r="A146" s="1095"/>
      <c r="B146" s="1094"/>
      <c r="C146" s="1095"/>
      <c r="D146" s="1095"/>
      <c r="E146" s="1095"/>
      <c r="F146" s="1096"/>
      <c r="G146" s="1095"/>
      <c r="H146" s="1095"/>
    </row>
    <row r="147">
      <c r="A147" s="1095"/>
      <c r="B147" s="1094"/>
      <c r="C147" s="1095"/>
      <c r="D147" s="1095"/>
      <c r="E147" s="1095"/>
      <c r="F147" s="1096"/>
      <c r="G147" s="1095"/>
      <c r="H147" s="1095"/>
    </row>
    <row r="148">
      <c r="A148" s="1095"/>
      <c r="B148" s="1094"/>
      <c r="C148" s="1095"/>
      <c r="D148" s="1095"/>
      <c r="E148" s="1095"/>
      <c r="F148" s="1096"/>
      <c r="G148" s="1095"/>
      <c r="H148" s="1095"/>
    </row>
    <row r="149">
      <c r="A149" s="1095"/>
      <c r="B149" s="1094"/>
      <c r="C149" s="1095"/>
      <c r="D149" s="1095"/>
      <c r="E149" s="1095"/>
      <c r="F149" s="1096"/>
      <c r="G149" s="1095"/>
      <c r="H149" s="1095"/>
    </row>
    <row r="150">
      <c r="A150" s="1095"/>
      <c r="B150" s="1094"/>
      <c r="C150" s="1095"/>
      <c r="D150" s="1095"/>
      <c r="E150" s="1095"/>
      <c r="F150" s="1096"/>
      <c r="G150" s="1095"/>
      <c r="H150" s="1095"/>
    </row>
    <row r="151">
      <c r="A151" s="1095"/>
      <c r="B151" s="1094"/>
      <c r="C151" s="1095"/>
      <c r="D151" s="1095"/>
      <c r="E151" s="1095"/>
      <c r="F151" s="1096"/>
      <c r="G151" s="1095"/>
      <c r="H151" s="1095"/>
    </row>
    <row r="152">
      <c r="A152" s="1095"/>
      <c r="B152" s="1094"/>
      <c r="C152" s="1095"/>
      <c r="D152" s="1095"/>
      <c r="E152" s="1095"/>
      <c r="F152" s="1096"/>
      <c r="G152" s="1095"/>
      <c r="H152" s="1095"/>
    </row>
    <row r="153">
      <c r="A153" s="1095"/>
      <c r="B153" s="1094"/>
      <c r="C153" s="1095"/>
      <c r="D153" s="1095"/>
      <c r="E153" s="1095"/>
      <c r="F153" s="1096"/>
      <c r="G153" s="1095"/>
      <c r="H153" s="1095"/>
    </row>
    <row r="154">
      <c r="A154" s="1095"/>
      <c r="B154" s="1094"/>
      <c r="C154" s="1095"/>
      <c r="D154" s="1095"/>
      <c r="E154" s="1095"/>
      <c r="F154" s="1096"/>
      <c r="G154" s="1095"/>
      <c r="H154" s="1095"/>
    </row>
    <row r="155">
      <c r="A155" s="1095"/>
      <c r="B155" s="1094"/>
      <c r="C155" s="1095"/>
      <c r="D155" s="1095"/>
      <c r="E155" s="1095"/>
      <c r="F155" s="1096"/>
      <c r="G155" s="1095"/>
      <c r="H155" s="1095"/>
    </row>
    <row r="156">
      <c r="A156" s="1095"/>
      <c r="B156" s="1094"/>
      <c r="C156" s="1095"/>
      <c r="D156" s="1095"/>
      <c r="E156" s="1095"/>
      <c r="F156" s="1096"/>
      <c r="G156" s="1095"/>
      <c r="H156" s="1095"/>
    </row>
    <row r="157">
      <c r="A157" s="1095"/>
      <c r="B157" s="1094"/>
      <c r="C157" s="1095"/>
      <c r="D157" s="1095"/>
      <c r="E157" s="1095"/>
      <c r="F157" s="1096"/>
      <c r="G157" s="1095"/>
      <c r="H157" s="1095"/>
    </row>
    <row r="158">
      <c r="A158" s="1095"/>
      <c r="B158" s="1094"/>
      <c r="C158" s="1095"/>
      <c r="D158" s="1095"/>
      <c r="E158" s="1095"/>
      <c r="F158" s="1096"/>
      <c r="G158" s="1095"/>
      <c r="H158" s="1095"/>
    </row>
    <row r="159">
      <c r="A159" s="1095"/>
      <c r="B159" s="1094"/>
      <c r="C159" s="1095"/>
      <c r="D159" s="1095"/>
      <c r="E159" s="1095"/>
      <c r="F159" s="1096"/>
      <c r="G159" s="1095"/>
      <c r="H159" s="1095"/>
    </row>
    <row r="160">
      <c r="A160" s="1095"/>
      <c r="B160" s="1094"/>
      <c r="C160" s="1095"/>
      <c r="D160" s="1095"/>
      <c r="E160" s="1095"/>
      <c r="F160" s="1096"/>
      <c r="G160" s="1095"/>
      <c r="H160" s="1095"/>
    </row>
    <row r="161">
      <c r="A161" s="1095"/>
      <c r="B161" s="1094"/>
      <c r="C161" s="1095"/>
      <c r="D161" s="1095"/>
      <c r="E161" s="1095"/>
      <c r="F161" s="1096"/>
      <c r="G161" s="1095"/>
      <c r="H161" s="1095"/>
    </row>
    <row r="162">
      <c r="A162" s="1095"/>
      <c r="B162" s="1094"/>
      <c r="C162" s="1095"/>
      <c r="D162" s="1095"/>
      <c r="E162" s="1095"/>
      <c r="F162" s="1096"/>
      <c r="G162" s="1095"/>
      <c r="H162" s="1095"/>
    </row>
    <row r="163">
      <c r="A163" s="1095"/>
      <c r="B163" s="1094"/>
      <c r="C163" s="1095"/>
      <c r="D163" s="1095"/>
      <c r="E163" s="1095"/>
      <c r="F163" s="1096"/>
      <c r="G163" s="1095"/>
      <c r="H163" s="1095"/>
    </row>
    <row r="164">
      <c r="A164" s="1095"/>
      <c r="B164" s="1094"/>
      <c r="C164" s="1095"/>
      <c r="D164" s="1095"/>
      <c r="E164" s="1095"/>
      <c r="F164" s="1096"/>
      <c r="G164" s="1095"/>
      <c r="H164" s="1095"/>
    </row>
    <row r="165">
      <c r="A165" s="1095"/>
      <c r="B165" s="1094"/>
      <c r="C165" s="1095"/>
      <c r="D165" s="1095"/>
      <c r="E165" s="1095"/>
      <c r="F165" s="1096"/>
      <c r="G165" s="1095"/>
      <c r="H165" s="1095"/>
    </row>
    <row r="166">
      <c r="A166" s="1095"/>
      <c r="B166" s="1094"/>
      <c r="C166" s="1095"/>
      <c r="D166" s="1095"/>
      <c r="E166" s="1095"/>
      <c r="F166" s="1096"/>
      <c r="G166" s="1095"/>
      <c r="H166" s="1095"/>
    </row>
    <row r="167">
      <c r="A167" s="1095"/>
      <c r="B167" s="1094"/>
      <c r="C167" s="1095"/>
      <c r="D167" s="1095"/>
      <c r="E167" s="1095"/>
      <c r="F167" s="1096"/>
      <c r="G167" s="1095"/>
      <c r="H167" s="1095"/>
    </row>
    <row r="168">
      <c r="A168" s="1095"/>
      <c r="B168" s="1094"/>
      <c r="C168" s="1095"/>
      <c r="D168" s="1095"/>
      <c r="E168" s="1095"/>
      <c r="F168" s="1096"/>
      <c r="G168" s="1095"/>
      <c r="H168" s="1095"/>
    </row>
    <row r="169">
      <c r="A169" s="1095"/>
      <c r="B169" s="1094"/>
      <c r="C169" s="1095"/>
      <c r="D169" s="1095"/>
      <c r="E169" s="1095"/>
      <c r="F169" s="1096"/>
      <c r="G169" s="1095"/>
      <c r="H169" s="1095"/>
    </row>
    <row r="170">
      <c r="A170" s="1095"/>
      <c r="B170" s="1094"/>
      <c r="C170" s="1095"/>
      <c r="D170" s="1095"/>
      <c r="E170" s="1095"/>
      <c r="F170" s="1096"/>
      <c r="G170" s="1095"/>
      <c r="H170" s="1095"/>
    </row>
    <row r="171">
      <c r="A171" s="1095"/>
      <c r="B171" s="1094"/>
      <c r="C171" s="1095"/>
      <c r="D171" s="1095"/>
      <c r="E171" s="1095"/>
      <c r="F171" s="1096"/>
      <c r="G171" s="1095"/>
      <c r="H171" s="1095"/>
    </row>
    <row r="172">
      <c r="A172" s="1095"/>
      <c r="B172" s="1094"/>
      <c r="C172" s="1095"/>
      <c r="D172" s="1095"/>
      <c r="E172" s="1095"/>
      <c r="F172" s="1096"/>
      <c r="G172" s="1095"/>
      <c r="H172" s="1095"/>
    </row>
    <row r="173">
      <c r="A173" s="1095"/>
      <c r="B173" s="1094"/>
      <c r="C173" s="1095"/>
      <c r="D173" s="1095"/>
      <c r="E173" s="1095"/>
      <c r="F173" s="1096"/>
      <c r="G173" s="1095"/>
      <c r="H173" s="1095"/>
    </row>
    <row r="174">
      <c r="A174" s="1095"/>
      <c r="B174" s="1094"/>
      <c r="C174" s="1095"/>
      <c r="D174" s="1095"/>
      <c r="E174" s="1095"/>
      <c r="F174" s="1096"/>
      <c r="G174" s="1095"/>
      <c r="H174" s="1095"/>
    </row>
    <row r="175">
      <c r="A175" s="1095"/>
      <c r="B175" s="1094"/>
      <c r="C175" s="1095"/>
      <c r="D175" s="1095"/>
      <c r="E175" s="1095"/>
      <c r="F175" s="1096"/>
      <c r="G175" s="1095"/>
      <c r="H175" s="1095"/>
    </row>
    <row r="176">
      <c r="A176" s="1095"/>
      <c r="B176" s="1094"/>
      <c r="C176" s="1095"/>
      <c r="D176" s="1095"/>
      <c r="E176" s="1095"/>
      <c r="F176" s="1096"/>
      <c r="G176" s="1095"/>
      <c r="H176" s="1095"/>
    </row>
    <row r="177">
      <c r="A177" s="1095"/>
      <c r="B177" s="1094"/>
      <c r="C177" s="1095"/>
      <c r="D177" s="1095"/>
      <c r="E177" s="1095"/>
      <c r="F177" s="1096"/>
      <c r="G177" s="1095"/>
      <c r="H177" s="1095"/>
    </row>
    <row r="178">
      <c r="A178" s="1095"/>
      <c r="B178" s="1094"/>
      <c r="C178" s="1095"/>
      <c r="D178" s="1095"/>
      <c r="E178" s="1095"/>
      <c r="F178" s="1096"/>
      <c r="G178" s="1095"/>
      <c r="H178" s="1095"/>
    </row>
    <row r="179">
      <c r="A179" s="1095"/>
      <c r="B179" s="1094"/>
      <c r="C179" s="1095"/>
      <c r="D179" s="1095"/>
      <c r="E179" s="1095"/>
      <c r="F179" s="1096"/>
      <c r="G179" s="1095"/>
      <c r="H179" s="1095"/>
    </row>
    <row r="180">
      <c r="A180" s="1095"/>
      <c r="B180" s="1094"/>
      <c r="C180" s="1095"/>
      <c r="D180" s="1095"/>
      <c r="E180" s="1095"/>
      <c r="F180" s="1096"/>
      <c r="G180" s="1095"/>
      <c r="H180" s="1095"/>
    </row>
    <row r="181">
      <c r="A181" s="1095"/>
      <c r="B181" s="1094"/>
      <c r="C181" s="1095"/>
      <c r="D181" s="1095"/>
      <c r="E181" s="1095"/>
      <c r="F181" s="1096"/>
      <c r="G181" s="1095"/>
      <c r="H181" s="1095"/>
    </row>
    <row r="182">
      <c r="A182" s="1095"/>
      <c r="B182" s="1094"/>
      <c r="C182" s="1095"/>
      <c r="D182" s="1095"/>
      <c r="E182" s="1095"/>
      <c r="F182" s="1096"/>
      <c r="G182" s="1095"/>
      <c r="H182" s="1095"/>
    </row>
    <row r="183">
      <c r="A183" s="1095"/>
      <c r="B183" s="1094"/>
      <c r="C183" s="1095"/>
      <c r="D183" s="1095"/>
      <c r="E183" s="1095"/>
      <c r="F183" s="1096"/>
      <c r="G183" s="1095"/>
      <c r="H183" s="1095"/>
    </row>
    <row r="184">
      <c r="A184" s="1095"/>
      <c r="B184" s="1094"/>
      <c r="C184" s="1095"/>
      <c r="D184" s="1095"/>
      <c r="E184" s="1095"/>
      <c r="F184" s="1096"/>
      <c r="G184" s="1095"/>
      <c r="H184" s="1095"/>
    </row>
    <row r="185">
      <c r="A185" s="1095"/>
      <c r="B185" s="1094"/>
      <c r="C185" s="1095"/>
      <c r="D185" s="1095"/>
      <c r="E185" s="1095"/>
      <c r="F185" s="1096"/>
      <c r="G185" s="1095"/>
      <c r="H185" s="1095"/>
    </row>
    <row r="186">
      <c r="A186" s="1095"/>
      <c r="B186" s="1094"/>
      <c r="C186" s="1095"/>
      <c r="D186" s="1095"/>
      <c r="E186" s="1095"/>
      <c r="F186" s="1096"/>
      <c r="G186" s="1095"/>
      <c r="H186" s="1095"/>
    </row>
    <row r="187">
      <c r="A187" s="1095"/>
      <c r="B187" s="1094"/>
      <c r="C187" s="1095"/>
      <c r="D187" s="1095"/>
      <c r="E187" s="1095"/>
      <c r="F187" s="1096"/>
      <c r="G187" s="1095"/>
      <c r="H187" s="1095"/>
    </row>
    <row r="188">
      <c r="A188" s="1095"/>
      <c r="B188" s="1094"/>
      <c r="C188" s="1095"/>
      <c r="D188" s="1095"/>
      <c r="E188" s="1095"/>
      <c r="F188" s="1096"/>
      <c r="G188" s="1095"/>
      <c r="H188" s="1095"/>
    </row>
    <row r="189">
      <c r="A189" s="1095"/>
      <c r="B189" s="1094"/>
      <c r="C189" s="1095"/>
      <c r="D189" s="1095"/>
      <c r="E189" s="1095"/>
      <c r="F189" s="1096"/>
      <c r="G189" s="1095"/>
      <c r="H189" s="1095"/>
    </row>
    <row r="190">
      <c r="A190" s="1095"/>
      <c r="B190" s="1094"/>
      <c r="C190" s="1095"/>
      <c r="D190" s="1095"/>
      <c r="E190" s="1095"/>
      <c r="F190" s="1096"/>
      <c r="G190" s="1095"/>
      <c r="H190" s="1095"/>
    </row>
    <row r="191">
      <c r="A191" s="1095"/>
      <c r="B191" s="1094"/>
      <c r="C191" s="1095"/>
      <c r="D191" s="1095"/>
      <c r="E191" s="1095"/>
      <c r="F191" s="1096"/>
      <c r="G191" s="1095"/>
      <c r="H191" s="1095"/>
    </row>
    <row r="192">
      <c r="A192" s="1095"/>
      <c r="B192" s="1094"/>
      <c r="C192" s="1095"/>
      <c r="D192" s="1095"/>
      <c r="E192" s="1095"/>
      <c r="F192" s="1096"/>
      <c r="G192" s="1095"/>
      <c r="H192" s="1095"/>
    </row>
    <row r="193">
      <c r="A193" s="1095"/>
      <c r="B193" s="1094"/>
      <c r="C193" s="1095"/>
      <c r="D193" s="1095"/>
      <c r="E193" s="1095"/>
      <c r="F193" s="1096"/>
      <c r="G193" s="1095"/>
      <c r="H193" s="1095"/>
    </row>
    <row r="194">
      <c r="A194" s="1095"/>
      <c r="B194" s="1094"/>
      <c r="C194" s="1095"/>
      <c r="D194" s="1095"/>
      <c r="E194" s="1095"/>
      <c r="F194" s="1096"/>
      <c r="G194" s="1095"/>
      <c r="H194" s="1095"/>
    </row>
    <row r="195">
      <c r="A195" s="1095"/>
      <c r="B195" s="1094"/>
      <c r="C195" s="1095"/>
      <c r="D195" s="1095"/>
      <c r="E195" s="1095"/>
      <c r="F195" s="1096"/>
      <c r="G195" s="1095"/>
      <c r="H195" s="1095"/>
    </row>
    <row r="196">
      <c r="A196" s="1095"/>
      <c r="B196" s="1094"/>
      <c r="C196" s="1095"/>
      <c r="D196" s="1095"/>
      <c r="E196" s="1095"/>
      <c r="F196" s="1096"/>
      <c r="G196" s="1095"/>
      <c r="H196" s="1095"/>
    </row>
    <row r="197">
      <c r="A197" s="1095"/>
      <c r="B197" s="1094"/>
      <c r="C197" s="1095"/>
      <c r="D197" s="1095"/>
      <c r="E197" s="1095"/>
      <c r="F197" s="1096"/>
      <c r="G197" s="1095"/>
      <c r="H197" s="1095"/>
    </row>
    <row r="198">
      <c r="A198" s="1095"/>
      <c r="B198" s="1094"/>
      <c r="C198" s="1095"/>
      <c r="D198" s="1095"/>
      <c r="E198" s="1095"/>
      <c r="F198" s="1096"/>
      <c r="G198" s="1095"/>
      <c r="H198" s="1095"/>
    </row>
    <row r="199">
      <c r="A199" s="1095"/>
      <c r="B199" s="1094"/>
      <c r="C199" s="1095"/>
      <c r="D199" s="1095"/>
      <c r="E199" s="1095"/>
      <c r="F199" s="1096"/>
      <c r="G199" s="1095"/>
      <c r="H199" s="1095"/>
    </row>
    <row r="200">
      <c r="A200" s="1095"/>
      <c r="B200" s="1094"/>
      <c r="C200" s="1095"/>
      <c r="D200" s="1095"/>
      <c r="E200" s="1095"/>
      <c r="F200" s="1096"/>
      <c r="G200" s="1095"/>
      <c r="H200" s="1095"/>
    </row>
    <row r="201">
      <c r="A201" s="1095"/>
      <c r="B201" s="1094"/>
      <c r="C201" s="1095"/>
      <c r="D201" s="1095"/>
      <c r="E201" s="1095"/>
      <c r="F201" s="1096"/>
      <c r="G201" s="1095"/>
      <c r="H201" s="1095"/>
    </row>
    <row r="202">
      <c r="A202" s="1095"/>
      <c r="B202" s="1094"/>
      <c r="C202" s="1095"/>
      <c r="D202" s="1095"/>
      <c r="E202" s="1095"/>
      <c r="F202" s="1096"/>
      <c r="G202" s="1095"/>
      <c r="H202" s="1095"/>
    </row>
    <row r="203">
      <c r="A203" s="1095"/>
      <c r="B203" s="1094"/>
      <c r="C203" s="1095"/>
      <c r="D203" s="1095"/>
      <c r="E203" s="1095"/>
      <c r="F203" s="1096"/>
      <c r="G203" s="1095"/>
      <c r="H203" s="1095"/>
    </row>
    <row r="204">
      <c r="A204" s="1095"/>
      <c r="B204" s="1094"/>
      <c r="C204" s="1095"/>
      <c r="D204" s="1095"/>
      <c r="E204" s="1095"/>
      <c r="F204" s="1096"/>
      <c r="G204" s="1095"/>
      <c r="H204" s="1095"/>
    </row>
    <row r="205">
      <c r="A205" s="1095"/>
      <c r="B205" s="1094"/>
      <c r="C205" s="1095"/>
      <c r="D205" s="1095"/>
      <c r="E205" s="1095"/>
      <c r="F205" s="1096"/>
      <c r="G205" s="1095"/>
      <c r="H205" s="1095"/>
    </row>
    <row r="206">
      <c r="A206" s="1095"/>
      <c r="B206" s="1094"/>
      <c r="C206" s="1095"/>
      <c r="D206" s="1095"/>
      <c r="E206" s="1095"/>
      <c r="F206" s="1096"/>
      <c r="G206" s="1095"/>
      <c r="H206" s="1095"/>
    </row>
    <row r="207">
      <c r="A207" s="1095"/>
      <c r="B207" s="1094"/>
      <c r="C207" s="1095"/>
      <c r="D207" s="1095"/>
      <c r="E207" s="1095"/>
      <c r="F207" s="1096"/>
      <c r="G207" s="1095"/>
      <c r="H207" s="1095"/>
    </row>
    <row r="208">
      <c r="A208" s="1095"/>
      <c r="B208" s="1094"/>
      <c r="C208" s="1095"/>
      <c r="D208" s="1095"/>
      <c r="E208" s="1095"/>
      <c r="F208" s="1096"/>
      <c r="G208" s="1095"/>
      <c r="H208" s="1095"/>
    </row>
    <row r="209">
      <c r="A209" s="1095"/>
      <c r="B209" s="1094"/>
      <c r="C209" s="1095"/>
      <c r="D209" s="1095"/>
      <c r="E209" s="1095"/>
      <c r="F209" s="1096"/>
      <c r="G209" s="1095"/>
      <c r="H209" s="1095"/>
    </row>
    <row r="210">
      <c r="A210" s="1095"/>
      <c r="B210" s="1094"/>
      <c r="C210" s="1095"/>
      <c r="D210" s="1095"/>
      <c r="E210" s="1095"/>
      <c r="F210" s="1096"/>
      <c r="G210" s="1095"/>
      <c r="H210" s="1095"/>
    </row>
    <row r="211">
      <c r="A211" s="1095"/>
      <c r="B211" s="1094"/>
      <c r="C211" s="1095"/>
      <c r="D211" s="1095"/>
      <c r="E211" s="1095"/>
      <c r="F211" s="1096"/>
      <c r="G211" s="1095"/>
      <c r="H211" s="1095"/>
    </row>
    <row r="212">
      <c r="A212" s="1095"/>
      <c r="B212" s="1094"/>
      <c r="C212" s="1095"/>
      <c r="D212" s="1095"/>
      <c r="E212" s="1095"/>
      <c r="F212" s="1096"/>
      <c r="G212" s="1095"/>
      <c r="H212" s="1095"/>
    </row>
    <row r="213">
      <c r="A213" s="1095"/>
      <c r="B213" s="1094"/>
      <c r="C213" s="1095"/>
      <c r="D213" s="1095"/>
      <c r="E213" s="1095"/>
      <c r="F213" s="1096"/>
      <c r="G213" s="1095"/>
      <c r="H213" s="1095"/>
    </row>
    <row r="214">
      <c r="A214" s="1095"/>
      <c r="B214" s="1094"/>
      <c r="C214" s="1095"/>
      <c r="D214" s="1095"/>
      <c r="E214" s="1095"/>
      <c r="F214" s="1096"/>
      <c r="G214" s="1095"/>
      <c r="H214" s="1095"/>
    </row>
    <row r="215">
      <c r="A215" s="1095"/>
      <c r="B215" s="1094"/>
      <c r="C215" s="1095"/>
      <c r="D215" s="1095"/>
      <c r="E215" s="1095"/>
      <c r="F215" s="1096"/>
      <c r="G215" s="1095"/>
      <c r="H215" s="1095"/>
    </row>
    <row r="216">
      <c r="A216" s="1095"/>
      <c r="B216" s="1094"/>
      <c r="C216" s="1095"/>
      <c r="D216" s="1095"/>
      <c r="E216" s="1095"/>
      <c r="F216" s="1096"/>
      <c r="G216" s="1095"/>
      <c r="H216" s="1095"/>
    </row>
    <row r="217">
      <c r="A217" s="1095"/>
      <c r="B217" s="1094"/>
      <c r="C217" s="1095"/>
      <c r="D217" s="1095"/>
      <c r="E217" s="1095"/>
      <c r="F217" s="1096"/>
      <c r="G217" s="1095"/>
      <c r="H217" s="1095"/>
    </row>
    <row r="218">
      <c r="A218" s="1095"/>
      <c r="B218" s="1094"/>
      <c r="C218" s="1095"/>
      <c r="D218" s="1095"/>
      <c r="E218" s="1095"/>
      <c r="F218" s="1096"/>
      <c r="G218" s="1095"/>
      <c r="H218" s="1095"/>
    </row>
    <row r="219">
      <c r="A219" s="1095"/>
      <c r="B219" s="1094"/>
      <c r="C219" s="1095"/>
      <c r="D219" s="1095"/>
      <c r="E219" s="1095"/>
      <c r="F219" s="1096"/>
      <c r="G219" s="1095"/>
      <c r="H219" s="1095"/>
    </row>
    <row r="220">
      <c r="A220" s="1095"/>
      <c r="B220" s="1094"/>
      <c r="C220" s="1095"/>
      <c r="D220" s="1095"/>
      <c r="E220" s="1095"/>
      <c r="F220" s="1096"/>
      <c r="G220" s="1095"/>
      <c r="H220" s="1095"/>
    </row>
    <row r="221">
      <c r="A221" s="1095"/>
      <c r="B221" s="1094"/>
      <c r="C221" s="1095"/>
      <c r="D221" s="1095"/>
      <c r="E221" s="1095"/>
      <c r="F221" s="1096"/>
      <c r="G221" s="1095"/>
      <c r="H221" s="1095"/>
    </row>
    <row r="222">
      <c r="A222" s="1095"/>
      <c r="B222" s="1094"/>
      <c r="C222" s="1095"/>
      <c r="D222" s="1095"/>
      <c r="E222" s="1095"/>
      <c r="F222" s="1096"/>
      <c r="G222" s="1095"/>
      <c r="H222" s="1095"/>
    </row>
    <row r="223">
      <c r="A223" s="1095"/>
      <c r="B223" s="1094"/>
      <c r="C223" s="1095"/>
      <c r="D223" s="1095"/>
      <c r="E223" s="1095"/>
      <c r="F223" s="1096"/>
      <c r="G223" s="1095"/>
      <c r="H223" s="1095"/>
    </row>
    <row r="224">
      <c r="A224" s="1095"/>
      <c r="B224" s="1094"/>
      <c r="C224" s="1095"/>
      <c r="D224" s="1095"/>
      <c r="E224" s="1095"/>
      <c r="F224" s="1096"/>
      <c r="G224" s="1095"/>
      <c r="H224" s="1095"/>
    </row>
    <row r="225">
      <c r="A225" s="1095"/>
      <c r="B225" s="1094"/>
      <c r="C225" s="1095"/>
      <c r="D225" s="1095"/>
      <c r="E225" s="1095"/>
      <c r="F225" s="1096"/>
      <c r="G225" s="1095"/>
      <c r="H225" s="1095"/>
    </row>
    <row r="226">
      <c r="A226" s="1095"/>
      <c r="B226" s="1094"/>
      <c r="C226" s="1095"/>
      <c r="D226" s="1095"/>
      <c r="E226" s="1095"/>
      <c r="F226" s="1096"/>
      <c r="G226" s="1095"/>
      <c r="H226" s="1095"/>
    </row>
    <row r="227">
      <c r="A227" s="1095"/>
      <c r="B227" s="1094"/>
      <c r="C227" s="1095"/>
      <c r="D227" s="1095"/>
      <c r="E227" s="1095"/>
      <c r="F227" s="1096"/>
      <c r="G227" s="1095"/>
      <c r="H227" s="1095"/>
    </row>
    <row r="228">
      <c r="A228" s="1095"/>
      <c r="B228" s="1094"/>
      <c r="C228" s="1095"/>
      <c r="D228" s="1095"/>
      <c r="E228" s="1095"/>
      <c r="F228" s="1096"/>
      <c r="G228" s="1095"/>
      <c r="H228" s="1095"/>
    </row>
    <row r="229">
      <c r="A229" s="1095"/>
      <c r="B229" s="1094"/>
      <c r="C229" s="1095"/>
      <c r="D229" s="1095"/>
      <c r="E229" s="1095"/>
      <c r="F229" s="1096"/>
      <c r="G229" s="1095"/>
      <c r="H229" s="1095"/>
    </row>
    <row r="230">
      <c r="A230" s="1095"/>
      <c r="B230" s="1094"/>
      <c r="C230" s="1095"/>
      <c r="D230" s="1095"/>
      <c r="E230" s="1095"/>
      <c r="F230" s="1096"/>
      <c r="G230" s="1095"/>
      <c r="H230" s="1095"/>
    </row>
    <row r="231">
      <c r="A231" s="1095"/>
      <c r="B231" s="1094"/>
      <c r="C231" s="1095"/>
      <c r="D231" s="1095"/>
      <c r="E231" s="1095"/>
      <c r="F231" s="1096"/>
      <c r="G231" s="1095"/>
      <c r="H231" s="1095"/>
    </row>
    <row r="232">
      <c r="A232" s="1095"/>
      <c r="B232" s="1094"/>
      <c r="C232" s="1095"/>
      <c r="D232" s="1095"/>
      <c r="E232" s="1095"/>
      <c r="F232" s="1096"/>
      <c r="G232" s="1095"/>
      <c r="H232" s="1095"/>
    </row>
    <row r="233">
      <c r="A233" s="1095"/>
      <c r="B233" s="1094"/>
      <c r="C233" s="1095"/>
      <c r="D233" s="1095"/>
      <c r="E233" s="1095"/>
      <c r="F233" s="1096"/>
      <c r="G233" s="1095"/>
      <c r="H233" s="1095"/>
    </row>
    <row r="234">
      <c r="A234" s="1095"/>
      <c r="B234" s="1094"/>
      <c r="C234" s="1095"/>
      <c r="D234" s="1095"/>
      <c r="E234" s="1095"/>
      <c r="F234" s="1096"/>
      <c r="G234" s="1095"/>
      <c r="H234" s="1095"/>
    </row>
    <row r="235">
      <c r="A235" s="1095"/>
      <c r="B235" s="1094"/>
      <c r="C235" s="1095"/>
      <c r="D235" s="1095"/>
      <c r="E235" s="1095"/>
      <c r="F235" s="1096"/>
      <c r="G235" s="1095"/>
      <c r="H235" s="1095"/>
    </row>
    <row r="236">
      <c r="A236" s="1095"/>
      <c r="B236" s="1094"/>
      <c r="C236" s="1095"/>
      <c r="D236" s="1095"/>
      <c r="E236" s="1095"/>
      <c r="F236" s="1096"/>
      <c r="G236" s="1095"/>
      <c r="H236" s="1095"/>
    </row>
    <row r="237">
      <c r="A237" s="1095"/>
      <c r="B237" s="1094"/>
      <c r="C237" s="1095"/>
      <c r="D237" s="1095"/>
      <c r="E237" s="1095"/>
      <c r="F237" s="1096"/>
      <c r="G237" s="1095"/>
      <c r="H237" s="1095"/>
    </row>
    <row r="238">
      <c r="A238" s="1095"/>
      <c r="B238" s="1094"/>
      <c r="C238" s="1095"/>
      <c r="D238" s="1095"/>
      <c r="E238" s="1095"/>
      <c r="F238" s="1096"/>
      <c r="G238" s="1095"/>
      <c r="H238" s="1095"/>
    </row>
    <row r="239">
      <c r="A239" s="1095"/>
      <c r="B239" s="1094"/>
      <c r="C239" s="1095"/>
      <c r="D239" s="1095"/>
      <c r="E239" s="1095"/>
      <c r="F239" s="1096"/>
      <c r="G239" s="1095"/>
      <c r="H239" s="1095"/>
    </row>
    <row r="240">
      <c r="A240" s="1095"/>
      <c r="B240" s="1094"/>
      <c r="C240" s="1095"/>
      <c r="D240" s="1095"/>
      <c r="E240" s="1095"/>
      <c r="F240" s="1096"/>
      <c r="G240" s="1095"/>
      <c r="H240" s="1095"/>
    </row>
    <row r="241">
      <c r="A241" s="1095"/>
      <c r="B241" s="1094"/>
      <c r="C241" s="1095"/>
      <c r="D241" s="1095"/>
      <c r="E241" s="1095"/>
      <c r="F241" s="1096"/>
      <c r="G241" s="1095"/>
      <c r="H241" s="1095"/>
    </row>
    <row r="242">
      <c r="A242" s="1095"/>
      <c r="B242" s="1094"/>
      <c r="C242" s="1095"/>
      <c r="D242" s="1095"/>
      <c r="E242" s="1095"/>
      <c r="F242" s="1096"/>
      <c r="G242" s="1095"/>
      <c r="H242" s="1095"/>
    </row>
    <row r="243">
      <c r="A243" s="1095"/>
      <c r="B243" s="1094"/>
      <c r="C243" s="1095"/>
      <c r="D243" s="1095"/>
      <c r="E243" s="1095"/>
      <c r="F243" s="1096"/>
      <c r="G243" s="1095"/>
      <c r="H243" s="1095"/>
    </row>
    <row r="244">
      <c r="A244" s="1095"/>
      <c r="B244" s="1094"/>
      <c r="C244" s="1095"/>
      <c r="D244" s="1095"/>
      <c r="E244" s="1095"/>
      <c r="F244" s="1096"/>
      <c r="G244" s="1095"/>
      <c r="H244" s="1095"/>
    </row>
    <row r="245">
      <c r="A245" s="1095"/>
      <c r="B245" s="1094"/>
      <c r="C245" s="1095"/>
      <c r="D245" s="1095"/>
      <c r="E245" s="1095"/>
      <c r="F245" s="1096"/>
      <c r="G245" s="1095"/>
      <c r="H245" s="1095"/>
    </row>
    <row r="246">
      <c r="A246" s="1095"/>
      <c r="B246" s="1094"/>
      <c r="C246" s="1095"/>
      <c r="D246" s="1095"/>
      <c r="E246" s="1095"/>
      <c r="F246" s="1096"/>
      <c r="G246" s="1095"/>
      <c r="H246" s="1095"/>
    </row>
    <row r="247">
      <c r="A247" s="1095"/>
      <c r="B247" s="1094"/>
      <c r="C247" s="1095"/>
      <c r="D247" s="1095"/>
      <c r="E247" s="1095"/>
      <c r="F247" s="1096"/>
      <c r="G247" s="1095"/>
      <c r="H247" s="1095"/>
    </row>
    <row r="248">
      <c r="A248" s="1095"/>
      <c r="B248" s="1094"/>
      <c r="C248" s="1095"/>
      <c r="D248" s="1095"/>
      <c r="E248" s="1095"/>
      <c r="F248" s="1096"/>
      <c r="G248" s="1095"/>
      <c r="H248" s="1095"/>
    </row>
    <row r="249">
      <c r="A249" s="1095"/>
      <c r="B249" s="1094"/>
      <c r="C249" s="1095"/>
      <c r="D249" s="1095"/>
      <c r="E249" s="1095"/>
      <c r="F249" s="1096"/>
      <c r="G249" s="1095"/>
      <c r="H249" s="1095"/>
    </row>
    <row r="250">
      <c r="A250" s="1095"/>
      <c r="B250" s="1094"/>
      <c r="C250" s="1095"/>
      <c r="D250" s="1095"/>
      <c r="E250" s="1095"/>
      <c r="F250" s="1096"/>
      <c r="G250" s="1095"/>
      <c r="H250" s="1095"/>
    </row>
    <row r="251">
      <c r="A251" s="1095"/>
      <c r="B251" s="1094"/>
      <c r="C251" s="1095"/>
      <c r="D251" s="1095"/>
      <c r="E251" s="1095"/>
      <c r="F251" s="1096"/>
      <c r="G251" s="1095"/>
      <c r="H251" s="1095"/>
    </row>
    <row r="252">
      <c r="A252" s="1095"/>
      <c r="B252" s="1094"/>
      <c r="C252" s="1095"/>
      <c r="D252" s="1095"/>
      <c r="E252" s="1095"/>
      <c r="F252" s="1096"/>
      <c r="G252" s="1095"/>
      <c r="H252" s="1095"/>
    </row>
    <row r="253">
      <c r="A253" s="1095"/>
      <c r="B253" s="1094"/>
      <c r="C253" s="1095"/>
      <c r="D253" s="1095"/>
      <c r="E253" s="1095"/>
      <c r="F253" s="1096"/>
      <c r="G253" s="1095"/>
      <c r="H253" s="1095"/>
    </row>
    <row r="254">
      <c r="A254" s="1095"/>
      <c r="B254" s="1094"/>
      <c r="C254" s="1095"/>
      <c r="D254" s="1095"/>
      <c r="E254" s="1095"/>
      <c r="F254" s="1096"/>
      <c r="G254" s="1095"/>
      <c r="H254" s="1095"/>
    </row>
    <row r="255">
      <c r="A255" s="1095"/>
      <c r="B255" s="1094"/>
      <c r="C255" s="1095"/>
      <c r="D255" s="1095"/>
      <c r="E255" s="1095"/>
      <c r="F255" s="1096"/>
      <c r="G255" s="1095"/>
      <c r="H255" s="1095"/>
    </row>
    <row r="256">
      <c r="A256" s="1095"/>
      <c r="B256" s="1094"/>
      <c r="C256" s="1095"/>
      <c r="D256" s="1095"/>
      <c r="E256" s="1095"/>
      <c r="F256" s="1096"/>
      <c r="G256" s="1095"/>
      <c r="H256" s="1095"/>
    </row>
    <row r="257">
      <c r="A257" s="1095"/>
      <c r="B257" s="1094"/>
      <c r="C257" s="1095"/>
      <c r="D257" s="1095"/>
      <c r="E257" s="1095"/>
      <c r="F257" s="1096"/>
      <c r="G257" s="1095"/>
      <c r="H257" s="1095"/>
    </row>
    <row r="258">
      <c r="A258" s="1095"/>
      <c r="B258" s="1094"/>
      <c r="C258" s="1095"/>
      <c r="D258" s="1095"/>
      <c r="E258" s="1095"/>
      <c r="F258" s="1096"/>
      <c r="G258" s="1095"/>
      <c r="H258" s="1095"/>
    </row>
    <row r="259">
      <c r="A259" s="1095"/>
      <c r="B259" s="1094"/>
      <c r="C259" s="1095"/>
      <c r="D259" s="1095"/>
      <c r="E259" s="1095"/>
      <c r="F259" s="1096"/>
      <c r="G259" s="1095"/>
      <c r="H259" s="1095"/>
    </row>
    <row r="260">
      <c r="A260" s="1095"/>
      <c r="B260" s="1094"/>
      <c r="C260" s="1095"/>
      <c r="D260" s="1095"/>
      <c r="E260" s="1095"/>
      <c r="F260" s="1096"/>
      <c r="G260" s="1095"/>
      <c r="H260" s="1095"/>
    </row>
    <row r="261">
      <c r="A261" s="1095"/>
      <c r="B261" s="1094"/>
      <c r="C261" s="1095"/>
      <c r="D261" s="1095"/>
      <c r="E261" s="1095"/>
      <c r="F261" s="1096"/>
      <c r="G261" s="1095"/>
      <c r="H261" s="1095"/>
    </row>
    <row r="262">
      <c r="A262" s="1095"/>
      <c r="B262" s="1094"/>
      <c r="C262" s="1095"/>
      <c r="D262" s="1095"/>
      <c r="E262" s="1095"/>
      <c r="F262" s="1096"/>
      <c r="G262" s="1095"/>
      <c r="H262" s="1095"/>
    </row>
    <row r="263">
      <c r="A263" s="1095"/>
      <c r="B263" s="1094"/>
      <c r="C263" s="1095"/>
      <c r="D263" s="1095"/>
      <c r="E263" s="1095"/>
      <c r="F263" s="1096"/>
      <c r="G263" s="1095"/>
      <c r="H263" s="1095"/>
    </row>
    <row r="264">
      <c r="A264" s="1095"/>
      <c r="B264" s="1094"/>
      <c r="C264" s="1095"/>
      <c r="D264" s="1095"/>
      <c r="E264" s="1095"/>
      <c r="F264" s="1096"/>
      <c r="G264" s="1095"/>
      <c r="H264" s="1095"/>
    </row>
    <row r="265">
      <c r="A265" s="1095"/>
      <c r="B265" s="1094"/>
      <c r="C265" s="1095"/>
      <c r="D265" s="1095"/>
      <c r="E265" s="1095"/>
      <c r="F265" s="1096"/>
      <c r="G265" s="1095"/>
      <c r="H265" s="1095"/>
    </row>
    <row r="266">
      <c r="A266" s="1095"/>
      <c r="B266" s="1094"/>
      <c r="C266" s="1095"/>
      <c r="D266" s="1095"/>
      <c r="E266" s="1095"/>
      <c r="F266" s="1096"/>
      <c r="G266" s="1095"/>
      <c r="H266" s="1095"/>
    </row>
    <row r="267">
      <c r="A267" s="1095"/>
      <c r="B267" s="1094"/>
      <c r="C267" s="1095"/>
      <c r="D267" s="1095"/>
      <c r="E267" s="1095"/>
      <c r="F267" s="1096"/>
      <c r="G267" s="1095"/>
      <c r="H267" s="1095"/>
    </row>
    <row r="268">
      <c r="A268" s="1095"/>
      <c r="B268" s="1094"/>
      <c r="C268" s="1095"/>
      <c r="D268" s="1095"/>
      <c r="E268" s="1095"/>
      <c r="F268" s="1096"/>
      <c r="G268" s="1095"/>
      <c r="H268" s="1095"/>
    </row>
    <row r="269">
      <c r="A269" s="1095"/>
      <c r="B269" s="1094"/>
      <c r="C269" s="1095"/>
      <c r="D269" s="1095"/>
      <c r="E269" s="1095"/>
      <c r="F269" s="1096"/>
      <c r="G269" s="1095"/>
      <c r="H269" s="1095"/>
    </row>
    <row r="270">
      <c r="A270" s="1095"/>
      <c r="B270" s="1094"/>
      <c r="C270" s="1095"/>
      <c r="D270" s="1095"/>
      <c r="E270" s="1095"/>
      <c r="F270" s="1096"/>
      <c r="G270" s="1095"/>
      <c r="H270" s="1095"/>
    </row>
    <row r="271">
      <c r="A271" s="1095"/>
      <c r="B271" s="1094"/>
      <c r="C271" s="1095"/>
      <c r="D271" s="1095"/>
      <c r="E271" s="1095"/>
      <c r="F271" s="1096"/>
      <c r="G271" s="1095"/>
      <c r="H271" s="1095"/>
    </row>
    <row r="272">
      <c r="A272" s="1095"/>
      <c r="B272" s="1094"/>
      <c r="C272" s="1095"/>
      <c r="D272" s="1095"/>
      <c r="E272" s="1095"/>
      <c r="F272" s="1096"/>
      <c r="G272" s="1095"/>
      <c r="H272" s="1095"/>
    </row>
    <row r="273">
      <c r="A273" s="1095"/>
      <c r="B273" s="1094"/>
      <c r="C273" s="1095"/>
      <c r="D273" s="1095"/>
      <c r="E273" s="1095"/>
      <c r="F273" s="1096"/>
      <c r="G273" s="1095"/>
      <c r="H273" s="1095"/>
    </row>
    <row r="274">
      <c r="A274" s="1095"/>
      <c r="B274" s="1094"/>
      <c r="C274" s="1095"/>
      <c r="D274" s="1095"/>
      <c r="E274" s="1095"/>
      <c r="F274" s="1096"/>
      <c r="G274" s="1095"/>
      <c r="H274" s="1095"/>
    </row>
    <row r="275">
      <c r="A275" s="1095"/>
      <c r="B275" s="1094"/>
      <c r="C275" s="1095"/>
      <c r="D275" s="1095"/>
      <c r="E275" s="1095"/>
      <c r="F275" s="1096"/>
      <c r="G275" s="1095"/>
      <c r="H275" s="1095"/>
    </row>
    <row r="276">
      <c r="A276" s="1095"/>
      <c r="B276" s="1094"/>
      <c r="C276" s="1095"/>
      <c r="D276" s="1095"/>
      <c r="E276" s="1095"/>
      <c r="F276" s="1096"/>
      <c r="G276" s="1095"/>
      <c r="H276" s="1095"/>
    </row>
    <row r="277">
      <c r="A277" s="1095"/>
      <c r="B277" s="1094"/>
      <c r="C277" s="1095"/>
      <c r="D277" s="1095"/>
      <c r="E277" s="1095"/>
      <c r="F277" s="1096"/>
      <c r="G277" s="1095"/>
      <c r="H277" s="1095"/>
    </row>
    <row r="278">
      <c r="A278" s="1095"/>
      <c r="B278" s="1094"/>
      <c r="C278" s="1095"/>
      <c r="D278" s="1095"/>
      <c r="E278" s="1095"/>
      <c r="F278" s="1096"/>
      <c r="G278" s="1095"/>
      <c r="H278" s="1095"/>
    </row>
    <row r="279">
      <c r="A279" s="1095"/>
      <c r="B279" s="1094"/>
      <c r="C279" s="1095"/>
      <c r="D279" s="1095"/>
      <c r="E279" s="1095"/>
      <c r="F279" s="1096"/>
      <c r="G279" s="1095"/>
      <c r="H279" s="1095"/>
    </row>
    <row r="280">
      <c r="A280" s="1095"/>
      <c r="B280" s="1094"/>
      <c r="C280" s="1095"/>
      <c r="D280" s="1095"/>
      <c r="E280" s="1095"/>
      <c r="F280" s="1096"/>
      <c r="G280" s="1095"/>
      <c r="H280" s="1095"/>
    </row>
    <row r="281">
      <c r="A281" s="1095"/>
      <c r="B281" s="1094"/>
      <c r="C281" s="1095"/>
      <c r="D281" s="1095"/>
      <c r="E281" s="1095"/>
      <c r="F281" s="1096"/>
      <c r="G281" s="1095"/>
      <c r="H281" s="1095"/>
    </row>
    <row r="282">
      <c r="A282" s="1095"/>
      <c r="B282" s="1094"/>
      <c r="C282" s="1095"/>
      <c r="D282" s="1095"/>
      <c r="E282" s="1095"/>
      <c r="F282" s="1096"/>
      <c r="G282" s="1095"/>
      <c r="H282" s="1095"/>
    </row>
    <row r="283">
      <c r="A283" s="1095"/>
      <c r="B283" s="1094"/>
      <c r="C283" s="1095"/>
      <c r="D283" s="1095"/>
      <c r="E283" s="1095"/>
      <c r="F283" s="1096"/>
      <c r="G283" s="1095"/>
      <c r="H283" s="1095"/>
    </row>
    <row r="284">
      <c r="A284" s="1095"/>
      <c r="B284" s="1094"/>
      <c r="C284" s="1095"/>
      <c r="D284" s="1095"/>
      <c r="E284" s="1095"/>
      <c r="F284" s="1096"/>
      <c r="G284" s="1095"/>
      <c r="H284" s="1095"/>
    </row>
    <row r="285">
      <c r="A285" s="1095"/>
      <c r="B285" s="1094"/>
      <c r="C285" s="1095"/>
      <c r="D285" s="1095"/>
      <c r="E285" s="1095"/>
      <c r="F285" s="1096"/>
      <c r="G285" s="1095"/>
      <c r="H285" s="1095"/>
    </row>
    <row r="286">
      <c r="A286" s="1095"/>
      <c r="B286" s="1094"/>
      <c r="C286" s="1095"/>
      <c r="D286" s="1095"/>
      <c r="E286" s="1095"/>
      <c r="F286" s="1096"/>
      <c r="G286" s="1095"/>
      <c r="H286" s="1095"/>
    </row>
    <row r="287">
      <c r="A287" s="1095"/>
      <c r="B287" s="1094"/>
      <c r="C287" s="1095"/>
      <c r="D287" s="1095"/>
      <c r="E287" s="1095"/>
      <c r="F287" s="1096"/>
      <c r="G287" s="1095"/>
      <c r="H287" s="1095"/>
    </row>
    <row r="288">
      <c r="A288" s="1095"/>
      <c r="B288" s="1094"/>
      <c r="C288" s="1095"/>
      <c r="D288" s="1095"/>
      <c r="E288" s="1095"/>
      <c r="F288" s="1096"/>
      <c r="G288" s="1095"/>
      <c r="H288" s="1095"/>
    </row>
    <row r="289">
      <c r="A289" s="1095"/>
      <c r="B289" s="1094"/>
      <c r="C289" s="1095"/>
      <c r="D289" s="1095"/>
      <c r="E289" s="1095"/>
      <c r="F289" s="1096"/>
      <c r="G289" s="1095"/>
      <c r="H289" s="1095"/>
    </row>
    <row r="290">
      <c r="A290" s="1095"/>
      <c r="B290" s="1094"/>
      <c r="C290" s="1095"/>
      <c r="D290" s="1095"/>
      <c r="E290" s="1095"/>
      <c r="F290" s="1096"/>
      <c r="G290" s="1095"/>
      <c r="H290" s="1095"/>
    </row>
    <row r="291">
      <c r="A291" s="1095"/>
      <c r="B291" s="1094"/>
      <c r="C291" s="1095"/>
      <c r="D291" s="1095"/>
      <c r="E291" s="1095"/>
      <c r="F291" s="1096"/>
      <c r="G291" s="1095"/>
      <c r="H291" s="1095"/>
    </row>
    <row r="292">
      <c r="A292" s="1095"/>
      <c r="B292" s="1094"/>
      <c r="C292" s="1095"/>
      <c r="D292" s="1095"/>
      <c r="E292" s="1095"/>
      <c r="F292" s="1096"/>
      <c r="G292" s="1095"/>
      <c r="H292" s="1095"/>
    </row>
    <row r="293">
      <c r="A293" s="1095"/>
      <c r="B293" s="1094"/>
      <c r="C293" s="1095"/>
      <c r="D293" s="1095"/>
      <c r="E293" s="1095"/>
      <c r="F293" s="1096"/>
      <c r="G293" s="1095"/>
      <c r="H293" s="1095"/>
    </row>
    <row r="294">
      <c r="A294" s="1095"/>
      <c r="B294" s="1094"/>
      <c r="C294" s="1095"/>
      <c r="D294" s="1095"/>
      <c r="E294" s="1095"/>
      <c r="F294" s="1096"/>
      <c r="G294" s="1095"/>
      <c r="H294" s="1095"/>
    </row>
    <row r="295">
      <c r="A295" s="1095"/>
      <c r="B295" s="1094"/>
      <c r="C295" s="1095"/>
      <c r="D295" s="1095"/>
      <c r="E295" s="1095"/>
      <c r="F295" s="1096"/>
      <c r="G295" s="1095"/>
      <c r="H295" s="1095"/>
    </row>
    <row r="296">
      <c r="A296" s="1095"/>
      <c r="B296" s="1094"/>
      <c r="C296" s="1095"/>
      <c r="D296" s="1095"/>
      <c r="E296" s="1095"/>
      <c r="F296" s="1096"/>
      <c r="G296" s="1095"/>
      <c r="H296" s="1095"/>
    </row>
    <row r="297">
      <c r="A297" s="1095"/>
      <c r="B297" s="1094"/>
      <c r="C297" s="1095"/>
      <c r="D297" s="1095"/>
      <c r="E297" s="1095"/>
      <c r="F297" s="1096"/>
      <c r="G297" s="1095"/>
      <c r="H297" s="1095"/>
    </row>
    <row r="298">
      <c r="A298" s="1095"/>
      <c r="B298" s="1094"/>
      <c r="C298" s="1095"/>
      <c r="D298" s="1095"/>
      <c r="E298" s="1095"/>
      <c r="F298" s="1096"/>
      <c r="G298" s="1095"/>
      <c r="H298" s="1095"/>
    </row>
    <row r="299">
      <c r="A299" s="1095"/>
      <c r="B299" s="1094"/>
      <c r="C299" s="1095"/>
      <c r="D299" s="1095"/>
      <c r="E299" s="1095"/>
      <c r="F299" s="1096"/>
      <c r="G299" s="1095"/>
      <c r="H299" s="1095"/>
    </row>
    <row r="300">
      <c r="A300" s="1095"/>
      <c r="B300" s="1094"/>
      <c r="C300" s="1095"/>
      <c r="D300" s="1095"/>
      <c r="E300" s="1095"/>
      <c r="F300" s="1096"/>
      <c r="G300" s="1095"/>
      <c r="H300" s="1095"/>
    </row>
    <row r="301">
      <c r="A301" s="1095"/>
      <c r="B301" s="1094"/>
      <c r="C301" s="1095"/>
      <c r="D301" s="1095"/>
      <c r="E301" s="1095"/>
      <c r="F301" s="1096"/>
      <c r="G301" s="1095"/>
      <c r="H301" s="1095"/>
    </row>
    <row r="302">
      <c r="A302" s="1095"/>
      <c r="B302" s="1094"/>
      <c r="C302" s="1095"/>
      <c r="D302" s="1095"/>
      <c r="E302" s="1095"/>
      <c r="F302" s="1096"/>
      <c r="G302" s="1095"/>
      <c r="H302" s="1095"/>
    </row>
    <row r="303">
      <c r="A303" s="1095"/>
      <c r="B303" s="1094"/>
      <c r="C303" s="1095"/>
      <c r="D303" s="1095"/>
      <c r="E303" s="1095"/>
      <c r="F303" s="1096"/>
      <c r="G303" s="1095"/>
      <c r="H303" s="1095"/>
    </row>
    <row r="304">
      <c r="A304" s="1095"/>
      <c r="B304" s="1094"/>
      <c r="C304" s="1095"/>
      <c r="D304" s="1095"/>
      <c r="E304" s="1095"/>
      <c r="F304" s="1096"/>
      <c r="G304" s="1095"/>
      <c r="H304" s="1095"/>
    </row>
    <row r="305">
      <c r="A305" s="1095"/>
      <c r="B305" s="1094"/>
      <c r="C305" s="1095"/>
      <c r="D305" s="1095"/>
      <c r="E305" s="1095"/>
      <c r="F305" s="1096"/>
      <c r="G305" s="1095"/>
      <c r="H305" s="1095"/>
    </row>
    <row r="306">
      <c r="A306" s="1095"/>
      <c r="B306" s="1094"/>
      <c r="C306" s="1095"/>
      <c r="D306" s="1095"/>
      <c r="E306" s="1095"/>
      <c r="F306" s="1096"/>
      <c r="G306" s="1095"/>
      <c r="H306" s="1095"/>
    </row>
    <row r="307">
      <c r="A307" s="1095"/>
      <c r="B307" s="1094"/>
      <c r="C307" s="1095"/>
      <c r="D307" s="1095"/>
      <c r="E307" s="1095"/>
      <c r="F307" s="1096"/>
      <c r="G307" s="1095"/>
      <c r="H307" s="1095"/>
    </row>
    <row r="308">
      <c r="A308" s="1095"/>
      <c r="B308" s="1094"/>
      <c r="C308" s="1095"/>
      <c r="D308" s="1095"/>
      <c r="E308" s="1095"/>
      <c r="F308" s="1096"/>
      <c r="G308" s="1095"/>
      <c r="H308" s="1095"/>
    </row>
    <row r="309">
      <c r="A309" s="1095"/>
      <c r="B309" s="1094"/>
      <c r="C309" s="1095"/>
      <c r="D309" s="1095"/>
      <c r="E309" s="1095"/>
      <c r="F309" s="1096"/>
      <c r="G309" s="1095"/>
      <c r="H309" s="1095"/>
    </row>
    <row r="310">
      <c r="A310" s="1095"/>
      <c r="B310" s="1094"/>
      <c r="C310" s="1095"/>
      <c r="D310" s="1095"/>
      <c r="E310" s="1095"/>
      <c r="F310" s="1096"/>
      <c r="G310" s="1095"/>
      <c r="H310" s="1095"/>
    </row>
    <row r="311">
      <c r="A311" s="1095"/>
      <c r="B311" s="1094"/>
      <c r="C311" s="1095"/>
      <c r="D311" s="1095"/>
      <c r="E311" s="1095"/>
      <c r="F311" s="1096"/>
      <c r="G311" s="1095"/>
      <c r="H311" s="1095"/>
    </row>
    <row r="312">
      <c r="A312" s="1095"/>
      <c r="B312" s="1094"/>
      <c r="C312" s="1095"/>
      <c r="D312" s="1095"/>
      <c r="E312" s="1095"/>
      <c r="F312" s="1096"/>
      <c r="G312" s="1095"/>
      <c r="H312" s="1095"/>
    </row>
    <row r="313">
      <c r="A313" s="1095"/>
      <c r="B313" s="1094"/>
      <c r="C313" s="1095"/>
      <c r="D313" s="1095"/>
      <c r="E313" s="1095"/>
      <c r="F313" s="1096"/>
      <c r="G313" s="1095"/>
      <c r="H313" s="1095"/>
    </row>
    <row r="314">
      <c r="A314" s="1095"/>
      <c r="B314" s="1094"/>
      <c r="C314" s="1095"/>
      <c r="D314" s="1095"/>
      <c r="E314" s="1095"/>
      <c r="F314" s="1096"/>
      <c r="G314" s="1095"/>
      <c r="H314" s="1095"/>
    </row>
    <row r="315">
      <c r="A315" s="1095"/>
      <c r="B315" s="1094"/>
      <c r="C315" s="1095"/>
      <c r="D315" s="1095"/>
      <c r="E315" s="1095"/>
      <c r="F315" s="1096"/>
      <c r="G315" s="1095"/>
      <c r="H315" s="1095"/>
    </row>
    <row r="316">
      <c r="A316" s="1095"/>
      <c r="B316" s="1094"/>
      <c r="C316" s="1095"/>
      <c r="D316" s="1095"/>
      <c r="E316" s="1095"/>
      <c r="F316" s="1096"/>
      <c r="G316" s="1095"/>
      <c r="H316" s="1095"/>
    </row>
    <row r="317">
      <c r="A317" s="1095"/>
      <c r="B317" s="1094"/>
      <c r="C317" s="1095"/>
      <c r="D317" s="1095"/>
      <c r="E317" s="1095"/>
      <c r="F317" s="1096"/>
      <c r="G317" s="1095"/>
      <c r="H317" s="1095"/>
    </row>
    <row r="318">
      <c r="A318" s="1095"/>
      <c r="B318" s="1094"/>
      <c r="C318" s="1095"/>
      <c r="D318" s="1095"/>
      <c r="E318" s="1095"/>
      <c r="F318" s="1096"/>
      <c r="G318" s="1095"/>
      <c r="H318" s="1095"/>
    </row>
    <row r="319">
      <c r="A319" s="1095"/>
      <c r="B319" s="1094"/>
      <c r="C319" s="1095"/>
      <c r="D319" s="1095"/>
      <c r="E319" s="1095"/>
      <c r="F319" s="1096"/>
      <c r="G319" s="1095"/>
      <c r="H319" s="1095"/>
    </row>
    <row r="320">
      <c r="A320" s="1095"/>
      <c r="B320" s="1094"/>
      <c r="C320" s="1095"/>
      <c r="D320" s="1095"/>
      <c r="E320" s="1095"/>
      <c r="F320" s="1096"/>
      <c r="G320" s="1095"/>
      <c r="H320" s="1095"/>
    </row>
    <row r="321">
      <c r="A321" s="1095"/>
      <c r="B321" s="1094"/>
      <c r="C321" s="1095"/>
      <c r="D321" s="1095"/>
      <c r="E321" s="1095"/>
      <c r="F321" s="1096"/>
      <c r="G321" s="1095"/>
      <c r="H321" s="1095"/>
    </row>
    <row r="322">
      <c r="A322" s="1095"/>
      <c r="B322" s="1094"/>
      <c r="C322" s="1095"/>
      <c r="D322" s="1095"/>
      <c r="E322" s="1095"/>
      <c r="F322" s="1096"/>
      <c r="G322" s="1095"/>
      <c r="H322" s="1095"/>
    </row>
    <row r="323">
      <c r="A323" s="1095"/>
      <c r="B323" s="1094"/>
      <c r="C323" s="1095"/>
      <c r="D323" s="1095"/>
      <c r="E323" s="1095"/>
      <c r="F323" s="1096"/>
      <c r="G323" s="1095"/>
      <c r="H323" s="1095"/>
    </row>
    <row r="324">
      <c r="A324" s="1095"/>
      <c r="B324" s="1094"/>
      <c r="C324" s="1095"/>
      <c r="D324" s="1095"/>
      <c r="E324" s="1095"/>
      <c r="F324" s="1096"/>
      <c r="G324" s="1095"/>
      <c r="H324" s="1095"/>
    </row>
    <row r="325">
      <c r="A325" s="1095"/>
      <c r="B325" s="1094"/>
      <c r="C325" s="1095"/>
      <c r="D325" s="1095"/>
      <c r="E325" s="1095"/>
      <c r="F325" s="1096"/>
      <c r="G325" s="1095"/>
      <c r="H325" s="1095"/>
    </row>
    <row r="326">
      <c r="A326" s="1095"/>
      <c r="B326" s="1094"/>
      <c r="C326" s="1095"/>
      <c r="D326" s="1095"/>
      <c r="E326" s="1095"/>
      <c r="F326" s="1096"/>
      <c r="G326" s="1095"/>
      <c r="H326" s="1095"/>
    </row>
    <row r="327">
      <c r="A327" s="1095"/>
      <c r="B327" s="1094"/>
      <c r="C327" s="1095"/>
      <c r="D327" s="1095"/>
      <c r="E327" s="1095"/>
      <c r="F327" s="1096"/>
      <c r="G327" s="1095"/>
      <c r="H327" s="1095"/>
    </row>
    <row r="328">
      <c r="A328" s="1095"/>
      <c r="B328" s="1094"/>
      <c r="C328" s="1095"/>
      <c r="D328" s="1095"/>
      <c r="E328" s="1095"/>
      <c r="F328" s="1096"/>
      <c r="G328" s="1095"/>
      <c r="H328" s="1095"/>
    </row>
    <row r="329">
      <c r="A329" s="1095"/>
      <c r="B329" s="1094"/>
      <c r="C329" s="1095"/>
      <c r="D329" s="1095"/>
      <c r="E329" s="1095"/>
      <c r="F329" s="1096"/>
      <c r="G329" s="1095"/>
      <c r="H329" s="1095"/>
    </row>
    <row r="330">
      <c r="A330" s="1095"/>
      <c r="B330" s="1094"/>
      <c r="C330" s="1095"/>
      <c r="D330" s="1095"/>
      <c r="E330" s="1095"/>
      <c r="F330" s="1096"/>
      <c r="G330" s="1095"/>
      <c r="H330" s="1095"/>
    </row>
    <row r="331">
      <c r="A331" s="1095"/>
      <c r="B331" s="1094"/>
      <c r="C331" s="1095"/>
      <c r="D331" s="1095"/>
      <c r="E331" s="1095"/>
      <c r="F331" s="1096"/>
      <c r="G331" s="1095"/>
      <c r="H331" s="1095"/>
    </row>
    <row r="332">
      <c r="A332" s="1095"/>
      <c r="B332" s="1094"/>
      <c r="C332" s="1095"/>
      <c r="D332" s="1095"/>
      <c r="E332" s="1095"/>
      <c r="F332" s="1096"/>
      <c r="G332" s="1095"/>
      <c r="H332" s="1095"/>
    </row>
    <row r="333">
      <c r="A333" s="1095"/>
      <c r="B333" s="1094"/>
      <c r="C333" s="1095"/>
      <c r="D333" s="1095"/>
      <c r="E333" s="1095"/>
      <c r="F333" s="1096"/>
      <c r="G333" s="1095"/>
      <c r="H333" s="1095"/>
    </row>
    <row r="334">
      <c r="A334" s="1095"/>
      <c r="B334" s="1094"/>
      <c r="C334" s="1095"/>
      <c r="D334" s="1095"/>
      <c r="E334" s="1095"/>
      <c r="F334" s="1096"/>
      <c r="G334" s="1095"/>
      <c r="H334" s="1095"/>
    </row>
    <row r="335">
      <c r="A335" s="1095"/>
      <c r="B335" s="1094"/>
      <c r="C335" s="1095"/>
      <c r="D335" s="1095"/>
      <c r="E335" s="1095"/>
      <c r="F335" s="1096"/>
      <c r="G335" s="1095"/>
      <c r="H335" s="1095"/>
    </row>
    <row r="336">
      <c r="A336" s="1095"/>
      <c r="B336" s="1094"/>
      <c r="C336" s="1095"/>
      <c r="D336" s="1095"/>
      <c r="E336" s="1095"/>
      <c r="F336" s="1096"/>
      <c r="G336" s="1095"/>
      <c r="H336" s="1095"/>
    </row>
    <row r="337">
      <c r="A337" s="1095"/>
      <c r="B337" s="1094"/>
      <c r="C337" s="1095"/>
      <c r="D337" s="1095"/>
      <c r="E337" s="1095"/>
      <c r="F337" s="1096"/>
      <c r="G337" s="1095"/>
      <c r="H337" s="1095"/>
    </row>
    <row r="338">
      <c r="A338" s="1095"/>
      <c r="B338" s="1094"/>
      <c r="C338" s="1095"/>
      <c r="D338" s="1095"/>
      <c r="E338" s="1095"/>
      <c r="F338" s="1096"/>
      <c r="G338" s="1095"/>
      <c r="H338" s="1095"/>
    </row>
    <row r="339">
      <c r="A339" s="1095"/>
      <c r="B339" s="1094"/>
      <c r="C339" s="1095"/>
      <c r="D339" s="1095"/>
      <c r="E339" s="1095"/>
      <c r="F339" s="1096"/>
      <c r="G339" s="1095"/>
      <c r="H339" s="1095"/>
    </row>
    <row r="340">
      <c r="A340" s="1095"/>
      <c r="B340" s="1094"/>
      <c r="C340" s="1095"/>
      <c r="D340" s="1095"/>
      <c r="E340" s="1095"/>
      <c r="F340" s="1096"/>
      <c r="G340" s="1095"/>
      <c r="H340" s="1095"/>
    </row>
    <row r="341">
      <c r="A341" s="1095"/>
      <c r="B341" s="1094"/>
      <c r="C341" s="1095"/>
      <c r="D341" s="1095"/>
      <c r="E341" s="1095"/>
      <c r="F341" s="1096"/>
      <c r="G341" s="1095"/>
      <c r="H341" s="1095"/>
    </row>
    <row r="342">
      <c r="A342" s="1095"/>
      <c r="B342" s="1094"/>
      <c r="C342" s="1095"/>
      <c r="D342" s="1095"/>
      <c r="E342" s="1095"/>
      <c r="F342" s="1096"/>
      <c r="G342" s="1095"/>
      <c r="H342" s="1095"/>
    </row>
    <row r="343">
      <c r="A343" s="1095"/>
      <c r="B343" s="1094"/>
      <c r="C343" s="1095"/>
      <c r="D343" s="1095"/>
      <c r="E343" s="1095"/>
      <c r="F343" s="1096"/>
      <c r="G343" s="1095"/>
      <c r="H343" s="1095"/>
    </row>
    <row r="344">
      <c r="A344" s="1095"/>
      <c r="B344" s="1094"/>
      <c r="C344" s="1095"/>
      <c r="D344" s="1095"/>
      <c r="E344" s="1095"/>
      <c r="F344" s="1096"/>
      <c r="G344" s="1095"/>
      <c r="H344" s="1095"/>
    </row>
    <row r="345">
      <c r="A345" s="1095"/>
      <c r="B345" s="1094"/>
      <c r="C345" s="1095"/>
      <c r="D345" s="1095"/>
      <c r="E345" s="1095"/>
      <c r="F345" s="1096"/>
      <c r="G345" s="1095"/>
      <c r="H345" s="1095"/>
    </row>
    <row r="346">
      <c r="A346" s="1095"/>
      <c r="B346" s="1094"/>
      <c r="C346" s="1095"/>
      <c r="D346" s="1095"/>
      <c r="E346" s="1095"/>
      <c r="F346" s="1096"/>
      <c r="G346" s="1095"/>
      <c r="H346" s="1095"/>
    </row>
    <row r="347">
      <c r="A347" s="1095"/>
      <c r="B347" s="1094"/>
      <c r="C347" s="1095"/>
      <c r="D347" s="1095"/>
      <c r="E347" s="1095"/>
      <c r="F347" s="1096"/>
      <c r="G347" s="1095"/>
      <c r="H347" s="1095"/>
    </row>
    <row r="348">
      <c r="A348" s="1095"/>
      <c r="B348" s="1094"/>
      <c r="C348" s="1095"/>
      <c r="D348" s="1095"/>
      <c r="E348" s="1095"/>
      <c r="F348" s="1096"/>
      <c r="G348" s="1095"/>
      <c r="H348" s="1095"/>
    </row>
    <row r="349">
      <c r="A349" s="1095"/>
      <c r="B349" s="1094"/>
      <c r="C349" s="1095"/>
      <c r="D349" s="1095"/>
      <c r="E349" s="1095"/>
      <c r="F349" s="1096"/>
      <c r="G349" s="1095"/>
      <c r="H349" s="1095"/>
    </row>
    <row r="350">
      <c r="A350" s="1095"/>
      <c r="B350" s="1094"/>
      <c r="C350" s="1095"/>
      <c r="D350" s="1095"/>
      <c r="E350" s="1095"/>
      <c r="F350" s="1096"/>
      <c r="G350" s="1095"/>
      <c r="H350" s="1095"/>
    </row>
    <row r="351">
      <c r="A351" s="1095"/>
      <c r="B351" s="1094"/>
      <c r="C351" s="1095"/>
      <c r="D351" s="1095"/>
      <c r="E351" s="1095"/>
      <c r="F351" s="1096"/>
      <c r="G351" s="1095"/>
      <c r="H351" s="1095"/>
    </row>
    <row r="352">
      <c r="A352" s="1095"/>
      <c r="B352" s="1094"/>
      <c r="C352" s="1095"/>
      <c r="D352" s="1095"/>
      <c r="E352" s="1095"/>
      <c r="F352" s="1096"/>
      <c r="G352" s="1095"/>
      <c r="H352" s="1095"/>
    </row>
    <row r="353">
      <c r="A353" s="1095"/>
      <c r="B353" s="1094"/>
      <c r="C353" s="1095"/>
      <c r="D353" s="1095"/>
      <c r="E353" s="1095"/>
      <c r="F353" s="1096"/>
      <c r="G353" s="1095"/>
      <c r="H353" s="1095"/>
    </row>
    <row r="354">
      <c r="A354" s="1095"/>
      <c r="B354" s="1094"/>
      <c r="C354" s="1095"/>
      <c r="D354" s="1095"/>
      <c r="E354" s="1095"/>
      <c r="F354" s="1096"/>
      <c r="G354" s="1095"/>
      <c r="H354" s="1095"/>
    </row>
    <row r="355">
      <c r="A355" s="1095"/>
      <c r="B355" s="1094"/>
      <c r="C355" s="1095"/>
      <c r="D355" s="1095"/>
      <c r="E355" s="1095"/>
      <c r="F355" s="1096"/>
      <c r="G355" s="1095"/>
      <c r="H355" s="1095"/>
    </row>
    <row r="356">
      <c r="A356" s="1095"/>
      <c r="B356" s="1094"/>
      <c r="C356" s="1095"/>
      <c r="D356" s="1095"/>
      <c r="E356" s="1095"/>
      <c r="F356" s="1096"/>
      <c r="G356" s="1095"/>
      <c r="H356" s="1095"/>
    </row>
    <row r="357">
      <c r="A357" s="1095"/>
      <c r="B357" s="1094"/>
      <c r="C357" s="1095"/>
      <c r="D357" s="1095"/>
      <c r="E357" s="1095"/>
      <c r="F357" s="1096"/>
      <c r="G357" s="1095"/>
      <c r="H357" s="1095"/>
    </row>
    <row r="358">
      <c r="A358" s="1095"/>
      <c r="B358" s="1094"/>
      <c r="C358" s="1095"/>
      <c r="D358" s="1095"/>
      <c r="E358" s="1095"/>
      <c r="F358" s="1096"/>
      <c r="G358" s="1095"/>
      <c r="H358" s="1095"/>
    </row>
    <row r="359">
      <c r="A359" s="1095"/>
      <c r="B359" s="1094"/>
      <c r="C359" s="1095"/>
      <c r="D359" s="1095"/>
      <c r="E359" s="1095"/>
      <c r="F359" s="1096"/>
      <c r="G359" s="1095"/>
      <c r="H359" s="1095"/>
    </row>
    <row r="360">
      <c r="A360" s="1095"/>
      <c r="B360" s="1094"/>
      <c r="C360" s="1095"/>
      <c r="D360" s="1095"/>
      <c r="E360" s="1095"/>
      <c r="F360" s="1096"/>
      <c r="G360" s="1095"/>
      <c r="H360" s="1095"/>
    </row>
    <row r="361">
      <c r="A361" s="1095"/>
      <c r="B361" s="1094"/>
      <c r="C361" s="1095"/>
      <c r="D361" s="1095"/>
      <c r="E361" s="1095"/>
      <c r="F361" s="1096"/>
      <c r="G361" s="1095"/>
      <c r="H361" s="1095"/>
    </row>
    <row r="362">
      <c r="A362" s="1095"/>
      <c r="B362" s="1094"/>
      <c r="C362" s="1095"/>
      <c r="D362" s="1095"/>
      <c r="E362" s="1095"/>
      <c r="F362" s="1096"/>
      <c r="G362" s="1095"/>
      <c r="H362" s="1095"/>
    </row>
    <row r="363">
      <c r="A363" s="1095"/>
      <c r="B363" s="1094"/>
      <c r="C363" s="1095"/>
      <c r="D363" s="1095"/>
      <c r="E363" s="1095"/>
      <c r="F363" s="1096"/>
      <c r="G363" s="1095"/>
      <c r="H363" s="1095"/>
    </row>
    <row r="364">
      <c r="A364" s="1095"/>
      <c r="B364" s="1094"/>
      <c r="C364" s="1095"/>
      <c r="D364" s="1095"/>
      <c r="E364" s="1095"/>
      <c r="F364" s="1096"/>
      <c r="G364" s="1095"/>
      <c r="H364" s="1095"/>
    </row>
    <row r="365">
      <c r="A365" s="1095"/>
      <c r="B365" s="1094"/>
      <c r="C365" s="1095"/>
      <c r="D365" s="1095"/>
      <c r="E365" s="1095"/>
      <c r="F365" s="1096"/>
      <c r="G365" s="1095"/>
      <c r="H365" s="1095"/>
    </row>
    <row r="366">
      <c r="A366" s="1095"/>
      <c r="B366" s="1094"/>
      <c r="C366" s="1095"/>
      <c r="D366" s="1095"/>
      <c r="E366" s="1095"/>
      <c r="F366" s="1096"/>
      <c r="G366" s="1095"/>
      <c r="H366" s="1095"/>
    </row>
    <row r="367">
      <c r="A367" s="1095"/>
      <c r="B367" s="1094"/>
      <c r="C367" s="1095"/>
      <c r="D367" s="1095"/>
      <c r="E367" s="1095"/>
      <c r="F367" s="1096"/>
      <c r="G367" s="1095"/>
      <c r="H367" s="1095"/>
    </row>
    <row r="368">
      <c r="A368" s="1095"/>
      <c r="B368" s="1094"/>
      <c r="C368" s="1095"/>
      <c r="D368" s="1095"/>
      <c r="E368" s="1095"/>
      <c r="F368" s="1096"/>
      <c r="G368" s="1095"/>
      <c r="H368" s="1095"/>
    </row>
    <row r="369">
      <c r="A369" s="1095"/>
      <c r="B369" s="1094"/>
      <c r="C369" s="1095"/>
      <c r="D369" s="1095"/>
      <c r="E369" s="1095"/>
      <c r="F369" s="1096"/>
      <c r="G369" s="1095"/>
      <c r="H369" s="1095"/>
    </row>
    <row r="370">
      <c r="A370" s="1095"/>
      <c r="B370" s="1094"/>
      <c r="C370" s="1095"/>
      <c r="D370" s="1095"/>
      <c r="E370" s="1095"/>
      <c r="F370" s="1096"/>
      <c r="G370" s="1095"/>
      <c r="H370" s="1095"/>
    </row>
    <row r="371">
      <c r="A371" s="1095"/>
      <c r="B371" s="1094"/>
      <c r="C371" s="1095"/>
      <c r="D371" s="1095"/>
      <c r="E371" s="1095"/>
      <c r="F371" s="1096"/>
      <c r="G371" s="1095"/>
      <c r="H371" s="1095"/>
    </row>
    <row r="372">
      <c r="A372" s="1095"/>
      <c r="B372" s="1094"/>
      <c r="C372" s="1095"/>
      <c r="D372" s="1095"/>
      <c r="E372" s="1095"/>
      <c r="F372" s="1096"/>
      <c r="G372" s="1095"/>
      <c r="H372" s="1095"/>
    </row>
    <row r="373">
      <c r="A373" s="1095"/>
      <c r="B373" s="1094"/>
      <c r="C373" s="1095"/>
      <c r="D373" s="1095"/>
      <c r="E373" s="1095"/>
      <c r="F373" s="1096"/>
      <c r="G373" s="1095"/>
      <c r="H373" s="1095"/>
    </row>
    <row r="374">
      <c r="A374" s="1095"/>
      <c r="B374" s="1094"/>
      <c r="C374" s="1095"/>
      <c r="D374" s="1095"/>
      <c r="E374" s="1095"/>
      <c r="F374" s="1096"/>
      <c r="G374" s="1095"/>
      <c r="H374" s="1095"/>
    </row>
    <row r="375">
      <c r="A375" s="1095"/>
      <c r="B375" s="1094"/>
      <c r="C375" s="1095"/>
      <c r="D375" s="1095"/>
      <c r="E375" s="1095"/>
      <c r="F375" s="1096"/>
      <c r="G375" s="1095"/>
      <c r="H375" s="1095"/>
    </row>
    <row r="376">
      <c r="A376" s="1095"/>
      <c r="B376" s="1094"/>
      <c r="C376" s="1095"/>
      <c r="D376" s="1095"/>
      <c r="E376" s="1095"/>
      <c r="F376" s="1096"/>
      <c r="G376" s="1095"/>
      <c r="H376" s="1095"/>
    </row>
    <row r="377">
      <c r="A377" s="1095"/>
      <c r="B377" s="1094"/>
      <c r="C377" s="1095"/>
      <c r="D377" s="1095"/>
      <c r="E377" s="1095"/>
      <c r="F377" s="1096"/>
      <c r="G377" s="1095"/>
      <c r="H377" s="1095"/>
    </row>
    <row r="378">
      <c r="A378" s="1095"/>
      <c r="B378" s="1094"/>
      <c r="C378" s="1095"/>
      <c r="D378" s="1095"/>
      <c r="E378" s="1095"/>
      <c r="F378" s="1096"/>
      <c r="G378" s="1095"/>
      <c r="H378" s="1095"/>
    </row>
    <row r="379">
      <c r="A379" s="1095"/>
      <c r="B379" s="1094"/>
      <c r="C379" s="1095"/>
      <c r="D379" s="1095"/>
      <c r="E379" s="1095"/>
      <c r="F379" s="1096"/>
      <c r="G379" s="1095"/>
      <c r="H379" s="1095"/>
    </row>
    <row r="380">
      <c r="A380" s="1095"/>
      <c r="B380" s="1094"/>
      <c r="C380" s="1095"/>
      <c r="D380" s="1095"/>
      <c r="E380" s="1095"/>
      <c r="F380" s="1096"/>
      <c r="G380" s="1095"/>
      <c r="H380" s="1095"/>
    </row>
    <row r="381">
      <c r="A381" s="1095"/>
      <c r="B381" s="1094"/>
      <c r="C381" s="1095"/>
      <c r="D381" s="1095"/>
      <c r="E381" s="1095"/>
      <c r="F381" s="1096"/>
      <c r="G381" s="1095"/>
      <c r="H381" s="1095"/>
    </row>
    <row r="382">
      <c r="A382" s="1095"/>
      <c r="B382" s="1094"/>
      <c r="C382" s="1095"/>
      <c r="D382" s="1095"/>
      <c r="E382" s="1095"/>
      <c r="F382" s="1096"/>
      <c r="G382" s="1095"/>
      <c r="H382" s="1095"/>
    </row>
    <row r="383">
      <c r="A383" s="1095"/>
      <c r="B383" s="1094"/>
      <c r="C383" s="1095"/>
      <c r="D383" s="1095"/>
      <c r="E383" s="1095"/>
      <c r="F383" s="1096"/>
      <c r="G383" s="1095"/>
      <c r="H383" s="1095"/>
    </row>
    <row r="384">
      <c r="A384" s="1095"/>
      <c r="B384" s="1094"/>
      <c r="C384" s="1095"/>
      <c r="D384" s="1095"/>
      <c r="E384" s="1095"/>
      <c r="F384" s="1096"/>
      <c r="G384" s="1095"/>
      <c r="H384" s="1095"/>
    </row>
    <row r="385">
      <c r="A385" s="1095"/>
      <c r="B385" s="1094"/>
      <c r="C385" s="1095"/>
      <c r="D385" s="1095"/>
      <c r="E385" s="1095"/>
      <c r="F385" s="1096"/>
      <c r="G385" s="1095"/>
      <c r="H385" s="1095"/>
    </row>
    <row r="386">
      <c r="A386" s="1095"/>
      <c r="B386" s="1094"/>
      <c r="C386" s="1095"/>
      <c r="D386" s="1095"/>
      <c r="E386" s="1095"/>
      <c r="F386" s="1096"/>
      <c r="G386" s="1095"/>
      <c r="H386" s="1095"/>
    </row>
    <row r="387">
      <c r="A387" s="1095"/>
      <c r="B387" s="1094"/>
      <c r="C387" s="1095"/>
      <c r="D387" s="1095"/>
      <c r="E387" s="1095"/>
      <c r="F387" s="1096"/>
      <c r="G387" s="1095"/>
      <c r="H387" s="1095"/>
    </row>
    <row r="388">
      <c r="A388" s="1095"/>
      <c r="B388" s="1094"/>
      <c r="C388" s="1095"/>
      <c r="D388" s="1095"/>
      <c r="E388" s="1095"/>
      <c r="F388" s="1096"/>
      <c r="G388" s="1095"/>
      <c r="H388" s="1095"/>
    </row>
    <row r="389">
      <c r="A389" s="1095"/>
      <c r="B389" s="1094"/>
      <c r="C389" s="1095"/>
      <c r="D389" s="1095"/>
      <c r="E389" s="1095"/>
      <c r="F389" s="1096"/>
      <c r="G389" s="1095"/>
      <c r="H389" s="1095"/>
    </row>
    <row r="390">
      <c r="A390" s="1095"/>
      <c r="B390" s="1094"/>
      <c r="C390" s="1095"/>
      <c r="D390" s="1095"/>
      <c r="E390" s="1095"/>
      <c r="F390" s="1096"/>
      <c r="G390" s="1095"/>
      <c r="H390" s="1095"/>
    </row>
    <row r="391">
      <c r="A391" s="1095"/>
      <c r="B391" s="1094"/>
      <c r="C391" s="1095"/>
      <c r="D391" s="1095"/>
      <c r="E391" s="1095"/>
      <c r="F391" s="1096"/>
      <c r="G391" s="1095"/>
      <c r="H391" s="1095"/>
    </row>
    <row r="392">
      <c r="A392" s="1095"/>
      <c r="B392" s="1094"/>
      <c r="C392" s="1095"/>
      <c r="D392" s="1095"/>
      <c r="E392" s="1095"/>
      <c r="F392" s="1096"/>
      <c r="G392" s="1095"/>
      <c r="H392" s="1095"/>
    </row>
    <row r="393">
      <c r="A393" s="1095"/>
      <c r="B393" s="1094"/>
      <c r="C393" s="1095"/>
      <c r="D393" s="1095"/>
      <c r="E393" s="1095"/>
      <c r="F393" s="1096"/>
      <c r="G393" s="1095"/>
      <c r="H393" s="1095"/>
    </row>
    <row r="394">
      <c r="A394" s="1095"/>
      <c r="B394" s="1094"/>
      <c r="C394" s="1095"/>
      <c r="D394" s="1095"/>
      <c r="E394" s="1095"/>
      <c r="F394" s="1096"/>
      <c r="G394" s="1095"/>
      <c r="H394" s="1095"/>
    </row>
    <row r="395">
      <c r="A395" s="1095"/>
      <c r="B395" s="1094"/>
      <c r="C395" s="1095"/>
      <c r="D395" s="1095"/>
      <c r="E395" s="1095"/>
      <c r="F395" s="1096"/>
      <c r="G395" s="1095"/>
      <c r="H395" s="1095"/>
    </row>
    <row r="396">
      <c r="A396" s="1095"/>
      <c r="B396" s="1094"/>
      <c r="C396" s="1095"/>
      <c r="D396" s="1095"/>
      <c r="E396" s="1095"/>
      <c r="F396" s="1096"/>
      <c r="G396" s="1095"/>
      <c r="H396" s="1095"/>
    </row>
    <row r="397">
      <c r="A397" s="1095"/>
      <c r="B397" s="1094"/>
      <c r="C397" s="1095"/>
      <c r="D397" s="1095"/>
      <c r="E397" s="1095"/>
      <c r="F397" s="1096"/>
      <c r="G397" s="1095"/>
      <c r="H397" s="1095"/>
    </row>
    <row r="398">
      <c r="A398" s="1095"/>
      <c r="B398" s="1094"/>
      <c r="C398" s="1095"/>
      <c r="D398" s="1095"/>
      <c r="E398" s="1095"/>
      <c r="F398" s="1096"/>
      <c r="G398" s="1095"/>
      <c r="H398" s="1095"/>
    </row>
    <row r="399">
      <c r="A399" s="1095"/>
      <c r="B399" s="1094"/>
      <c r="C399" s="1095"/>
      <c r="D399" s="1095"/>
      <c r="E399" s="1095"/>
      <c r="F399" s="1096"/>
      <c r="G399" s="1095"/>
      <c r="H399" s="1095"/>
    </row>
    <row r="400">
      <c r="A400" s="1095"/>
      <c r="B400" s="1094"/>
      <c r="C400" s="1095"/>
      <c r="D400" s="1095"/>
      <c r="E400" s="1095"/>
      <c r="F400" s="1096"/>
      <c r="G400" s="1095"/>
      <c r="H400" s="1095"/>
    </row>
    <row r="401">
      <c r="A401" s="1095"/>
      <c r="B401" s="1094"/>
      <c r="C401" s="1095"/>
      <c r="D401" s="1095"/>
      <c r="E401" s="1095"/>
      <c r="F401" s="1096"/>
      <c r="G401" s="1095"/>
      <c r="H401" s="1095"/>
    </row>
    <row r="402">
      <c r="A402" s="1095"/>
      <c r="B402" s="1094"/>
      <c r="C402" s="1095"/>
      <c r="D402" s="1095"/>
      <c r="E402" s="1095"/>
      <c r="F402" s="1096"/>
      <c r="G402" s="1095"/>
      <c r="H402" s="1095"/>
    </row>
    <row r="403">
      <c r="A403" s="1095"/>
      <c r="B403" s="1094"/>
      <c r="C403" s="1095"/>
      <c r="D403" s="1095"/>
      <c r="E403" s="1095"/>
      <c r="F403" s="1096"/>
      <c r="G403" s="1095"/>
      <c r="H403" s="1095"/>
    </row>
    <row r="404">
      <c r="A404" s="1095"/>
      <c r="B404" s="1094"/>
      <c r="C404" s="1095"/>
      <c r="D404" s="1095"/>
      <c r="E404" s="1095"/>
      <c r="F404" s="1096"/>
      <c r="G404" s="1095"/>
      <c r="H404" s="1095"/>
    </row>
    <row r="405">
      <c r="A405" s="1095"/>
      <c r="B405" s="1094"/>
      <c r="C405" s="1095"/>
      <c r="D405" s="1095"/>
      <c r="E405" s="1095"/>
      <c r="F405" s="1096"/>
      <c r="G405" s="1095"/>
      <c r="H405" s="1095"/>
    </row>
    <row r="406">
      <c r="A406" s="1095"/>
      <c r="B406" s="1094"/>
      <c r="C406" s="1095"/>
      <c r="D406" s="1095"/>
      <c r="E406" s="1095"/>
      <c r="F406" s="1096"/>
      <c r="G406" s="1095"/>
      <c r="H406" s="1095"/>
    </row>
    <row r="407">
      <c r="A407" s="1095"/>
      <c r="B407" s="1094"/>
      <c r="C407" s="1095"/>
      <c r="D407" s="1095"/>
      <c r="E407" s="1095"/>
      <c r="F407" s="1096"/>
      <c r="G407" s="1095"/>
      <c r="H407" s="1095"/>
    </row>
    <row r="408">
      <c r="A408" s="1095"/>
      <c r="B408" s="1094"/>
      <c r="C408" s="1095"/>
      <c r="D408" s="1095"/>
      <c r="E408" s="1095"/>
      <c r="F408" s="1096"/>
      <c r="G408" s="1095"/>
      <c r="H408" s="1095"/>
    </row>
    <row r="409">
      <c r="A409" s="1095"/>
      <c r="B409" s="1094"/>
      <c r="C409" s="1095"/>
      <c r="D409" s="1095"/>
      <c r="E409" s="1095"/>
      <c r="F409" s="1096"/>
      <c r="G409" s="1095"/>
      <c r="H409" s="1095"/>
    </row>
    <row r="410">
      <c r="A410" s="1095"/>
      <c r="B410" s="1094"/>
      <c r="C410" s="1095"/>
      <c r="D410" s="1095"/>
      <c r="E410" s="1095"/>
      <c r="F410" s="1096"/>
      <c r="G410" s="1095"/>
      <c r="H410" s="1095"/>
    </row>
    <row r="411">
      <c r="A411" s="1095"/>
      <c r="B411" s="1094"/>
      <c r="C411" s="1095"/>
      <c r="D411" s="1095"/>
      <c r="E411" s="1095"/>
      <c r="F411" s="1096"/>
      <c r="G411" s="1095"/>
      <c r="H411" s="1095"/>
    </row>
    <row r="412">
      <c r="A412" s="1095"/>
      <c r="B412" s="1094"/>
      <c r="C412" s="1095"/>
      <c r="D412" s="1095"/>
      <c r="E412" s="1095"/>
      <c r="F412" s="1096"/>
      <c r="G412" s="1095"/>
      <c r="H412" s="1095"/>
    </row>
    <row r="413">
      <c r="A413" s="1095"/>
      <c r="B413" s="1094"/>
      <c r="C413" s="1095"/>
      <c r="D413" s="1095"/>
      <c r="E413" s="1095"/>
      <c r="F413" s="1096"/>
      <c r="G413" s="1095"/>
      <c r="H413" s="1095"/>
    </row>
    <row r="414">
      <c r="A414" s="1095"/>
      <c r="B414" s="1094"/>
      <c r="C414" s="1095"/>
      <c r="D414" s="1095"/>
      <c r="E414" s="1095"/>
      <c r="F414" s="1096"/>
      <c r="G414" s="1095"/>
      <c r="H414" s="1095"/>
    </row>
    <row r="415">
      <c r="A415" s="1095"/>
      <c r="B415" s="1094"/>
      <c r="C415" s="1095"/>
      <c r="D415" s="1095"/>
      <c r="E415" s="1095"/>
      <c r="F415" s="1096"/>
      <c r="G415" s="1095"/>
      <c r="H415" s="1095"/>
    </row>
    <row r="416">
      <c r="A416" s="1095"/>
      <c r="B416" s="1094"/>
      <c r="C416" s="1095"/>
      <c r="D416" s="1095"/>
      <c r="E416" s="1095"/>
      <c r="F416" s="1096"/>
      <c r="G416" s="1095"/>
      <c r="H416" s="1095"/>
    </row>
    <row r="417">
      <c r="A417" s="1095"/>
      <c r="B417" s="1094"/>
      <c r="C417" s="1095"/>
      <c r="D417" s="1095"/>
      <c r="E417" s="1095"/>
      <c r="F417" s="1096"/>
      <c r="G417" s="1095"/>
      <c r="H417" s="1095"/>
    </row>
    <row r="418">
      <c r="A418" s="1095"/>
      <c r="B418" s="1094"/>
      <c r="C418" s="1095"/>
      <c r="D418" s="1095"/>
      <c r="E418" s="1095"/>
      <c r="F418" s="1096"/>
      <c r="G418" s="1095"/>
      <c r="H418" s="1095"/>
    </row>
    <row r="419">
      <c r="A419" s="1095"/>
      <c r="B419" s="1094"/>
      <c r="C419" s="1095"/>
      <c r="D419" s="1095"/>
      <c r="E419" s="1095"/>
      <c r="F419" s="1096"/>
      <c r="G419" s="1095"/>
      <c r="H419" s="1095"/>
    </row>
    <row r="420">
      <c r="A420" s="1095"/>
      <c r="B420" s="1094"/>
      <c r="C420" s="1095"/>
      <c r="D420" s="1095"/>
      <c r="E420" s="1095"/>
      <c r="F420" s="1096"/>
      <c r="G420" s="1095"/>
      <c r="H420" s="1095"/>
    </row>
    <row r="421">
      <c r="A421" s="1095"/>
      <c r="B421" s="1094"/>
      <c r="C421" s="1095"/>
      <c r="D421" s="1095"/>
      <c r="E421" s="1095"/>
      <c r="F421" s="1096"/>
      <c r="G421" s="1095"/>
      <c r="H421" s="1095"/>
    </row>
    <row r="422">
      <c r="A422" s="1095"/>
      <c r="B422" s="1094"/>
      <c r="C422" s="1095"/>
      <c r="D422" s="1095"/>
      <c r="E422" s="1095"/>
      <c r="F422" s="1096"/>
      <c r="G422" s="1095"/>
      <c r="H422" s="1095"/>
    </row>
    <row r="423">
      <c r="A423" s="1095"/>
      <c r="B423" s="1094"/>
      <c r="C423" s="1095"/>
      <c r="D423" s="1095"/>
      <c r="E423" s="1095"/>
      <c r="F423" s="1096"/>
      <c r="G423" s="1095"/>
      <c r="H423" s="1095"/>
    </row>
    <row r="424">
      <c r="A424" s="1095"/>
      <c r="B424" s="1094"/>
      <c r="C424" s="1095"/>
      <c r="D424" s="1095"/>
      <c r="E424" s="1095"/>
      <c r="F424" s="1096"/>
      <c r="G424" s="1095"/>
      <c r="H424" s="1095"/>
    </row>
    <row r="425">
      <c r="A425" s="1095"/>
      <c r="B425" s="1094"/>
      <c r="C425" s="1095"/>
      <c r="D425" s="1095"/>
      <c r="E425" s="1095"/>
      <c r="F425" s="1096"/>
      <c r="G425" s="1095"/>
      <c r="H425" s="1095"/>
    </row>
    <row r="426">
      <c r="A426" s="1095"/>
      <c r="B426" s="1094"/>
      <c r="C426" s="1095"/>
      <c r="D426" s="1095"/>
      <c r="E426" s="1095"/>
      <c r="F426" s="1096"/>
      <c r="G426" s="1095"/>
      <c r="H426" s="1095"/>
    </row>
    <row r="427">
      <c r="A427" s="1095"/>
      <c r="B427" s="1094"/>
      <c r="C427" s="1095"/>
      <c r="D427" s="1095"/>
      <c r="E427" s="1095"/>
      <c r="F427" s="1096"/>
      <c r="G427" s="1095"/>
      <c r="H427" s="1095"/>
    </row>
    <row r="428">
      <c r="A428" s="1095"/>
      <c r="B428" s="1094"/>
      <c r="C428" s="1095"/>
      <c r="D428" s="1095"/>
      <c r="E428" s="1095"/>
      <c r="F428" s="1096"/>
      <c r="G428" s="1095"/>
      <c r="H428" s="1095"/>
    </row>
    <row r="429">
      <c r="A429" s="1095"/>
      <c r="B429" s="1094"/>
      <c r="C429" s="1095"/>
      <c r="D429" s="1095"/>
      <c r="E429" s="1095"/>
      <c r="F429" s="1096"/>
      <c r="G429" s="1095"/>
      <c r="H429" s="1095"/>
    </row>
    <row r="430">
      <c r="A430" s="1095"/>
      <c r="B430" s="1094"/>
      <c r="C430" s="1095"/>
      <c r="D430" s="1095"/>
      <c r="E430" s="1095"/>
      <c r="F430" s="1096"/>
      <c r="G430" s="1095"/>
      <c r="H430" s="1095"/>
    </row>
    <row r="431">
      <c r="A431" s="1095"/>
      <c r="B431" s="1094"/>
      <c r="C431" s="1095"/>
      <c r="D431" s="1095"/>
      <c r="E431" s="1095"/>
      <c r="F431" s="1096"/>
      <c r="G431" s="1095"/>
      <c r="H431" s="1095"/>
    </row>
    <row r="432">
      <c r="A432" s="1095"/>
      <c r="B432" s="1094"/>
      <c r="C432" s="1095"/>
      <c r="D432" s="1095"/>
      <c r="E432" s="1095"/>
      <c r="F432" s="1096"/>
      <c r="G432" s="1095"/>
      <c r="H432" s="1095"/>
    </row>
    <row r="433">
      <c r="A433" s="1095"/>
      <c r="B433" s="1094"/>
      <c r="C433" s="1095"/>
      <c r="D433" s="1095"/>
      <c r="E433" s="1095"/>
      <c r="F433" s="1096"/>
      <c r="G433" s="1095"/>
      <c r="H433" s="1095"/>
    </row>
    <row r="434">
      <c r="A434" s="1095"/>
      <c r="B434" s="1094"/>
      <c r="C434" s="1095"/>
      <c r="D434" s="1095"/>
      <c r="E434" s="1095"/>
      <c r="F434" s="1096"/>
      <c r="G434" s="1095"/>
      <c r="H434" s="1095"/>
    </row>
    <row r="435">
      <c r="A435" s="1095"/>
      <c r="B435" s="1094"/>
      <c r="C435" s="1095"/>
      <c r="D435" s="1095"/>
      <c r="E435" s="1095"/>
      <c r="F435" s="1096"/>
      <c r="G435" s="1095"/>
      <c r="H435" s="1095"/>
    </row>
    <row r="436">
      <c r="A436" s="1095"/>
      <c r="B436" s="1094"/>
      <c r="C436" s="1095"/>
      <c r="D436" s="1095"/>
      <c r="E436" s="1095"/>
      <c r="F436" s="1096"/>
      <c r="G436" s="1095"/>
      <c r="H436" s="1095"/>
    </row>
    <row r="437">
      <c r="A437" s="1095"/>
      <c r="B437" s="1094"/>
      <c r="C437" s="1095"/>
      <c r="D437" s="1095"/>
      <c r="E437" s="1095"/>
      <c r="F437" s="1096"/>
      <c r="G437" s="1095"/>
      <c r="H437" s="1095"/>
    </row>
    <row r="438">
      <c r="A438" s="1095"/>
      <c r="B438" s="1094"/>
      <c r="C438" s="1095"/>
      <c r="D438" s="1095"/>
      <c r="E438" s="1095"/>
      <c r="F438" s="1096"/>
      <c r="G438" s="1095"/>
      <c r="H438" s="1095"/>
    </row>
    <row r="439">
      <c r="A439" s="1095"/>
      <c r="B439" s="1094"/>
      <c r="C439" s="1095"/>
      <c r="D439" s="1095"/>
      <c r="E439" s="1095"/>
      <c r="F439" s="1096"/>
      <c r="G439" s="1095"/>
      <c r="H439" s="1095"/>
    </row>
    <row r="440">
      <c r="A440" s="1095"/>
      <c r="B440" s="1094"/>
      <c r="C440" s="1095"/>
      <c r="D440" s="1095"/>
      <c r="E440" s="1095"/>
      <c r="F440" s="1096"/>
      <c r="G440" s="1095"/>
      <c r="H440" s="1095"/>
    </row>
    <row r="441">
      <c r="A441" s="1095"/>
      <c r="B441" s="1094"/>
      <c r="C441" s="1095"/>
      <c r="D441" s="1095"/>
      <c r="E441" s="1095"/>
      <c r="F441" s="1096"/>
      <c r="G441" s="1095"/>
      <c r="H441" s="1095"/>
    </row>
    <row r="442">
      <c r="A442" s="1095"/>
      <c r="B442" s="1094"/>
      <c r="C442" s="1095"/>
      <c r="D442" s="1095"/>
      <c r="E442" s="1095"/>
      <c r="F442" s="1096"/>
      <c r="G442" s="1095"/>
      <c r="H442" s="1095"/>
    </row>
    <row r="443">
      <c r="A443" s="1095"/>
      <c r="B443" s="1094"/>
      <c r="C443" s="1095"/>
      <c r="D443" s="1095"/>
      <c r="E443" s="1095"/>
      <c r="F443" s="1096"/>
      <c r="G443" s="1095"/>
      <c r="H443" s="1095"/>
    </row>
    <row r="444">
      <c r="A444" s="1095"/>
      <c r="B444" s="1094"/>
      <c r="C444" s="1095"/>
      <c r="D444" s="1095"/>
      <c r="E444" s="1095"/>
      <c r="F444" s="1096"/>
      <c r="G444" s="1095"/>
      <c r="H444" s="1095"/>
    </row>
    <row r="445">
      <c r="A445" s="1095"/>
      <c r="B445" s="1094"/>
      <c r="C445" s="1095"/>
      <c r="D445" s="1095"/>
      <c r="E445" s="1095"/>
      <c r="F445" s="1096"/>
      <c r="G445" s="1095"/>
      <c r="H445" s="1095"/>
    </row>
    <row r="446">
      <c r="A446" s="1095"/>
      <c r="B446" s="1094"/>
      <c r="C446" s="1095"/>
      <c r="D446" s="1095"/>
      <c r="E446" s="1095"/>
      <c r="F446" s="1096"/>
      <c r="G446" s="1095"/>
      <c r="H446" s="1095"/>
    </row>
    <row r="447">
      <c r="A447" s="1095"/>
      <c r="B447" s="1094"/>
      <c r="C447" s="1095"/>
      <c r="D447" s="1095"/>
      <c r="E447" s="1095"/>
      <c r="F447" s="1096"/>
      <c r="G447" s="1095"/>
      <c r="H447" s="1095"/>
    </row>
    <row r="448">
      <c r="A448" s="1095"/>
      <c r="B448" s="1094"/>
      <c r="C448" s="1095"/>
      <c r="D448" s="1095"/>
      <c r="E448" s="1095"/>
      <c r="F448" s="1096"/>
      <c r="G448" s="1095"/>
      <c r="H448" s="1095"/>
    </row>
    <row r="449">
      <c r="A449" s="1095"/>
      <c r="B449" s="1094"/>
      <c r="C449" s="1095"/>
      <c r="D449" s="1095"/>
      <c r="E449" s="1095"/>
      <c r="F449" s="1096"/>
      <c r="G449" s="1095"/>
      <c r="H449" s="1095"/>
    </row>
    <row r="450">
      <c r="A450" s="1095"/>
      <c r="B450" s="1094"/>
      <c r="C450" s="1095"/>
      <c r="D450" s="1095"/>
      <c r="E450" s="1095"/>
      <c r="F450" s="1096"/>
      <c r="G450" s="1095"/>
      <c r="H450" s="1095"/>
    </row>
    <row r="451">
      <c r="A451" s="1095"/>
      <c r="B451" s="1094"/>
      <c r="C451" s="1095"/>
      <c r="D451" s="1095"/>
      <c r="E451" s="1095"/>
      <c r="F451" s="1096"/>
      <c r="G451" s="1095"/>
      <c r="H451" s="1095"/>
    </row>
    <row r="452">
      <c r="A452" s="1095"/>
      <c r="B452" s="1094"/>
      <c r="C452" s="1095"/>
      <c r="D452" s="1095"/>
      <c r="E452" s="1095"/>
      <c r="F452" s="1096"/>
      <c r="G452" s="1095"/>
      <c r="H452" s="1095"/>
    </row>
    <row r="453">
      <c r="A453" s="1095"/>
      <c r="B453" s="1094"/>
      <c r="C453" s="1095"/>
      <c r="D453" s="1095"/>
      <c r="E453" s="1095"/>
      <c r="F453" s="1096"/>
      <c r="G453" s="1095"/>
      <c r="H453" s="1095"/>
    </row>
    <row r="454">
      <c r="A454" s="1095"/>
      <c r="B454" s="1094"/>
      <c r="C454" s="1095"/>
      <c r="D454" s="1095"/>
      <c r="E454" s="1095"/>
      <c r="F454" s="1096"/>
      <c r="G454" s="1095"/>
      <c r="H454" s="1095"/>
    </row>
    <row r="455">
      <c r="A455" s="1095"/>
      <c r="B455" s="1094"/>
      <c r="C455" s="1095"/>
      <c r="D455" s="1095"/>
      <c r="E455" s="1095"/>
      <c r="F455" s="1096"/>
      <c r="G455" s="1095"/>
      <c r="H455" s="1095"/>
    </row>
    <row r="456">
      <c r="A456" s="1095"/>
      <c r="B456" s="1094"/>
      <c r="C456" s="1095"/>
      <c r="D456" s="1095"/>
      <c r="E456" s="1095"/>
      <c r="F456" s="1096"/>
      <c r="G456" s="1095"/>
      <c r="H456" s="1095"/>
    </row>
    <row r="457">
      <c r="A457" s="1095"/>
      <c r="B457" s="1094"/>
      <c r="C457" s="1095"/>
      <c r="D457" s="1095"/>
      <c r="E457" s="1095"/>
      <c r="F457" s="1096"/>
      <c r="G457" s="1095"/>
      <c r="H457" s="1095"/>
    </row>
    <row r="458">
      <c r="A458" s="1095"/>
      <c r="B458" s="1094"/>
      <c r="C458" s="1095"/>
      <c r="D458" s="1095"/>
      <c r="E458" s="1095"/>
      <c r="F458" s="1096"/>
      <c r="G458" s="1095"/>
      <c r="H458" s="1095"/>
    </row>
    <row r="459">
      <c r="A459" s="1095"/>
      <c r="B459" s="1094"/>
      <c r="C459" s="1095"/>
      <c r="D459" s="1095"/>
      <c r="E459" s="1095"/>
      <c r="F459" s="1096"/>
      <c r="G459" s="1095"/>
      <c r="H459" s="1095"/>
    </row>
    <row r="460">
      <c r="A460" s="1095"/>
      <c r="B460" s="1094"/>
      <c r="C460" s="1095"/>
      <c r="D460" s="1095"/>
      <c r="E460" s="1095"/>
      <c r="F460" s="1096"/>
      <c r="G460" s="1095"/>
      <c r="H460" s="1095"/>
    </row>
    <row r="461">
      <c r="A461" s="1095"/>
      <c r="B461" s="1094"/>
      <c r="C461" s="1095"/>
      <c r="D461" s="1095"/>
      <c r="E461" s="1095"/>
      <c r="F461" s="1096"/>
      <c r="G461" s="1095"/>
      <c r="H461" s="1095"/>
    </row>
    <row r="462">
      <c r="A462" s="1095"/>
      <c r="B462" s="1094"/>
      <c r="C462" s="1095"/>
      <c r="D462" s="1095"/>
      <c r="E462" s="1095"/>
      <c r="F462" s="1096"/>
      <c r="G462" s="1095"/>
      <c r="H462" s="1095"/>
    </row>
    <row r="463">
      <c r="A463" s="1095"/>
      <c r="B463" s="1094"/>
      <c r="C463" s="1095"/>
      <c r="D463" s="1095"/>
      <c r="E463" s="1095"/>
      <c r="F463" s="1096"/>
      <c r="G463" s="1095"/>
      <c r="H463" s="1095"/>
    </row>
    <row r="464">
      <c r="A464" s="1095"/>
      <c r="B464" s="1094"/>
      <c r="C464" s="1095"/>
      <c r="D464" s="1095"/>
      <c r="E464" s="1095"/>
      <c r="F464" s="1096"/>
      <c r="G464" s="1095"/>
      <c r="H464" s="1095"/>
    </row>
    <row r="465">
      <c r="A465" s="1095"/>
      <c r="B465" s="1094"/>
      <c r="C465" s="1095"/>
      <c r="D465" s="1095"/>
      <c r="E465" s="1095"/>
      <c r="F465" s="1096"/>
      <c r="G465" s="1095"/>
      <c r="H465" s="1095"/>
    </row>
    <row r="466">
      <c r="A466" s="1095"/>
      <c r="B466" s="1094"/>
      <c r="C466" s="1095"/>
      <c r="D466" s="1095"/>
      <c r="E466" s="1095"/>
      <c r="F466" s="1096"/>
      <c r="G466" s="1095"/>
      <c r="H466" s="1095"/>
    </row>
    <row r="467">
      <c r="A467" s="1095"/>
      <c r="B467" s="1094"/>
      <c r="C467" s="1095"/>
      <c r="D467" s="1095"/>
      <c r="E467" s="1095"/>
      <c r="F467" s="1096"/>
      <c r="G467" s="1095"/>
      <c r="H467" s="1095"/>
    </row>
    <row r="468">
      <c r="A468" s="1095"/>
      <c r="B468" s="1094"/>
      <c r="C468" s="1095"/>
      <c r="D468" s="1095"/>
      <c r="E468" s="1095"/>
      <c r="F468" s="1096"/>
      <c r="G468" s="1095"/>
      <c r="H468" s="1095"/>
    </row>
    <row r="469">
      <c r="A469" s="1095"/>
      <c r="B469" s="1094"/>
      <c r="C469" s="1095"/>
      <c r="D469" s="1095"/>
      <c r="E469" s="1095"/>
      <c r="F469" s="1096"/>
      <c r="G469" s="1095"/>
      <c r="H469" s="1095"/>
    </row>
    <row r="470">
      <c r="A470" s="1095"/>
      <c r="B470" s="1094"/>
      <c r="C470" s="1095"/>
      <c r="D470" s="1095"/>
      <c r="E470" s="1095"/>
      <c r="F470" s="1096"/>
      <c r="G470" s="1095"/>
      <c r="H470" s="1095"/>
    </row>
    <row r="471">
      <c r="A471" s="1095"/>
      <c r="B471" s="1094"/>
      <c r="C471" s="1095"/>
      <c r="D471" s="1095"/>
      <c r="E471" s="1095"/>
      <c r="F471" s="1096"/>
      <c r="G471" s="1095"/>
      <c r="H471" s="1095"/>
    </row>
    <row r="472">
      <c r="A472" s="1095"/>
      <c r="B472" s="1094"/>
      <c r="C472" s="1095"/>
      <c r="D472" s="1095"/>
      <c r="E472" s="1095"/>
      <c r="F472" s="1096"/>
      <c r="G472" s="1095"/>
      <c r="H472" s="1095"/>
    </row>
    <row r="473">
      <c r="A473" s="1095"/>
      <c r="B473" s="1094"/>
      <c r="C473" s="1095"/>
      <c r="D473" s="1095"/>
      <c r="E473" s="1095"/>
      <c r="F473" s="1096"/>
      <c r="G473" s="1095"/>
      <c r="H473" s="1095"/>
    </row>
    <row r="474">
      <c r="A474" s="1095"/>
      <c r="B474" s="1094"/>
      <c r="C474" s="1095"/>
      <c r="D474" s="1095"/>
      <c r="E474" s="1095"/>
      <c r="F474" s="1096"/>
      <c r="G474" s="1095"/>
      <c r="H474" s="1095"/>
    </row>
    <row r="475">
      <c r="A475" s="1095"/>
      <c r="B475" s="1094"/>
      <c r="C475" s="1095"/>
      <c r="D475" s="1095"/>
      <c r="E475" s="1095"/>
      <c r="F475" s="1096"/>
      <c r="G475" s="1095"/>
      <c r="H475" s="1095"/>
    </row>
    <row r="476">
      <c r="A476" s="1095"/>
      <c r="B476" s="1094"/>
      <c r="C476" s="1095"/>
      <c r="D476" s="1095"/>
      <c r="E476" s="1095"/>
      <c r="F476" s="1096"/>
      <c r="G476" s="1095"/>
      <c r="H476" s="1095"/>
    </row>
    <row r="477">
      <c r="A477" s="1095"/>
      <c r="B477" s="1094"/>
      <c r="C477" s="1095"/>
      <c r="D477" s="1095"/>
      <c r="E477" s="1095"/>
      <c r="F477" s="1096"/>
      <c r="G477" s="1095"/>
      <c r="H477" s="1095"/>
    </row>
    <row r="478">
      <c r="A478" s="1095"/>
      <c r="B478" s="1094"/>
      <c r="C478" s="1095"/>
      <c r="D478" s="1095"/>
      <c r="E478" s="1095"/>
      <c r="F478" s="1096"/>
      <c r="G478" s="1095"/>
      <c r="H478" s="1095"/>
    </row>
    <row r="479">
      <c r="A479" s="1095"/>
      <c r="B479" s="1094"/>
      <c r="C479" s="1095"/>
      <c r="D479" s="1095"/>
      <c r="E479" s="1095"/>
      <c r="F479" s="1096"/>
      <c r="G479" s="1095"/>
      <c r="H479" s="1095"/>
    </row>
    <row r="480">
      <c r="A480" s="1095"/>
      <c r="B480" s="1094"/>
      <c r="C480" s="1095"/>
      <c r="D480" s="1095"/>
      <c r="E480" s="1095"/>
      <c r="F480" s="1096"/>
      <c r="G480" s="1095"/>
      <c r="H480" s="1095"/>
    </row>
    <row r="481">
      <c r="A481" s="1095"/>
      <c r="B481" s="1094"/>
      <c r="C481" s="1095"/>
      <c r="D481" s="1095"/>
      <c r="E481" s="1095"/>
      <c r="F481" s="1096"/>
      <c r="G481" s="1095"/>
      <c r="H481" s="1095"/>
    </row>
    <row r="482">
      <c r="A482" s="1095"/>
      <c r="B482" s="1094"/>
      <c r="C482" s="1095"/>
      <c r="D482" s="1095"/>
      <c r="E482" s="1095"/>
      <c r="F482" s="1096"/>
      <c r="G482" s="1095"/>
      <c r="H482" s="1095"/>
    </row>
    <row r="483">
      <c r="A483" s="1095"/>
      <c r="B483" s="1094"/>
      <c r="C483" s="1095"/>
      <c r="D483" s="1095"/>
      <c r="E483" s="1095"/>
      <c r="F483" s="1096"/>
      <c r="G483" s="1095"/>
      <c r="H483" s="1095"/>
    </row>
    <row r="484">
      <c r="A484" s="1095"/>
      <c r="B484" s="1094"/>
      <c r="C484" s="1095"/>
      <c r="D484" s="1095"/>
      <c r="E484" s="1095"/>
      <c r="F484" s="1096"/>
      <c r="G484" s="1095"/>
      <c r="H484" s="1095"/>
    </row>
    <row r="485">
      <c r="A485" s="1095"/>
      <c r="B485" s="1094"/>
      <c r="C485" s="1095"/>
      <c r="D485" s="1095"/>
      <c r="E485" s="1095"/>
      <c r="F485" s="1096"/>
      <c r="G485" s="1095"/>
      <c r="H485" s="1095"/>
    </row>
    <row r="486">
      <c r="A486" s="1095"/>
      <c r="B486" s="1094"/>
      <c r="C486" s="1095"/>
      <c r="D486" s="1095"/>
      <c r="E486" s="1095"/>
      <c r="F486" s="1096"/>
      <c r="G486" s="1095"/>
      <c r="H486" s="1095"/>
    </row>
    <row r="487">
      <c r="A487" s="1095"/>
      <c r="B487" s="1094"/>
      <c r="C487" s="1095"/>
      <c r="D487" s="1095"/>
      <c r="E487" s="1095"/>
      <c r="F487" s="1096"/>
      <c r="G487" s="1095"/>
      <c r="H487" s="1095"/>
    </row>
    <row r="488">
      <c r="A488" s="1095"/>
      <c r="B488" s="1094"/>
      <c r="C488" s="1095"/>
      <c r="D488" s="1095"/>
      <c r="E488" s="1095"/>
      <c r="F488" s="1096"/>
      <c r="G488" s="1095"/>
      <c r="H488" s="1095"/>
    </row>
    <row r="489">
      <c r="A489" s="1095"/>
      <c r="B489" s="1094"/>
      <c r="C489" s="1095"/>
      <c r="D489" s="1095"/>
      <c r="E489" s="1095"/>
      <c r="F489" s="1096"/>
      <c r="G489" s="1095"/>
      <c r="H489" s="1095"/>
    </row>
    <row r="490">
      <c r="A490" s="1095"/>
      <c r="B490" s="1094"/>
      <c r="C490" s="1095"/>
      <c r="D490" s="1095"/>
      <c r="E490" s="1095"/>
      <c r="F490" s="1096"/>
      <c r="G490" s="1095"/>
      <c r="H490" s="1095"/>
    </row>
    <row r="491">
      <c r="A491" s="1095"/>
      <c r="B491" s="1094"/>
      <c r="C491" s="1095"/>
      <c r="D491" s="1095"/>
      <c r="E491" s="1095"/>
      <c r="F491" s="1096"/>
      <c r="G491" s="1095"/>
      <c r="H491" s="1095"/>
    </row>
    <row r="492">
      <c r="A492" s="1095"/>
      <c r="B492" s="1094"/>
      <c r="C492" s="1095"/>
      <c r="D492" s="1095"/>
      <c r="E492" s="1095"/>
      <c r="F492" s="1096"/>
      <c r="G492" s="1095"/>
      <c r="H492" s="1095"/>
    </row>
    <row r="493">
      <c r="A493" s="1095"/>
      <c r="B493" s="1094"/>
      <c r="C493" s="1095"/>
      <c r="D493" s="1095"/>
      <c r="E493" s="1095"/>
      <c r="F493" s="1096"/>
      <c r="G493" s="1095"/>
      <c r="H493" s="1095"/>
    </row>
    <row r="494">
      <c r="A494" s="1095"/>
      <c r="B494" s="1094"/>
      <c r="C494" s="1095"/>
      <c r="D494" s="1095"/>
      <c r="E494" s="1095"/>
      <c r="F494" s="1096"/>
      <c r="G494" s="1095"/>
      <c r="H494" s="1095"/>
    </row>
    <row r="495">
      <c r="A495" s="1095"/>
      <c r="B495" s="1094"/>
      <c r="C495" s="1095"/>
      <c r="D495" s="1095"/>
      <c r="E495" s="1095"/>
      <c r="F495" s="1096"/>
      <c r="G495" s="1095"/>
      <c r="H495" s="1095"/>
    </row>
    <row r="496">
      <c r="A496" s="1095"/>
      <c r="B496" s="1094"/>
      <c r="C496" s="1095"/>
      <c r="D496" s="1095"/>
      <c r="E496" s="1095"/>
      <c r="F496" s="1096"/>
      <c r="G496" s="1095"/>
      <c r="H496" s="1095"/>
    </row>
    <row r="497">
      <c r="A497" s="1095"/>
      <c r="B497" s="1094"/>
      <c r="C497" s="1095"/>
      <c r="D497" s="1095"/>
      <c r="E497" s="1095"/>
      <c r="F497" s="1096"/>
      <c r="G497" s="1095"/>
      <c r="H497" s="1095"/>
    </row>
    <row r="498">
      <c r="A498" s="1095"/>
      <c r="B498" s="1094"/>
      <c r="C498" s="1095"/>
      <c r="D498" s="1095"/>
      <c r="E498" s="1095"/>
      <c r="F498" s="1096"/>
      <c r="G498" s="1095"/>
      <c r="H498" s="1095"/>
    </row>
    <row r="499">
      <c r="A499" s="1095"/>
      <c r="B499" s="1094"/>
      <c r="C499" s="1095"/>
      <c r="D499" s="1095"/>
      <c r="E499" s="1095"/>
      <c r="F499" s="1096"/>
      <c r="G499" s="1095"/>
      <c r="H499" s="1095"/>
    </row>
    <row r="500">
      <c r="A500" s="1095"/>
      <c r="B500" s="1094"/>
      <c r="C500" s="1095"/>
      <c r="D500" s="1095"/>
      <c r="E500" s="1095"/>
      <c r="F500" s="1096"/>
      <c r="G500" s="1095"/>
      <c r="H500" s="1095"/>
    </row>
    <row r="501">
      <c r="A501" s="1095"/>
      <c r="B501" s="1094"/>
      <c r="C501" s="1095"/>
      <c r="D501" s="1095"/>
      <c r="E501" s="1095"/>
      <c r="F501" s="1096"/>
      <c r="G501" s="1095"/>
      <c r="H501" s="1095"/>
    </row>
    <row r="502">
      <c r="A502" s="1095"/>
      <c r="B502" s="1094"/>
      <c r="C502" s="1095"/>
      <c r="D502" s="1095"/>
      <c r="E502" s="1095"/>
      <c r="F502" s="1096"/>
      <c r="G502" s="1095"/>
      <c r="H502" s="1095"/>
    </row>
    <row r="503">
      <c r="A503" s="1095"/>
      <c r="B503" s="1094"/>
      <c r="C503" s="1095"/>
      <c r="D503" s="1095"/>
      <c r="E503" s="1095"/>
      <c r="F503" s="1096"/>
      <c r="G503" s="1095"/>
      <c r="H503" s="1095"/>
    </row>
    <row r="504">
      <c r="A504" s="1095"/>
      <c r="B504" s="1094"/>
      <c r="C504" s="1095"/>
      <c r="D504" s="1095"/>
      <c r="E504" s="1095"/>
      <c r="F504" s="1096"/>
      <c r="G504" s="1095"/>
      <c r="H504" s="1095"/>
    </row>
    <row r="505">
      <c r="A505" s="1095"/>
      <c r="B505" s="1094"/>
      <c r="C505" s="1095"/>
      <c r="D505" s="1095"/>
      <c r="E505" s="1095"/>
      <c r="F505" s="1096"/>
      <c r="G505" s="1095"/>
      <c r="H505" s="1095"/>
    </row>
    <row r="506">
      <c r="A506" s="1095"/>
      <c r="B506" s="1094"/>
      <c r="C506" s="1095"/>
      <c r="D506" s="1095"/>
      <c r="E506" s="1095"/>
      <c r="F506" s="1096"/>
      <c r="G506" s="1095"/>
      <c r="H506" s="1095"/>
    </row>
    <row r="507">
      <c r="A507" s="1095"/>
      <c r="B507" s="1094"/>
      <c r="C507" s="1095"/>
      <c r="D507" s="1095"/>
      <c r="E507" s="1095"/>
      <c r="F507" s="1096"/>
      <c r="G507" s="1095"/>
      <c r="H507" s="1095"/>
    </row>
    <row r="508">
      <c r="A508" s="1095"/>
      <c r="B508" s="1094"/>
      <c r="C508" s="1095"/>
      <c r="D508" s="1095"/>
      <c r="E508" s="1095"/>
      <c r="F508" s="1096"/>
      <c r="G508" s="1095"/>
      <c r="H508" s="1095"/>
    </row>
    <row r="509">
      <c r="A509" s="1095"/>
      <c r="B509" s="1094"/>
      <c r="C509" s="1095"/>
      <c r="D509" s="1095"/>
      <c r="E509" s="1095"/>
      <c r="F509" s="1096"/>
      <c r="G509" s="1095"/>
      <c r="H509" s="1095"/>
    </row>
    <row r="510">
      <c r="A510" s="1095"/>
      <c r="B510" s="1094"/>
      <c r="C510" s="1095"/>
      <c r="D510" s="1095"/>
      <c r="E510" s="1095"/>
      <c r="F510" s="1096"/>
      <c r="G510" s="1095"/>
      <c r="H510" s="1095"/>
    </row>
    <row r="511">
      <c r="A511" s="1095"/>
      <c r="B511" s="1094"/>
      <c r="C511" s="1095"/>
      <c r="D511" s="1095"/>
      <c r="E511" s="1095"/>
      <c r="F511" s="1096"/>
      <c r="G511" s="1095"/>
      <c r="H511" s="1095"/>
    </row>
    <row r="512">
      <c r="A512" s="1095"/>
      <c r="B512" s="1094"/>
      <c r="C512" s="1095"/>
      <c r="D512" s="1095"/>
      <c r="E512" s="1095"/>
      <c r="F512" s="1096"/>
      <c r="G512" s="1095"/>
      <c r="H512" s="1095"/>
    </row>
    <row r="513">
      <c r="A513" s="1095"/>
      <c r="B513" s="1094"/>
      <c r="C513" s="1095"/>
      <c r="D513" s="1095"/>
      <c r="E513" s="1095"/>
      <c r="F513" s="1096"/>
      <c r="G513" s="1095"/>
      <c r="H513" s="1095"/>
    </row>
    <row r="514">
      <c r="A514" s="1095"/>
      <c r="B514" s="1094"/>
      <c r="C514" s="1095"/>
      <c r="D514" s="1095"/>
      <c r="E514" s="1095"/>
      <c r="F514" s="1096"/>
      <c r="G514" s="1095"/>
      <c r="H514" s="1095"/>
    </row>
    <row r="515">
      <c r="A515" s="1095"/>
      <c r="B515" s="1094"/>
      <c r="C515" s="1095"/>
      <c r="D515" s="1095"/>
      <c r="E515" s="1095"/>
      <c r="F515" s="1096"/>
      <c r="G515" s="1095"/>
      <c r="H515" s="1095"/>
    </row>
    <row r="516">
      <c r="A516" s="1095"/>
      <c r="B516" s="1094"/>
      <c r="C516" s="1095"/>
      <c r="D516" s="1095"/>
      <c r="E516" s="1095"/>
      <c r="F516" s="1096"/>
      <c r="G516" s="1095"/>
      <c r="H516" s="1095"/>
    </row>
    <row r="517">
      <c r="A517" s="1095"/>
      <c r="B517" s="1094"/>
      <c r="C517" s="1095"/>
      <c r="D517" s="1095"/>
      <c r="E517" s="1095"/>
      <c r="F517" s="1096"/>
      <c r="G517" s="1095"/>
      <c r="H517" s="1095"/>
    </row>
    <row r="518">
      <c r="A518" s="1095"/>
      <c r="B518" s="1094"/>
      <c r="C518" s="1095"/>
      <c r="D518" s="1095"/>
      <c r="E518" s="1095"/>
      <c r="F518" s="1096"/>
      <c r="G518" s="1095"/>
      <c r="H518" s="1095"/>
    </row>
    <row r="519">
      <c r="A519" s="1095"/>
      <c r="B519" s="1094"/>
      <c r="C519" s="1095"/>
      <c r="D519" s="1095"/>
      <c r="E519" s="1095"/>
      <c r="F519" s="1096"/>
      <c r="G519" s="1095"/>
      <c r="H519" s="1095"/>
    </row>
    <row r="520">
      <c r="A520" s="1095"/>
      <c r="B520" s="1094"/>
      <c r="C520" s="1095"/>
      <c r="D520" s="1095"/>
      <c r="E520" s="1095"/>
      <c r="F520" s="1096"/>
      <c r="G520" s="1095"/>
      <c r="H520" s="1095"/>
    </row>
    <row r="521">
      <c r="A521" s="1095"/>
      <c r="B521" s="1094"/>
      <c r="C521" s="1095"/>
      <c r="D521" s="1095"/>
      <c r="E521" s="1095"/>
      <c r="F521" s="1096"/>
      <c r="G521" s="1095"/>
      <c r="H521" s="1095"/>
    </row>
    <row r="522">
      <c r="A522" s="1095"/>
      <c r="B522" s="1094"/>
      <c r="C522" s="1095"/>
      <c r="D522" s="1095"/>
      <c r="E522" s="1095"/>
      <c r="F522" s="1096"/>
      <c r="G522" s="1095"/>
      <c r="H522" s="1095"/>
    </row>
    <row r="523">
      <c r="A523" s="1095"/>
      <c r="B523" s="1094"/>
      <c r="C523" s="1095"/>
      <c r="D523" s="1095"/>
      <c r="E523" s="1095"/>
      <c r="F523" s="1096"/>
      <c r="G523" s="1095"/>
      <c r="H523" s="1095"/>
    </row>
    <row r="524">
      <c r="A524" s="1095"/>
      <c r="B524" s="1094"/>
      <c r="C524" s="1095"/>
      <c r="D524" s="1095"/>
      <c r="E524" s="1095"/>
      <c r="F524" s="1096"/>
      <c r="G524" s="1095"/>
      <c r="H524" s="1095"/>
    </row>
    <row r="525">
      <c r="A525" s="1095"/>
      <c r="B525" s="1094"/>
      <c r="C525" s="1095"/>
      <c r="D525" s="1095"/>
      <c r="E525" s="1095"/>
      <c r="F525" s="1096"/>
      <c r="G525" s="1095"/>
      <c r="H525" s="1095"/>
    </row>
    <row r="526">
      <c r="A526" s="1095"/>
      <c r="B526" s="1094"/>
      <c r="C526" s="1095"/>
      <c r="D526" s="1095"/>
      <c r="E526" s="1095"/>
      <c r="F526" s="1096"/>
      <c r="G526" s="1095"/>
      <c r="H526" s="1095"/>
    </row>
    <row r="527">
      <c r="A527" s="1095"/>
      <c r="B527" s="1094"/>
      <c r="C527" s="1095"/>
      <c r="D527" s="1095"/>
      <c r="E527" s="1095"/>
      <c r="F527" s="1096"/>
      <c r="G527" s="1095"/>
      <c r="H527" s="1095"/>
    </row>
    <row r="528">
      <c r="A528" s="1095"/>
      <c r="B528" s="1094"/>
      <c r="C528" s="1095"/>
      <c r="D528" s="1095"/>
      <c r="E528" s="1095"/>
      <c r="F528" s="1096"/>
      <c r="G528" s="1095"/>
      <c r="H528" s="1095"/>
    </row>
    <row r="529">
      <c r="A529" s="1095"/>
      <c r="B529" s="1094"/>
      <c r="C529" s="1095"/>
      <c r="D529" s="1095"/>
      <c r="E529" s="1095"/>
      <c r="F529" s="1096"/>
      <c r="G529" s="1095"/>
      <c r="H529" s="1095"/>
    </row>
    <row r="530">
      <c r="A530" s="1095"/>
      <c r="B530" s="1094"/>
      <c r="C530" s="1095"/>
      <c r="D530" s="1095"/>
      <c r="E530" s="1095"/>
      <c r="F530" s="1096"/>
      <c r="G530" s="1095"/>
      <c r="H530" s="1095"/>
    </row>
    <row r="531">
      <c r="A531" s="1095"/>
      <c r="B531" s="1094"/>
      <c r="C531" s="1095"/>
      <c r="D531" s="1095"/>
      <c r="E531" s="1095"/>
      <c r="F531" s="1096"/>
      <c r="G531" s="1095"/>
      <c r="H531" s="1095"/>
    </row>
    <row r="532">
      <c r="A532" s="1095"/>
      <c r="B532" s="1094"/>
      <c r="C532" s="1095"/>
      <c r="D532" s="1095"/>
      <c r="E532" s="1095"/>
      <c r="F532" s="1096"/>
      <c r="G532" s="1095"/>
      <c r="H532" s="1095"/>
    </row>
    <row r="533">
      <c r="A533" s="1095"/>
      <c r="B533" s="1094"/>
      <c r="C533" s="1095"/>
      <c r="D533" s="1095"/>
      <c r="E533" s="1095"/>
      <c r="F533" s="1096"/>
      <c r="G533" s="1095"/>
      <c r="H533" s="1095"/>
    </row>
    <row r="534">
      <c r="A534" s="1095"/>
      <c r="B534" s="1094"/>
      <c r="C534" s="1095"/>
      <c r="D534" s="1095"/>
      <c r="E534" s="1095"/>
      <c r="F534" s="1096"/>
      <c r="G534" s="1095"/>
      <c r="H534" s="1095"/>
    </row>
    <row r="535">
      <c r="A535" s="1095"/>
      <c r="B535" s="1094"/>
      <c r="C535" s="1095"/>
      <c r="D535" s="1095"/>
      <c r="E535" s="1095"/>
      <c r="F535" s="1096"/>
      <c r="G535" s="1095"/>
      <c r="H535" s="1095"/>
    </row>
    <row r="536">
      <c r="A536" s="1095"/>
      <c r="B536" s="1094"/>
      <c r="C536" s="1095"/>
      <c r="D536" s="1095"/>
      <c r="E536" s="1095"/>
      <c r="F536" s="1096"/>
      <c r="G536" s="1095"/>
      <c r="H536" s="1095"/>
    </row>
    <row r="537">
      <c r="A537" s="1095"/>
      <c r="B537" s="1094"/>
      <c r="C537" s="1095"/>
      <c r="D537" s="1095"/>
      <c r="E537" s="1095"/>
      <c r="F537" s="1096"/>
      <c r="G537" s="1095"/>
      <c r="H537" s="1095"/>
    </row>
    <row r="538">
      <c r="A538" s="1095"/>
      <c r="B538" s="1094"/>
      <c r="C538" s="1095"/>
      <c r="D538" s="1095"/>
      <c r="E538" s="1095"/>
      <c r="F538" s="1096"/>
      <c r="G538" s="1095"/>
      <c r="H538" s="1095"/>
    </row>
    <row r="539">
      <c r="A539" s="1095"/>
      <c r="B539" s="1094"/>
      <c r="C539" s="1095"/>
      <c r="D539" s="1095"/>
      <c r="E539" s="1095"/>
      <c r="F539" s="1096"/>
      <c r="G539" s="1095"/>
      <c r="H539" s="1095"/>
    </row>
    <row r="540">
      <c r="A540" s="1095"/>
      <c r="B540" s="1094"/>
      <c r="C540" s="1095"/>
      <c r="D540" s="1095"/>
      <c r="E540" s="1095"/>
      <c r="F540" s="1096"/>
      <c r="G540" s="1095"/>
      <c r="H540" s="1095"/>
    </row>
    <row r="541">
      <c r="A541" s="1095"/>
      <c r="B541" s="1094"/>
      <c r="C541" s="1095"/>
      <c r="D541" s="1095"/>
      <c r="E541" s="1095"/>
      <c r="F541" s="1096"/>
      <c r="G541" s="1095"/>
      <c r="H541" s="1095"/>
    </row>
    <row r="542">
      <c r="A542" s="1095"/>
      <c r="B542" s="1094"/>
      <c r="C542" s="1095"/>
      <c r="D542" s="1095"/>
      <c r="E542" s="1095"/>
      <c r="F542" s="1096"/>
      <c r="G542" s="1095"/>
      <c r="H542" s="1095"/>
    </row>
    <row r="543">
      <c r="A543" s="1095"/>
      <c r="B543" s="1094"/>
      <c r="C543" s="1095"/>
      <c r="D543" s="1095"/>
      <c r="E543" s="1095"/>
      <c r="F543" s="1096"/>
      <c r="G543" s="1095"/>
      <c r="H543" s="1095"/>
    </row>
    <row r="544">
      <c r="A544" s="1095"/>
      <c r="B544" s="1094"/>
      <c r="C544" s="1095"/>
      <c r="D544" s="1095"/>
      <c r="E544" s="1095"/>
      <c r="F544" s="1096"/>
      <c r="G544" s="1095"/>
      <c r="H544" s="1095"/>
    </row>
    <row r="545">
      <c r="A545" s="1095"/>
      <c r="B545" s="1094"/>
      <c r="C545" s="1095"/>
      <c r="D545" s="1095"/>
      <c r="E545" s="1095"/>
      <c r="F545" s="1096"/>
      <c r="G545" s="1095"/>
      <c r="H545" s="1095"/>
    </row>
    <row r="546">
      <c r="A546" s="1095"/>
      <c r="B546" s="1094"/>
      <c r="C546" s="1095"/>
      <c r="D546" s="1095"/>
      <c r="E546" s="1095"/>
      <c r="F546" s="1096"/>
      <c r="G546" s="1095"/>
      <c r="H546" s="1095"/>
    </row>
    <row r="547">
      <c r="A547" s="1095"/>
      <c r="B547" s="1094"/>
      <c r="C547" s="1095"/>
      <c r="D547" s="1095"/>
      <c r="E547" s="1095"/>
      <c r="F547" s="1096"/>
      <c r="G547" s="1095"/>
      <c r="H547" s="1095"/>
    </row>
    <row r="548">
      <c r="A548" s="1095"/>
      <c r="B548" s="1094"/>
      <c r="C548" s="1095"/>
      <c r="D548" s="1095"/>
      <c r="E548" s="1095"/>
      <c r="F548" s="1096"/>
      <c r="G548" s="1095"/>
      <c r="H548" s="1095"/>
    </row>
    <row r="549">
      <c r="A549" s="1095"/>
      <c r="B549" s="1094"/>
      <c r="C549" s="1095"/>
      <c r="D549" s="1095"/>
      <c r="E549" s="1095"/>
      <c r="F549" s="1096"/>
      <c r="G549" s="1095"/>
      <c r="H549" s="1095"/>
    </row>
    <row r="550">
      <c r="A550" s="1095"/>
      <c r="B550" s="1094"/>
      <c r="C550" s="1095"/>
      <c r="D550" s="1095"/>
      <c r="E550" s="1095"/>
      <c r="F550" s="1096"/>
      <c r="G550" s="1095"/>
      <c r="H550" s="1095"/>
    </row>
    <row r="551">
      <c r="A551" s="1095"/>
      <c r="B551" s="1094"/>
      <c r="C551" s="1095"/>
      <c r="D551" s="1095"/>
      <c r="E551" s="1095"/>
      <c r="F551" s="1096"/>
      <c r="G551" s="1095"/>
      <c r="H551" s="1095"/>
    </row>
    <row r="552">
      <c r="A552" s="1095"/>
      <c r="B552" s="1094"/>
      <c r="C552" s="1095"/>
      <c r="D552" s="1095"/>
      <c r="E552" s="1095"/>
      <c r="F552" s="1096"/>
      <c r="G552" s="1095"/>
      <c r="H552" s="1095"/>
    </row>
    <row r="553">
      <c r="A553" s="1095"/>
      <c r="B553" s="1094"/>
      <c r="C553" s="1095"/>
      <c r="D553" s="1095"/>
      <c r="E553" s="1095"/>
      <c r="F553" s="1096"/>
      <c r="G553" s="1095"/>
      <c r="H553" s="1095"/>
    </row>
    <row r="554">
      <c r="A554" s="1095"/>
      <c r="B554" s="1094"/>
      <c r="C554" s="1095"/>
      <c r="D554" s="1095"/>
      <c r="E554" s="1095"/>
      <c r="F554" s="1096"/>
      <c r="G554" s="1095"/>
      <c r="H554" s="1095"/>
    </row>
    <row r="555">
      <c r="A555" s="1095"/>
      <c r="B555" s="1094"/>
      <c r="C555" s="1095"/>
      <c r="D555" s="1095"/>
      <c r="E555" s="1095"/>
      <c r="F555" s="1096"/>
      <c r="G555" s="1095"/>
      <c r="H555" s="1095"/>
    </row>
    <row r="556">
      <c r="A556" s="1095"/>
      <c r="B556" s="1094"/>
      <c r="C556" s="1095"/>
      <c r="D556" s="1095"/>
      <c r="E556" s="1095"/>
      <c r="F556" s="1096"/>
      <c r="G556" s="1095"/>
      <c r="H556" s="1095"/>
    </row>
    <row r="557">
      <c r="A557" s="1095"/>
      <c r="B557" s="1094"/>
      <c r="C557" s="1095"/>
      <c r="D557" s="1095"/>
      <c r="E557" s="1095"/>
      <c r="F557" s="1096"/>
      <c r="G557" s="1095"/>
      <c r="H557" s="1095"/>
    </row>
    <row r="558">
      <c r="A558" s="1095"/>
      <c r="B558" s="1094"/>
      <c r="C558" s="1095"/>
      <c r="D558" s="1095"/>
      <c r="E558" s="1095"/>
      <c r="F558" s="1096"/>
      <c r="G558" s="1095"/>
      <c r="H558" s="1095"/>
    </row>
    <row r="559">
      <c r="A559" s="1095"/>
      <c r="B559" s="1094"/>
      <c r="C559" s="1095"/>
      <c r="D559" s="1095"/>
      <c r="E559" s="1095"/>
      <c r="F559" s="1096"/>
      <c r="G559" s="1095"/>
      <c r="H559" s="1095"/>
    </row>
    <row r="560">
      <c r="A560" s="1095"/>
      <c r="B560" s="1094"/>
      <c r="C560" s="1095"/>
      <c r="D560" s="1095"/>
      <c r="E560" s="1095"/>
      <c r="F560" s="1096"/>
      <c r="G560" s="1095"/>
      <c r="H560" s="1095"/>
    </row>
    <row r="561">
      <c r="A561" s="1095"/>
      <c r="B561" s="1094"/>
      <c r="C561" s="1095"/>
      <c r="D561" s="1095"/>
      <c r="E561" s="1095"/>
      <c r="F561" s="1096"/>
      <c r="G561" s="1095"/>
      <c r="H561" s="1095"/>
    </row>
    <row r="562">
      <c r="A562" s="1095"/>
      <c r="B562" s="1094"/>
      <c r="C562" s="1095"/>
      <c r="D562" s="1095"/>
      <c r="E562" s="1095"/>
      <c r="F562" s="1096"/>
      <c r="G562" s="1095"/>
      <c r="H562" s="1095"/>
    </row>
    <row r="563">
      <c r="A563" s="1095"/>
      <c r="B563" s="1094"/>
      <c r="C563" s="1095"/>
      <c r="D563" s="1095"/>
      <c r="E563" s="1095"/>
      <c r="F563" s="1096"/>
      <c r="G563" s="1095"/>
      <c r="H563" s="1095"/>
    </row>
    <row r="564">
      <c r="A564" s="1095"/>
      <c r="B564" s="1094"/>
      <c r="C564" s="1095"/>
      <c r="D564" s="1095"/>
      <c r="E564" s="1095"/>
      <c r="F564" s="1096"/>
      <c r="G564" s="1095"/>
      <c r="H564" s="1095"/>
    </row>
    <row r="565">
      <c r="A565" s="1095"/>
      <c r="B565" s="1094"/>
      <c r="C565" s="1095"/>
      <c r="D565" s="1095"/>
      <c r="E565" s="1095"/>
      <c r="F565" s="1096"/>
      <c r="G565" s="1095"/>
      <c r="H565" s="1095"/>
    </row>
    <row r="566">
      <c r="A566" s="1095"/>
      <c r="B566" s="1094"/>
      <c r="C566" s="1095"/>
      <c r="D566" s="1095"/>
      <c r="E566" s="1095"/>
      <c r="F566" s="1096"/>
      <c r="G566" s="1095"/>
      <c r="H566" s="1095"/>
    </row>
    <row r="567">
      <c r="A567" s="1095"/>
      <c r="B567" s="1094"/>
      <c r="C567" s="1095"/>
      <c r="D567" s="1095"/>
      <c r="E567" s="1095"/>
      <c r="F567" s="1096"/>
      <c r="G567" s="1095"/>
      <c r="H567" s="1095"/>
    </row>
    <row r="568">
      <c r="A568" s="1095"/>
      <c r="B568" s="1094"/>
      <c r="C568" s="1095"/>
      <c r="D568" s="1095"/>
      <c r="E568" s="1095"/>
      <c r="F568" s="1096"/>
      <c r="G568" s="1095"/>
      <c r="H568" s="1095"/>
    </row>
    <row r="569">
      <c r="A569" s="1095"/>
      <c r="B569" s="1094"/>
      <c r="C569" s="1095"/>
      <c r="D569" s="1095"/>
      <c r="E569" s="1095"/>
      <c r="F569" s="1096"/>
      <c r="G569" s="1095"/>
      <c r="H569" s="1095"/>
    </row>
    <row r="570">
      <c r="A570" s="1095"/>
      <c r="B570" s="1094"/>
      <c r="C570" s="1095"/>
      <c r="D570" s="1095"/>
      <c r="E570" s="1095"/>
      <c r="F570" s="1096"/>
      <c r="G570" s="1095"/>
      <c r="H570" s="1095"/>
    </row>
    <row r="571">
      <c r="A571" s="1095"/>
      <c r="B571" s="1094"/>
      <c r="C571" s="1095"/>
      <c r="D571" s="1095"/>
      <c r="E571" s="1095"/>
      <c r="F571" s="1096"/>
      <c r="G571" s="1095"/>
      <c r="H571" s="1095"/>
    </row>
    <row r="572">
      <c r="A572" s="1095"/>
      <c r="B572" s="1094"/>
      <c r="C572" s="1095"/>
      <c r="D572" s="1095"/>
      <c r="E572" s="1095"/>
      <c r="F572" s="1096"/>
      <c r="G572" s="1095"/>
      <c r="H572" s="1095"/>
    </row>
    <row r="573">
      <c r="A573" s="1095"/>
      <c r="B573" s="1094"/>
      <c r="C573" s="1095"/>
      <c r="D573" s="1095"/>
      <c r="E573" s="1095"/>
      <c r="F573" s="1096"/>
      <c r="G573" s="1095"/>
      <c r="H573" s="1095"/>
    </row>
    <row r="574">
      <c r="A574" s="1095"/>
      <c r="B574" s="1094"/>
      <c r="C574" s="1095"/>
      <c r="D574" s="1095"/>
      <c r="E574" s="1095"/>
      <c r="F574" s="1096"/>
      <c r="G574" s="1095"/>
      <c r="H574" s="1095"/>
    </row>
    <row r="575">
      <c r="A575" s="1095"/>
      <c r="B575" s="1094"/>
      <c r="C575" s="1095"/>
      <c r="D575" s="1095"/>
      <c r="E575" s="1095"/>
      <c r="F575" s="1096"/>
      <c r="G575" s="1095"/>
      <c r="H575" s="1095"/>
    </row>
    <row r="576">
      <c r="A576" s="1095"/>
      <c r="B576" s="1094"/>
      <c r="C576" s="1095"/>
      <c r="D576" s="1095"/>
      <c r="E576" s="1095"/>
      <c r="F576" s="1096"/>
      <c r="G576" s="1095"/>
      <c r="H576" s="1095"/>
    </row>
    <row r="577">
      <c r="A577" s="1095"/>
      <c r="B577" s="1094"/>
      <c r="C577" s="1095"/>
      <c r="D577" s="1095"/>
      <c r="E577" s="1095"/>
      <c r="F577" s="1096"/>
      <c r="G577" s="1095"/>
      <c r="H577" s="1095"/>
    </row>
    <row r="578">
      <c r="A578" s="1095"/>
      <c r="B578" s="1094"/>
      <c r="C578" s="1095"/>
      <c r="D578" s="1095"/>
      <c r="E578" s="1095"/>
      <c r="F578" s="1096"/>
      <c r="G578" s="1095"/>
      <c r="H578" s="1095"/>
    </row>
    <row r="579">
      <c r="A579" s="1095"/>
      <c r="B579" s="1094"/>
      <c r="C579" s="1095"/>
      <c r="D579" s="1095"/>
      <c r="E579" s="1095"/>
      <c r="F579" s="1096"/>
      <c r="G579" s="1095"/>
      <c r="H579" s="1095"/>
    </row>
    <row r="580">
      <c r="A580" s="1095"/>
      <c r="B580" s="1094"/>
      <c r="C580" s="1095"/>
      <c r="D580" s="1095"/>
      <c r="E580" s="1095"/>
      <c r="F580" s="1096"/>
      <c r="G580" s="1095"/>
      <c r="H580" s="1095"/>
    </row>
    <row r="581">
      <c r="A581" s="1095"/>
      <c r="B581" s="1094"/>
      <c r="C581" s="1095"/>
      <c r="D581" s="1095"/>
      <c r="E581" s="1095"/>
      <c r="F581" s="1096"/>
      <c r="G581" s="1095"/>
      <c r="H581" s="1095"/>
    </row>
    <row r="582">
      <c r="A582" s="1095"/>
      <c r="B582" s="1094"/>
      <c r="C582" s="1095"/>
      <c r="D582" s="1095"/>
      <c r="E582" s="1095"/>
      <c r="F582" s="1096"/>
      <c r="G582" s="1095"/>
      <c r="H582" s="1095"/>
    </row>
    <row r="583">
      <c r="A583" s="1095"/>
      <c r="B583" s="1094"/>
      <c r="C583" s="1095"/>
      <c r="D583" s="1095"/>
      <c r="E583" s="1095"/>
      <c r="F583" s="1096"/>
      <c r="G583" s="1095"/>
      <c r="H583" s="1095"/>
    </row>
    <row r="584">
      <c r="A584" s="1095"/>
      <c r="B584" s="1094"/>
      <c r="C584" s="1095"/>
      <c r="D584" s="1095"/>
      <c r="E584" s="1095"/>
      <c r="F584" s="1096"/>
      <c r="G584" s="1095"/>
      <c r="H584" s="1095"/>
    </row>
    <row r="585">
      <c r="A585" s="1095"/>
      <c r="B585" s="1094"/>
      <c r="C585" s="1095"/>
      <c r="D585" s="1095"/>
      <c r="E585" s="1095"/>
      <c r="F585" s="1096"/>
      <c r="G585" s="1095"/>
      <c r="H585" s="1095"/>
    </row>
    <row r="586">
      <c r="A586" s="1095"/>
      <c r="B586" s="1094"/>
      <c r="C586" s="1095"/>
      <c r="D586" s="1095"/>
      <c r="E586" s="1095"/>
      <c r="F586" s="1096"/>
      <c r="G586" s="1095"/>
      <c r="H586" s="1095"/>
    </row>
    <row r="587">
      <c r="A587" s="1095"/>
      <c r="B587" s="1094"/>
      <c r="C587" s="1095"/>
      <c r="D587" s="1095"/>
      <c r="E587" s="1095"/>
      <c r="F587" s="1096"/>
      <c r="G587" s="1095"/>
      <c r="H587" s="1095"/>
    </row>
    <row r="588">
      <c r="A588" s="1095"/>
      <c r="B588" s="1094"/>
      <c r="C588" s="1095"/>
      <c r="D588" s="1095"/>
      <c r="E588" s="1095"/>
      <c r="F588" s="1096"/>
      <c r="G588" s="1095"/>
      <c r="H588" s="1095"/>
    </row>
    <row r="589">
      <c r="A589" s="1095"/>
      <c r="B589" s="1094"/>
      <c r="C589" s="1095"/>
      <c r="D589" s="1095"/>
      <c r="E589" s="1095"/>
      <c r="F589" s="1096"/>
      <c r="G589" s="1095"/>
      <c r="H589" s="1095"/>
    </row>
    <row r="590">
      <c r="A590" s="1095"/>
      <c r="B590" s="1094"/>
      <c r="C590" s="1095"/>
      <c r="D590" s="1095"/>
      <c r="E590" s="1095"/>
      <c r="F590" s="1096"/>
      <c r="G590" s="1095"/>
      <c r="H590" s="1095"/>
    </row>
    <row r="591">
      <c r="A591" s="1095"/>
      <c r="B591" s="1094"/>
      <c r="C591" s="1095"/>
      <c r="D591" s="1095"/>
      <c r="E591" s="1095"/>
      <c r="F591" s="1096"/>
      <c r="G591" s="1095"/>
      <c r="H591" s="1095"/>
    </row>
    <row r="592">
      <c r="A592" s="1095"/>
      <c r="B592" s="1094"/>
      <c r="C592" s="1095"/>
      <c r="D592" s="1095"/>
      <c r="E592" s="1095"/>
      <c r="F592" s="1096"/>
      <c r="G592" s="1095"/>
      <c r="H592" s="1095"/>
    </row>
    <row r="593">
      <c r="A593" s="1095"/>
      <c r="B593" s="1094"/>
      <c r="C593" s="1095"/>
      <c r="D593" s="1095"/>
      <c r="E593" s="1095"/>
      <c r="F593" s="1096"/>
      <c r="G593" s="1095"/>
      <c r="H593" s="1095"/>
    </row>
    <row r="594">
      <c r="A594" s="1095"/>
      <c r="B594" s="1094"/>
      <c r="C594" s="1095"/>
      <c r="D594" s="1095"/>
      <c r="E594" s="1095"/>
      <c r="F594" s="1096"/>
      <c r="G594" s="1095"/>
      <c r="H594" s="1095"/>
    </row>
    <row r="595">
      <c r="A595" s="1095"/>
      <c r="B595" s="1094"/>
      <c r="C595" s="1095"/>
      <c r="D595" s="1095"/>
      <c r="E595" s="1095"/>
      <c r="F595" s="1096"/>
      <c r="G595" s="1095"/>
      <c r="H595" s="1095"/>
    </row>
    <row r="596">
      <c r="A596" s="1095"/>
      <c r="B596" s="1094"/>
      <c r="C596" s="1095"/>
      <c r="D596" s="1095"/>
      <c r="E596" s="1095"/>
      <c r="F596" s="1096"/>
      <c r="G596" s="1095"/>
      <c r="H596" s="1095"/>
    </row>
    <row r="597">
      <c r="A597" s="1095"/>
      <c r="B597" s="1094"/>
      <c r="C597" s="1095"/>
      <c r="D597" s="1095"/>
      <c r="E597" s="1095"/>
      <c r="F597" s="1096"/>
      <c r="G597" s="1095"/>
      <c r="H597" s="1095"/>
    </row>
    <row r="598">
      <c r="A598" s="1095"/>
      <c r="B598" s="1094"/>
      <c r="C598" s="1095"/>
      <c r="D598" s="1095"/>
      <c r="E598" s="1095"/>
      <c r="F598" s="1096"/>
      <c r="G598" s="1095"/>
      <c r="H598" s="1095"/>
    </row>
    <row r="599">
      <c r="A599" s="1095"/>
      <c r="B599" s="1094"/>
      <c r="C599" s="1095"/>
      <c r="D599" s="1095"/>
      <c r="E599" s="1095"/>
      <c r="F599" s="1096"/>
      <c r="G599" s="1095"/>
      <c r="H599" s="1095"/>
    </row>
    <row r="600">
      <c r="A600" s="1095"/>
      <c r="B600" s="1094"/>
      <c r="C600" s="1095"/>
      <c r="D600" s="1095"/>
      <c r="E600" s="1095"/>
      <c r="F600" s="1096"/>
      <c r="G600" s="1095"/>
      <c r="H600" s="1095"/>
    </row>
    <row r="601">
      <c r="A601" s="1095"/>
      <c r="B601" s="1094"/>
      <c r="C601" s="1095"/>
      <c r="D601" s="1095"/>
      <c r="E601" s="1095"/>
      <c r="F601" s="1096"/>
      <c r="G601" s="1095"/>
      <c r="H601" s="1095"/>
    </row>
    <row r="602">
      <c r="A602" s="1095"/>
      <c r="B602" s="1094"/>
      <c r="C602" s="1095"/>
      <c r="D602" s="1095"/>
      <c r="E602" s="1095"/>
      <c r="F602" s="1096"/>
      <c r="G602" s="1095"/>
      <c r="H602" s="1095"/>
    </row>
    <row r="603">
      <c r="A603" s="1095"/>
      <c r="B603" s="1094"/>
      <c r="C603" s="1095"/>
      <c r="D603" s="1095"/>
      <c r="E603" s="1095"/>
      <c r="F603" s="1096"/>
      <c r="G603" s="1095"/>
      <c r="H603" s="1095"/>
    </row>
    <row r="604">
      <c r="A604" s="1095"/>
      <c r="B604" s="1094"/>
      <c r="C604" s="1095"/>
      <c r="D604" s="1095"/>
      <c r="E604" s="1095"/>
      <c r="F604" s="1096"/>
      <c r="G604" s="1095"/>
      <c r="H604" s="1095"/>
    </row>
    <row r="605">
      <c r="A605" s="1095"/>
      <c r="B605" s="1094"/>
      <c r="C605" s="1095"/>
      <c r="D605" s="1095"/>
      <c r="E605" s="1095"/>
      <c r="F605" s="1096"/>
      <c r="G605" s="1095"/>
      <c r="H605" s="1095"/>
    </row>
    <row r="606">
      <c r="A606" s="1095"/>
      <c r="B606" s="1094"/>
      <c r="C606" s="1095"/>
      <c r="D606" s="1095"/>
      <c r="E606" s="1095"/>
      <c r="F606" s="1096"/>
      <c r="G606" s="1095"/>
      <c r="H606" s="1095"/>
    </row>
    <row r="607">
      <c r="A607" s="1095"/>
      <c r="B607" s="1094"/>
      <c r="C607" s="1095"/>
      <c r="D607" s="1095"/>
      <c r="E607" s="1095"/>
      <c r="F607" s="1096"/>
      <c r="G607" s="1095"/>
      <c r="H607" s="1095"/>
    </row>
    <row r="608">
      <c r="A608" s="1095"/>
      <c r="B608" s="1094"/>
      <c r="C608" s="1095"/>
      <c r="D608" s="1095"/>
      <c r="E608" s="1095"/>
      <c r="F608" s="1096"/>
      <c r="G608" s="1095"/>
      <c r="H608" s="1095"/>
    </row>
    <row r="609">
      <c r="A609" s="1095"/>
      <c r="B609" s="1094"/>
      <c r="C609" s="1095"/>
      <c r="D609" s="1095"/>
      <c r="E609" s="1095"/>
      <c r="F609" s="1096"/>
      <c r="G609" s="1095"/>
      <c r="H609" s="1095"/>
    </row>
    <row r="610">
      <c r="A610" s="1095"/>
      <c r="B610" s="1094"/>
      <c r="C610" s="1095"/>
      <c r="D610" s="1095"/>
      <c r="E610" s="1095"/>
      <c r="F610" s="1096"/>
      <c r="G610" s="1095"/>
      <c r="H610" s="1095"/>
    </row>
    <row r="611">
      <c r="A611" s="1095"/>
      <c r="B611" s="1094"/>
      <c r="C611" s="1095"/>
      <c r="D611" s="1095"/>
      <c r="E611" s="1095"/>
      <c r="F611" s="1096"/>
      <c r="G611" s="1095"/>
      <c r="H611" s="1095"/>
    </row>
    <row r="612">
      <c r="A612" s="1095"/>
      <c r="B612" s="1094"/>
      <c r="C612" s="1095"/>
      <c r="D612" s="1095"/>
      <c r="E612" s="1095"/>
      <c r="F612" s="1096"/>
      <c r="G612" s="1095"/>
      <c r="H612" s="1095"/>
    </row>
    <row r="613">
      <c r="A613" s="1095"/>
      <c r="B613" s="1094"/>
      <c r="C613" s="1095"/>
      <c r="D613" s="1095"/>
      <c r="E613" s="1095"/>
      <c r="F613" s="1096"/>
      <c r="G613" s="1095"/>
      <c r="H613" s="1095"/>
    </row>
    <row r="614">
      <c r="A614" s="1095"/>
      <c r="B614" s="1094"/>
      <c r="C614" s="1095"/>
      <c r="D614" s="1095"/>
      <c r="E614" s="1095"/>
      <c r="F614" s="1096"/>
      <c r="G614" s="1095"/>
      <c r="H614" s="1095"/>
    </row>
    <row r="615">
      <c r="A615" s="1095"/>
      <c r="B615" s="1094"/>
      <c r="C615" s="1095"/>
      <c r="D615" s="1095"/>
      <c r="E615" s="1095"/>
      <c r="F615" s="1096"/>
      <c r="G615" s="1095"/>
      <c r="H615" s="1095"/>
    </row>
    <row r="616">
      <c r="A616" s="1095"/>
      <c r="B616" s="1094"/>
      <c r="C616" s="1095"/>
      <c r="D616" s="1095"/>
      <c r="E616" s="1095"/>
      <c r="F616" s="1096"/>
      <c r="G616" s="1095"/>
      <c r="H616" s="1095"/>
    </row>
    <row r="617">
      <c r="A617" s="1095"/>
      <c r="B617" s="1094"/>
      <c r="C617" s="1095"/>
      <c r="D617" s="1095"/>
      <c r="E617" s="1095"/>
      <c r="F617" s="1096"/>
      <c r="G617" s="1095"/>
      <c r="H617" s="1095"/>
    </row>
    <row r="618">
      <c r="A618" s="1095"/>
      <c r="B618" s="1094"/>
      <c r="C618" s="1095"/>
      <c r="D618" s="1095"/>
      <c r="E618" s="1095"/>
      <c r="F618" s="1096"/>
      <c r="G618" s="1095"/>
      <c r="H618" s="1095"/>
    </row>
    <row r="619">
      <c r="A619" s="1095"/>
      <c r="B619" s="1094"/>
      <c r="C619" s="1095"/>
      <c r="D619" s="1095"/>
      <c r="E619" s="1095"/>
      <c r="F619" s="1096"/>
      <c r="G619" s="1095"/>
      <c r="H619" s="1095"/>
    </row>
    <row r="620">
      <c r="A620" s="1095"/>
      <c r="B620" s="1094"/>
      <c r="C620" s="1095"/>
      <c r="D620" s="1095"/>
      <c r="E620" s="1095"/>
      <c r="F620" s="1096"/>
      <c r="G620" s="1095"/>
      <c r="H620" s="1095"/>
    </row>
    <row r="621">
      <c r="A621" s="1095"/>
      <c r="B621" s="1094"/>
      <c r="C621" s="1095"/>
      <c r="D621" s="1095"/>
      <c r="E621" s="1095"/>
      <c r="F621" s="1096"/>
      <c r="G621" s="1095"/>
      <c r="H621" s="1095"/>
    </row>
    <row r="622">
      <c r="A622" s="1095"/>
      <c r="B622" s="1094"/>
      <c r="C622" s="1095"/>
      <c r="D622" s="1095"/>
      <c r="E622" s="1095"/>
      <c r="F622" s="1096"/>
      <c r="G622" s="1095"/>
      <c r="H622" s="1095"/>
    </row>
    <row r="623">
      <c r="A623" s="1095"/>
      <c r="B623" s="1094"/>
      <c r="C623" s="1095"/>
      <c r="D623" s="1095"/>
      <c r="E623" s="1095"/>
      <c r="F623" s="1096"/>
      <c r="G623" s="1095"/>
      <c r="H623" s="1095"/>
    </row>
    <row r="624">
      <c r="A624" s="1095"/>
      <c r="B624" s="1094"/>
      <c r="C624" s="1095"/>
      <c r="D624" s="1095"/>
      <c r="E624" s="1095"/>
      <c r="F624" s="1096"/>
      <c r="G624" s="1095"/>
      <c r="H624" s="1095"/>
    </row>
    <row r="625">
      <c r="A625" s="1095"/>
      <c r="B625" s="1094"/>
      <c r="C625" s="1095"/>
      <c r="D625" s="1095"/>
      <c r="E625" s="1095"/>
      <c r="F625" s="1096"/>
      <c r="G625" s="1095"/>
      <c r="H625" s="1095"/>
    </row>
    <row r="626">
      <c r="A626" s="1095"/>
      <c r="B626" s="1094"/>
      <c r="C626" s="1095"/>
      <c r="D626" s="1095"/>
      <c r="E626" s="1095"/>
      <c r="F626" s="1096"/>
      <c r="G626" s="1095"/>
      <c r="H626" s="1095"/>
    </row>
    <row r="627">
      <c r="A627" s="1095"/>
      <c r="B627" s="1094"/>
      <c r="C627" s="1095"/>
      <c r="D627" s="1095"/>
      <c r="E627" s="1095"/>
      <c r="F627" s="1096"/>
      <c r="G627" s="1095"/>
      <c r="H627" s="1095"/>
    </row>
    <row r="628">
      <c r="A628" s="1095"/>
      <c r="B628" s="1094"/>
      <c r="C628" s="1095"/>
      <c r="D628" s="1095"/>
      <c r="E628" s="1095"/>
      <c r="F628" s="1096"/>
      <c r="G628" s="1095"/>
      <c r="H628" s="1095"/>
    </row>
    <row r="629">
      <c r="A629" s="1095"/>
      <c r="B629" s="1094"/>
      <c r="C629" s="1095"/>
      <c r="D629" s="1095"/>
      <c r="E629" s="1095"/>
      <c r="F629" s="1096"/>
      <c r="G629" s="1095"/>
      <c r="H629" s="1095"/>
    </row>
    <row r="630">
      <c r="A630" s="1095"/>
      <c r="B630" s="1094"/>
      <c r="C630" s="1095"/>
      <c r="D630" s="1095"/>
      <c r="E630" s="1095"/>
      <c r="F630" s="1096"/>
      <c r="G630" s="1095"/>
      <c r="H630" s="1095"/>
    </row>
    <row r="631">
      <c r="A631" s="1095"/>
      <c r="B631" s="1094"/>
      <c r="C631" s="1095"/>
      <c r="D631" s="1095"/>
      <c r="E631" s="1095"/>
      <c r="F631" s="1096"/>
      <c r="G631" s="1095"/>
      <c r="H631" s="1095"/>
    </row>
    <row r="632">
      <c r="A632" s="1095"/>
      <c r="B632" s="1094"/>
      <c r="C632" s="1095"/>
      <c r="D632" s="1095"/>
      <c r="E632" s="1095"/>
      <c r="F632" s="1096"/>
      <c r="G632" s="1095"/>
      <c r="H632" s="1095"/>
    </row>
    <row r="633">
      <c r="A633" s="1095"/>
      <c r="B633" s="1094"/>
      <c r="C633" s="1095"/>
      <c r="D633" s="1095"/>
      <c r="E633" s="1095"/>
      <c r="F633" s="1096"/>
      <c r="G633" s="1095"/>
      <c r="H633" s="1095"/>
    </row>
    <row r="634">
      <c r="A634" s="1095"/>
      <c r="B634" s="1094"/>
      <c r="C634" s="1095"/>
      <c r="D634" s="1095"/>
      <c r="E634" s="1095"/>
      <c r="F634" s="1096"/>
      <c r="G634" s="1095"/>
      <c r="H634" s="1095"/>
    </row>
    <row r="635">
      <c r="A635" s="1095"/>
      <c r="B635" s="1094"/>
      <c r="C635" s="1095"/>
      <c r="D635" s="1095"/>
      <c r="E635" s="1095"/>
      <c r="F635" s="1096"/>
      <c r="G635" s="1095"/>
      <c r="H635" s="1095"/>
    </row>
    <row r="636">
      <c r="A636" s="1095"/>
      <c r="B636" s="1094"/>
      <c r="C636" s="1095"/>
      <c r="D636" s="1095"/>
      <c r="E636" s="1095"/>
      <c r="F636" s="1096"/>
      <c r="G636" s="1095"/>
      <c r="H636" s="1095"/>
    </row>
    <row r="637">
      <c r="A637" s="1095"/>
      <c r="B637" s="1094"/>
      <c r="C637" s="1095"/>
      <c r="D637" s="1095"/>
      <c r="E637" s="1095"/>
      <c r="F637" s="1096"/>
      <c r="G637" s="1095"/>
      <c r="H637" s="1095"/>
    </row>
    <row r="638">
      <c r="A638" s="1095"/>
      <c r="B638" s="1094"/>
      <c r="C638" s="1095"/>
      <c r="D638" s="1095"/>
      <c r="E638" s="1095"/>
      <c r="F638" s="1096"/>
      <c r="G638" s="1095"/>
      <c r="H638" s="1095"/>
    </row>
    <row r="639">
      <c r="A639" s="1095"/>
      <c r="B639" s="1094"/>
      <c r="C639" s="1095"/>
      <c r="D639" s="1095"/>
      <c r="E639" s="1095"/>
      <c r="F639" s="1096"/>
      <c r="G639" s="1095"/>
      <c r="H639" s="1095"/>
    </row>
    <row r="640">
      <c r="A640" s="1095"/>
      <c r="B640" s="1094"/>
      <c r="C640" s="1095"/>
      <c r="D640" s="1095"/>
      <c r="E640" s="1095"/>
      <c r="F640" s="1096"/>
      <c r="G640" s="1095"/>
      <c r="H640" s="1095"/>
    </row>
    <row r="641">
      <c r="A641" s="1095"/>
      <c r="B641" s="1094"/>
      <c r="C641" s="1095"/>
      <c r="D641" s="1095"/>
      <c r="E641" s="1095"/>
      <c r="F641" s="1096"/>
      <c r="G641" s="1095"/>
      <c r="H641" s="1095"/>
    </row>
    <row r="642">
      <c r="A642" s="1095"/>
      <c r="B642" s="1094"/>
      <c r="C642" s="1095"/>
      <c r="D642" s="1095"/>
      <c r="E642" s="1095"/>
      <c r="F642" s="1096"/>
      <c r="G642" s="1095"/>
      <c r="H642" s="1095"/>
    </row>
    <row r="643">
      <c r="A643" s="1095"/>
      <c r="B643" s="1094"/>
      <c r="C643" s="1095"/>
      <c r="D643" s="1095"/>
      <c r="E643" s="1095"/>
      <c r="F643" s="1096"/>
      <c r="G643" s="1095"/>
      <c r="H643" s="1095"/>
    </row>
    <row r="644">
      <c r="A644" s="1095"/>
      <c r="B644" s="1094"/>
      <c r="C644" s="1095"/>
      <c r="D644" s="1095"/>
      <c r="E644" s="1095"/>
      <c r="F644" s="1096"/>
      <c r="G644" s="1095"/>
      <c r="H644" s="1095"/>
    </row>
    <row r="645">
      <c r="A645" s="1095"/>
      <c r="B645" s="1094"/>
      <c r="C645" s="1095"/>
      <c r="D645" s="1095"/>
      <c r="E645" s="1095"/>
      <c r="F645" s="1096"/>
      <c r="G645" s="1095"/>
      <c r="H645" s="1095"/>
    </row>
    <row r="646">
      <c r="A646" s="1095"/>
      <c r="B646" s="1094"/>
      <c r="C646" s="1095"/>
      <c r="D646" s="1095"/>
      <c r="E646" s="1095"/>
      <c r="F646" s="1096"/>
      <c r="G646" s="1095"/>
      <c r="H646" s="1095"/>
    </row>
    <row r="647">
      <c r="A647" s="1095"/>
      <c r="B647" s="1094"/>
      <c r="C647" s="1095"/>
      <c r="D647" s="1095"/>
      <c r="E647" s="1095"/>
      <c r="F647" s="1096"/>
      <c r="G647" s="1095"/>
      <c r="H647" s="1095"/>
    </row>
    <row r="648">
      <c r="A648" s="1095"/>
      <c r="B648" s="1094"/>
      <c r="C648" s="1095"/>
      <c r="D648" s="1095"/>
      <c r="E648" s="1095"/>
      <c r="F648" s="1096"/>
      <c r="G648" s="1095"/>
      <c r="H648" s="1095"/>
    </row>
    <row r="649">
      <c r="A649" s="1095"/>
      <c r="B649" s="1094"/>
      <c r="C649" s="1095"/>
      <c r="D649" s="1095"/>
      <c r="E649" s="1095"/>
      <c r="F649" s="1096"/>
      <c r="G649" s="1095"/>
      <c r="H649" s="1095"/>
    </row>
    <row r="650">
      <c r="A650" s="1095"/>
      <c r="B650" s="1094"/>
      <c r="C650" s="1095"/>
      <c r="D650" s="1095"/>
      <c r="E650" s="1095"/>
      <c r="F650" s="1096"/>
      <c r="G650" s="1095"/>
      <c r="H650" s="1095"/>
    </row>
    <row r="651">
      <c r="A651" s="1095"/>
      <c r="B651" s="1094"/>
      <c r="C651" s="1095"/>
      <c r="D651" s="1095"/>
      <c r="E651" s="1095"/>
      <c r="F651" s="1096"/>
      <c r="G651" s="1095"/>
      <c r="H651" s="1095"/>
    </row>
    <row r="652">
      <c r="A652" s="1095"/>
      <c r="B652" s="1094"/>
      <c r="C652" s="1095"/>
      <c r="D652" s="1095"/>
      <c r="E652" s="1095"/>
      <c r="F652" s="1096"/>
      <c r="G652" s="1095"/>
      <c r="H652" s="1095"/>
    </row>
    <row r="653">
      <c r="A653" s="1095"/>
      <c r="B653" s="1094"/>
      <c r="C653" s="1095"/>
      <c r="D653" s="1095"/>
      <c r="E653" s="1095"/>
      <c r="F653" s="1096"/>
      <c r="G653" s="1095"/>
      <c r="H653" s="1095"/>
    </row>
    <row r="654">
      <c r="A654" s="1095"/>
      <c r="B654" s="1094"/>
      <c r="C654" s="1095"/>
      <c r="D654" s="1095"/>
      <c r="E654" s="1095"/>
      <c r="F654" s="1096"/>
      <c r="G654" s="1095"/>
      <c r="H654" s="1095"/>
    </row>
    <row r="655">
      <c r="A655" s="1095"/>
      <c r="B655" s="1094"/>
      <c r="C655" s="1095"/>
      <c r="D655" s="1095"/>
      <c r="E655" s="1095"/>
      <c r="F655" s="1096"/>
      <c r="G655" s="1095"/>
      <c r="H655" s="1095"/>
    </row>
    <row r="656">
      <c r="A656" s="1095"/>
      <c r="B656" s="1094"/>
      <c r="C656" s="1095"/>
      <c r="D656" s="1095"/>
      <c r="E656" s="1095"/>
      <c r="F656" s="1096"/>
      <c r="G656" s="1095"/>
      <c r="H656" s="1095"/>
    </row>
    <row r="657">
      <c r="A657" s="1095"/>
      <c r="B657" s="1094"/>
      <c r="C657" s="1095"/>
      <c r="D657" s="1095"/>
      <c r="E657" s="1095"/>
      <c r="F657" s="1096"/>
      <c r="G657" s="1095"/>
      <c r="H657" s="1095"/>
    </row>
    <row r="658">
      <c r="A658" s="1095"/>
      <c r="B658" s="1094"/>
      <c r="C658" s="1095"/>
      <c r="D658" s="1095"/>
      <c r="E658" s="1095"/>
      <c r="F658" s="1096"/>
      <c r="G658" s="1095"/>
      <c r="H658" s="1095"/>
    </row>
    <row r="659">
      <c r="A659" s="1095"/>
      <c r="B659" s="1094"/>
      <c r="C659" s="1095"/>
      <c r="D659" s="1095"/>
      <c r="E659" s="1095"/>
      <c r="F659" s="1096"/>
      <c r="G659" s="1095"/>
      <c r="H659" s="1095"/>
    </row>
    <row r="660">
      <c r="A660" s="1095"/>
      <c r="B660" s="1094"/>
      <c r="C660" s="1095"/>
      <c r="D660" s="1095"/>
      <c r="E660" s="1095"/>
      <c r="F660" s="1096"/>
      <c r="G660" s="1095"/>
      <c r="H660" s="1095"/>
    </row>
    <row r="661">
      <c r="A661" s="1095"/>
      <c r="B661" s="1094"/>
      <c r="C661" s="1095"/>
      <c r="D661" s="1095"/>
      <c r="E661" s="1095"/>
      <c r="F661" s="1096"/>
      <c r="G661" s="1095"/>
      <c r="H661" s="1095"/>
    </row>
    <row r="662">
      <c r="A662" s="1095"/>
      <c r="B662" s="1094"/>
      <c r="C662" s="1095"/>
      <c r="D662" s="1095"/>
      <c r="E662" s="1095"/>
      <c r="F662" s="1096"/>
      <c r="G662" s="1095"/>
      <c r="H662" s="1095"/>
    </row>
    <row r="663">
      <c r="A663" s="1095"/>
      <c r="B663" s="1094"/>
      <c r="C663" s="1095"/>
      <c r="D663" s="1095"/>
      <c r="E663" s="1095"/>
      <c r="F663" s="1096"/>
      <c r="G663" s="1095"/>
      <c r="H663" s="1095"/>
    </row>
    <row r="664">
      <c r="A664" s="1095"/>
      <c r="B664" s="1094"/>
      <c r="C664" s="1095"/>
      <c r="D664" s="1095"/>
      <c r="E664" s="1095"/>
      <c r="F664" s="1096"/>
      <c r="G664" s="1095"/>
      <c r="H664" s="1095"/>
    </row>
    <row r="665">
      <c r="A665" s="1095"/>
      <c r="B665" s="1094"/>
      <c r="C665" s="1095"/>
      <c r="D665" s="1095"/>
      <c r="E665" s="1095"/>
      <c r="F665" s="1096"/>
      <c r="G665" s="1095"/>
      <c r="H665" s="1095"/>
    </row>
    <row r="666">
      <c r="A666" s="1095"/>
      <c r="B666" s="1094"/>
      <c r="C666" s="1095"/>
      <c r="D666" s="1095"/>
      <c r="E666" s="1095"/>
      <c r="F666" s="1096"/>
      <c r="G666" s="1095"/>
      <c r="H666" s="1095"/>
    </row>
    <row r="667">
      <c r="A667" s="1095"/>
      <c r="B667" s="1094"/>
      <c r="C667" s="1095"/>
      <c r="D667" s="1095"/>
      <c r="E667" s="1095"/>
      <c r="F667" s="1096"/>
      <c r="G667" s="1095"/>
      <c r="H667" s="1095"/>
    </row>
    <row r="668">
      <c r="A668" s="1095"/>
      <c r="B668" s="1094"/>
      <c r="C668" s="1095"/>
      <c r="D668" s="1095"/>
      <c r="E668" s="1095"/>
      <c r="F668" s="1096"/>
      <c r="G668" s="1095"/>
      <c r="H668" s="1095"/>
    </row>
    <row r="669">
      <c r="A669" s="1095"/>
      <c r="B669" s="1094"/>
      <c r="C669" s="1095"/>
      <c r="D669" s="1095"/>
      <c r="E669" s="1095"/>
      <c r="F669" s="1096"/>
      <c r="G669" s="1095"/>
      <c r="H669" s="1095"/>
    </row>
    <row r="670">
      <c r="A670" s="1095"/>
      <c r="B670" s="1094"/>
      <c r="C670" s="1095"/>
      <c r="D670" s="1095"/>
      <c r="E670" s="1095"/>
      <c r="F670" s="1096"/>
      <c r="G670" s="1095"/>
      <c r="H670" s="1095"/>
    </row>
    <row r="671">
      <c r="A671" s="1095"/>
      <c r="B671" s="1094"/>
      <c r="C671" s="1095"/>
      <c r="D671" s="1095"/>
      <c r="E671" s="1095"/>
      <c r="F671" s="1096"/>
      <c r="G671" s="1095"/>
      <c r="H671" s="1095"/>
    </row>
    <row r="672">
      <c r="A672" s="1095"/>
      <c r="B672" s="1094"/>
      <c r="C672" s="1095"/>
      <c r="D672" s="1095"/>
      <c r="E672" s="1095"/>
      <c r="F672" s="1096"/>
      <c r="G672" s="1095"/>
      <c r="H672" s="1095"/>
    </row>
    <row r="673">
      <c r="A673" s="1095"/>
      <c r="B673" s="1094"/>
      <c r="C673" s="1095"/>
      <c r="D673" s="1095"/>
      <c r="E673" s="1095"/>
      <c r="F673" s="1096"/>
      <c r="G673" s="1095"/>
      <c r="H673" s="1095"/>
    </row>
    <row r="674">
      <c r="A674" s="1095"/>
      <c r="B674" s="1094"/>
      <c r="C674" s="1095"/>
      <c r="D674" s="1095"/>
      <c r="E674" s="1095"/>
      <c r="F674" s="1096"/>
      <c r="G674" s="1095"/>
      <c r="H674" s="1095"/>
    </row>
    <row r="675">
      <c r="A675" s="1095"/>
      <c r="B675" s="1094"/>
      <c r="C675" s="1095"/>
      <c r="D675" s="1095"/>
      <c r="E675" s="1095"/>
      <c r="F675" s="1096"/>
      <c r="G675" s="1095"/>
      <c r="H675" s="1095"/>
    </row>
    <row r="676">
      <c r="A676" s="1095"/>
      <c r="B676" s="1094"/>
      <c r="C676" s="1095"/>
      <c r="D676" s="1095"/>
      <c r="E676" s="1095"/>
      <c r="F676" s="1096"/>
      <c r="G676" s="1095"/>
      <c r="H676" s="1095"/>
    </row>
    <row r="677">
      <c r="A677" s="1095"/>
      <c r="B677" s="1094"/>
      <c r="C677" s="1095"/>
      <c r="D677" s="1095"/>
      <c r="E677" s="1095"/>
      <c r="F677" s="1096"/>
      <c r="G677" s="1095"/>
      <c r="H677" s="1095"/>
    </row>
    <row r="678">
      <c r="A678" s="1095"/>
      <c r="B678" s="1094"/>
      <c r="C678" s="1095"/>
      <c r="D678" s="1095"/>
      <c r="E678" s="1095"/>
      <c r="F678" s="1096"/>
      <c r="G678" s="1095"/>
      <c r="H678" s="1095"/>
    </row>
    <row r="679">
      <c r="A679" s="1095"/>
      <c r="B679" s="1094"/>
      <c r="C679" s="1095"/>
      <c r="D679" s="1095"/>
      <c r="E679" s="1095"/>
      <c r="F679" s="1096"/>
      <c r="G679" s="1095"/>
      <c r="H679" s="1095"/>
    </row>
    <row r="680">
      <c r="A680" s="1095"/>
      <c r="B680" s="1094"/>
      <c r="C680" s="1095"/>
      <c r="D680" s="1095"/>
      <c r="E680" s="1095"/>
      <c r="F680" s="1096"/>
      <c r="G680" s="1095"/>
      <c r="H680" s="1095"/>
    </row>
    <row r="681">
      <c r="A681" s="1095"/>
      <c r="B681" s="1094"/>
      <c r="C681" s="1095"/>
      <c r="D681" s="1095"/>
      <c r="E681" s="1095"/>
      <c r="F681" s="1096"/>
      <c r="G681" s="1095"/>
      <c r="H681" s="1095"/>
    </row>
    <row r="682">
      <c r="A682" s="1095"/>
      <c r="B682" s="1094"/>
      <c r="C682" s="1095"/>
      <c r="D682" s="1095"/>
      <c r="E682" s="1095"/>
      <c r="F682" s="1096"/>
      <c r="G682" s="1095"/>
      <c r="H682" s="1095"/>
    </row>
    <row r="683">
      <c r="A683" s="1095"/>
      <c r="B683" s="1094"/>
      <c r="C683" s="1095"/>
      <c r="D683" s="1095"/>
      <c r="E683" s="1095"/>
      <c r="F683" s="1096"/>
      <c r="G683" s="1095"/>
      <c r="H683" s="1095"/>
    </row>
    <row r="684">
      <c r="A684" s="1095"/>
      <c r="B684" s="1094"/>
      <c r="C684" s="1095"/>
      <c r="D684" s="1095"/>
      <c r="E684" s="1095"/>
      <c r="F684" s="1096"/>
      <c r="G684" s="1095"/>
      <c r="H684" s="1095"/>
    </row>
    <row r="685">
      <c r="A685" s="1095"/>
      <c r="B685" s="1094"/>
      <c r="C685" s="1095"/>
      <c r="D685" s="1095"/>
      <c r="E685" s="1095"/>
      <c r="F685" s="1096"/>
      <c r="G685" s="1095"/>
      <c r="H685" s="1095"/>
    </row>
    <row r="686">
      <c r="A686" s="1095"/>
      <c r="B686" s="1094"/>
      <c r="C686" s="1095"/>
      <c r="D686" s="1095"/>
      <c r="E686" s="1095"/>
      <c r="F686" s="1096"/>
      <c r="G686" s="1095"/>
      <c r="H686" s="1095"/>
    </row>
    <row r="687">
      <c r="A687" s="1095"/>
      <c r="B687" s="1094"/>
      <c r="C687" s="1095"/>
      <c r="D687" s="1095"/>
      <c r="E687" s="1095"/>
      <c r="F687" s="1096"/>
      <c r="G687" s="1095"/>
      <c r="H687" s="1095"/>
    </row>
    <row r="688">
      <c r="A688" s="1095"/>
      <c r="B688" s="1094"/>
      <c r="C688" s="1095"/>
      <c r="D688" s="1095"/>
      <c r="E688" s="1095"/>
      <c r="F688" s="1096"/>
      <c r="G688" s="1095"/>
      <c r="H688" s="1095"/>
    </row>
    <row r="689">
      <c r="A689" s="1095"/>
      <c r="B689" s="1094"/>
      <c r="C689" s="1095"/>
      <c r="D689" s="1095"/>
      <c r="E689" s="1095"/>
      <c r="F689" s="1096"/>
      <c r="G689" s="1095"/>
      <c r="H689" s="1095"/>
    </row>
    <row r="690">
      <c r="A690" s="1095"/>
      <c r="B690" s="1094"/>
      <c r="C690" s="1095"/>
      <c r="D690" s="1095"/>
      <c r="E690" s="1095"/>
      <c r="F690" s="1096"/>
      <c r="G690" s="1095"/>
      <c r="H690" s="1095"/>
    </row>
    <row r="691">
      <c r="A691" s="1095"/>
      <c r="B691" s="1094"/>
      <c r="C691" s="1095"/>
      <c r="D691" s="1095"/>
      <c r="E691" s="1095"/>
      <c r="F691" s="1096"/>
      <c r="G691" s="1095"/>
      <c r="H691" s="1095"/>
    </row>
    <row r="692">
      <c r="A692" s="1095"/>
      <c r="B692" s="1094"/>
      <c r="C692" s="1095"/>
      <c r="D692" s="1095"/>
      <c r="E692" s="1095"/>
      <c r="F692" s="1096"/>
      <c r="G692" s="1095"/>
      <c r="H692" s="1095"/>
    </row>
    <row r="693">
      <c r="A693" s="1095"/>
      <c r="B693" s="1094"/>
      <c r="C693" s="1095"/>
      <c r="D693" s="1095"/>
      <c r="E693" s="1095"/>
      <c r="F693" s="1096"/>
      <c r="G693" s="1095"/>
      <c r="H693" s="1095"/>
    </row>
    <row r="694">
      <c r="A694" s="1095"/>
      <c r="B694" s="1094"/>
      <c r="C694" s="1095"/>
      <c r="D694" s="1095"/>
      <c r="E694" s="1095"/>
      <c r="F694" s="1096"/>
      <c r="G694" s="1095"/>
      <c r="H694" s="1095"/>
    </row>
    <row r="695">
      <c r="A695" s="1095"/>
      <c r="B695" s="1094"/>
      <c r="C695" s="1095"/>
      <c r="D695" s="1095"/>
      <c r="E695" s="1095"/>
      <c r="F695" s="1096"/>
      <c r="G695" s="1095"/>
      <c r="H695" s="1095"/>
    </row>
    <row r="696">
      <c r="A696" s="1095"/>
      <c r="B696" s="1094"/>
      <c r="C696" s="1095"/>
      <c r="D696" s="1095"/>
      <c r="E696" s="1095"/>
      <c r="F696" s="1096"/>
      <c r="G696" s="1095"/>
      <c r="H696" s="1095"/>
    </row>
    <row r="697">
      <c r="A697" s="1095"/>
      <c r="B697" s="1094"/>
      <c r="C697" s="1095"/>
      <c r="D697" s="1095"/>
      <c r="E697" s="1095"/>
      <c r="F697" s="1096"/>
      <c r="G697" s="1095"/>
      <c r="H697" s="1095"/>
    </row>
    <row r="698">
      <c r="A698" s="1095"/>
      <c r="B698" s="1094"/>
      <c r="C698" s="1095"/>
      <c r="D698" s="1095"/>
      <c r="E698" s="1095"/>
      <c r="F698" s="1096"/>
      <c r="G698" s="1095"/>
      <c r="H698" s="1095"/>
    </row>
    <row r="699">
      <c r="A699" s="1095"/>
      <c r="B699" s="1094"/>
      <c r="C699" s="1095"/>
      <c r="D699" s="1095"/>
      <c r="E699" s="1095"/>
      <c r="F699" s="1096"/>
      <c r="G699" s="1095"/>
      <c r="H699" s="1095"/>
    </row>
    <row r="700">
      <c r="A700" s="1095"/>
      <c r="B700" s="1094"/>
      <c r="C700" s="1095"/>
      <c r="D700" s="1095"/>
      <c r="E700" s="1095"/>
      <c r="F700" s="1096"/>
      <c r="G700" s="1095"/>
      <c r="H700" s="1095"/>
    </row>
    <row r="701">
      <c r="A701" s="1095"/>
      <c r="B701" s="1094"/>
      <c r="C701" s="1095"/>
      <c r="D701" s="1095"/>
      <c r="E701" s="1095"/>
      <c r="F701" s="1096"/>
      <c r="G701" s="1095"/>
      <c r="H701" s="1095"/>
    </row>
    <row r="702">
      <c r="A702" s="1095"/>
      <c r="B702" s="1094"/>
      <c r="C702" s="1095"/>
      <c r="D702" s="1095"/>
      <c r="E702" s="1095"/>
      <c r="F702" s="1096"/>
      <c r="G702" s="1095"/>
      <c r="H702" s="1095"/>
    </row>
    <row r="703">
      <c r="A703" s="1095"/>
      <c r="B703" s="1094"/>
      <c r="C703" s="1095"/>
      <c r="D703" s="1095"/>
      <c r="E703" s="1095"/>
      <c r="F703" s="1096"/>
      <c r="G703" s="1095"/>
      <c r="H703" s="1095"/>
    </row>
    <row r="704">
      <c r="A704" s="1095"/>
      <c r="B704" s="1094"/>
      <c r="C704" s="1095"/>
      <c r="D704" s="1095"/>
      <c r="E704" s="1095"/>
      <c r="F704" s="1096"/>
      <c r="G704" s="1095"/>
      <c r="H704" s="1095"/>
    </row>
    <row r="705">
      <c r="A705" s="1095"/>
      <c r="B705" s="1094"/>
      <c r="C705" s="1095"/>
      <c r="D705" s="1095"/>
      <c r="E705" s="1095"/>
      <c r="F705" s="1096"/>
      <c r="G705" s="1095"/>
      <c r="H705" s="1095"/>
    </row>
    <row r="706">
      <c r="A706" s="1095"/>
      <c r="B706" s="1094"/>
      <c r="C706" s="1095"/>
      <c r="D706" s="1095"/>
      <c r="E706" s="1095"/>
      <c r="F706" s="1096"/>
      <c r="G706" s="1095"/>
      <c r="H706" s="1095"/>
    </row>
    <row r="707">
      <c r="A707" s="1095"/>
      <c r="B707" s="1094"/>
      <c r="C707" s="1095"/>
      <c r="D707" s="1095"/>
      <c r="E707" s="1095"/>
      <c r="F707" s="1096"/>
      <c r="G707" s="1095"/>
      <c r="H707" s="1095"/>
    </row>
    <row r="708">
      <c r="A708" s="1095"/>
      <c r="B708" s="1094"/>
      <c r="C708" s="1095"/>
      <c r="D708" s="1095"/>
      <c r="E708" s="1095"/>
      <c r="F708" s="1096"/>
      <c r="G708" s="1095"/>
      <c r="H708" s="1095"/>
    </row>
    <row r="709">
      <c r="A709" s="1095"/>
      <c r="B709" s="1094"/>
      <c r="C709" s="1095"/>
      <c r="D709" s="1095"/>
      <c r="E709" s="1095"/>
      <c r="F709" s="1096"/>
      <c r="G709" s="1095"/>
      <c r="H709" s="1095"/>
    </row>
    <row r="710">
      <c r="A710" s="1095"/>
      <c r="B710" s="1094"/>
      <c r="C710" s="1095"/>
      <c r="D710" s="1095"/>
      <c r="E710" s="1095"/>
      <c r="F710" s="1096"/>
      <c r="G710" s="1095"/>
      <c r="H710" s="1095"/>
    </row>
    <row r="711">
      <c r="A711" s="1095"/>
      <c r="B711" s="1094"/>
      <c r="C711" s="1095"/>
      <c r="D711" s="1095"/>
      <c r="E711" s="1095"/>
      <c r="F711" s="1096"/>
      <c r="G711" s="1095"/>
      <c r="H711" s="1095"/>
    </row>
    <row r="712">
      <c r="A712" s="1095"/>
      <c r="B712" s="1094"/>
      <c r="C712" s="1095"/>
      <c r="D712" s="1095"/>
      <c r="E712" s="1095"/>
      <c r="F712" s="1096"/>
      <c r="G712" s="1095"/>
      <c r="H712" s="1095"/>
    </row>
    <row r="713">
      <c r="A713" s="1095"/>
      <c r="B713" s="1094"/>
      <c r="C713" s="1095"/>
      <c r="D713" s="1095"/>
      <c r="E713" s="1095"/>
      <c r="F713" s="1096"/>
      <c r="G713" s="1095"/>
      <c r="H713" s="1095"/>
    </row>
    <row r="714">
      <c r="A714" s="1095"/>
      <c r="B714" s="1094"/>
      <c r="C714" s="1095"/>
      <c r="D714" s="1095"/>
      <c r="E714" s="1095"/>
      <c r="F714" s="1096"/>
      <c r="G714" s="1095"/>
      <c r="H714" s="1095"/>
    </row>
    <row r="715">
      <c r="A715" s="1095"/>
      <c r="B715" s="1094"/>
      <c r="C715" s="1095"/>
      <c r="D715" s="1095"/>
      <c r="E715" s="1095"/>
      <c r="F715" s="1096"/>
      <c r="G715" s="1095"/>
      <c r="H715" s="1095"/>
    </row>
    <row r="716">
      <c r="A716" s="1095"/>
      <c r="B716" s="1094"/>
      <c r="C716" s="1095"/>
      <c r="D716" s="1095"/>
      <c r="E716" s="1095"/>
      <c r="F716" s="1096"/>
      <c r="G716" s="1095"/>
      <c r="H716" s="1095"/>
    </row>
    <row r="717">
      <c r="A717" s="1095"/>
      <c r="B717" s="1094"/>
      <c r="C717" s="1095"/>
      <c r="D717" s="1095"/>
      <c r="E717" s="1095"/>
      <c r="F717" s="1096"/>
      <c r="G717" s="1095"/>
      <c r="H717" s="1095"/>
    </row>
    <row r="718">
      <c r="A718" s="1095"/>
      <c r="B718" s="1094"/>
      <c r="C718" s="1095"/>
      <c r="D718" s="1095"/>
      <c r="E718" s="1095"/>
      <c r="F718" s="1096"/>
      <c r="G718" s="1095"/>
      <c r="H718" s="1095"/>
    </row>
    <row r="719">
      <c r="A719" s="1095"/>
      <c r="B719" s="1094"/>
      <c r="C719" s="1095"/>
      <c r="D719" s="1095"/>
      <c r="E719" s="1095"/>
      <c r="F719" s="1096"/>
      <c r="G719" s="1095"/>
      <c r="H719" s="1095"/>
    </row>
    <row r="720">
      <c r="A720" s="1095"/>
      <c r="B720" s="1094"/>
      <c r="C720" s="1095"/>
      <c r="D720" s="1095"/>
      <c r="E720" s="1095"/>
      <c r="F720" s="1096"/>
      <c r="G720" s="1095"/>
      <c r="H720" s="1095"/>
    </row>
    <row r="721">
      <c r="A721" s="1095"/>
      <c r="B721" s="1094"/>
      <c r="C721" s="1095"/>
      <c r="D721" s="1095"/>
      <c r="E721" s="1095"/>
      <c r="F721" s="1096"/>
      <c r="G721" s="1095"/>
      <c r="H721" s="1095"/>
    </row>
    <row r="722">
      <c r="A722" s="1095"/>
      <c r="B722" s="1094"/>
      <c r="C722" s="1095"/>
      <c r="D722" s="1095"/>
      <c r="E722" s="1095"/>
      <c r="F722" s="1096"/>
      <c r="G722" s="1095"/>
      <c r="H722" s="1095"/>
    </row>
    <row r="723">
      <c r="A723" s="1095"/>
      <c r="B723" s="1094"/>
      <c r="C723" s="1095"/>
      <c r="D723" s="1095"/>
      <c r="E723" s="1095"/>
      <c r="F723" s="1096"/>
      <c r="G723" s="1095"/>
      <c r="H723" s="1095"/>
    </row>
    <row r="724">
      <c r="A724" s="1095"/>
      <c r="B724" s="1094"/>
      <c r="C724" s="1095"/>
      <c r="D724" s="1095"/>
      <c r="E724" s="1095"/>
      <c r="F724" s="1096"/>
      <c r="G724" s="1095"/>
      <c r="H724" s="1095"/>
    </row>
    <row r="725">
      <c r="A725" s="1095"/>
      <c r="B725" s="1094"/>
      <c r="C725" s="1095"/>
      <c r="D725" s="1095"/>
      <c r="E725" s="1095"/>
      <c r="F725" s="1096"/>
      <c r="G725" s="1095"/>
      <c r="H725" s="1095"/>
    </row>
    <row r="726">
      <c r="A726" s="1095"/>
      <c r="B726" s="1094"/>
      <c r="C726" s="1095"/>
      <c r="D726" s="1095"/>
      <c r="E726" s="1095"/>
      <c r="F726" s="1096"/>
      <c r="G726" s="1095"/>
      <c r="H726" s="1095"/>
    </row>
    <row r="727">
      <c r="A727" s="1095"/>
      <c r="B727" s="1094"/>
      <c r="C727" s="1095"/>
      <c r="D727" s="1095"/>
      <c r="E727" s="1095"/>
      <c r="F727" s="1096"/>
      <c r="G727" s="1095"/>
      <c r="H727" s="1095"/>
    </row>
    <row r="728">
      <c r="A728" s="1095"/>
      <c r="B728" s="1094"/>
      <c r="C728" s="1095"/>
      <c r="D728" s="1095"/>
      <c r="E728" s="1095"/>
      <c r="F728" s="1096"/>
      <c r="G728" s="1095"/>
      <c r="H728" s="1095"/>
    </row>
    <row r="729">
      <c r="A729" s="1095"/>
      <c r="B729" s="1094"/>
      <c r="C729" s="1095"/>
      <c r="D729" s="1095"/>
      <c r="E729" s="1095"/>
      <c r="F729" s="1096"/>
      <c r="G729" s="1095"/>
      <c r="H729" s="1095"/>
    </row>
    <row r="730">
      <c r="A730" s="1095"/>
      <c r="B730" s="1094"/>
      <c r="C730" s="1095"/>
      <c r="D730" s="1095"/>
      <c r="E730" s="1095"/>
      <c r="F730" s="1096"/>
      <c r="G730" s="1095"/>
      <c r="H730" s="1095"/>
    </row>
    <row r="731">
      <c r="A731" s="1095"/>
      <c r="B731" s="1094"/>
      <c r="C731" s="1095"/>
      <c r="D731" s="1095"/>
      <c r="E731" s="1095"/>
      <c r="F731" s="1096"/>
      <c r="G731" s="1095"/>
      <c r="H731" s="1095"/>
    </row>
    <row r="732">
      <c r="A732" s="1095"/>
      <c r="B732" s="1094"/>
      <c r="C732" s="1095"/>
      <c r="D732" s="1095"/>
      <c r="E732" s="1095"/>
      <c r="F732" s="1096"/>
      <c r="G732" s="1095"/>
      <c r="H732" s="1095"/>
    </row>
    <row r="733">
      <c r="A733" s="1095"/>
      <c r="B733" s="1094"/>
      <c r="C733" s="1095"/>
      <c r="D733" s="1095"/>
      <c r="E733" s="1095"/>
      <c r="F733" s="1096"/>
      <c r="G733" s="1095"/>
      <c r="H733" s="1095"/>
    </row>
    <row r="734">
      <c r="A734" s="1095"/>
      <c r="B734" s="1094"/>
      <c r="C734" s="1095"/>
      <c r="D734" s="1095"/>
      <c r="E734" s="1095"/>
      <c r="F734" s="1096"/>
      <c r="G734" s="1095"/>
      <c r="H734" s="1095"/>
    </row>
    <row r="735">
      <c r="A735" s="1095"/>
      <c r="B735" s="1094"/>
      <c r="C735" s="1095"/>
      <c r="D735" s="1095"/>
      <c r="E735" s="1095"/>
      <c r="F735" s="1096"/>
      <c r="G735" s="1095"/>
      <c r="H735" s="1095"/>
    </row>
    <row r="736">
      <c r="A736" s="1095"/>
      <c r="B736" s="1094"/>
      <c r="C736" s="1095"/>
      <c r="D736" s="1095"/>
      <c r="E736" s="1095"/>
      <c r="F736" s="1096"/>
      <c r="G736" s="1095"/>
      <c r="H736" s="1095"/>
    </row>
    <row r="737">
      <c r="A737" s="1095"/>
      <c r="B737" s="1094"/>
      <c r="C737" s="1095"/>
      <c r="D737" s="1095"/>
      <c r="E737" s="1095"/>
      <c r="F737" s="1096"/>
      <c r="G737" s="1095"/>
      <c r="H737" s="1095"/>
    </row>
    <row r="738">
      <c r="A738" s="1095"/>
      <c r="B738" s="1094"/>
      <c r="C738" s="1095"/>
      <c r="D738" s="1095"/>
      <c r="E738" s="1095"/>
      <c r="F738" s="1096"/>
      <c r="G738" s="1095"/>
      <c r="H738" s="1095"/>
    </row>
    <row r="739">
      <c r="A739" s="1095"/>
      <c r="B739" s="1094"/>
      <c r="C739" s="1095"/>
      <c r="D739" s="1095"/>
      <c r="E739" s="1095"/>
      <c r="F739" s="1096"/>
      <c r="G739" s="1095"/>
      <c r="H739" s="1095"/>
    </row>
    <row r="740">
      <c r="A740" s="1095"/>
      <c r="B740" s="1094"/>
      <c r="C740" s="1095"/>
      <c r="D740" s="1095"/>
      <c r="E740" s="1095"/>
      <c r="F740" s="1096"/>
      <c r="G740" s="1095"/>
      <c r="H740" s="1095"/>
    </row>
    <row r="741">
      <c r="A741" s="1095"/>
      <c r="B741" s="1094"/>
      <c r="C741" s="1095"/>
      <c r="D741" s="1095"/>
      <c r="E741" s="1095"/>
      <c r="F741" s="1096"/>
      <c r="G741" s="1095"/>
      <c r="H741" s="1095"/>
    </row>
    <row r="742">
      <c r="A742" s="1095"/>
      <c r="B742" s="1094"/>
      <c r="C742" s="1095"/>
      <c r="D742" s="1095"/>
      <c r="E742" s="1095"/>
      <c r="F742" s="1096"/>
      <c r="G742" s="1095"/>
      <c r="H742" s="1095"/>
    </row>
    <row r="743">
      <c r="A743" s="1095"/>
      <c r="B743" s="1094"/>
      <c r="C743" s="1095"/>
      <c r="D743" s="1095"/>
      <c r="E743" s="1095"/>
      <c r="F743" s="1096"/>
      <c r="G743" s="1095"/>
      <c r="H743" s="1095"/>
    </row>
    <row r="744">
      <c r="A744" s="1095"/>
      <c r="B744" s="1094"/>
      <c r="C744" s="1095"/>
      <c r="D744" s="1095"/>
      <c r="E744" s="1095"/>
      <c r="F744" s="1096"/>
      <c r="G744" s="1095"/>
      <c r="H744" s="1095"/>
    </row>
    <row r="745">
      <c r="A745" s="1095"/>
      <c r="B745" s="1094"/>
      <c r="C745" s="1095"/>
      <c r="D745" s="1095"/>
      <c r="E745" s="1095"/>
      <c r="F745" s="1096"/>
      <c r="G745" s="1095"/>
      <c r="H745" s="1095"/>
    </row>
    <row r="746">
      <c r="A746" s="1095"/>
      <c r="B746" s="1094"/>
      <c r="C746" s="1095"/>
      <c r="D746" s="1095"/>
      <c r="E746" s="1095"/>
      <c r="F746" s="1096"/>
      <c r="G746" s="1095"/>
      <c r="H746" s="1095"/>
    </row>
    <row r="747">
      <c r="A747" s="1095"/>
      <c r="B747" s="1094"/>
      <c r="C747" s="1095"/>
      <c r="D747" s="1095"/>
      <c r="E747" s="1095"/>
      <c r="F747" s="1096"/>
      <c r="G747" s="1095"/>
      <c r="H747" s="1095"/>
    </row>
    <row r="748">
      <c r="A748" s="1095"/>
      <c r="B748" s="1094"/>
      <c r="C748" s="1095"/>
      <c r="D748" s="1095"/>
      <c r="E748" s="1095"/>
      <c r="F748" s="1096"/>
      <c r="G748" s="1095"/>
      <c r="H748" s="1095"/>
    </row>
    <row r="749">
      <c r="A749" s="1095"/>
      <c r="B749" s="1094"/>
      <c r="C749" s="1095"/>
      <c r="D749" s="1095"/>
      <c r="E749" s="1095"/>
      <c r="F749" s="1096"/>
      <c r="G749" s="1095"/>
      <c r="H749" s="1095"/>
    </row>
    <row r="750">
      <c r="A750" s="1095"/>
      <c r="B750" s="1094"/>
      <c r="C750" s="1095"/>
      <c r="D750" s="1095"/>
      <c r="E750" s="1095"/>
      <c r="F750" s="1096"/>
      <c r="G750" s="1095"/>
      <c r="H750" s="1095"/>
    </row>
    <row r="751">
      <c r="A751" s="1095"/>
      <c r="B751" s="1094"/>
      <c r="C751" s="1095"/>
      <c r="D751" s="1095"/>
      <c r="E751" s="1095"/>
      <c r="F751" s="1096"/>
      <c r="G751" s="1095"/>
      <c r="H751" s="1095"/>
    </row>
    <row r="752">
      <c r="A752" s="1095"/>
      <c r="B752" s="1094"/>
      <c r="C752" s="1095"/>
      <c r="D752" s="1095"/>
      <c r="E752" s="1095"/>
      <c r="F752" s="1096"/>
      <c r="G752" s="1095"/>
      <c r="H752" s="1095"/>
    </row>
    <row r="753">
      <c r="A753" s="1095"/>
      <c r="B753" s="1094"/>
      <c r="C753" s="1095"/>
      <c r="D753" s="1095"/>
      <c r="E753" s="1095"/>
      <c r="F753" s="1096"/>
      <c r="G753" s="1095"/>
      <c r="H753" s="1095"/>
    </row>
    <row r="754">
      <c r="A754" s="1095"/>
      <c r="B754" s="1094"/>
      <c r="C754" s="1095"/>
      <c r="D754" s="1095"/>
      <c r="E754" s="1095"/>
      <c r="F754" s="1096"/>
      <c r="G754" s="1095"/>
      <c r="H754" s="1095"/>
    </row>
    <row r="755">
      <c r="A755" s="1095"/>
      <c r="B755" s="1094"/>
      <c r="C755" s="1095"/>
      <c r="D755" s="1095"/>
      <c r="E755" s="1095"/>
      <c r="F755" s="1096"/>
      <c r="G755" s="1095"/>
      <c r="H755" s="1095"/>
    </row>
    <row r="756">
      <c r="A756" s="1095"/>
      <c r="B756" s="1094"/>
      <c r="C756" s="1095"/>
      <c r="D756" s="1095"/>
      <c r="E756" s="1095"/>
      <c r="F756" s="1096"/>
      <c r="G756" s="1095"/>
      <c r="H756" s="1095"/>
    </row>
    <row r="757">
      <c r="A757" s="1095"/>
      <c r="B757" s="1094"/>
      <c r="C757" s="1095"/>
      <c r="D757" s="1095"/>
      <c r="E757" s="1095"/>
      <c r="F757" s="1096"/>
      <c r="G757" s="1095"/>
      <c r="H757" s="1095"/>
    </row>
    <row r="758">
      <c r="A758" s="1095"/>
      <c r="B758" s="1094"/>
      <c r="C758" s="1095"/>
      <c r="D758" s="1095"/>
      <c r="E758" s="1095"/>
      <c r="F758" s="1096"/>
      <c r="G758" s="1095"/>
      <c r="H758" s="1095"/>
    </row>
    <row r="759">
      <c r="A759" s="1095"/>
      <c r="B759" s="1094"/>
      <c r="C759" s="1095"/>
      <c r="D759" s="1095"/>
      <c r="E759" s="1095"/>
      <c r="F759" s="1096"/>
      <c r="G759" s="1095"/>
      <c r="H759" s="1095"/>
    </row>
    <row r="760">
      <c r="A760" s="1095"/>
      <c r="B760" s="1094"/>
      <c r="C760" s="1095"/>
      <c r="D760" s="1095"/>
      <c r="E760" s="1095"/>
      <c r="F760" s="1096"/>
      <c r="G760" s="1095"/>
      <c r="H760" s="1095"/>
    </row>
    <row r="761">
      <c r="A761" s="1095"/>
      <c r="B761" s="1094"/>
      <c r="C761" s="1095"/>
      <c r="D761" s="1095"/>
      <c r="E761" s="1095"/>
      <c r="F761" s="1096"/>
      <c r="G761" s="1095"/>
      <c r="H761" s="1095"/>
    </row>
    <row r="762">
      <c r="A762" s="1095"/>
      <c r="B762" s="1094"/>
      <c r="C762" s="1095"/>
      <c r="D762" s="1095"/>
      <c r="E762" s="1095"/>
      <c r="F762" s="1096"/>
      <c r="G762" s="1095"/>
      <c r="H762" s="1095"/>
    </row>
    <row r="763">
      <c r="A763" s="1095"/>
      <c r="B763" s="1094"/>
      <c r="C763" s="1095"/>
      <c r="D763" s="1095"/>
      <c r="E763" s="1095"/>
      <c r="F763" s="1096"/>
      <c r="G763" s="1095"/>
      <c r="H763" s="1095"/>
    </row>
    <row r="764">
      <c r="A764" s="1095"/>
      <c r="B764" s="1094"/>
      <c r="C764" s="1095"/>
      <c r="D764" s="1095"/>
      <c r="E764" s="1095"/>
      <c r="F764" s="1096"/>
      <c r="G764" s="1095"/>
      <c r="H764" s="1095"/>
    </row>
    <row r="765">
      <c r="A765" s="1095"/>
      <c r="B765" s="1094"/>
      <c r="C765" s="1095"/>
      <c r="D765" s="1095"/>
      <c r="E765" s="1095"/>
      <c r="F765" s="1096"/>
      <c r="G765" s="1095"/>
      <c r="H765" s="1095"/>
    </row>
    <row r="766">
      <c r="A766" s="1095"/>
      <c r="B766" s="1094"/>
      <c r="C766" s="1095"/>
      <c r="D766" s="1095"/>
      <c r="E766" s="1095"/>
      <c r="F766" s="1096"/>
      <c r="G766" s="1095"/>
      <c r="H766" s="1095"/>
    </row>
    <row r="767">
      <c r="A767" s="1095"/>
      <c r="B767" s="1094"/>
      <c r="C767" s="1095"/>
      <c r="D767" s="1095"/>
      <c r="E767" s="1095"/>
      <c r="F767" s="1096"/>
      <c r="G767" s="1095"/>
      <c r="H767" s="1095"/>
    </row>
    <row r="768">
      <c r="A768" s="1095"/>
      <c r="B768" s="1094"/>
      <c r="C768" s="1095"/>
      <c r="D768" s="1095"/>
      <c r="E768" s="1095"/>
      <c r="F768" s="1096"/>
      <c r="G768" s="1095"/>
      <c r="H768" s="1095"/>
    </row>
    <row r="769">
      <c r="A769" s="1095"/>
      <c r="B769" s="1094"/>
      <c r="C769" s="1095"/>
      <c r="D769" s="1095"/>
      <c r="E769" s="1095"/>
      <c r="F769" s="1096"/>
      <c r="G769" s="1095"/>
      <c r="H769" s="1095"/>
    </row>
    <row r="770">
      <c r="A770" s="1095"/>
      <c r="B770" s="1094"/>
      <c r="C770" s="1095"/>
      <c r="D770" s="1095"/>
      <c r="E770" s="1095"/>
      <c r="F770" s="1096"/>
      <c r="G770" s="1095"/>
      <c r="H770" s="1095"/>
    </row>
    <row r="771">
      <c r="A771" s="1095"/>
      <c r="B771" s="1094"/>
      <c r="C771" s="1095"/>
      <c r="D771" s="1095"/>
      <c r="E771" s="1095"/>
      <c r="F771" s="1096"/>
      <c r="G771" s="1095"/>
      <c r="H771" s="1095"/>
    </row>
    <row r="772">
      <c r="A772" s="1095"/>
      <c r="B772" s="1094"/>
      <c r="C772" s="1095"/>
      <c r="D772" s="1095"/>
      <c r="E772" s="1095"/>
      <c r="F772" s="1096"/>
      <c r="G772" s="1095"/>
      <c r="H772" s="1095"/>
    </row>
    <row r="773">
      <c r="A773" s="1095"/>
      <c r="B773" s="1094"/>
      <c r="C773" s="1095"/>
      <c r="D773" s="1095"/>
      <c r="E773" s="1095"/>
      <c r="F773" s="1096"/>
      <c r="G773" s="1095"/>
      <c r="H773" s="1095"/>
    </row>
    <row r="774">
      <c r="A774" s="1095"/>
      <c r="B774" s="1094"/>
      <c r="C774" s="1095"/>
      <c r="D774" s="1095"/>
      <c r="E774" s="1095"/>
      <c r="F774" s="1096"/>
      <c r="G774" s="1095"/>
      <c r="H774" s="1095"/>
    </row>
    <row r="775">
      <c r="A775" s="1095"/>
      <c r="B775" s="1094"/>
      <c r="C775" s="1095"/>
      <c r="D775" s="1095"/>
      <c r="E775" s="1095"/>
      <c r="F775" s="1096"/>
      <c r="G775" s="1095"/>
      <c r="H775" s="1095"/>
    </row>
    <row r="776">
      <c r="A776" s="1095"/>
      <c r="B776" s="1094"/>
      <c r="C776" s="1095"/>
      <c r="D776" s="1095"/>
      <c r="E776" s="1095"/>
      <c r="F776" s="1096"/>
      <c r="G776" s="1095"/>
      <c r="H776" s="1095"/>
    </row>
    <row r="777">
      <c r="A777" s="1095"/>
      <c r="B777" s="1094"/>
      <c r="C777" s="1095"/>
      <c r="D777" s="1095"/>
      <c r="E777" s="1095"/>
      <c r="F777" s="1096"/>
      <c r="G777" s="1095"/>
      <c r="H777" s="1095"/>
    </row>
    <row r="778">
      <c r="A778" s="1095"/>
      <c r="B778" s="1094"/>
      <c r="C778" s="1095"/>
      <c r="D778" s="1095"/>
      <c r="E778" s="1095"/>
      <c r="F778" s="1096"/>
      <c r="G778" s="1095"/>
      <c r="H778" s="1095"/>
    </row>
    <row r="779">
      <c r="A779" s="1095"/>
      <c r="B779" s="1094"/>
      <c r="C779" s="1095"/>
      <c r="D779" s="1095"/>
      <c r="E779" s="1095"/>
      <c r="F779" s="1096"/>
      <c r="G779" s="1095"/>
      <c r="H779" s="1095"/>
    </row>
    <row r="780">
      <c r="A780" s="1095"/>
      <c r="B780" s="1094"/>
      <c r="C780" s="1095"/>
      <c r="D780" s="1095"/>
      <c r="E780" s="1095"/>
      <c r="F780" s="1096"/>
      <c r="G780" s="1095"/>
      <c r="H780" s="1095"/>
    </row>
    <row r="781">
      <c r="A781" s="1095"/>
      <c r="B781" s="1094"/>
      <c r="C781" s="1095"/>
      <c r="D781" s="1095"/>
      <c r="E781" s="1095"/>
      <c r="F781" s="1096"/>
      <c r="G781" s="1095"/>
      <c r="H781" s="1095"/>
    </row>
    <row r="782">
      <c r="A782" s="1095"/>
      <c r="B782" s="1094"/>
      <c r="C782" s="1095"/>
      <c r="D782" s="1095"/>
      <c r="E782" s="1095"/>
      <c r="F782" s="1096"/>
      <c r="G782" s="1095"/>
      <c r="H782" s="1095"/>
    </row>
    <row r="783">
      <c r="A783" s="1095"/>
      <c r="B783" s="1094"/>
      <c r="C783" s="1095"/>
      <c r="D783" s="1095"/>
      <c r="E783" s="1095"/>
      <c r="F783" s="1096"/>
      <c r="G783" s="1095"/>
      <c r="H783" s="1095"/>
    </row>
    <row r="784">
      <c r="A784" s="1095"/>
      <c r="B784" s="1094"/>
      <c r="C784" s="1095"/>
      <c r="D784" s="1095"/>
      <c r="E784" s="1095"/>
      <c r="F784" s="1096"/>
      <c r="G784" s="1095"/>
      <c r="H784" s="1095"/>
    </row>
    <row r="785">
      <c r="A785" s="1095"/>
      <c r="B785" s="1094"/>
      <c r="C785" s="1095"/>
      <c r="D785" s="1095"/>
      <c r="E785" s="1095"/>
      <c r="F785" s="1096"/>
      <c r="G785" s="1095"/>
      <c r="H785" s="1095"/>
    </row>
    <row r="786">
      <c r="A786" s="1095"/>
      <c r="B786" s="1094"/>
      <c r="C786" s="1095"/>
      <c r="D786" s="1095"/>
      <c r="E786" s="1095"/>
      <c r="F786" s="1096"/>
      <c r="G786" s="1095"/>
      <c r="H786" s="1095"/>
    </row>
    <row r="787">
      <c r="A787" s="1095"/>
      <c r="B787" s="1094"/>
      <c r="C787" s="1095"/>
      <c r="D787" s="1095"/>
      <c r="E787" s="1095"/>
      <c r="F787" s="1096"/>
      <c r="G787" s="1095"/>
      <c r="H787" s="1095"/>
    </row>
    <row r="788">
      <c r="A788" s="1095"/>
      <c r="B788" s="1094"/>
      <c r="C788" s="1095"/>
      <c r="D788" s="1095"/>
      <c r="E788" s="1095"/>
      <c r="F788" s="1096"/>
      <c r="G788" s="1095"/>
      <c r="H788" s="1095"/>
    </row>
    <row r="789">
      <c r="A789" s="1095"/>
      <c r="B789" s="1094"/>
      <c r="C789" s="1095"/>
      <c r="D789" s="1095"/>
      <c r="E789" s="1095"/>
      <c r="F789" s="1096"/>
      <c r="G789" s="1095"/>
      <c r="H789" s="1095"/>
    </row>
    <row r="790">
      <c r="A790" s="1095"/>
      <c r="B790" s="1094"/>
      <c r="C790" s="1095"/>
      <c r="D790" s="1095"/>
      <c r="E790" s="1095"/>
      <c r="F790" s="1096"/>
      <c r="G790" s="1095"/>
      <c r="H790" s="1095"/>
    </row>
    <row r="791">
      <c r="A791" s="1095"/>
      <c r="B791" s="1094"/>
      <c r="C791" s="1095"/>
      <c r="D791" s="1095"/>
      <c r="E791" s="1095"/>
      <c r="F791" s="1096"/>
      <c r="G791" s="1095"/>
      <c r="H791" s="1095"/>
    </row>
    <row r="792">
      <c r="A792" s="1095"/>
      <c r="B792" s="1094"/>
      <c r="C792" s="1095"/>
      <c r="D792" s="1095"/>
      <c r="E792" s="1095"/>
      <c r="F792" s="1096"/>
      <c r="G792" s="1095"/>
      <c r="H792" s="1095"/>
    </row>
    <row r="793">
      <c r="A793" s="1095"/>
      <c r="B793" s="1094"/>
      <c r="C793" s="1095"/>
      <c r="D793" s="1095"/>
      <c r="E793" s="1095"/>
      <c r="F793" s="1096"/>
      <c r="G793" s="1095"/>
      <c r="H793" s="1095"/>
    </row>
    <row r="794">
      <c r="A794" s="1095"/>
      <c r="B794" s="1094"/>
      <c r="C794" s="1095"/>
      <c r="D794" s="1095"/>
      <c r="E794" s="1095"/>
      <c r="F794" s="1096"/>
      <c r="G794" s="1095"/>
      <c r="H794" s="1095"/>
    </row>
    <row r="795">
      <c r="A795" s="1095"/>
      <c r="B795" s="1094"/>
      <c r="C795" s="1095"/>
      <c r="D795" s="1095"/>
      <c r="E795" s="1095"/>
      <c r="F795" s="1096"/>
      <c r="G795" s="1095"/>
      <c r="H795" s="1095"/>
    </row>
    <row r="796">
      <c r="A796" s="1095"/>
      <c r="B796" s="1094"/>
      <c r="C796" s="1095"/>
      <c r="D796" s="1095"/>
      <c r="E796" s="1095"/>
      <c r="F796" s="1096"/>
      <c r="G796" s="1095"/>
      <c r="H796" s="1095"/>
    </row>
    <row r="797">
      <c r="A797" s="1095"/>
      <c r="B797" s="1094"/>
      <c r="C797" s="1095"/>
      <c r="D797" s="1095"/>
      <c r="E797" s="1095"/>
      <c r="F797" s="1096"/>
      <c r="G797" s="1095"/>
      <c r="H797" s="1095"/>
    </row>
    <row r="798">
      <c r="A798" s="1095"/>
      <c r="B798" s="1094"/>
      <c r="C798" s="1095"/>
      <c r="D798" s="1095"/>
      <c r="E798" s="1095"/>
      <c r="F798" s="1096"/>
      <c r="G798" s="1095"/>
      <c r="H798" s="1095"/>
    </row>
    <row r="799">
      <c r="A799" s="1095"/>
      <c r="B799" s="1094"/>
      <c r="C799" s="1095"/>
      <c r="D799" s="1095"/>
      <c r="E799" s="1095"/>
      <c r="F799" s="1096"/>
      <c r="G799" s="1095"/>
      <c r="H799" s="1095"/>
    </row>
    <row r="800">
      <c r="A800" s="1095"/>
      <c r="B800" s="1094"/>
      <c r="C800" s="1095"/>
      <c r="D800" s="1095"/>
      <c r="E800" s="1095"/>
      <c r="F800" s="1096"/>
      <c r="G800" s="1095"/>
      <c r="H800" s="1095"/>
    </row>
    <row r="801">
      <c r="A801" s="1095"/>
      <c r="B801" s="1094"/>
      <c r="C801" s="1095"/>
      <c r="D801" s="1095"/>
      <c r="E801" s="1095"/>
      <c r="F801" s="1096"/>
      <c r="G801" s="1095"/>
      <c r="H801" s="1095"/>
    </row>
    <row r="802">
      <c r="A802" s="1095"/>
      <c r="B802" s="1094"/>
      <c r="C802" s="1095"/>
      <c r="D802" s="1095"/>
      <c r="E802" s="1095"/>
      <c r="F802" s="1096"/>
      <c r="G802" s="1095"/>
      <c r="H802" s="1095"/>
    </row>
    <row r="803">
      <c r="A803" s="1095"/>
      <c r="B803" s="1094"/>
      <c r="C803" s="1095"/>
      <c r="D803" s="1095"/>
      <c r="E803" s="1095"/>
      <c r="F803" s="1096"/>
      <c r="G803" s="1095"/>
      <c r="H803" s="1095"/>
    </row>
    <row r="804">
      <c r="A804" s="1095"/>
      <c r="B804" s="1094"/>
      <c r="C804" s="1095"/>
      <c r="D804" s="1095"/>
      <c r="E804" s="1095"/>
      <c r="F804" s="1096"/>
      <c r="G804" s="1095"/>
      <c r="H804" s="1095"/>
    </row>
    <row r="805">
      <c r="A805" s="1095"/>
      <c r="B805" s="1094"/>
      <c r="C805" s="1095"/>
      <c r="D805" s="1095"/>
      <c r="E805" s="1095"/>
      <c r="F805" s="1096"/>
      <c r="G805" s="1095"/>
      <c r="H805" s="1095"/>
    </row>
    <row r="806">
      <c r="A806" s="1095"/>
      <c r="B806" s="1094"/>
      <c r="C806" s="1095"/>
      <c r="D806" s="1095"/>
      <c r="E806" s="1095"/>
      <c r="F806" s="1096"/>
      <c r="G806" s="1095"/>
      <c r="H806" s="1095"/>
    </row>
    <row r="807">
      <c r="A807" s="1095"/>
      <c r="B807" s="1094"/>
      <c r="C807" s="1095"/>
      <c r="D807" s="1095"/>
      <c r="E807" s="1095"/>
      <c r="F807" s="1096"/>
      <c r="G807" s="1095"/>
      <c r="H807" s="1095"/>
    </row>
    <row r="808">
      <c r="A808" s="1095"/>
      <c r="B808" s="1094"/>
      <c r="C808" s="1095"/>
      <c r="D808" s="1095"/>
      <c r="E808" s="1095"/>
      <c r="F808" s="1096"/>
      <c r="G808" s="1095"/>
      <c r="H808" s="1095"/>
    </row>
    <row r="809">
      <c r="A809" s="1095"/>
      <c r="B809" s="1094"/>
      <c r="C809" s="1095"/>
      <c r="D809" s="1095"/>
      <c r="E809" s="1095"/>
      <c r="F809" s="1096"/>
      <c r="G809" s="1095"/>
      <c r="H809" s="1095"/>
    </row>
    <row r="810">
      <c r="A810" s="1095"/>
      <c r="B810" s="1094"/>
      <c r="C810" s="1095"/>
      <c r="D810" s="1095"/>
      <c r="E810" s="1095"/>
      <c r="F810" s="1096"/>
      <c r="G810" s="1095"/>
      <c r="H810" s="1095"/>
    </row>
    <row r="811">
      <c r="A811" s="1095"/>
      <c r="B811" s="1094"/>
      <c r="C811" s="1095"/>
      <c r="D811" s="1095"/>
      <c r="E811" s="1095"/>
      <c r="F811" s="1096"/>
      <c r="G811" s="1095"/>
      <c r="H811" s="1095"/>
    </row>
    <row r="812">
      <c r="A812" s="1095"/>
      <c r="B812" s="1094"/>
      <c r="C812" s="1095"/>
      <c r="D812" s="1095"/>
      <c r="E812" s="1095"/>
      <c r="F812" s="1096"/>
      <c r="G812" s="1095"/>
      <c r="H812" s="1095"/>
    </row>
    <row r="813">
      <c r="A813" s="1095"/>
      <c r="B813" s="1094"/>
      <c r="C813" s="1095"/>
      <c r="D813" s="1095"/>
      <c r="E813" s="1095"/>
      <c r="F813" s="1096"/>
      <c r="G813" s="1095"/>
      <c r="H813" s="1095"/>
    </row>
    <row r="814">
      <c r="A814" s="1095"/>
      <c r="B814" s="1094"/>
      <c r="C814" s="1095"/>
      <c r="D814" s="1095"/>
      <c r="E814" s="1095"/>
      <c r="F814" s="1096"/>
      <c r="G814" s="1095"/>
      <c r="H814" s="1095"/>
    </row>
    <row r="815">
      <c r="A815" s="1095"/>
      <c r="B815" s="1094"/>
      <c r="C815" s="1095"/>
      <c r="D815" s="1095"/>
      <c r="E815" s="1095"/>
      <c r="F815" s="1096"/>
      <c r="G815" s="1095"/>
      <c r="H815" s="1095"/>
    </row>
    <row r="816">
      <c r="A816" s="1095"/>
      <c r="B816" s="1094"/>
      <c r="C816" s="1095"/>
      <c r="D816" s="1095"/>
      <c r="E816" s="1095"/>
      <c r="F816" s="1096"/>
      <c r="G816" s="1095"/>
      <c r="H816" s="1095"/>
    </row>
    <row r="817">
      <c r="A817" s="1095"/>
      <c r="B817" s="1094"/>
      <c r="C817" s="1095"/>
      <c r="D817" s="1095"/>
      <c r="E817" s="1095"/>
      <c r="F817" s="1096"/>
      <c r="G817" s="1095"/>
      <c r="H817" s="1095"/>
    </row>
    <row r="818">
      <c r="A818" s="1095"/>
      <c r="B818" s="1094"/>
      <c r="C818" s="1095"/>
      <c r="D818" s="1095"/>
      <c r="E818" s="1095"/>
      <c r="F818" s="1096"/>
      <c r="G818" s="1095"/>
      <c r="H818" s="1095"/>
    </row>
    <row r="819">
      <c r="A819" s="1095"/>
      <c r="B819" s="1094"/>
      <c r="C819" s="1095"/>
      <c r="D819" s="1095"/>
      <c r="E819" s="1095"/>
      <c r="F819" s="1096"/>
      <c r="G819" s="1095"/>
      <c r="H819" s="1095"/>
    </row>
    <row r="820">
      <c r="A820" s="1095"/>
      <c r="B820" s="1094"/>
      <c r="C820" s="1095"/>
      <c r="D820" s="1095"/>
      <c r="E820" s="1095"/>
      <c r="F820" s="1096"/>
      <c r="G820" s="1095"/>
      <c r="H820" s="1095"/>
    </row>
    <row r="821">
      <c r="A821" s="1095"/>
      <c r="B821" s="1094"/>
      <c r="C821" s="1095"/>
      <c r="D821" s="1095"/>
      <c r="E821" s="1095"/>
      <c r="F821" s="1096"/>
      <c r="G821" s="1095"/>
      <c r="H821" s="1095"/>
    </row>
    <row r="822">
      <c r="A822" s="1095"/>
      <c r="B822" s="1094"/>
      <c r="C822" s="1095"/>
      <c r="D822" s="1095"/>
      <c r="E822" s="1095"/>
      <c r="F822" s="1096"/>
      <c r="G822" s="1095"/>
      <c r="H822" s="1095"/>
    </row>
    <row r="823">
      <c r="A823" s="1095"/>
      <c r="B823" s="1094"/>
      <c r="C823" s="1095"/>
      <c r="D823" s="1095"/>
      <c r="E823" s="1095"/>
      <c r="F823" s="1096"/>
      <c r="G823" s="1095"/>
      <c r="H823" s="1095"/>
    </row>
    <row r="824">
      <c r="A824" s="1095"/>
      <c r="B824" s="1094"/>
      <c r="C824" s="1095"/>
      <c r="D824" s="1095"/>
      <c r="E824" s="1095"/>
      <c r="F824" s="1096"/>
      <c r="G824" s="1095"/>
      <c r="H824" s="1095"/>
    </row>
    <row r="825">
      <c r="A825" s="1095"/>
      <c r="B825" s="1094"/>
      <c r="C825" s="1095"/>
      <c r="D825" s="1095"/>
      <c r="E825" s="1095"/>
      <c r="F825" s="1096"/>
      <c r="G825" s="1095"/>
      <c r="H825" s="1095"/>
    </row>
    <row r="826">
      <c r="A826" s="1095"/>
      <c r="B826" s="1094"/>
      <c r="C826" s="1095"/>
      <c r="D826" s="1095"/>
      <c r="E826" s="1095"/>
      <c r="F826" s="1096"/>
      <c r="G826" s="1095"/>
      <c r="H826" s="1095"/>
    </row>
    <row r="827">
      <c r="A827" s="1095"/>
      <c r="B827" s="1094"/>
      <c r="C827" s="1095"/>
      <c r="D827" s="1095"/>
      <c r="E827" s="1095"/>
      <c r="F827" s="1096"/>
      <c r="G827" s="1095"/>
      <c r="H827" s="1095"/>
    </row>
    <row r="828">
      <c r="A828" s="1095"/>
      <c r="B828" s="1094"/>
      <c r="C828" s="1095"/>
      <c r="D828" s="1095"/>
      <c r="E828" s="1095"/>
      <c r="F828" s="1096"/>
      <c r="G828" s="1095"/>
      <c r="H828" s="1095"/>
    </row>
    <row r="829">
      <c r="A829" s="1095"/>
      <c r="B829" s="1094"/>
      <c r="C829" s="1095"/>
      <c r="D829" s="1095"/>
      <c r="E829" s="1095"/>
      <c r="F829" s="1096"/>
      <c r="G829" s="1095"/>
      <c r="H829" s="1095"/>
    </row>
    <row r="830">
      <c r="A830" s="1095"/>
      <c r="B830" s="1094"/>
      <c r="C830" s="1095"/>
      <c r="D830" s="1095"/>
      <c r="E830" s="1095"/>
      <c r="F830" s="1096"/>
      <c r="G830" s="1095"/>
      <c r="H830" s="1095"/>
    </row>
    <row r="831">
      <c r="A831" s="1095"/>
      <c r="B831" s="1094"/>
      <c r="C831" s="1095"/>
      <c r="D831" s="1095"/>
      <c r="E831" s="1095"/>
      <c r="F831" s="1096"/>
      <c r="G831" s="1095"/>
      <c r="H831" s="1095"/>
    </row>
    <row r="832">
      <c r="A832" s="1095"/>
      <c r="B832" s="1094"/>
      <c r="C832" s="1095"/>
      <c r="D832" s="1095"/>
      <c r="E832" s="1095"/>
      <c r="F832" s="1096"/>
      <c r="G832" s="1095"/>
      <c r="H832" s="1095"/>
    </row>
    <row r="833">
      <c r="A833" s="1095"/>
      <c r="B833" s="1094"/>
      <c r="C833" s="1095"/>
      <c r="D833" s="1095"/>
      <c r="E833" s="1095"/>
      <c r="F833" s="1096"/>
      <c r="G833" s="1095"/>
      <c r="H833" s="1095"/>
    </row>
    <row r="834">
      <c r="A834" s="1095"/>
      <c r="B834" s="1094"/>
      <c r="C834" s="1095"/>
      <c r="D834" s="1095"/>
      <c r="E834" s="1095"/>
      <c r="F834" s="1096"/>
      <c r="G834" s="1095"/>
      <c r="H834" s="1095"/>
    </row>
    <row r="835">
      <c r="A835" s="1095"/>
      <c r="B835" s="1094"/>
      <c r="C835" s="1095"/>
      <c r="D835" s="1095"/>
      <c r="E835" s="1095"/>
      <c r="F835" s="1096"/>
      <c r="G835" s="1095"/>
      <c r="H835" s="1095"/>
    </row>
    <row r="836">
      <c r="A836" s="1095"/>
      <c r="B836" s="1094"/>
      <c r="C836" s="1095"/>
      <c r="D836" s="1095"/>
      <c r="E836" s="1095"/>
      <c r="F836" s="1096"/>
      <c r="G836" s="1095"/>
      <c r="H836" s="1095"/>
    </row>
    <row r="837">
      <c r="A837" s="1095"/>
      <c r="B837" s="1094"/>
      <c r="C837" s="1095"/>
      <c r="D837" s="1095"/>
      <c r="E837" s="1095"/>
      <c r="F837" s="1096"/>
      <c r="G837" s="1095"/>
      <c r="H837" s="1095"/>
    </row>
    <row r="838">
      <c r="A838" s="1095"/>
      <c r="B838" s="1094"/>
      <c r="C838" s="1095"/>
      <c r="D838" s="1095"/>
      <c r="E838" s="1095"/>
      <c r="F838" s="1096"/>
      <c r="G838" s="1095"/>
      <c r="H838" s="1095"/>
    </row>
    <row r="839">
      <c r="A839" s="1095"/>
      <c r="B839" s="1094"/>
      <c r="C839" s="1095"/>
      <c r="D839" s="1095"/>
      <c r="E839" s="1095"/>
      <c r="F839" s="1096"/>
      <c r="G839" s="1095"/>
      <c r="H839" s="1095"/>
    </row>
    <row r="840">
      <c r="A840" s="1095"/>
      <c r="B840" s="1094"/>
      <c r="C840" s="1095"/>
      <c r="D840" s="1095"/>
      <c r="E840" s="1095"/>
      <c r="F840" s="1096"/>
      <c r="G840" s="1095"/>
      <c r="H840" s="1095"/>
    </row>
    <row r="841">
      <c r="A841" s="1095"/>
      <c r="B841" s="1094"/>
      <c r="C841" s="1095"/>
      <c r="D841" s="1095"/>
      <c r="E841" s="1095"/>
      <c r="F841" s="1096"/>
      <c r="G841" s="1095"/>
      <c r="H841" s="1095"/>
    </row>
    <row r="842">
      <c r="A842" s="1095"/>
      <c r="B842" s="1094"/>
      <c r="C842" s="1095"/>
      <c r="D842" s="1095"/>
      <c r="E842" s="1095"/>
      <c r="F842" s="1096"/>
      <c r="G842" s="1095"/>
      <c r="H842" s="1095"/>
    </row>
    <row r="843">
      <c r="A843" s="1095"/>
      <c r="B843" s="1094"/>
      <c r="C843" s="1095"/>
      <c r="D843" s="1095"/>
      <c r="E843" s="1095"/>
      <c r="F843" s="1096"/>
      <c r="G843" s="1095"/>
      <c r="H843" s="1095"/>
    </row>
    <row r="844">
      <c r="A844" s="1095"/>
      <c r="B844" s="1094"/>
      <c r="C844" s="1095"/>
      <c r="D844" s="1095"/>
      <c r="E844" s="1095"/>
      <c r="F844" s="1096"/>
      <c r="G844" s="1095"/>
      <c r="H844" s="1095"/>
    </row>
    <row r="845">
      <c r="A845" s="1095"/>
      <c r="B845" s="1094"/>
      <c r="C845" s="1095"/>
      <c r="D845" s="1095"/>
      <c r="E845" s="1095"/>
      <c r="F845" s="1096"/>
      <c r="G845" s="1095"/>
      <c r="H845" s="1095"/>
    </row>
    <row r="846">
      <c r="A846" s="1095"/>
      <c r="B846" s="1094"/>
      <c r="C846" s="1095"/>
      <c r="D846" s="1095"/>
      <c r="E846" s="1095"/>
      <c r="F846" s="1096"/>
      <c r="G846" s="1095"/>
      <c r="H846" s="1095"/>
    </row>
    <row r="847">
      <c r="A847" s="1095"/>
      <c r="B847" s="1094"/>
      <c r="C847" s="1095"/>
      <c r="D847" s="1095"/>
      <c r="E847" s="1095"/>
      <c r="F847" s="1096"/>
      <c r="G847" s="1095"/>
      <c r="H847" s="1095"/>
    </row>
    <row r="848">
      <c r="A848" s="1095"/>
      <c r="B848" s="1094"/>
      <c r="C848" s="1095"/>
      <c r="D848" s="1095"/>
      <c r="E848" s="1095"/>
      <c r="F848" s="1096"/>
      <c r="G848" s="1095"/>
      <c r="H848" s="1095"/>
    </row>
    <row r="849">
      <c r="A849" s="1095"/>
      <c r="B849" s="1094"/>
      <c r="C849" s="1095"/>
      <c r="D849" s="1095"/>
      <c r="E849" s="1095"/>
      <c r="F849" s="1096"/>
      <c r="G849" s="1095"/>
      <c r="H849" s="1095"/>
    </row>
    <row r="850">
      <c r="A850" s="1095"/>
      <c r="B850" s="1094"/>
      <c r="C850" s="1095"/>
      <c r="D850" s="1095"/>
      <c r="E850" s="1095"/>
      <c r="F850" s="1096"/>
      <c r="G850" s="1095"/>
      <c r="H850" s="1095"/>
    </row>
    <row r="851">
      <c r="A851" s="1095"/>
      <c r="B851" s="1094"/>
      <c r="C851" s="1095"/>
      <c r="D851" s="1095"/>
      <c r="E851" s="1095"/>
      <c r="F851" s="1096"/>
      <c r="G851" s="1095"/>
      <c r="H851" s="1095"/>
    </row>
    <row r="852">
      <c r="A852" s="1095"/>
      <c r="B852" s="1094"/>
      <c r="C852" s="1095"/>
      <c r="D852" s="1095"/>
      <c r="E852" s="1095"/>
      <c r="F852" s="1096"/>
      <c r="G852" s="1095"/>
      <c r="H852" s="1095"/>
    </row>
    <row r="853">
      <c r="A853" s="1095"/>
      <c r="B853" s="1094"/>
      <c r="C853" s="1095"/>
      <c r="D853" s="1095"/>
      <c r="E853" s="1095"/>
      <c r="F853" s="1096"/>
      <c r="G853" s="1095"/>
      <c r="H853" s="1095"/>
    </row>
    <row r="854">
      <c r="A854" s="1095"/>
      <c r="B854" s="1094"/>
      <c r="C854" s="1095"/>
      <c r="D854" s="1095"/>
      <c r="E854" s="1095"/>
      <c r="F854" s="1096"/>
      <c r="G854" s="1095"/>
      <c r="H854" s="1095"/>
    </row>
    <row r="855">
      <c r="A855" s="1095"/>
      <c r="B855" s="1094"/>
      <c r="C855" s="1095"/>
      <c r="D855" s="1095"/>
      <c r="E855" s="1095"/>
      <c r="F855" s="1096"/>
      <c r="G855" s="1095"/>
      <c r="H855" s="1095"/>
    </row>
    <row r="856">
      <c r="A856" s="1095"/>
      <c r="B856" s="1094"/>
      <c r="C856" s="1095"/>
      <c r="D856" s="1095"/>
      <c r="E856" s="1095"/>
      <c r="F856" s="1096"/>
      <c r="G856" s="1095"/>
      <c r="H856" s="1095"/>
    </row>
    <row r="857">
      <c r="A857" s="1095"/>
      <c r="B857" s="1094"/>
      <c r="C857" s="1095"/>
      <c r="D857" s="1095"/>
      <c r="E857" s="1095"/>
      <c r="F857" s="1096"/>
      <c r="G857" s="1095"/>
      <c r="H857" s="1095"/>
    </row>
    <row r="858">
      <c r="A858" s="1095"/>
      <c r="B858" s="1094"/>
      <c r="C858" s="1095"/>
      <c r="D858" s="1095"/>
      <c r="E858" s="1095"/>
      <c r="F858" s="1096"/>
      <c r="G858" s="1095"/>
      <c r="H858" s="1095"/>
    </row>
    <row r="859">
      <c r="A859" s="1095"/>
      <c r="B859" s="1094"/>
      <c r="C859" s="1095"/>
      <c r="D859" s="1095"/>
      <c r="E859" s="1095"/>
      <c r="F859" s="1096"/>
      <c r="G859" s="1095"/>
      <c r="H859" s="1095"/>
    </row>
    <row r="860">
      <c r="A860" s="1095"/>
      <c r="B860" s="1094"/>
      <c r="C860" s="1095"/>
      <c r="D860" s="1095"/>
      <c r="E860" s="1095"/>
      <c r="F860" s="1096"/>
      <c r="G860" s="1095"/>
      <c r="H860" s="1095"/>
    </row>
    <row r="861">
      <c r="A861" s="1095"/>
      <c r="B861" s="1094"/>
      <c r="C861" s="1095"/>
      <c r="D861" s="1095"/>
      <c r="E861" s="1095"/>
      <c r="F861" s="1096"/>
      <c r="G861" s="1095"/>
      <c r="H861" s="1095"/>
    </row>
    <row r="862">
      <c r="A862" s="1095"/>
      <c r="B862" s="1094"/>
      <c r="C862" s="1095"/>
      <c r="D862" s="1095"/>
      <c r="E862" s="1095"/>
      <c r="F862" s="1096"/>
      <c r="G862" s="1095"/>
      <c r="H862" s="1095"/>
    </row>
    <row r="863">
      <c r="A863" s="1095"/>
      <c r="B863" s="1094"/>
      <c r="C863" s="1095"/>
      <c r="D863" s="1095"/>
      <c r="E863" s="1095"/>
      <c r="F863" s="1096"/>
      <c r="G863" s="1095"/>
      <c r="H863" s="1095"/>
    </row>
    <row r="864">
      <c r="A864" s="1095"/>
      <c r="B864" s="1094"/>
      <c r="C864" s="1095"/>
      <c r="D864" s="1095"/>
      <c r="E864" s="1095"/>
      <c r="F864" s="1096"/>
      <c r="G864" s="1095"/>
      <c r="H864" s="1095"/>
    </row>
    <row r="865">
      <c r="A865" s="1095"/>
      <c r="B865" s="1094"/>
      <c r="C865" s="1095"/>
      <c r="D865" s="1095"/>
      <c r="E865" s="1095"/>
      <c r="F865" s="1096"/>
      <c r="G865" s="1095"/>
      <c r="H865" s="1095"/>
    </row>
    <row r="866">
      <c r="A866" s="1095"/>
      <c r="B866" s="1094"/>
      <c r="C866" s="1095"/>
      <c r="D866" s="1095"/>
      <c r="E866" s="1095"/>
      <c r="F866" s="1096"/>
      <c r="G866" s="1095"/>
      <c r="H866" s="1095"/>
    </row>
    <row r="867">
      <c r="A867" s="1095"/>
      <c r="B867" s="1094"/>
      <c r="C867" s="1095"/>
      <c r="D867" s="1095"/>
      <c r="E867" s="1095"/>
      <c r="F867" s="1096"/>
      <c r="G867" s="1095"/>
      <c r="H867" s="1095"/>
    </row>
    <row r="868">
      <c r="A868" s="1095"/>
      <c r="B868" s="1094"/>
      <c r="C868" s="1095"/>
      <c r="D868" s="1095"/>
      <c r="E868" s="1095"/>
      <c r="F868" s="1096"/>
      <c r="G868" s="1095"/>
      <c r="H868" s="1095"/>
    </row>
    <row r="869">
      <c r="A869" s="1095"/>
      <c r="B869" s="1094"/>
      <c r="C869" s="1095"/>
      <c r="D869" s="1095"/>
      <c r="E869" s="1095"/>
      <c r="F869" s="1096"/>
      <c r="G869" s="1095"/>
      <c r="H869" s="1095"/>
    </row>
    <row r="870">
      <c r="A870" s="1095"/>
      <c r="B870" s="1094"/>
      <c r="C870" s="1095"/>
      <c r="D870" s="1095"/>
      <c r="E870" s="1095"/>
      <c r="F870" s="1096"/>
      <c r="G870" s="1095"/>
      <c r="H870" s="1095"/>
    </row>
    <row r="871">
      <c r="A871" s="1095"/>
      <c r="B871" s="1094"/>
      <c r="C871" s="1095"/>
      <c r="D871" s="1095"/>
      <c r="E871" s="1095"/>
      <c r="F871" s="1096"/>
      <c r="G871" s="1095"/>
      <c r="H871" s="1095"/>
    </row>
    <row r="872">
      <c r="A872" s="1095"/>
      <c r="B872" s="1094"/>
      <c r="C872" s="1095"/>
      <c r="D872" s="1095"/>
      <c r="E872" s="1095"/>
      <c r="F872" s="1096"/>
      <c r="G872" s="1095"/>
      <c r="H872" s="1095"/>
    </row>
    <row r="873">
      <c r="A873" s="1095"/>
      <c r="B873" s="1094"/>
      <c r="C873" s="1095"/>
      <c r="D873" s="1095"/>
      <c r="E873" s="1095"/>
      <c r="F873" s="1096"/>
      <c r="G873" s="1095"/>
      <c r="H873" s="1095"/>
    </row>
    <row r="874">
      <c r="A874" s="1095"/>
      <c r="B874" s="1094"/>
      <c r="C874" s="1095"/>
      <c r="D874" s="1095"/>
      <c r="E874" s="1095"/>
      <c r="F874" s="1096"/>
      <c r="G874" s="1095"/>
      <c r="H874" s="1095"/>
    </row>
    <row r="875">
      <c r="A875" s="1095"/>
      <c r="B875" s="1094"/>
      <c r="C875" s="1095"/>
      <c r="D875" s="1095"/>
      <c r="E875" s="1095"/>
      <c r="F875" s="1096"/>
      <c r="G875" s="1095"/>
      <c r="H875" s="1095"/>
    </row>
    <row r="876">
      <c r="A876" s="1095"/>
      <c r="B876" s="1094"/>
      <c r="C876" s="1095"/>
      <c r="D876" s="1095"/>
      <c r="E876" s="1095"/>
      <c r="F876" s="1096"/>
      <c r="G876" s="1095"/>
      <c r="H876" s="1095"/>
    </row>
    <row r="877">
      <c r="A877" s="1095"/>
      <c r="B877" s="1094"/>
      <c r="C877" s="1095"/>
      <c r="D877" s="1095"/>
      <c r="E877" s="1095"/>
      <c r="F877" s="1096"/>
      <c r="G877" s="1095"/>
      <c r="H877" s="1095"/>
    </row>
    <row r="878">
      <c r="A878" s="1095"/>
      <c r="B878" s="1094"/>
      <c r="C878" s="1095"/>
      <c r="D878" s="1095"/>
      <c r="E878" s="1095"/>
      <c r="F878" s="1096"/>
      <c r="G878" s="1095"/>
      <c r="H878" s="1095"/>
    </row>
    <row r="879">
      <c r="A879" s="1095"/>
      <c r="B879" s="1094"/>
      <c r="C879" s="1095"/>
      <c r="D879" s="1095"/>
      <c r="E879" s="1095"/>
      <c r="F879" s="1096"/>
      <c r="G879" s="1095"/>
      <c r="H879" s="1095"/>
    </row>
    <row r="880">
      <c r="A880" s="1095"/>
      <c r="B880" s="1094"/>
      <c r="C880" s="1095"/>
      <c r="D880" s="1095"/>
      <c r="E880" s="1095"/>
      <c r="F880" s="1096"/>
      <c r="G880" s="1095"/>
      <c r="H880" s="1095"/>
    </row>
    <row r="881">
      <c r="A881" s="1095"/>
      <c r="B881" s="1094"/>
      <c r="C881" s="1095"/>
      <c r="D881" s="1095"/>
      <c r="E881" s="1095"/>
      <c r="F881" s="1096"/>
      <c r="G881" s="1095"/>
      <c r="H881" s="1095"/>
    </row>
    <row r="882">
      <c r="A882" s="1095"/>
      <c r="B882" s="1094"/>
      <c r="C882" s="1095"/>
      <c r="D882" s="1095"/>
      <c r="E882" s="1095"/>
      <c r="F882" s="1096"/>
      <c r="G882" s="1095"/>
      <c r="H882" s="1095"/>
    </row>
    <row r="883">
      <c r="A883" s="1095"/>
      <c r="B883" s="1094"/>
      <c r="C883" s="1095"/>
      <c r="D883" s="1095"/>
      <c r="E883" s="1095"/>
      <c r="F883" s="1096"/>
      <c r="G883" s="1095"/>
      <c r="H883" s="1095"/>
    </row>
    <row r="884">
      <c r="A884" s="1095"/>
      <c r="B884" s="1094"/>
      <c r="C884" s="1095"/>
      <c r="D884" s="1095"/>
      <c r="E884" s="1095"/>
      <c r="F884" s="1096"/>
      <c r="G884" s="1095"/>
      <c r="H884" s="1095"/>
    </row>
    <row r="885">
      <c r="A885" s="1095"/>
      <c r="B885" s="1094"/>
      <c r="C885" s="1095"/>
      <c r="D885" s="1095"/>
      <c r="E885" s="1095"/>
      <c r="F885" s="1096"/>
      <c r="G885" s="1095"/>
      <c r="H885" s="1095"/>
    </row>
    <row r="886">
      <c r="A886" s="1095"/>
      <c r="B886" s="1094"/>
      <c r="C886" s="1095"/>
      <c r="D886" s="1095"/>
      <c r="E886" s="1095"/>
      <c r="F886" s="1096"/>
      <c r="G886" s="1095"/>
      <c r="H886" s="1095"/>
    </row>
    <row r="887">
      <c r="A887" s="1095"/>
      <c r="B887" s="1094"/>
      <c r="C887" s="1095"/>
      <c r="D887" s="1095"/>
      <c r="E887" s="1095"/>
      <c r="F887" s="1096"/>
      <c r="G887" s="1095"/>
      <c r="H887" s="1095"/>
    </row>
    <row r="888">
      <c r="A888" s="1095"/>
      <c r="B888" s="1094"/>
      <c r="C888" s="1095"/>
      <c r="D888" s="1095"/>
      <c r="E888" s="1095"/>
      <c r="F888" s="1096"/>
      <c r="G888" s="1095"/>
      <c r="H888" s="1095"/>
    </row>
    <row r="889">
      <c r="A889" s="1095"/>
      <c r="B889" s="1094"/>
      <c r="C889" s="1095"/>
      <c r="D889" s="1095"/>
      <c r="E889" s="1095"/>
      <c r="F889" s="1096"/>
      <c r="G889" s="1095"/>
      <c r="H889" s="1095"/>
    </row>
    <row r="890">
      <c r="A890" s="1095"/>
      <c r="B890" s="1094"/>
      <c r="C890" s="1095"/>
      <c r="D890" s="1095"/>
      <c r="E890" s="1095"/>
      <c r="F890" s="1096"/>
      <c r="G890" s="1095"/>
      <c r="H890" s="1095"/>
    </row>
    <row r="891">
      <c r="A891" s="1095"/>
      <c r="B891" s="1094"/>
      <c r="C891" s="1095"/>
      <c r="D891" s="1095"/>
      <c r="E891" s="1095"/>
      <c r="F891" s="1096"/>
      <c r="G891" s="1095"/>
      <c r="H891" s="1095"/>
    </row>
    <row r="892">
      <c r="A892" s="1095"/>
      <c r="B892" s="1094"/>
      <c r="C892" s="1095"/>
      <c r="D892" s="1095"/>
      <c r="E892" s="1095"/>
      <c r="F892" s="1096"/>
      <c r="G892" s="1095"/>
      <c r="H892" s="1095"/>
    </row>
    <row r="893">
      <c r="A893" s="1095"/>
      <c r="B893" s="1094"/>
      <c r="C893" s="1095"/>
      <c r="D893" s="1095"/>
      <c r="E893" s="1095"/>
      <c r="F893" s="1096"/>
      <c r="G893" s="1095"/>
      <c r="H893" s="1095"/>
    </row>
    <row r="894">
      <c r="A894" s="1095"/>
      <c r="B894" s="1094"/>
      <c r="C894" s="1095"/>
      <c r="D894" s="1095"/>
      <c r="E894" s="1095"/>
      <c r="F894" s="1096"/>
      <c r="G894" s="1095"/>
      <c r="H894" s="1095"/>
    </row>
    <row r="895">
      <c r="A895" s="1095"/>
      <c r="B895" s="1094"/>
      <c r="C895" s="1095"/>
      <c r="D895" s="1095"/>
      <c r="E895" s="1095"/>
      <c r="F895" s="1096"/>
      <c r="G895" s="1095"/>
      <c r="H895" s="1095"/>
    </row>
    <row r="896">
      <c r="A896" s="1095"/>
      <c r="B896" s="1094"/>
      <c r="C896" s="1095"/>
      <c r="D896" s="1095"/>
      <c r="E896" s="1095"/>
      <c r="F896" s="1096"/>
      <c r="G896" s="1095"/>
      <c r="H896" s="1095"/>
    </row>
    <row r="897">
      <c r="A897" s="1095"/>
      <c r="B897" s="1094"/>
      <c r="C897" s="1095"/>
      <c r="D897" s="1095"/>
      <c r="E897" s="1095"/>
      <c r="F897" s="1096"/>
      <c r="G897" s="1095"/>
      <c r="H897" s="1095"/>
    </row>
    <row r="898">
      <c r="A898" s="1095"/>
      <c r="B898" s="1094"/>
      <c r="C898" s="1095"/>
      <c r="D898" s="1095"/>
      <c r="E898" s="1095"/>
      <c r="F898" s="1096"/>
      <c r="G898" s="1095"/>
      <c r="H898" s="1095"/>
    </row>
    <row r="899">
      <c r="A899" s="1095"/>
      <c r="B899" s="1094"/>
      <c r="C899" s="1095"/>
      <c r="D899" s="1095"/>
      <c r="E899" s="1095"/>
      <c r="F899" s="1096"/>
      <c r="G899" s="1095"/>
      <c r="H899" s="1095"/>
    </row>
    <row r="900">
      <c r="A900" s="1095"/>
      <c r="B900" s="1094"/>
      <c r="C900" s="1095"/>
      <c r="D900" s="1095"/>
      <c r="E900" s="1095"/>
      <c r="F900" s="1096"/>
      <c r="G900" s="1095"/>
      <c r="H900" s="1095"/>
    </row>
    <row r="901">
      <c r="A901" s="1095"/>
      <c r="B901" s="1094"/>
      <c r="C901" s="1095"/>
      <c r="D901" s="1095"/>
      <c r="E901" s="1095"/>
      <c r="F901" s="1096"/>
      <c r="G901" s="1095"/>
      <c r="H901" s="1095"/>
    </row>
    <row r="902">
      <c r="A902" s="1095"/>
      <c r="B902" s="1094"/>
      <c r="C902" s="1095"/>
      <c r="D902" s="1095"/>
      <c r="E902" s="1095"/>
      <c r="F902" s="1096"/>
      <c r="G902" s="1095"/>
      <c r="H902" s="1095"/>
    </row>
    <row r="903">
      <c r="A903" s="1095"/>
      <c r="B903" s="1094"/>
      <c r="C903" s="1095"/>
      <c r="D903" s="1095"/>
      <c r="E903" s="1095"/>
      <c r="F903" s="1096"/>
      <c r="G903" s="1095"/>
      <c r="H903" s="1095"/>
    </row>
    <row r="904">
      <c r="A904" s="1095"/>
      <c r="B904" s="1094"/>
      <c r="C904" s="1095"/>
      <c r="D904" s="1095"/>
      <c r="E904" s="1095"/>
      <c r="F904" s="1096"/>
      <c r="G904" s="1095"/>
      <c r="H904" s="1095"/>
    </row>
    <row r="905">
      <c r="A905" s="1095"/>
      <c r="B905" s="1094"/>
      <c r="C905" s="1095"/>
      <c r="D905" s="1095"/>
      <c r="E905" s="1095"/>
      <c r="F905" s="1096"/>
      <c r="G905" s="1095"/>
      <c r="H905" s="1095"/>
    </row>
    <row r="906">
      <c r="A906" s="1095"/>
      <c r="B906" s="1094"/>
      <c r="C906" s="1095"/>
      <c r="D906" s="1095"/>
      <c r="E906" s="1095"/>
      <c r="F906" s="1096"/>
      <c r="G906" s="1095"/>
      <c r="H906" s="1095"/>
    </row>
    <row r="907">
      <c r="A907" s="1095"/>
      <c r="B907" s="1094"/>
      <c r="C907" s="1095"/>
      <c r="D907" s="1095"/>
      <c r="E907" s="1095"/>
      <c r="F907" s="1096"/>
      <c r="G907" s="1095"/>
      <c r="H907" s="1095"/>
    </row>
    <row r="908">
      <c r="A908" s="1095"/>
      <c r="B908" s="1094"/>
      <c r="C908" s="1095"/>
      <c r="D908" s="1095"/>
      <c r="E908" s="1095"/>
      <c r="F908" s="1096"/>
      <c r="G908" s="1095"/>
      <c r="H908" s="1095"/>
    </row>
    <row r="909">
      <c r="A909" s="1095"/>
      <c r="B909" s="1094"/>
      <c r="C909" s="1095"/>
      <c r="D909" s="1095"/>
      <c r="E909" s="1095"/>
      <c r="F909" s="1096"/>
      <c r="G909" s="1095"/>
      <c r="H909" s="1095"/>
    </row>
    <row r="910">
      <c r="A910" s="1095"/>
      <c r="B910" s="1094"/>
      <c r="C910" s="1095"/>
      <c r="D910" s="1095"/>
      <c r="E910" s="1095"/>
      <c r="F910" s="1096"/>
      <c r="G910" s="1095"/>
      <c r="H910" s="1095"/>
    </row>
    <row r="911">
      <c r="A911" s="1095"/>
      <c r="B911" s="1094"/>
      <c r="C911" s="1095"/>
      <c r="D911" s="1095"/>
      <c r="E911" s="1095"/>
      <c r="F911" s="1096"/>
      <c r="G911" s="1095"/>
      <c r="H911" s="1095"/>
    </row>
    <row r="912">
      <c r="A912" s="1095"/>
      <c r="B912" s="1094"/>
      <c r="C912" s="1095"/>
      <c r="D912" s="1095"/>
      <c r="E912" s="1095"/>
      <c r="F912" s="1096"/>
      <c r="G912" s="1095"/>
      <c r="H912" s="1095"/>
    </row>
    <row r="913">
      <c r="A913" s="1095"/>
      <c r="B913" s="1094"/>
      <c r="C913" s="1095"/>
      <c r="D913" s="1095"/>
      <c r="E913" s="1095"/>
      <c r="F913" s="1096"/>
      <c r="G913" s="1095"/>
      <c r="H913" s="1095"/>
    </row>
    <row r="914">
      <c r="A914" s="1095"/>
      <c r="B914" s="1094"/>
      <c r="C914" s="1095"/>
      <c r="D914" s="1095"/>
      <c r="E914" s="1095"/>
      <c r="F914" s="1096"/>
      <c r="G914" s="1095"/>
      <c r="H914" s="1095"/>
    </row>
    <row r="915">
      <c r="A915" s="1095"/>
      <c r="B915" s="1094"/>
      <c r="C915" s="1095"/>
      <c r="D915" s="1095"/>
      <c r="E915" s="1095"/>
      <c r="F915" s="1096"/>
      <c r="G915" s="1095"/>
      <c r="H915" s="1095"/>
    </row>
    <row r="916">
      <c r="A916" s="1095"/>
      <c r="B916" s="1094"/>
      <c r="C916" s="1095"/>
      <c r="D916" s="1095"/>
      <c r="E916" s="1095"/>
      <c r="F916" s="1096"/>
      <c r="G916" s="1095"/>
      <c r="H916" s="1095"/>
    </row>
    <row r="917">
      <c r="A917" s="1095"/>
      <c r="B917" s="1094"/>
      <c r="C917" s="1095"/>
      <c r="D917" s="1095"/>
      <c r="E917" s="1095"/>
      <c r="F917" s="1096"/>
      <c r="G917" s="1095"/>
      <c r="H917" s="1095"/>
    </row>
    <row r="918">
      <c r="A918" s="1095"/>
      <c r="B918" s="1094"/>
      <c r="C918" s="1095"/>
      <c r="D918" s="1095"/>
      <c r="E918" s="1095"/>
      <c r="F918" s="1096"/>
      <c r="G918" s="1095"/>
      <c r="H918" s="1095"/>
    </row>
    <row r="919">
      <c r="A919" s="1095"/>
      <c r="B919" s="1094"/>
      <c r="C919" s="1095"/>
      <c r="D919" s="1095"/>
      <c r="E919" s="1095"/>
      <c r="F919" s="1096"/>
      <c r="G919" s="1095"/>
      <c r="H919" s="1095"/>
    </row>
    <row r="920">
      <c r="A920" s="1095"/>
      <c r="B920" s="1094"/>
      <c r="C920" s="1095"/>
      <c r="D920" s="1095"/>
      <c r="E920" s="1095"/>
      <c r="F920" s="1096"/>
      <c r="G920" s="1095"/>
      <c r="H920" s="1095"/>
    </row>
    <row r="921">
      <c r="A921" s="1095"/>
      <c r="B921" s="1094"/>
      <c r="C921" s="1095"/>
      <c r="D921" s="1095"/>
      <c r="E921" s="1095"/>
      <c r="F921" s="1096"/>
      <c r="G921" s="1095"/>
      <c r="H921" s="1095"/>
    </row>
    <row r="922">
      <c r="A922" s="1095"/>
      <c r="B922" s="1094"/>
      <c r="C922" s="1095"/>
      <c r="D922" s="1095"/>
      <c r="E922" s="1095"/>
      <c r="F922" s="1096"/>
      <c r="G922" s="1095"/>
      <c r="H922" s="1095"/>
    </row>
    <row r="923">
      <c r="A923" s="1095"/>
      <c r="B923" s="1094"/>
      <c r="C923" s="1095"/>
      <c r="D923" s="1095"/>
      <c r="E923" s="1095"/>
      <c r="F923" s="1096"/>
      <c r="G923" s="1095"/>
      <c r="H923" s="1095"/>
    </row>
    <row r="924">
      <c r="A924" s="1095"/>
      <c r="B924" s="1094"/>
      <c r="C924" s="1095"/>
      <c r="D924" s="1095"/>
      <c r="E924" s="1095"/>
      <c r="F924" s="1096"/>
      <c r="G924" s="1095"/>
      <c r="H924" s="1095"/>
    </row>
    <row r="925">
      <c r="A925" s="1095"/>
      <c r="B925" s="1094"/>
      <c r="C925" s="1095"/>
      <c r="D925" s="1095"/>
      <c r="E925" s="1095"/>
      <c r="F925" s="1096"/>
      <c r="G925" s="1095"/>
      <c r="H925" s="1095"/>
    </row>
    <row r="926">
      <c r="A926" s="1095"/>
      <c r="B926" s="1094"/>
      <c r="C926" s="1095"/>
      <c r="D926" s="1095"/>
      <c r="E926" s="1095"/>
      <c r="F926" s="1096"/>
      <c r="G926" s="1095"/>
      <c r="H926" s="1095"/>
    </row>
    <row r="927">
      <c r="A927" s="1095"/>
      <c r="B927" s="1094"/>
      <c r="C927" s="1095"/>
      <c r="D927" s="1095"/>
      <c r="E927" s="1095"/>
      <c r="F927" s="1096"/>
      <c r="G927" s="1095"/>
      <c r="H927" s="1095"/>
    </row>
    <row r="928">
      <c r="A928" s="1095"/>
      <c r="B928" s="1094"/>
      <c r="C928" s="1095"/>
      <c r="D928" s="1095"/>
      <c r="E928" s="1095"/>
      <c r="F928" s="1096"/>
      <c r="G928" s="1095"/>
      <c r="H928" s="1095"/>
    </row>
    <row r="929">
      <c r="A929" s="1095"/>
      <c r="B929" s="1094"/>
      <c r="C929" s="1095"/>
      <c r="D929" s="1095"/>
      <c r="E929" s="1095"/>
      <c r="F929" s="1096"/>
      <c r="G929" s="1095"/>
      <c r="H929" s="1095"/>
    </row>
    <row r="930">
      <c r="A930" s="1095"/>
      <c r="B930" s="1094"/>
      <c r="C930" s="1095"/>
      <c r="D930" s="1095"/>
      <c r="E930" s="1095"/>
      <c r="F930" s="1096"/>
      <c r="G930" s="1095"/>
      <c r="H930" s="1095"/>
    </row>
    <row r="931">
      <c r="A931" s="1095"/>
      <c r="B931" s="1094"/>
      <c r="C931" s="1095"/>
      <c r="D931" s="1095"/>
      <c r="E931" s="1095"/>
      <c r="F931" s="1096"/>
      <c r="G931" s="1095"/>
      <c r="H931" s="1095"/>
    </row>
    <row r="932">
      <c r="A932" s="1095"/>
      <c r="B932" s="1094"/>
      <c r="C932" s="1095"/>
      <c r="D932" s="1095"/>
      <c r="E932" s="1095"/>
      <c r="F932" s="1096"/>
      <c r="G932" s="1095"/>
      <c r="H932" s="1095"/>
    </row>
    <row r="933">
      <c r="A933" s="1095"/>
      <c r="B933" s="1094"/>
      <c r="C933" s="1095"/>
      <c r="D933" s="1095"/>
      <c r="E933" s="1095"/>
      <c r="F933" s="1096"/>
      <c r="G933" s="1095"/>
      <c r="H933" s="1095"/>
    </row>
    <row r="934">
      <c r="A934" s="1095"/>
      <c r="B934" s="1094"/>
      <c r="C934" s="1095"/>
      <c r="D934" s="1095"/>
      <c r="E934" s="1095"/>
      <c r="F934" s="1096"/>
      <c r="G934" s="1095"/>
      <c r="H934" s="1095"/>
    </row>
    <row r="935">
      <c r="A935" s="1095"/>
      <c r="B935" s="1094"/>
      <c r="C935" s="1095"/>
      <c r="D935" s="1095"/>
      <c r="E935" s="1095"/>
      <c r="F935" s="1096"/>
      <c r="G935" s="1095"/>
      <c r="H935" s="1095"/>
    </row>
    <row r="936">
      <c r="A936" s="1095"/>
      <c r="B936" s="1094"/>
      <c r="C936" s="1095"/>
      <c r="D936" s="1095"/>
      <c r="E936" s="1095"/>
      <c r="F936" s="1096"/>
      <c r="G936" s="1095"/>
      <c r="H936" s="1095"/>
    </row>
    <row r="937">
      <c r="A937" s="1095"/>
      <c r="B937" s="1094"/>
      <c r="C937" s="1095"/>
      <c r="D937" s="1095"/>
      <c r="E937" s="1095"/>
      <c r="F937" s="1096"/>
      <c r="G937" s="1095"/>
      <c r="H937" s="1095"/>
    </row>
    <row r="938">
      <c r="A938" s="1095"/>
      <c r="B938" s="1094"/>
      <c r="C938" s="1095"/>
      <c r="D938" s="1095"/>
      <c r="E938" s="1095"/>
      <c r="F938" s="1096"/>
      <c r="G938" s="1095"/>
      <c r="H938" s="1095"/>
    </row>
    <row r="939">
      <c r="A939" s="1095"/>
      <c r="B939" s="1094"/>
      <c r="C939" s="1095"/>
      <c r="D939" s="1095"/>
      <c r="E939" s="1095"/>
      <c r="F939" s="1096"/>
      <c r="G939" s="1095"/>
      <c r="H939" s="1095"/>
    </row>
    <row r="940">
      <c r="A940" s="1095"/>
      <c r="B940" s="1094"/>
      <c r="C940" s="1095"/>
      <c r="D940" s="1095"/>
      <c r="E940" s="1095"/>
      <c r="F940" s="1096"/>
      <c r="G940" s="1095"/>
      <c r="H940" s="1095"/>
    </row>
    <row r="941">
      <c r="A941" s="1095"/>
      <c r="B941" s="1094"/>
      <c r="C941" s="1095"/>
      <c r="D941" s="1095"/>
      <c r="E941" s="1095"/>
      <c r="F941" s="1096"/>
      <c r="G941" s="1095"/>
      <c r="H941" s="1095"/>
    </row>
    <row r="942">
      <c r="A942" s="1095"/>
      <c r="B942" s="1094"/>
      <c r="C942" s="1095"/>
      <c r="D942" s="1095"/>
      <c r="E942" s="1095"/>
      <c r="F942" s="1096"/>
      <c r="G942" s="1095"/>
      <c r="H942" s="1095"/>
    </row>
    <row r="943">
      <c r="A943" s="1095"/>
      <c r="B943" s="1094"/>
      <c r="C943" s="1095"/>
      <c r="D943" s="1095"/>
      <c r="E943" s="1095"/>
      <c r="F943" s="1096"/>
      <c r="G943" s="1095"/>
      <c r="H943" s="1095"/>
    </row>
    <row r="944">
      <c r="A944" s="1095"/>
      <c r="B944" s="1094"/>
      <c r="C944" s="1095"/>
      <c r="D944" s="1095"/>
      <c r="E944" s="1095"/>
      <c r="F944" s="1096"/>
      <c r="G944" s="1095"/>
      <c r="H944" s="1095"/>
    </row>
    <row r="945">
      <c r="A945" s="1095"/>
      <c r="B945" s="1094"/>
      <c r="C945" s="1095"/>
      <c r="D945" s="1095"/>
      <c r="E945" s="1095"/>
      <c r="F945" s="1096"/>
      <c r="G945" s="1095"/>
      <c r="H945" s="1095"/>
    </row>
    <row r="946">
      <c r="A946" s="1095"/>
      <c r="B946" s="1094"/>
      <c r="C946" s="1095"/>
      <c r="D946" s="1095"/>
      <c r="E946" s="1095"/>
      <c r="F946" s="1096"/>
      <c r="G946" s="1095"/>
      <c r="H946" s="1095"/>
    </row>
    <row r="947">
      <c r="A947" s="1095"/>
      <c r="B947" s="1094"/>
      <c r="C947" s="1095"/>
      <c r="D947" s="1095"/>
      <c r="E947" s="1095"/>
      <c r="F947" s="1096"/>
      <c r="G947" s="1095"/>
      <c r="H947" s="1095"/>
    </row>
    <row r="948">
      <c r="A948" s="1095"/>
      <c r="B948" s="1094"/>
      <c r="C948" s="1095"/>
      <c r="D948" s="1095"/>
      <c r="E948" s="1095"/>
      <c r="F948" s="1096"/>
      <c r="G948" s="1095"/>
      <c r="H948" s="1095"/>
    </row>
    <row r="949">
      <c r="A949" s="1095"/>
      <c r="B949" s="1094"/>
      <c r="C949" s="1095"/>
      <c r="D949" s="1095"/>
      <c r="E949" s="1095"/>
      <c r="F949" s="1096"/>
      <c r="G949" s="1095"/>
      <c r="H949" s="1095"/>
    </row>
    <row r="950">
      <c r="A950" s="1095"/>
      <c r="B950" s="1094"/>
      <c r="C950" s="1095"/>
      <c r="D950" s="1095"/>
      <c r="E950" s="1095"/>
      <c r="F950" s="1096"/>
      <c r="G950" s="1095"/>
      <c r="H950" s="1095"/>
    </row>
    <row r="951">
      <c r="A951" s="1095"/>
      <c r="B951" s="1094"/>
      <c r="C951" s="1095"/>
      <c r="D951" s="1095"/>
      <c r="E951" s="1095"/>
      <c r="F951" s="1096"/>
      <c r="G951" s="1095"/>
      <c r="H951" s="1095"/>
    </row>
    <row r="952">
      <c r="A952" s="1095"/>
      <c r="B952" s="1094"/>
      <c r="C952" s="1095"/>
      <c r="D952" s="1095"/>
      <c r="E952" s="1095"/>
      <c r="F952" s="1096"/>
      <c r="G952" s="1095"/>
      <c r="H952" s="1095"/>
    </row>
    <row r="953">
      <c r="A953" s="1095"/>
      <c r="B953" s="1094"/>
      <c r="C953" s="1095"/>
      <c r="D953" s="1095"/>
      <c r="E953" s="1095"/>
      <c r="F953" s="1096"/>
      <c r="G953" s="1095"/>
      <c r="H953" s="1095"/>
    </row>
    <row r="954">
      <c r="A954" s="1095"/>
      <c r="B954" s="1094"/>
      <c r="C954" s="1095"/>
      <c r="D954" s="1095"/>
      <c r="E954" s="1095"/>
      <c r="F954" s="1096"/>
      <c r="G954" s="1095"/>
      <c r="H954" s="1095"/>
    </row>
    <row r="955">
      <c r="A955" s="1095"/>
      <c r="B955" s="1094"/>
      <c r="C955" s="1095"/>
      <c r="D955" s="1095"/>
      <c r="E955" s="1095"/>
      <c r="F955" s="1096"/>
      <c r="G955" s="1095"/>
      <c r="H955" s="1095"/>
    </row>
    <row r="956">
      <c r="A956" s="1095"/>
      <c r="B956" s="1094"/>
      <c r="C956" s="1095"/>
      <c r="D956" s="1095"/>
      <c r="E956" s="1095"/>
      <c r="F956" s="1096"/>
      <c r="G956" s="1095"/>
      <c r="H956" s="1095"/>
    </row>
    <row r="957">
      <c r="A957" s="1095"/>
      <c r="B957" s="1094"/>
      <c r="C957" s="1095"/>
      <c r="D957" s="1095"/>
      <c r="E957" s="1095"/>
      <c r="F957" s="1096"/>
      <c r="G957" s="1095"/>
      <c r="H957" s="1095"/>
    </row>
    <row r="958">
      <c r="A958" s="1095"/>
      <c r="B958" s="1094"/>
      <c r="C958" s="1095"/>
      <c r="D958" s="1095"/>
      <c r="E958" s="1095"/>
      <c r="F958" s="1096"/>
      <c r="G958" s="1095"/>
      <c r="H958" s="1095"/>
    </row>
    <row r="959">
      <c r="A959" s="1095"/>
      <c r="B959" s="1094"/>
      <c r="C959" s="1095"/>
      <c r="D959" s="1095"/>
      <c r="E959" s="1095"/>
      <c r="F959" s="1096"/>
      <c r="G959" s="1095"/>
      <c r="H959" s="1095"/>
    </row>
    <row r="960">
      <c r="A960" s="1095"/>
      <c r="B960" s="1094"/>
      <c r="C960" s="1095"/>
      <c r="D960" s="1095"/>
      <c r="E960" s="1095"/>
      <c r="F960" s="1096"/>
      <c r="G960" s="1095"/>
      <c r="H960" s="1095"/>
    </row>
    <row r="961">
      <c r="A961" s="1095"/>
      <c r="B961" s="1094"/>
      <c r="C961" s="1095"/>
      <c r="D961" s="1095"/>
      <c r="E961" s="1095"/>
      <c r="F961" s="1096"/>
      <c r="G961" s="1095"/>
      <c r="H961" s="1095"/>
    </row>
    <row r="962">
      <c r="A962" s="1095"/>
      <c r="B962" s="1094"/>
      <c r="C962" s="1095"/>
      <c r="D962" s="1095"/>
      <c r="E962" s="1095"/>
      <c r="F962" s="1096"/>
      <c r="G962" s="1095"/>
      <c r="H962" s="1095"/>
    </row>
    <row r="963">
      <c r="A963" s="1095"/>
      <c r="B963" s="1094"/>
      <c r="C963" s="1095"/>
      <c r="D963" s="1095"/>
      <c r="E963" s="1095"/>
      <c r="F963" s="1096"/>
      <c r="G963" s="1095"/>
      <c r="H963" s="1095"/>
    </row>
    <row r="964">
      <c r="A964" s="1095"/>
      <c r="B964" s="1094"/>
      <c r="C964" s="1095"/>
      <c r="D964" s="1095"/>
      <c r="E964" s="1095"/>
      <c r="F964" s="1096"/>
      <c r="G964" s="1095"/>
      <c r="H964" s="1095"/>
    </row>
    <row r="965">
      <c r="A965" s="1095"/>
      <c r="B965" s="1094"/>
      <c r="C965" s="1095"/>
      <c r="D965" s="1095"/>
      <c r="E965" s="1095"/>
      <c r="F965" s="1096"/>
      <c r="G965" s="1095"/>
      <c r="H965" s="1095"/>
    </row>
    <row r="966">
      <c r="A966" s="1095"/>
      <c r="B966" s="1094"/>
      <c r="C966" s="1095"/>
      <c r="D966" s="1095"/>
      <c r="E966" s="1095"/>
      <c r="F966" s="1096"/>
      <c r="G966" s="1095"/>
      <c r="H966" s="1095"/>
    </row>
    <row r="967">
      <c r="A967" s="1095"/>
      <c r="B967" s="1094"/>
      <c r="C967" s="1095"/>
      <c r="D967" s="1095"/>
      <c r="E967" s="1095"/>
      <c r="F967" s="1096"/>
      <c r="G967" s="1095"/>
      <c r="H967" s="1095"/>
    </row>
    <row r="968">
      <c r="A968" s="1095"/>
      <c r="B968" s="1094"/>
      <c r="C968" s="1095"/>
      <c r="D968" s="1095"/>
      <c r="E968" s="1095"/>
      <c r="F968" s="1096"/>
      <c r="G968" s="1095"/>
      <c r="H968" s="1095"/>
    </row>
    <row r="969">
      <c r="A969" s="1095"/>
      <c r="B969" s="1094"/>
      <c r="C969" s="1095"/>
      <c r="D969" s="1095"/>
      <c r="E969" s="1095"/>
      <c r="F969" s="1096"/>
      <c r="G969" s="1095"/>
      <c r="H969" s="1095"/>
    </row>
    <row r="970">
      <c r="A970" s="1095"/>
      <c r="B970" s="1094"/>
      <c r="C970" s="1095"/>
      <c r="D970" s="1095"/>
      <c r="E970" s="1095"/>
      <c r="F970" s="1096"/>
      <c r="G970" s="1095"/>
      <c r="H970" s="1095"/>
    </row>
    <row r="971">
      <c r="A971" s="1095"/>
      <c r="B971" s="1094"/>
      <c r="C971" s="1095"/>
      <c r="D971" s="1095"/>
      <c r="E971" s="1095"/>
      <c r="F971" s="1096"/>
      <c r="G971" s="1095"/>
      <c r="H971" s="1095"/>
    </row>
    <row r="972">
      <c r="A972" s="1095"/>
      <c r="B972" s="1094"/>
      <c r="C972" s="1095"/>
      <c r="D972" s="1095"/>
      <c r="E972" s="1095"/>
      <c r="F972" s="1096"/>
      <c r="G972" s="1095"/>
      <c r="H972" s="1095"/>
    </row>
    <row r="973">
      <c r="A973" s="1095"/>
      <c r="B973" s="1094"/>
      <c r="C973" s="1095"/>
      <c r="D973" s="1095"/>
      <c r="E973" s="1095"/>
      <c r="F973" s="1096"/>
      <c r="G973" s="1095"/>
      <c r="H973" s="1095"/>
    </row>
    <row r="974">
      <c r="A974" s="1095"/>
      <c r="B974" s="1094"/>
      <c r="C974" s="1095"/>
      <c r="D974" s="1095"/>
      <c r="E974" s="1095"/>
      <c r="F974" s="1096"/>
      <c r="G974" s="1095"/>
      <c r="H974" s="1095"/>
    </row>
    <row r="975">
      <c r="A975" s="1095"/>
      <c r="B975" s="1094"/>
      <c r="C975" s="1095"/>
      <c r="D975" s="1095"/>
      <c r="E975" s="1095"/>
      <c r="F975" s="1096"/>
      <c r="G975" s="1095"/>
      <c r="H975" s="1095"/>
    </row>
    <row r="976">
      <c r="A976" s="1095"/>
      <c r="B976" s="1094"/>
      <c r="C976" s="1095"/>
      <c r="D976" s="1095"/>
      <c r="E976" s="1095"/>
      <c r="F976" s="1096"/>
      <c r="G976" s="1095"/>
      <c r="H976" s="1095"/>
    </row>
    <row r="977">
      <c r="A977" s="1095"/>
      <c r="B977" s="1094"/>
      <c r="C977" s="1095"/>
      <c r="D977" s="1095"/>
      <c r="E977" s="1095"/>
      <c r="F977" s="1096"/>
      <c r="G977" s="1095"/>
      <c r="H977" s="1095"/>
    </row>
    <row r="978">
      <c r="A978" s="1095"/>
      <c r="B978" s="1094"/>
      <c r="C978" s="1095"/>
      <c r="D978" s="1095"/>
      <c r="E978" s="1095"/>
      <c r="F978" s="1096"/>
      <c r="G978" s="1095"/>
      <c r="H978" s="1095"/>
    </row>
    <row r="979">
      <c r="A979" s="1095"/>
      <c r="B979" s="1094"/>
      <c r="C979" s="1095"/>
      <c r="D979" s="1095"/>
      <c r="E979" s="1095"/>
      <c r="F979" s="1096"/>
      <c r="G979" s="1095"/>
      <c r="H979" s="1095"/>
    </row>
    <row r="980">
      <c r="A980" s="1095"/>
      <c r="B980" s="1094"/>
      <c r="C980" s="1095"/>
      <c r="D980" s="1095"/>
      <c r="E980" s="1095"/>
      <c r="F980" s="1096"/>
      <c r="G980" s="1095"/>
      <c r="H980" s="1095"/>
    </row>
    <row r="981">
      <c r="A981" s="1095"/>
      <c r="B981" s="1094"/>
      <c r="C981" s="1095"/>
      <c r="D981" s="1095"/>
      <c r="E981" s="1095"/>
      <c r="F981" s="1096"/>
      <c r="G981" s="1095"/>
      <c r="H981" s="1095"/>
    </row>
    <row r="982">
      <c r="A982" s="1095"/>
      <c r="B982" s="1094"/>
      <c r="C982" s="1095"/>
      <c r="D982" s="1095"/>
      <c r="E982" s="1095"/>
      <c r="F982" s="1096"/>
      <c r="G982" s="1095"/>
      <c r="H982" s="1095"/>
    </row>
    <row r="983">
      <c r="A983" s="1095"/>
      <c r="B983" s="1094"/>
      <c r="C983" s="1095"/>
      <c r="D983" s="1095"/>
      <c r="E983" s="1095"/>
      <c r="F983" s="1096"/>
      <c r="G983" s="1095"/>
      <c r="H983" s="1095"/>
    </row>
    <row r="984">
      <c r="A984" s="1095"/>
      <c r="B984" s="1094"/>
      <c r="C984" s="1095"/>
      <c r="D984" s="1095"/>
      <c r="E984" s="1095"/>
      <c r="F984" s="1096"/>
      <c r="G984" s="1095"/>
      <c r="H984" s="1095"/>
    </row>
    <row r="985">
      <c r="A985" s="1095"/>
      <c r="B985" s="1094"/>
      <c r="C985" s="1095"/>
      <c r="D985" s="1095"/>
      <c r="E985" s="1095"/>
      <c r="F985" s="1096"/>
      <c r="G985" s="1095"/>
      <c r="H985" s="1095"/>
    </row>
    <row r="986">
      <c r="A986" s="1095"/>
      <c r="B986" s="1094"/>
      <c r="C986" s="1095"/>
      <c r="D986" s="1095"/>
      <c r="E986" s="1095"/>
      <c r="F986" s="1096"/>
      <c r="G986" s="1095"/>
      <c r="H986" s="1095"/>
    </row>
    <row r="987">
      <c r="A987" s="1095"/>
      <c r="B987" s="1094"/>
      <c r="C987" s="1095"/>
      <c r="D987" s="1095"/>
      <c r="E987" s="1095"/>
      <c r="F987" s="1096"/>
      <c r="G987" s="1095"/>
      <c r="H987" s="1095"/>
    </row>
    <row r="988">
      <c r="A988" s="1095"/>
      <c r="B988" s="1094"/>
      <c r="C988" s="1095"/>
      <c r="D988" s="1095"/>
      <c r="E988" s="1095"/>
      <c r="F988" s="1096"/>
      <c r="G988" s="1095"/>
      <c r="H988" s="1095"/>
    </row>
    <row r="989">
      <c r="A989" s="1095"/>
      <c r="B989" s="1094"/>
      <c r="C989" s="1095"/>
      <c r="D989" s="1095"/>
      <c r="E989" s="1095"/>
      <c r="F989" s="1096"/>
      <c r="G989" s="1095"/>
      <c r="H989" s="1095"/>
    </row>
    <row r="990">
      <c r="A990" s="1095"/>
      <c r="B990" s="1094"/>
      <c r="C990" s="1095"/>
      <c r="D990" s="1095"/>
      <c r="E990" s="1095"/>
      <c r="F990" s="1096"/>
      <c r="G990" s="1095"/>
      <c r="H990" s="1095"/>
    </row>
    <row r="991">
      <c r="A991" s="1095"/>
      <c r="B991" s="1094"/>
      <c r="C991" s="1095"/>
      <c r="D991" s="1095"/>
      <c r="E991" s="1095"/>
      <c r="F991" s="1096"/>
      <c r="G991" s="1095"/>
      <c r="H991" s="1095"/>
    </row>
    <row r="992">
      <c r="A992" s="1095"/>
      <c r="B992" s="1094"/>
      <c r="C992" s="1095"/>
      <c r="D992" s="1095"/>
      <c r="E992" s="1095"/>
      <c r="F992" s="1096"/>
      <c r="G992" s="1095"/>
      <c r="H992" s="1095"/>
    </row>
    <row r="993">
      <c r="A993" s="1095"/>
      <c r="B993" s="1094"/>
      <c r="C993" s="1095"/>
      <c r="D993" s="1095"/>
      <c r="E993" s="1095"/>
      <c r="F993" s="1096"/>
      <c r="G993" s="1095"/>
      <c r="H993" s="1095"/>
    </row>
    <row r="994">
      <c r="A994" s="1095"/>
      <c r="B994" s="1094"/>
      <c r="C994" s="1095"/>
      <c r="D994" s="1095"/>
      <c r="E994" s="1095"/>
      <c r="F994" s="1096"/>
      <c r="G994" s="1095"/>
      <c r="H994" s="1095"/>
    </row>
    <row r="995">
      <c r="A995" s="1095"/>
      <c r="B995" s="1094"/>
      <c r="C995" s="1095"/>
      <c r="D995" s="1095"/>
      <c r="E995" s="1095"/>
      <c r="F995" s="1096"/>
      <c r="G995" s="1095"/>
      <c r="H995" s="1095"/>
    </row>
    <row r="996">
      <c r="A996" s="1095"/>
      <c r="B996" s="1094"/>
      <c r="C996" s="1095"/>
      <c r="D996" s="1095"/>
      <c r="E996" s="1095"/>
      <c r="F996" s="1096"/>
      <c r="G996" s="1095"/>
      <c r="H996" s="1095"/>
    </row>
    <row r="997">
      <c r="A997" s="1095"/>
      <c r="B997" s="1094"/>
      <c r="C997" s="1095"/>
      <c r="D997" s="1095"/>
      <c r="E997" s="1095"/>
      <c r="F997" s="1096"/>
      <c r="G997" s="1095"/>
      <c r="H997" s="1095"/>
    </row>
    <row r="998">
      <c r="A998" s="1095"/>
      <c r="B998" s="1094"/>
      <c r="C998" s="1095"/>
      <c r="D998" s="1095"/>
      <c r="E998" s="1095"/>
      <c r="F998" s="1096"/>
      <c r="G998" s="1095"/>
      <c r="H998" s="1095"/>
    </row>
    <row r="999">
      <c r="A999" s="1095"/>
      <c r="B999" s="1094"/>
      <c r="C999" s="1095"/>
      <c r="D999" s="1095"/>
      <c r="E999" s="1095"/>
      <c r="F999" s="1096"/>
      <c r="G999" s="1095"/>
      <c r="H999" s="1095"/>
    </row>
    <row r="1000">
      <c r="A1000" s="1095"/>
      <c r="B1000" s="1094"/>
      <c r="C1000" s="1095"/>
      <c r="D1000" s="1095"/>
      <c r="E1000" s="1095"/>
      <c r="F1000" s="1096"/>
      <c r="G1000" s="1095"/>
      <c r="H1000" s="1095"/>
    </row>
    <row r="1001">
      <c r="A1001" s="1095"/>
      <c r="B1001" s="1094"/>
      <c r="C1001" s="1095"/>
      <c r="D1001" s="1095"/>
      <c r="E1001" s="1095"/>
      <c r="F1001" s="1096"/>
      <c r="G1001" s="1095"/>
      <c r="H1001" s="1095"/>
    </row>
    <row r="1002">
      <c r="A1002" s="1095"/>
      <c r="B1002" s="1094"/>
      <c r="C1002" s="1095"/>
      <c r="D1002" s="1095"/>
      <c r="E1002" s="1095"/>
      <c r="F1002" s="1096"/>
      <c r="G1002" s="1095"/>
      <c r="H1002" s="1095"/>
    </row>
    <row r="1003">
      <c r="A1003" s="1095"/>
      <c r="B1003" s="1094"/>
      <c r="C1003" s="1095"/>
      <c r="D1003" s="1095"/>
      <c r="E1003" s="1095"/>
      <c r="F1003" s="1096"/>
      <c r="G1003" s="1095"/>
      <c r="H1003" s="1095"/>
    </row>
    <row r="1004">
      <c r="A1004" s="1095"/>
      <c r="B1004" s="1094"/>
      <c r="C1004" s="1095"/>
      <c r="D1004" s="1095"/>
      <c r="E1004" s="1095"/>
      <c r="F1004" s="1096"/>
      <c r="G1004" s="1095"/>
      <c r="H1004" s="1095"/>
    </row>
    <row r="1005">
      <c r="A1005" s="1095"/>
      <c r="B1005" s="1094"/>
      <c r="C1005" s="1095"/>
      <c r="D1005" s="1095"/>
      <c r="E1005" s="1095"/>
      <c r="F1005" s="1096"/>
      <c r="G1005" s="1095"/>
      <c r="H1005" s="1095"/>
    </row>
    <row r="1006">
      <c r="A1006" s="1095"/>
      <c r="B1006" s="1094"/>
      <c r="C1006" s="1095"/>
      <c r="D1006" s="1095"/>
      <c r="E1006" s="1095"/>
      <c r="F1006" s="1096"/>
      <c r="G1006" s="1095"/>
      <c r="H1006" s="1095"/>
    </row>
    <row r="1007">
      <c r="A1007" s="1095"/>
      <c r="B1007" s="1094"/>
      <c r="C1007" s="1095"/>
      <c r="D1007" s="1095"/>
      <c r="E1007" s="1095"/>
      <c r="F1007" s="1096"/>
      <c r="G1007" s="1095"/>
      <c r="H1007" s="1095"/>
    </row>
    <row r="1008">
      <c r="A1008" s="1095"/>
      <c r="B1008" s="1094"/>
      <c r="C1008" s="1095"/>
      <c r="D1008" s="1095"/>
      <c r="E1008" s="1095"/>
      <c r="F1008" s="1096"/>
      <c r="G1008" s="1095"/>
      <c r="H1008" s="1095"/>
    </row>
    <row r="1009">
      <c r="A1009" s="1095"/>
      <c r="B1009" s="1094"/>
      <c r="C1009" s="1095"/>
      <c r="D1009" s="1095"/>
      <c r="E1009" s="1095"/>
      <c r="F1009" s="1096"/>
      <c r="G1009" s="1095"/>
      <c r="H1009" s="1095"/>
    </row>
    <row r="1010">
      <c r="A1010" s="1095"/>
      <c r="B1010" s="1094"/>
      <c r="C1010" s="1095"/>
      <c r="D1010" s="1095"/>
      <c r="E1010" s="1095"/>
      <c r="F1010" s="1096"/>
      <c r="G1010" s="1095"/>
      <c r="H1010" s="1095"/>
    </row>
    <row r="1011">
      <c r="A1011" s="1095"/>
      <c r="B1011" s="1094"/>
      <c r="C1011" s="1095"/>
      <c r="D1011" s="1095"/>
      <c r="E1011" s="1095"/>
      <c r="F1011" s="1096"/>
      <c r="G1011" s="1095"/>
      <c r="H1011" s="1095"/>
    </row>
  </sheetData>
  <mergeCells count="12">
    <mergeCell ref="A69:B69"/>
    <mergeCell ref="A75:H75"/>
    <mergeCell ref="A87:B87"/>
    <mergeCell ref="A89:H89"/>
    <mergeCell ref="A112:B112"/>
    <mergeCell ref="A3:H3"/>
    <mergeCell ref="A15:B15"/>
    <mergeCell ref="A20:H20"/>
    <mergeCell ref="A32:B32"/>
    <mergeCell ref="A38:H38"/>
    <mergeCell ref="A50:B50"/>
    <mergeCell ref="A57:H5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57"/>
    <col customWidth="1" min="4" max="4" width="16.14"/>
  </cols>
  <sheetData>
    <row r="1">
      <c r="A1" s="1152">
        <v>8.0</v>
      </c>
      <c r="B1" s="2"/>
      <c r="C1" s="2"/>
      <c r="D1" s="3"/>
      <c r="E1" s="1153"/>
      <c r="F1" s="1154"/>
      <c r="G1" s="1154"/>
      <c r="H1" s="1154"/>
      <c r="I1" s="1154"/>
      <c r="J1" s="1154"/>
      <c r="K1" s="1154"/>
      <c r="L1" s="1154"/>
      <c r="M1" s="1154"/>
      <c r="N1" s="1154"/>
      <c r="O1" s="1154"/>
      <c r="P1" s="1154"/>
      <c r="Q1" s="1154"/>
      <c r="R1" s="1154"/>
      <c r="S1" s="1154"/>
      <c r="T1" s="1154"/>
      <c r="U1" s="1154"/>
      <c r="V1" s="1154"/>
      <c r="W1" s="1154"/>
      <c r="X1" s="1154"/>
      <c r="Y1" s="1154"/>
      <c r="Z1" s="1154"/>
    </row>
    <row r="2">
      <c r="A2" s="1155" t="s">
        <v>1435</v>
      </c>
      <c r="B2" s="1155" t="s">
        <v>5864</v>
      </c>
      <c r="C2" s="1155" t="s">
        <v>5865</v>
      </c>
      <c r="D2" s="1155" t="s">
        <v>5866</v>
      </c>
      <c r="E2" s="1153"/>
      <c r="F2" s="1154"/>
      <c r="G2" s="1154"/>
      <c r="H2" s="1154"/>
      <c r="I2" s="1154"/>
      <c r="J2" s="1154"/>
      <c r="K2" s="1154"/>
      <c r="L2" s="1154"/>
      <c r="M2" s="1154"/>
      <c r="N2" s="1154"/>
      <c r="O2" s="1154"/>
      <c r="P2" s="1154"/>
      <c r="Q2" s="1154"/>
      <c r="R2" s="1154"/>
      <c r="S2" s="1154"/>
      <c r="T2" s="1154"/>
      <c r="U2" s="1154"/>
      <c r="V2" s="1154"/>
      <c r="W2" s="1154"/>
      <c r="X2" s="1154"/>
      <c r="Y2" s="1154"/>
      <c r="Z2" s="1154"/>
    </row>
    <row r="3">
      <c r="A3" s="1155">
        <v>1.0</v>
      </c>
      <c r="B3" s="1155" t="s">
        <v>5867</v>
      </c>
      <c r="C3" s="1155">
        <v>2.0</v>
      </c>
      <c r="D3" s="1156"/>
      <c r="E3" s="1154"/>
      <c r="F3" s="1154"/>
      <c r="G3" s="1154"/>
      <c r="H3" s="1154"/>
      <c r="I3" s="1154"/>
      <c r="J3" s="1154"/>
      <c r="K3" s="1154"/>
      <c r="L3" s="1154"/>
      <c r="M3" s="1154"/>
      <c r="N3" s="1154"/>
      <c r="O3" s="1154"/>
      <c r="P3" s="1154"/>
      <c r="Q3" s="1154"/>
      <c r="R3" s="1154"/>
      <c r="S3" s="1154"/>
      <c r="T3" s="1154"/>
      <c r="U3" s="1154"/>
      <c r="V3" s="1154"/>
      <c r="W3" s="1154"/>
      <c r="X3" s="1154"/>
      <c r="Y3" s="1154"/>
      <c r="Z3" s="1154"/>
    </row>
    <row r="4">
      <c r="A4" s="1155">
        <v>2.0</v>
      </c>
      <c r="B4" s="1155" t="s">
        <v>5868</v>
      </c>
      <c r="C4" s="1155">
        <v>1.0</v>
      </c>
      <c r="D4" s="1156"/>
      <c r="E4" s="1154"/>
      <c r="F4" s="1154"/>
      <c r="G4" s="1154"/>
      <c r="H4" s="1154"/>
      <c r="I4" s="1154"/>
      <c r="J4" s="1154"/>
      <c r="K4" s="1154"/>
      <c r="L4" s="1154"/>
      <c r="M4" s="1154"/>
      <c r="N4" s="1154"/>
      <c r="O4" s="1154"/>
      <c r="P4" s="1154"/>
      <c r="Q4" s="1154"/>
      <c r="R4" s="1154"/>
      <c r="S4" s="1154"/>
      <c r="T4" s="1154"/>
      <c r="U4" s="1154"/>
      <c r="V4" s="1154"/>
      <c r="W4" s="1154"/>
      <c r="X4" s="1154"/>
      <c r="Y4" s="1154"/>
      <c r="Z4" s="1154"/>
    </row>
    <row r="5">
      <c r="A5" s="1155">
        <v>3.0</v>
      </c>
      <c r="B5" s="1155" t="s">
        <v>5869</v>
      </c>
      <c r="C5" s="1155">
        <v>1.0</v>
      </c>
      <c r="D5" s="1156"/>
      <c r="E5" s="1154"/>
      <c r="F5" s="1154"/>
      <c r="G5" s="1154"/>
      <c r="H5" s="1154"/>
      <c r="I5" s="1154"/>
      <c r="J5" s="1154"/>
      <c r="K5" s="1154"/>
      <c r="L5" s="1154"/>
      <c r="M5" s="1154"/>
      <c r="N5" s="1154"/>
      <c r="O5" s="1154"/>
      <c r="P5" s="1154"/>
      <c r="Q5" s="1154"/>
      <c r="R5" s="1154"/>
      <c r="S5" s="1154"/>
      <c r="T5" s="1154"/>
      <c r="U5" s="1154"/>
      <c r="V5" s="1154"/>
      <c r="W5" s="1154"/>
      <c r="X5" s="1154"/>
      <c r="Y5" s="1154"/>
      <c r="Z5" s="1154"/>
    </row>
    <row r="6">
      <c r="A6" s="1155">
        <v>4.0</v>
      </c>
      <c r="B6" s="1155" t="s">
        <v>5870</v>
      </c>
      <c r="C6" s="1155">
        <v>1.0</v>
      </c>
      <c r="D6" s="1156"/>
      <c r="E6" s="1154"/>
      <c r="F6" s="1154"/>
      <c r="G6" s="1154"/>
      <c r="H6" s="1154"/>
      <c r="I6" s="1154"/>
      <c r="J6" s="1154"/>
      <c r="K6" s="1154"/>
      <c r="L6" s="1154"/>
      <c r="M6" s="1154"/>
      <c r="N6" s="1154"/>
      <c r="O6" s="1154"/>
      <c r="P6" s="1154"/>
      <c r="Q6" s="1154"/>
      <c r="R6" s="1154"/>
      <c r="S6" s="1154"/>
      <c r="T6" s="1154"/>
      <c r="U6" s="1154"/>
      <c r="V6" s="1154"/>
      <c r="W6" s="1154"/>
      <c r="X6" s="1154"/>
      <c r="Y6" s="1154"/>
      <c r="Z6" s="1154"/>
    </row>
    <row r="7">
      <c r="A7" s="1155">
        <v>5.0</v>
      </c>
      <c r="B7" s="1155" t="s">
        <v>5871</v>
      </c>
      <c r="C7" s="1155">
        <v>1.0</v>
      </c>
      <c r="D7" s="1156"/>
      <c r="E7" s="1154"/>
      <c r="F7" s="1154"/>
      <c r="G7" s="1154"/>
      <c r="H7" s="1154"/>
      <c r="I7" s="1154"/>
      <c r="J7" s="1154"/>
      <c r="K7" s="1154"/>
      <c r="L7" s="1154"/>
      <c r="M7" s="1154"/>
      <c r="N7" s="1154"/>
      <c r="O7" s="1154"/>
      <c r="P7" s="1154"/>
      <c r="Q7" s="1154"/>
      <c r="R7" s="1154"/>
      <c r="S7" s="1154"/>
      <c r="T7" s="1154"/>
      <c r="U7" s="1154"/>
      <c r="V7" s="1154"/>
      <c r="W7" s="1154"/>
      <c r="X7" s="1154"/>
      <c r="Y7" s="1154"/>
      <c r="Z7" s="1154"/>
    </row>
    <row r="8">
      <c r="A8" s="1155">
        <v>6.0</v>
      </c>
      <c r="B8" s="1155" t="s">
        <v>5872</v>
      </c>
      <c r="C8" s="1155">
        <v>1.0</v>
      </c>
      <c r="D8" s="1156"/>
      <c r="E8" s="1154"/>
      <c r="F8" s="1154"/>
      <c r="G8" s="1154"/>
      <c r="H8" s="1154"/>
      <c r="I8" s="1154"/>
      <c r="J8" s="1154"/>
      <c r="K8" s="1154"/>
      <c r="L8" s="1154"/>
      <c r="M8" s="1154"/>
      <c r="N8" s="1154"/>
      <c r="O8" s="1154"/>
      <c r="P8" s="1154"/>
      <c r="Q8" s="1154"/>
      <c r="R8" s="1154"/>
      <c r="S8" s="1154"/>
      <c r="T8" s="1154"/>
      <c r="U8" s="1154"/>
      <c r="V8" s="1154"/>
      <c r="W8" s="1154"/>
      <c r="X8" s="1154"/>
      <c r="Y8" s="1154"/>
      <c r="Z8" s="1154"/>
    </row>
    <row r="9">
      <c r="A9" s="1155">
        <v>7.0</v>
      </c>
      <c r="B9" s="1155" t="s">
        <v>5873</v>
      </c>
      <c r="C9" s="1155">
        <v>1.0</v>
      </c>
      <c r="D9" s="1156"/>
      <c r="E9" s="1154"/>
      <c r="F9" s="1154"/>
      <c r="G9" s="1154"/>
      <c r="H9" s="1154"/>
      <c r="I9" s="1154"/>
      <c r="J9" s="1154"/>
      <c r="K9" s="1154"/>
      <c r="L9" s="1154"/>
      <c r="M9" s="1154"/>
      <c r="N9" s="1154"/>
      <c r="O9" s="1154"/>
      <c r="P9" s="1154"/>
      <c r="Q9" s="1154"/>
      <c r="R9" s="1154"/>
      <c r="S9" s="1154"/>
      <c r="T9" s="1154"/>
      <c r="U9" s="1154"/>
      <c r="V9" s="1154"/>
      <c r="W9" s="1154"/>
      <c r="X9" s="1154"/>
      <c r="Y9" s="1154"/>
      <c r="Z9" s="1154"/>
    </row>
    <row r="10">
      <c r="A10" s="1155">
        <v>8.0</v>
      </c>
      <c r="B10" s="1155" t="s">
        <v>5874</v>
      </c>
      <c r="C10" s="1155">
        <v>2.0</v>
      </c>
      <c r="D10" s="1156"/>
      <c r="E10" s="1154"/>
      <c r="F10" s="1154"/>
      <c r="G10" s="1154"/>
      <c r="H10" s="1154"/>
      <c r="I10" s="1154"/>
      <c r="J10" s="1154"/>
      <c r="K10" s="1154"/>
      <c r="L10" s="1154"/>
      <c r="M10" s="1154"/>
      <c r="N10" s="1154"/>
      <c r="O10" s="1154"/>
      <c r="P10" s="1154"/>
      <c r="Q10" s="1154"/>
      <c r="R10" s="1154"/>
      <c r="S10" s="1154"/>
      <c r="T10" s="1154"/>
      <c r="U10" s="1154"/>
      <c r="V10" s="1154"/>
      <c r="W10" s="1154"/>
      <c r="X10" s="1154"/>
      <c r="Y10" s="1154"/>
      <c r="Z10" s="1154"/>
    </row>
    <row r="11">
      <c r="A11" s="1155">
        <v>9.0</v>
      </c>
      <c r="B11" s="1155" t="s">
        <v>5875</v>
      </c>
      <c r="C11" s="1155">
        <v>1.0</v>
      </c>
      <c r="D11" s="1156"/>
      <c r="E11" s="1154"/>
      <c r="F11" s="1154"/>
      <c r="G11" s="1154"/>
      <c r="H11" s="1154"/>
      <c r="I11" s="1154"/>
      <c r="J11" s="1154"/>
      <c r="K11" s="1154"/>
      <c r="L11" s="1154"/>
      <c r="M11" s="1154"/>
      <c r="N11" s="1154"/>
      <c r="O11" s="1154"/>
      <c r="P11" s="1154"/>
      <c r="Q11" s="1154"/>
      <c r="R11" s="1154"/>
      <c r="S11" s="1154"/>
      <c r="T11" s="1154"/>
      <c r="U11" s="1154"/>
      <c r="V11" s="1154"/>
      <c r="W11" s="1154"/>
      <c r="X11" s="1154"/>
      <c r="Y11" s="1154"/>
      <c r="Z11" s="1154"/>
    </row>
    <row r="12">
      <c r="A12" s="1155">
        <v>10.0</v>
      </c>
      <c r="B12" s="1155" t="s">
        <v>5876</v>
      </c>
      <c r="C12" s="1155">
        <v>1.0</v>
      </c>
      <c r="D12" s="1156"/>
      <c r="E12" s="1154"/>
      <c r="F12" s="1154"/>
      <c r="G12" s="1154"/>
      <c r="H12" s="1154"/>
      <c r="I12" s="1154"/>
      <c r="J12" s="1154"/>
      <c r="K12" s="1154"/>
      <c r="L12" s="1154"/>
      <c r="M12" s="1154"/>
      <c r="N12" s="1154"/>
      <c r="O12" s="1154"/>
      <c r="P12" s="1154"/>
      <c r="Q12" s="1154"/>
      <c r="R12" s="1154"/>
      <c r="S12" s="1154"/>
      <c r="T12" s="1154"/>
      <c r="U12" s="1154"/>
      <c r="V12" s="1154"/>
      <c r="W12" s="1154"/>
      <c r="X12" s="1154"/>
      <c r="Y12" s="1154"/>
      <c r="Z12" s="1154"/>
    </row>
    <row r="13">
      <c r="A13" s="1155">
        <v>11.0</v>
      </c>
      <c r="B13" s="1155" t="s">
        <v>5877</v>
      </c>
      <c r="C13" s="1155">
        <v>1.0</v>
      </c>
      <c r="D13" s="1156"/>
      <c r="E13" s="1154"/>
      <c r="F13" s="1154"/>
      <c r="G13" s="1154"/>
      <c r="H13" s="1154"/>
      <c r="I13" s="1154"/>
      <c r="J13" s="1154"/>
      <c r="K13" s="1154"/>
      <c r="L13" s="1154"/>
      <c r="M13" s="1154"/>
      <c r="N13" s="1154"/>
      <c r="O13" s="1154"/>
      <c r="P13" s="1154"/>
      <c r="Q13" s="1154"/>
      <c r="R13" s="1154"/>
      <c r="S13" s="1154"/>
      <c r="T13" s="1154"/>
      <c r="U13" s="1154"/>
      <c r="V13" s="1154"/>
      <c r="W13" s="1154"/>
      <c r="X13" s="1154"/>
      <c r="Y13" s="1154"/>
      <c r="Z13" s="1154"/>
    </row>
    <row r="14">
      <c r="A14" s="1155">
        <v>12.0</v>
      </c>
      <c r="B14" s="1155" t="s">
        <v>5878</v>
      </c>
      <c r="C14" s="1155">
        <v>1.0</v>
      </c>
      <c r="D14" s="1156"/>
      <c r="E14" s="1154"/>
      <c r="F14" s="1154"/>
      <c r="G14" s="1154"/>
      <c r="H14" s="1154"/>
      <c r="I14" s="1154"/>
      <c r="J14" s="1154"/>
      <c r="K14" s="1154"/>
      <c r="L14" s="1154"/>
      <c r="M14" s="1154"/>
      <c r="N14" s="1154"/>
      <c r="O14" s="1154"/>
      <c r="P14" s="1154"/>
      <c r="Q14" s="1154"/>
      <c r="R14" s="1154"/>
      <c r="S14" s="1154"/>
      <c r="T14" s="1154"/>
      <c r="U14" s="1154"/>
      <c r="V14" s="1154"/>
      <c r="W14" s="1154"/>
      <c r="X14" s="1154"/>
      <c r="Y14" s="1154"/>
      <c r="Z14" s="1154"/>
    </row>
    <row r="15">
      <c r="A15" s="1155">
        <v>13.0</v>
      </c>
      <c r="B15" s="1155" t="s">
        <v>5879</v>
      </c>
      <c r="C15" s="1155">
        <v>5.0</v>
      </c>
      <c r="D15" s="1156"/>
      <c r="E15" s="1154"/>
      <c r="F15" s="1154"/>
      <c r="G15" s="1154"/>
      <c r="H15" s="1154"/>
      <c r="I15" s="1154"/>
      <c r="J15" s="1154"/>
      <c r="K15" s="1154"/>
      <c r="L15" s="1154"/>
      <c r="M15" s="1154"/>
      <c r="N15" s="1154"/>
      <c r="O15" s="1154"/>
      <c r="P15" s="1154"/>
      <c r="Q15" s="1154"/>
      <c r="R15" s="1154"/>
      <c r="S15" s="1154"/>
      <c r="T15" s="1154"/>
      <c r="U15" s="1154"/>
      <c r="V15" s="1154"/>
      <c r="W15" s="1154"/>
      <c r="X15" s="1154"/>
      <c r="Y15" s="1154"/>
      <c r="Z15" s="1154"/>
    </row>
    <row r="16">
      <c r="A16" s="1154"/>
      <c r="B16" s="1154"/>
      <c r="C16" s="1154"/>
      <c r="D16" s="1154"/>
      <c r="E16" s="1154"/>
      <c r="F16" s="1154"/>
      <c r="G16" s="1154"/>
      <c r="H16" s="1154"/>
      <c r="I16" s="1154"/>
      <c r="J16" s="1154"/>
      <c r="K16" s="1154"/>
      <c r="L16" s="1154"/>
      <c r="M16" s="1154"/>
      <c r="N16" s="1154"/>
      <c r="O16" s="1154"/>
      <c r="P16" s="1154"/>
      <c r="Q16" s="1154"/>
      <c r="R16" s="1154"/>
      <c r="S16" s="1154"/>
      <c r="T16" s="1154"/>
      <c r="U16" s="1154"/>
      <c r="V16" s="1154"/>
      <c r="W16" s="1154"/>
      <c r="X16" s="1154"/>
      <c r="Y16" s="1154"/>
      <c r="Z16" s="1154"/>
    </row>
    <row r="17">
      <c r="A17" s="1155" t="s">
        <v>1435</v>
      </c>
      <c r="B17" s="1155" t="s">
        <v>5864</v>
      </c>
      <c r="C17" s="1155" t="s">
        <v>5880</v>
      </c>
      <c r="D17" s="1155" t="s">
        <v>5881</v>
      </c>
      <c r="E17" s="1155" t="s">
        <v>5882</v>
      </c>
      <c r="F17" s="1154"/>
      <c r="G17" s="1154"/>
      <c r="H17" s="1154"/>
      <c r="I17" s="1154"/>
      <c r="J17" s="1154"/>
      <c r="K17" s="1154"/>
      <c r="L17" s="1154"/>
      <c r="M17" s="1154"/>
      <c r="N17" s="1154"/>
      <c r="O17" s="1154"/>
      <c r="P17" s="1154"/>
      <c r="Q17" s="1154"/>
      <c r="R17" s="1154"/>
      <c r="S17" s="1154"/>
      <c r="T17" s="1154"/>
      <c r="U17" s="1154"/>
      <c r="V17" s="1154"/>
      <c r="W17" s="1154"/>
      <c r="X17" s="1154"/>
      <c r="Y17" s="1154"/>
      <c r="Z17" s="1154"/>
    </row>
    <row r="18">
      <c r="A18" s="1155">
        <v>1.0</v>
      </c>
      <c r="B18" s="1155" t="s">
        <v>5883</v>
      </c>
      <c r="C18" s="1155">
        <v>18.0</v>
      </c>
      <c r="D18" s="1155" t="s">
        <v>5881</v>
      </c>
      <c r="E18" s="1155" t="s">
        <v>5882</v>
      </c>
      <c r="F18" s="1154"/>
      <c r="G18" s="1154"/>
      <c r="H18" s="1154"/>
      <c r="I18" s="1154"/>
      <c r="J18" s="1154"/>
      <c r="K18" s="1154"/>
      <c r="L18" s="1154"/>
      <c r="M18" s="1154"/>
      <c r="N18" s="1154"/>
      <c r="O18" s="1154"/>
      <c r="P18" s="1154"/>
      <c r="Q18" s="1154"/>
      <c r="R18" s="1154"/>
      <c r="S18" s="1154"/>
      <c r="T18" s="1154"/>
      <c r="U18" s="1154"/>
      <c r="V18" s="1154"/>
      <c r="W18" s="1154"/>
      <c r="X18" s="1154"/>
      <c r="Y18" s="1154"/>
      <c r="Z18" s="1154"/>
    </row>
    <row r="19">
      <c r="A19" s="1155">
        <v>2.0</v>
      </c>
      <c r="B19" s="1155" t="s">
        <v>5884</v>
      </c>
      <c r="C19" s="1155">
        <v>21.0</v>
      </c>
      <c r="D19" s="1155" t="s">
        <v>5881</v>
      </c>
      <c r="E19" s="1156"/>
      <c r="F19" s="1154"/>
      <c r="G19" s="1154"/>
      <c r="H19" s="1154"/>
      <c r="I19" s="1154"/>
      <c r="J19" s="1154"/>
      <c r="K19" s="1154"/>
      <c r="L19" s="1154"/>
      <c r="M19" s="1154"/>
      <c r="N19" s="1154"/>
      <c r="O19" s="1154"/>
      <c r="P19" s="1154"/>
      <c r="Q19" s="1154"/>
      <c r="R19" s="1154"/>
      <c r="S19" s="1154"/>
      <c r="T19" s="1154"/>
      <c r="U19" s="1154"/>
      <c r="V19" s="1154"/>
      <c r="W19" s="1154"/>
      <c r="X19" s="1154"/>
      <c r="Y19" s="1154"/>
      <c r="Z19" s="1154"/>
    </row>
    <row r="20">
      <c r="A20" s="1155">
        <v>3.0</v>
      </c>
      <c r="B20" s="1155" t="s">
        <v>486</v>
      </c>
      <c r="C20" s="1155">
        <v>28.0</v>
      </c>
      <c r="D20" s="1155" t="s">
        <v>5881</v>
      </c>
      <c r="E20" s="1156"/>
      <c r="F20" s="1153" t="s">
        <v>5885</v>
      </c>
      <c r="G20" s="1154"/>
      <c r="H20" s="1154"/>
      <c r="I20" s="1154"/>
      <c r="J20" s="1154"/>
      <c r="K20" s="1154"/>
      <c r="L20" s="1154"/>
      <c r="M20" s="1154"/>
      <c r="N20" s="1154"/>
      <c r="O20" s="1154"/>
      <c r="P20" s="1154"/>
      <c r="Q20" s="1154"/>
      <c r="R20" s="1154"/>
      <c r="S20" s="1154"/>
      <c r="T20" s="1154"/>
      <c r="U20" s="1154"/>
      <c r="V20" s="1154"/>
      <c r="W20" s="1154"/>
      <c r="X20" s="1154"/>
      <c r="Y20" s="1154"/>
      <c r="Z20" s="1154"/>
    </row>
    <row r="21">
      <c r="A21" s="1155">
        <v>4.0</v>
      </c>
      <c r="B21" s="1155"/>
      <c r="C21" s="1155"/>
      <c r="D21" s="1156"/>
      <c r="E21" s="1156"/>
      <c r="F21" s="1154"/>
      <c r="G21" s="1154"/>
      <c r="H21" s="1154"/>
      <c r="I21" s="1154"/>
      <c r="J21" s="1154"/>
      <c r="K21" s="1154"/>
      <c r="L21" s="1154"/>
      <c r="M21" s="1154"/>
      <c r="N21" s="1154"/>
      <c r="O21" s="1154"/>
      <c r="P21" s="1154"/>
      <c r="Q21" s="1154"/>
      <c r="R21" s="1154"/>
      <c r="S21" s="1154"/>
      <c r="T21" s="1154"/>
      <c r="U21" s="1154"/>
      <c r="V21" s="1154"/>
      <c r="W21" s="1154"/>
      <c r="X21" s="1154"/>
      <c r="Y21" s="1154"/>
      <c r="Z21" s="1154"/>
    </row>
    <row r="22">
      <c r="A22" s="1155">
        <v>5.0</v>
      </c>
      <c r="B22" s="1155"/>
      <c r="C22" s="1155"/>
      <c r="D22" s="1156"/>
      <c r="E22" s="1156"/>
      <c r="F22" s="1154"/>
      <c r="G22" s="1154"/>
      <c r="H22" s="1154"/>
      <c r="I22" s="1154"/>
      <c r="J22" s="1154"/>
      <c r="K22" s="1154"/>
      <c r="L22" s="1154"/>
      <c r="M22" s="1154"/>
      <c r="N22" s="1154"/>
      <c r="O22" s="1154"/>
      <c r="P22" s="1154"/>
      <c r="Q22" s="1154"/>
      <c r="R22" s="1154"/>
      <c r="S22" s="1154"/>
      <c r="T22" s="1154"/>
      <c r="U22" s="1154"/>
      <c r="V22" s="1154"/>
      <c r="W22" s="1154"/>
      <c r="X22" s="1154"/>
      <c r="Y22" s="1154"/>
      <c r="Z22" s="1154"/>
    </row>
    <row r="23">
      <c r="A23" s="1155">
        <v>6.0</v>
      </c>
      <c r="B23" s="1155"/>
      <c r="C23" s="1155"/>
      <c r="D23" s="1156"/>
      <c r="E23" s="1156"/>
      <c r="F23" s="1154"/>
      <c r="G23" s="1154"/>
      <c r="H23" s="1154"/>
      <c r="I23" s="1154"/>
      <c r="J23" s="1154"/>
      <c r="K23" s="1154"/>
      <c r="L23" s="1154"/>
      <c r="M23" s="1154"/>
      <c r="N23" s="1154"/>
      <c r="O23" s="1154"/>
      <c r="P23" s="1154"/>
      <c r="Q23" s="1154"/>
      <c r="R23" s="1154"/>
      <c r="S23" s="1154"/>
      <c r="T23" s="1154"/>
      <c r="U23" s="1154"/>
      <c r="V23" s="1154"/>
      <c r="W23" s="1154"/>
      <c r="X23" s="1154"/>
      <c r="Y23" s="1154"/>
      <c r="Z23" s="1154"/>
    </row>
    <row r="24">
      <c r="A24" s="1155">
        <v>7.0</v>
      </c>
      <c r="B24" s="1155"/>
      <c r="C24" s="1155"/>
      <c r="D24" s="1156"/>
      <c r="E24" s="1156"/>
      <c r="F24" s="1154"/>
      <c r="G24" s="1154"/>
      <c r="H24" s="1154"/>
      <c r="I24" s="1154"/>
      <c r="J24" s="1154"/>
      <c r="K24" s="1154"/>
      <c r="L24" s="1154"/>
      <c r="M24" s="1154"/>
      <c r="N24" s="1154"/>
      <c r="O24" s="1154"/>
      <c r="P24" s="1154"/>
      <c r="Q24" s="1154"/>
      <c r="R24" s="1154"/>
      <c r="S24" s="1154"/>
      <c r="T24" s="1154"/>
      <c r="U24" s="1154"/>
      <c r="V24" s="1154"/>
      <c r="W24" s="1154"/>
      <c r="X24" s="1154"/>
      <c r="Y24" s="1154"/>
      <c r="Z24" s="1154"/>
    </row>
    <row r="25">
      <c r="A25" s="1155">
        <v>8.0</v>
      </c>
      <c r="B25" s="1155"/>
      <c r="C25" s="1155"/>
      <c r="D25" s="1156"/>
      <c r="E25" s="1156"/>
      <c r="F25" s="1154"/>
      <c r="G25" s="1154"/>
      <c r="H25" s="1154"/>
      <c r="I25" s="1154"/>
      <c r="J25" s="1154"/>
      <c r="K25" s="1154"/>
      <c r="L25" s="1154"/>
      <c r="M25" s="1154"/>
      <c r="N25" s="1154"/>
      <c r="O25" s="1154"/>
      <c r="P25" s="1154"/>
      <c r="Q25" s="1154"/>
      <c r="R25" s="1154"/>
      <c r="S25" s="1154"/>
      <c r="T25" s="1154"/>
      <c r="U25" s="1154"/>
      <c r="V25" s="1154"/>
      <c r="W25" s="1154"/>
      <c r="X25" s="1154"/>
      <c r="Y25" s="1154"/>
      <c r="Z25" s="1154"/>
    </row>
    <row r="26">
      <c r="A26" s="1155">
        <v>9.0</v>
      </c>
      <c r="B26" s="1155"/>
      <c r="C26" s="1155"/>
      <c r="D26" s="1156"/>
      <c r="E26" s="1156"/>
      <c r="F26" s="1154"/>
      <c r="G26" s="1154"/>
      <c r="H26" s="1154"/>
      <c r="I26" s="1154"/>
      <c r="J26" s="1154"/>
      <c r="K26" s="1154"/>
      <c r="L26" s="1154"/>
      <c r="M26" s="1154"/>
      <c r="N26" s="1154"/>
      <c r="O26" s="1154"/>
      <c r="P26" s="1154"/>
      <c r="Q26" s="1154"/>
      <c r="R26" s="1154"/>
      <c r="S26" s="1154"/>
      <c r="T26" s="1154"/>
      <c r="U26" s="1154"/>
      <c r="V26" s="1154"/>
      <c r="W26" s="1154"/>
      <c r="X26" s="1154"/>
      <c r="Y26" s="1154"/>
      <c r="Z26" s="1154"/>
    </row>
    <row r="27">
      <c r="A27" s="1155">
        <v>10.0</v>
      </c>
      <c r="B27" s="1155"/>
      <c r="C27" s="1155"/>
      <c r="D27" s="1156"/>
      <c r="E27" s="1156"/>
      <c r="F27" s="1154"/>
      <c r="G27" s="1154"/>
      <c r="H27" s="1154"/>
      <c r="I27" s="1154"/>
      <c r="J27" s="1154"/>
      <c r="K27" s="1154"/>
      <c r="L27" s="1154"/>
      <c r="M27" s="1154"/>
      <c r="N27" s="1154"/>
      <c r="O27" s="1154"/>
      <c r="P27" s="1154"/>
      <c r="Q27" s="1154"/>
      <c r="R27" s="1154"/>
      <c r="S27" s="1154"/>
      <c r="T27" s="1154"/>
      <c r="U27" s="1154"/>
      <c r="V27" s="1154"/>
      <c r="W27" s="1154"/>
      <c r="X27" s="1154"/>
      <c r="Y27" s="1154"/>
      <c r="Z27" s="1154"/>
    </row>
    <row r="28">
      <c r="A28" s="1155">
        <v>11.0</v>
      </c>
      <c r="B28" s="1155"/>
      <c r="C28" s="1155"/>
      <c r="D28" s="1156"/>
      <c r="E28" s="1156"/>
      <c r="F28" s="1154"/>
      <c r="G28" s="1154"/>
      <c r="H28" s="1154"/>
      <c r="I28" s="1154"/>
      <c r="J28" s="1154"/>
      <c r="K28" s="1154"/>
      <c r="L28" s="1154"/>
      <c r="M28" s="1154"/>
      <c r="N28" s="1154"/>
      <c r="O28" s="1154"/>
      <c r="P28" s="1154"/>
      <c r="Q28" s="1154"/>
      <c r="R28" s="1154"/>
      <c r="S28" s="1154"/>
      <c r="T28" s="1154"/>
      <c r="U28" s="1154"/>
      <c r="V28" s="1154"/>
      <c r="W28" s="1154"/>
      <c r="X28" s="1154"/>
      <c r="Y28" s="1154"/>
      <c r="Z28" s="1154"/>
    </row>
    <row r="29">
      <c r="A29" s="1155">
        <v>12.0</v>
      </c>
      <c r="B29" s="1155"/>
      <c r="C29" s="1155"/>
      <c r="D29" s="1156"/>
      <c r="E29" s="1156"/>
      <c r="F29" s="1154"/>
      <c r="G29" s="1154"/>
      <c r="H29" s="1154"/>
      <c r="I29" s="1154"/>
      <c r="J29" s="1154"/>
      <c r="K29" s="1154"/>
      <c r="L29" s="1154"/>
      <c r="M29" s="1154"/>
      <c r="N29" s="1154"/>
      <c r="O29" s="1154"/>
      <c r="P29" s="1154"/>
      <c r="Q29" s="1154"/>
      <c r="R29" s="1154"/>
      <c r="S29" s="1154"/>
      <c r="T29" s="1154"/>
      <c r="U29" s="1154"/>
      <c r="V29" s="1154"/>
      <c r="W29" s="1154"/>
      <c r="X29" s="1154"/>
      <c r="Y29" s="1154"/>
      <c r="Z29" s="1154"/>
    </row>
    <row r="30">
      <c r="A30" s="1155">
        <v>13.0</v>
      </c>
      <c r="B30" s="1155"/>
      <c r="C30" s="1155"/>
      <c r="D30" s="1156"/>
      <c r="E30" s="1156"/>
      <c r="F30" s="1154"/>
      <c r="G30" s="1154"/>
      <c r="H30" s="1154"/>
      <c r="I30" s="1154"/>
      <c r="J30" s="1154"/>
      <c r="K30" s="1154"/>
      <c r="L30" s="1154"/>
      <c r="M30" s="1154"/>
      <c r="N30" s="1154"/>
      <c r="O30" s="1154"/>
      <c r="P30" s="1154"/>
      <c r="Q30" s="1154"/>
      <c r="R30" s="1154"/>
      <c r="S30" s="1154"/>
      <c r="T30" s="1154"/>
      <c r="U30" s="1154"/>
      <c r="V30" s="1154"/>
      <c r="W30" s="1154"/>
      <c r="X30" s="1154"/>
      <c r="Y30" s="1154"/>
      <c r="Z30" s="1154"/>
    </row>
    <row r="31">
      <c r="A31" s="1154"/>
      <c r="B31" s="1154"/>
      <c r="C31" s="1154"/>
      <c r="D31" s="1154"/>
      <c r="E31" s="1154"/>
      <c r="F31" s="1154"/>
      <c r="G31" s="1154"/>
      <c r="H31" s="1154"/>
      <c r="I31" s="1154"/>
      <c r="J31" s="1154"/>
      <c r="K31" s="1154"/>
      <c r="L31" s="1154"/>
      <c r="M31" s="1154"/>
      <c r="N31" s="1154"/>
      <c r="O31" s="1154"/>
      <c r="P31" s="1154"/>
      <c r="Q31" s="1154"/>
      <c r="R31" s="1154"/>
      <c r="S31" s="1154"/>
      <c r="T31" s="1154"/>
      <c r="U31" s="1154"/>
      <c r="V31" s="1154"/>
      <c r="W31" s="1154"/>
      <c r="X31" s="1154"/>
      <c r="Y31" s="1154"/>
      <c r="Z31" s="1154"/>
    </row>
    <row r="32">
      <c r="A32" s="1154"/>
      <c r="B32" s="1154"/>
      <c r="C32" s="1154"/>
      <c r="D32" s="1154"/>
      <c r="E32" s="1154"/>
      <c r="F32" s="1154"/>
      <c r="G32" s="1154"/>
      <c r="H32" s="1154"/>
      <c r="I32" s="1154"/>
      <c r="J32" s="1154"/>
      <c r="K32" s="1154"/>
      <c r="L32" s="1154"/>
      <c r="M32" s="1154"/>
      <c r="N32" s="1154"/>
      <c r="O32" s="1154"/>
      <c r="P32" s="1154"/>
      <c r="Q32" s="1154"/>
      <c r="R32" s="1154"/>
      <c r="S32" s="1154"/>
      <c r="T32" s="1154"/>
      <c r="U32" s="1154"/>
      <c r="V32" s="1154"/>
      <c r="W32" s="1154"/>
      <c r="X32" s="1154"/>
      <c r="Y32" s="1154"/>
      <c r="Z32" s="1154"/>
    </row>
    <row r="33">
      <c r="A33" s="1157" t="s">
        <v>1435</v>
      </c>
      <c r="B33" s="1157" t="s">
        <v>5886</v>
      </c>
      <c r="C33" s="1157" t="s">
        <v>5887</v>
      </c>
      <c r="D33" s="1157" t="s">
        <v>5888</v>
      </c>
      <c r="E33" s="1154"/>
      <c r="F33" s="1154"/>
      <c r="G33" s="1154"/>
      <c r="H33" s="1154"/>
      <c r="I33" s="1154"/>
      <c r="J33" s="1154"/>
      <c r="K33" s="1154"/>
      <c r="L33" s="1154"/>
      <c r="M33" s="1154"/>
      <c r="N33" s="1154"/>
      <c r="O33" s="1154"/>
      <c r="P33" s="1154"/>
      <c r="Q33" s="1154"/>
      <c r="R33" s="1154"/>
      <c r="S33" s="1154"/>
      <c r="T33" s="1154"/>
      <c r="U33" s="1154"/>
      <c r="V33" s="1154"/>
      <c r="W33" s="1154"/>
      <c r="X33" s="1154"/>
      <c r="Y33" s="1154"/>
      <c r="Z33" s="1154"/>
    </row>
    <row r="34">
      <c r="A34" s="1155">
        <v>1.0</v>
      </c>
      <c r="B34" s="1158">
        <v>1.0</v>
      </c>
      <c r="C34" s="1155" t="s">
        <v>5889</v>
      </c>
      <c r="D34" s="1158" t="s">
        <v>5890</v>
      </c>
      <c r="E34" s="1154"/>
      <c r="F34" s="1154"/>
      <c r="G34" s="1154"/>
      <c r="H34" s="1154"/>
      <c r="I34" s="1154"/>
      <c r="J34" s="1154"/>
      <c r="K34" s="1154"/>
      <c r="L34" s="1154"/>
      <c r="M34" s="1154"/>
      <c r="N34" s="1154"/>
      <c r="O34" s="1154"/>
      <c r="P34" s="1154"/>
      <c r="Q34" s="1154"/>
      <c r="R34" s="1154"/>
      <c r="S34" s="1154"/>
      <c r="T34" s="1154"/>
      <c r="U34" s="1154"/>
      <c r="V34" s="1154"/>
      <c r="W34" s="1154"/>
      <c r="X34" s="1154"/>
      <c r="Y34" s="1154"/>
      <c r="Z34" s="1154"/>
    </row>
    <row r="35">
      <c r="A35" s="1155">
        <v>2.0</v>
      </c>
      <c r="B35" s="185"/>
      <c r="C35" s="1155" t="s">
        <v>5891</v>
      </c>
      <c r="D35" s="185"/>
      <c r="E35" s="1154"/>
      <c r="F35" s="1154"/>
      <c r="G35" s="1154"/>
      <c r="H35" s="1154"/>
      <c r="I35" s="1154"/>
      <c r="J35" s="1154"/>
      <c r="K35" s="1154"/>
      <c r="L35" s="1154"/>
      <c r="M35" s="1154"/>
      <c r="N35" s="1154"/>
      <c r="O35" s="1154"/>
      <c r="P35" s="1154"/>
      <c r="Q35" s="1154"/>
      <c r="R35" s="1154"/>
      <c r="S35" s="1154"/>
      <c r="T35" s="1154"/>
      <c r="U35" s="1154"/>
      <c r="V35" s="1154"/>
      <c r="W35" s="1154"/>
      <c r="X35" s="1154"/>
      <c r="Y35" s="1154"/>
      <c r="Z35" s="1154"/>
    </row>
    <row r="36">
      <c r="A36" s="1155">
        <v>3.0</v>
      </c>
      <c r="B36" s="1158">
        <v>2.0</v>
      </c>
      <c r="C36" s="1155" t="s">
        <v>5889</v>
      </c>
      <c r="D36" s="1158" t="s">
        <v>5892</v>
      </c>
      <c r="E36" s="1154"/>
      <c r="F36" s="1154"/>
      <c r="G36" s="1154"/>
      <c r="H36" s="1154"/>
      <c r="I36" s="1154"/>
      <c r="J36" s="1154"/>
      <c r="K36" s="1154"/>
      <c r="L36" s="1154"/>
      <c r="M36" s="1154"/>
      <c r="N36" s="1154"/>
      <c r="O36" s="1154"/>
      <c r="P36" s="1154"/>
      <c r="Q36" s="1154"/>
      <c r="R36" s="1154"/>
      <c r="S36" s="1154"/>
      <c r="T36" s="1154"/>
      <c r="U36" s="1154"/>
      <c r="V36" s="1154"/>
      <c r="W36" s="1154"/>
      <c r="X36" s="1154"/>
      <c r="Y36" s="1154"/>
      <c r="Z36" s="1154"/>
    </row>
    <row r="37">
      <c r="A37" s="1155">
        <v>4.0</v>
      </c>
      <c r="B37" s="185"/>
      <c r="C37" s="1155" t="s">
        <v>5891</v>
      </c>
      <c r="D37" s="185"/>
      <c r="E37" s="1154"/>
      <c r="F37" s="1154"/>
      <c r="G37" s="1154"/>
      <c r="H37" s="1154"/>
      <c r="I37" s="1154"/>
      <c r="J37" s="1154"/>
      <c r="K37" s="1154"/>
      <c r="L37" s="1154"/>
      <c r="M37" s="1154"/>
      <c r="N37" s="1154"/>
      <c r="O37" s="1154"/>
      <c r="P37" s="1154"/>
      <c r="Q37" s="1154"/>
      <c r="R37" s="1154"/>
      <c r="S37" s="1154"/>
      <c r="T37" s="1154"/>
      <c r="U37" s="1154"/>
      <c r="V37" s="1154"/>
      <c r="W37" s="1154"/>
      <c r="X37" s="1154"/>
      <c r="Y37" s="1154"/>
      <c r="Z37" s="1154"/>
    </row>
    <row r="38">
      <c r="A38" s="1155">
        <v>5.0</v>
      </c>
      <c r="B38" s="1158">
        <v>3.0</v>
      </c>
      <c r="C38" s="1155" t="s">
        <v>5889</v>
      </c>
      <c r="D38" s="1158" t="s">
        <v>5893</v>
      </c>
      <c r="E38" s="1154"/>
      <c r="F38" s="1154"/>
      <c r="G38" s="1154"/>
      <c r="H38" s="1154"/>
      <c r="I38" s="1154"/>
      <c r="J38" s="1154"/>
      <c r="K38" s="1154"/>
      <c r="L38" s="1154"/>
      <c r="M38" s="1154"/>
      <c r="N38" s="1154"/>
      <c r="O38" s="1154"/>
      <c r="P38" s="1154"/>
      <c r="Q38" s="1154"/>
      <c r="R38" s="1154"/>
      <c r="S38" s="1154"/>
      <c r="T38" s="1154"/>
      <c r="U38" s="1154"/>
      <c r="V38" s="1154"/>
      <c r="W38" s="1154"/>
      <c r="X38" s="1154"/>
      <c r="Y38" s="1154"/>
      <c r="Z38" s="1154"/>
    </row>
    <row r="39">
      <c r="A39" s="1155">
        <v>6.0</v>
      </c>
      <c r="B39" s="185"/>
      <c r="C39" s="1155" t="s">
        <v>5891</v>
      </c>
      <c r="D39" s="185"/>
      <c r="E39" s="1154"/>
      <c r="F39" s="1154"/>
      <c r="G39" s="1154"/>
      <c r="H39" s="1154"/>
      <c r="I39" s="1154"/>
      <c r="J39" s="1154"/>
      <c r="K39" s="1154"/>
      <c r="L39" s="1154"/>
      <c r="M39" s="1154"/>
      <c r="N39" s="1154"/>
      <c r="O39" s="1154"/>
      <c r="P39" s="1154"/>
      <c r="Q39" s="1154"/>
      <c r="R39" s="1154"/>
      <c r="S39" s="1154"/>
      <c r="T39" s="1154"/>
      <c r="U39" s="1154"/>
      <c r="V39" s="1154"/>
      <c r="W39" s="1154"/>
      <c r="X39" s="1154"/>
      <c r="Y39" s="1154"/>
      <c r="Z39" s="1154"/>
    </row>
    <row r="40">
      <c r="A40" s="1155">
        <v>7.0</v>
      </c>
      <c r="B40" s="1158">
        <v>4.0</v>
      </c>
      <c r="C40" s="1155" t="s">
        <v>5889</v>
      </c>
      <c r="D40" s="1158" t="s">
        <v>5893</v>
      </c>
      <c r="E40" s="1154"/>
      <c r="F40" s="1154"/>
      <c r="G40" s="1154"/>
      <c r="H40" s="1154"/>
      <c r="I40" s="1154"/>
      <c r="J40" s="1154"/>
      <c r="K40" s="1154"/>
      <c r="L40" s="1154"/>
      <c r="M40" s="1154"/>
      <c r="N40" s="1154"/>
      <c r="O40" s="1154"/>
      <c r="P40" s="1154"/>
      <c r="Q40" s="1154"/>
      <c r="R40" s="1154"/>
      <c r="S40" s="1154"/>
      <c r="T40" s="1154"/>
      <c r="U40" s="1154"/>
      <c r="V40" s="1154"/>
      <c r="W40" s="1154"/>
      <c r="X40" s="1154"/>
      <c r="Y40" s="1154"/>
      <c r="Z40" s="1154"/>
    </row>
    <row r="41">
      <c r="A41" s="1155">
        <v>8.0</v>
      </c>
      <c r="B41" s="185"/>
      <c r="C41" s="1155" t="s">
        <v>5891</v>
      </c>
      <c r="D41" s="185"/>
      <c r="E41" s="1154"/>
      <c r="F41" s="1154"/>
      <c r="G41" s="1154"/>
      <c r="H41" s="1154"/>
      <c r="I41" s="1154"/>
      <c r="J41" s="1154"/>
      <c r="K41" s="1154"/>
      <c r="L41" s="1154"/>
      <c r="M41" s="1154"/>
      <c r="N41" s="1154"/>
      <c r="O41" s="1154"/>
      <c r="P41" s="1154"/>
      <c r="Q41" s="1154"/>
      <c r="R41" s="1154"/>
      <c r="S41" s="1154"/>
      <c r="T41" s="1154"/>
      <c r="U41" s="1154"/>
      <c r="V41" s="1154"/>
      <c r="W41" s="1154"/>
      <c r="X41" s="1154"/>
      <c r="Y41" s="1154"/>
      <c r="Z41" s="1154"/>
    </row>
    <row r="42">
      <c r="A42" s="1155">
        <v>9.0</v>
      </c>
      <c r="B42" s="1158">
        <v>5.0</v>
      </c>
      <c r="C42" s="1155" t="s">
        <v>5889</v>
      </c>
      <c r="D42" s="1158" t="s">
        <v>5893</v>
      </c>
      <c r="E42" s="1154"/>
      <c r="F42" s="1154"/>
      <c r="G42" s="1154"/>
      <c r="H42" s="1154"/>
      <c r="I42" s="1154"/>
      <c r="J42" s="1154"/>
      <c r="K42" s="1154"/>
      <c r="L42" s="1154"/>
      <c r="M42" s="1154"/>
      <c r="N42" s="1154"/>
      <c r="O42" s="1154"/>
      <c r="P42" s="1154"/>
      <c r="Q42" s="1154"/>
      <c r="R42" s="1154"/>
      <c r="S42" s="1154"/>
      <c r="T42" s="1154"/>
      <c r="U42" s="1154"/>
      <c r="V42" s="1154"/>
      <c r="W42" s="1154"/>
      <c r="X42" s="1154"/>
      <c r="Y42" s="1154"/>
      <c r="Z42" s="1154"/>
    </row>
    <row r="43">
      <c r="A43" s="1155">
        <v>10.0</v>
      </c>
      <c r="B43" s="185"/>
      <c r="C43" s="1155" t="s">
        <v>5891</v>
      </c>
      <c r="D43" s="185"/>
      <c r="E43" s="1154"/>
      <c r="F43" s="1154"/>
      <c r="G43" s="1154"/>
      <c r="H43" s="1154"/>
      <c r="I43" s="1154"/>
      <c r="J43" s="1154"/>
      <c r="K43" s="1154"/>
      <c r="L43" s="1154"/>
      <c r="M43" s="1154"/>
      <c r="N43" s="1154"/>
      <c r="O43" s="1154"/>
      <c r="P43" s="1154"/>
      <c r="Q43" s="1154"/>
      <c r="R43" s="1154"/>
      <c r="S43" s="1154"/>
      <c r="T43" s="1154"/>
      <c r="U43" s="1154"/>
      <c r="V43" s="1154"/>
      <c r="W43" s="1154"/>
      <c r="X43" s="1154"/>
      <c r="Y43" s="1154"/>
      <c r="Z43" s="1154"/>
    </row>
    <row r="44">
      <c r="A44" s="1155">
        <v>11.0</v>
      </c>
      <c r="B44" s="1158">
        <v>6.0</v>
      </c>
      <c r="C44" s="1155" t="s">
        <v>5889</v>
      </c>
      <c r="D44" s="1158" t="s">
        <v>5894</v>
      </c>
      <c r="E44" s="1154"/>
      <c r="F44" s="1154"/>
      <c r="G44" s="1154"/>
      <c r="H44" s="1154"/>
      <c r="I44" s="1154"/>
      <c r="J44" s="1154"/>
      <c r="K44" s="1154"/>
      <c r="L44" s="1154"/>
      <c r="M44" s="1154"/>
      <c r="N44" s="1154"/>
      <c r="O44" s="1154"/>
      <c r="P44" s="1154"/>
      <c r="Q44" s="1154"/>
      <c r="R44" s="1154"/>
      <c r="S44" s="1154"/>
      <c r="T44" s="1154"/>
      <c r="U44" s="1154"/>
      <c r="V44" s="1154"/>
      <c r="W44" s="1154"/>
      <c r="X44" s="1154"/>
      <c r="Y44" s="1154"/>
      <c r="Z44" s="1154"/>
    </row>
    <row r="45">
      <c r="A45" s="1155">
        <v>12.0</v>
      </c>
      <c r="B45" s="185"/>
      <c r="C45" s="1155" t="s">
        <v>5891</v>
      </c>
      <c r="D45" s="185"/>
      <c r="E45" s="1154"/>
      <c r="F45" s="1154"/>
      <c r="G45" s="1154"/>
      <c r="H45" s="1154"/>
      <c r="I45" s="1154"/>
      <c r="J45" s="1154"/>
      <c r="K45" s="1154"/>
      <c r="L45" s="1154"/>
      <c r="M45" s="1154"/>
      <c r="N45" s="1154"/>
      <c r="O45" s="1154"/>
      <c r="P45" s="1154"/>
      <c r="Q45" s="1154"/>
      <c r="R45" s="1154"/>
      <c r="S45" s="1154"/>
      <c r="T45" s="1154"/>
      <c r="U45" s="1154"/>
      <c r="V45" s="1154"/>
      <c r="W45" s="1154"/>
      <c r="X45" s="1154"/>
      <c r="Y45" s="1154"/>
      <c r="Z45" s="1154"/>
    </row>
    <row r="46">
      <c r="A46" s="1155">
        <v>13.0</v>
      </c>
      <c r="B46" s="1158">
        <v>7.0</v>
      </c>
      <c r="C46" s="1155" t="s">
        <v>5889</v>
      </c>
      <c r="D46" s="1158" t="s">
        <v>5895</v>
      </c>
      <c r="E46" s="1154"/>
      <c r="F46" s="1154"/>
      <c r="G46" s="1154"/>
      <c r="H46" s="1154"/>
      <c r="I46" s="1154"/>
      <c r="J46" s="1154"/>
      <c r="K46" s="1154"/>
      <c r="L46" s="1154"/>
      <c r="M46" s="1154"/>
      <c r="N46" s="1154"/>
      <c r="O46" s="1154"/>
      <c r="P46" s="1154"/>
      <c r="Q46" s="1154"/>
      <c r="R46" s="1154"/>
      <c r="S46" s="1154"/>
      <c r="T46" s="1154"/>
      <c r="U46" s="1154"/>
      <c r="V46" s="1154"/>
      <c r="W46" s="1154"/>
      <c r="X46" s="1154"/>
      <c r="Y46" s="1154"/>
      <c r="Z46" s="1154"/>
    </row>
    <row r="47">
      <c r="A47" s="1155">
        <v>14.0</v>
      </c>
      <c r="B47" s="185"/>
      <c r="C47" s="1155" t="s">
        <v>5891</v>
      </c>
      <c r="D47" s="185"/>
      <c r="E47" s="1154"/>
      <c r="F47" s="1154"/>
      <c r="G47" s="1154"/>
      <c r="H47" s="1154"/>
      <c r="I47" s="1154"/>
      <c r="J47" s="1154"/>
      <c r="K47" s="1154"/>
      <c r="L47" s="1154"/>
      <c r="M47" s="1154"/>
      <c r="N47" s="1154"/>
      <c r="O47" s="1154"/>
      <c r="P47" s="1154"/>
      <c r="Q47" s="1154"/>
      <c r="R47" s="1154"/>
      <c r="S47" s="1154"/>
      <c r="T47" s="1154"/>
      <c r="U47" s="1154"/>
      <c r="V47" s="1154"/>
      <c r="W47" s="1154"/>
      <c r="X47" s="1154"/>
      <c r="Y47" s="1154"/>
      <c r="Z47" s="1154"/>
    </row>
    <row r="48">
      <c r="A48" s="1155">
        <v>15.0</v>
      </c>
      <c r="B48" s="1158">
        <v>8.0</v>
      </c>
      <c r="C48" s="1155" t="s">
        <v>5889</v>
      </c>
      <c r="D48" s="1158" t="s">
        <v>1571</v>
      </c>
      <c r="E48" s="1154"/>
      <c r="F48" s="1154"/>
      <c r="G48" s="1154"/>
      <c r="H48" s="1154"/>
      <c r="I48" s="1154"/>
      <c r="J48" s="1154"/>
      <c r="K48" s="1154"/>
      <c r="L48" s="1154"/>
      <c r="M48" s="1154"/>
      <c r="N48" s="1154"/>
      <c r="O48" s="1154"/>
      <c r="P48" s="1154"/>
      <c r="Q48" s="1154"/>
      <c r="R48" s="1154"/>
      <c r="S48" s="1154"/>
      <c r="T48" s="1154"/>
      <c r="U48" s="1154"/>
      <c r="V48" s="1154"/>
      <c r="W48" s="1154"/>
      <c r="X48" s="1154"/>
      <c r="Y48" s="1154"/>
      <c r="Z48" s="1154"/>
    </row>
    <row r="49">
      <c r="A49" s="1155">
        <v>16.0</v>
      </c>
      <c r="B49" s="185"/>
      <c r="C49" s="1155" t="s">
        <v>5891</v>
      </c>
      <c r="D49" s="185"/>
      <c r="E49" s="1154"/>
      <c r="F49" s="1154"/>
      <c r="G49" s="1154"/>
      <c r="H49" s="1154"/>
      <c r="I49" s="1154"/>
      <c r="J49" s="1154"/>
      <c r="K49" s="1154"/>
      <c r="L49" s="1154"/>
      <c r="M49" s="1154"/>
      <c r="N49" s="1154"/>
      <c r="O49" s="1154"/>
      <c r="P49" s="1154"/>
      <c r="Q49" s="1154"/>
      <c r="R49" s="1154"/>
      <c r="S49" s="1154"/>
      <c r="T49" s="1154"/>
      <c r="U49" s="1154"/>
      <c r="V49" s="1154"/>
      <c r="W49" s="1154"/>
      <c r="X49" s="1154"/>
      <c r="Y49" s="1154"/>
      <c r="Z49" s="1154"/>
    </row>
    <row r="50">
      <c r="A50" s="1155">
        <v>17.0</v>
      </c>
      <c r="B50" s="1158">
        <v>9.0</v>
      </c>
      <c r="C50" s="1155" t="s">
        <v>5889</v>
      </c>
      <c r="D50" s="1158" t="s">
        <v>1571</v>
      </c>
      <c r="E50" s="1154"/>
      <c r="F50" s="1154"/>
      <c r="G50" s="1154"/>
      <c r="H50" s="1154"/>
      <c r="I50" s="1154"/>
      <c r="J50" s="1154"/>
      <c r="K50" s="1154"/>
      <c r="L50" s="1154"/>
      <c r="M50" s="1154"/>
      <c r="N50" s="1154"/>
      <c r="O50" s="1154"/>
      <c r="P50" s="1154"/>
      <c r="Q50" s="1154"/>
      <c r="R50" s="1154"/>
      <c r="S50" s="1154"/>
      <c r="T50" s="1154"/>
      <c r="U50" s="1154"/>
      <c r="V50" s="1154"/>
      <c r="W50" s="1154"/>
      <c r="X50" s="1154"/>
      <c r="Y50" s="1154"/>
      <c r="Z50" s="1154"/>
    </row>
    <row r="51">
      <c r="A51" s="1155">
        <v>18.0</v>
      </c>
      <c r="B51" s="185"/>
      <c r="C51" s="1155" t="s">
        <v>5891</v>
      </c>
      <c r="D51" s="185"/>
      <c r="E51" s="1154"/>
      <c r="F51" s="1154"/>
      <c r="G51" s="1154"/>
      <c r="H51" s="1154"/>
      <c r="I51" s="1154"/>
      <c r="J51" s="1154"/>
      <c r="K51" s="1154"/>
      <c r="L51" s="1154"/>
      <c r="M51" s="1154"/>
      <c r="N51" s="1154"/>
      <c r="O51" s="1154"/>
      <c r="P51" s="1154"/>
      <c r="Q51" s="1154"/>
      <c r="R51" s="1154"/>
      <c r="S51" s="1154"/>
      <c r="T51" s="1154"/>
      <c r="U51" s="1154"/>
      <c r="V51" s="1154"/>
      <c r="W51" s="1154"/>
      <c r="X51" s="1154"/>
      <c r="Y51" s="1154"/>
      <c r="Z51" s="1154"/>
    </row>
    <row r="52">
      <c r="A52" s="1155">
        <v>19.0</v>
      </c>
      <c r="B52" s="1158">
        <v>10.0</v>
      </c>
      <c r="C52" s="1155" t="s">
        <v>5889</v>
      </c>
      <c r="D52" s="1158" t="s">
        <v>1220</v>
      </c>
      <c r="E52" s="1154"/>
      <c r="F52" s="1154"/>
      <c r="G52" s="1154"/>
      <c r="H52" s="1154"/>
      <c r="I52" s="1154"/>
      <c r="J52" s="1154"/>
      <c r="K52" s="1154"/>
      <c r="L52" s="1154"/>
      <c r="M52" s="1154"/>
      <c r="N52" s="1154"/>
      <c r="O52" s="1154"/>
      <c r="P52" s="1154"/>
      <c r="Q52" s="1154"/>
      <c r="R52" s="1154"/>
      <c r="S52" s="1154"/>
      <c r="T52" s="1154"/>
      <c r="U52" s="1154"/>
      <c r="V52" s="1154"/>
      <c r="W52" s="1154"/>
      <c r="X52" s="1154"/>
      <c r="Y52" s="1154"/>
      <c r="Z52" s="1154"/>
    </row>
    <row r="53">
      <c r="A53" s="1155">
        <v>20.0</v>
      </c>
      <c r="B53" s="185"/>
      <c r="C53" s="1155" t="s">
        <v>5891</v>
      </c>
      <c r="D53" s="185"/>
      <c r="E53" s="1154"/>
      <c r="F53" s="1154"/>
      <c r="G53" s="1154"/>
      <c r="H53" s="1154"/>
      <c r="I53" s="1154"/>
      <c r="J53" s="1154"/>
      <c r="K53" s="1154"/>
      <c r="L53" s="1154"/>
      <c r="M53" s="1154"/>
      <c r="N53" s="1154"/>
      <c r="O53" s="1154"/>
      <c r="P53" s="1154"/>
      <c r="Q53" s="1154"/>
      <c r="R53" s="1154"/>
      <c r="S53" s="1154"/>
      <c r="T53" s="1154"/>
      <c r="U53" s="1154"/>
      <c r="V53" s="1154"/>
      <c r="W53" s="1154"/>
      <c r="X53" s="1154"/>
      <c r="Y53" s="1154"/>
      <c r="Z53" s="1154"/>
    </row>
    <row r="54">
      <c r="A54" s="1155">
        <v>21.0</v>
      </c>
      <c r="B54" s="1158">
        <v>11.0</v>
      </c>
      <c r="C54" s="1155" t="s">
        <v>5889</v>
      </c>
      <c r="D54" s="1158" t="s">
        <v>1571</v>
      </c>
      <c r="E54" s="1154"/>
      <c r="F54" s="1154"/>
      <c r="G54" s="1154"/>
      <c r="H54" s="1154"/>
      <c r="I54" s="1154"/>
      <c r="J54" s="1154"/>
      <c r="K54" s="1154"/>
      <c r="L54" s="1154"/>
      <c r="M54" s="1154"/>
      <c r="N54" s="1154"/>
      <c r="O54" s="1154"/>
      <c r="P54" s="1154"/>
      <c r="Q54" s="1154"/>
      <c r="R54" s="1154"/>
      <c r="S54" s="1154"/>
      <c r="T54" s="1154"/>
      <c r="U54" s="1154"/>
      <c r="V54" s="1154"/>
      <c r="W54" s="1154"/>
      <c r="X54" s="1154"/>
      <c r="Y54" s="1154"/>
      <c r="Z54" s="1154"/>
    </row>
    <row r="55">
      <c r="A55" s="1155">
        <v>22.0</v>
      </c>
      <c r="B55" s="185"/>
      <c r="C55" s="1155" t="s">
        <v>5891</v>
      </c>
      <c r="D55" s="185"/>
      <c r="E55" s="1154"/>
      <c r="F55" s="1154"/>
      <c r="G55" s="1154"/>
      <c r="H55" s="1154"/>
      <c r="I55" s="1154"/>
      <c r="J55" s="1154"/>
      <c r="K55" s="1154"/>
      <c r="L55" s="1154"/>
      <c r="M55" s="1154"/>
      <c r="N55" s="1154"/>
      <c r="O55" s="1154"/>
      <c r="P55" s="1154"/>
      <c r="Q55" s="1154"/>
      <c r="R55" s="1154"/>
      <c r="S55" s="1154"/>
      <c r="T55" s="1154"/>
      <c r="U55" s="1154"/>
      <c r="V55" s="1154"/>
      <c r="W55" s="1154"/>
      <c r="X55" s="1154"/>
      <c r="Y55" s="1154"/>
      <c r="Z55" s="1154"/>
    </row>
    <row r="56">
      <c r="A56" s="1155">
        <v>23.0</v>
      </c>
      <c r="B56" s="1158">
        <v>12.0</v>
      </c>
      <c r="C56" s="1155" t="s">
        <v>5889</v>
      </c>
      <c r="D56" s="1158" t="s">
        <v>1571</v>
      </c>
      <c r="E56" s="1154"/>
      <c r="F56" s="1154"/>
      <c r="G56" s="1154"/>
      <c r="H56" s="1154"/>
      <c r="I56" s="1154"/>
      <c r="J56" s="1154"/>
      <c r="K56" s="1154"/>
      <c r="L56" s="1154"/>
      <c r="M56" s="1154"/>
      <c r="N56" s="1154"/>
      <c r="O56" s="1154"/>
      <c r="P56" s="1154"/>
      <c r="Q56" s="1154"/>
      <c r="R56" s="1154"/>
      <c r="S56" s="1154"/>
      <c r="T56" s="1154"/>
      <c r="U56" s="1154"/>
      <c r="V56" s="1154"/>
      <c r="W56" s="1154"/>
      <c r="X56" s="1154"/>
      <c r="Y56" s="1154"/>
      <c r="Z56" s="1154"/>
    </row>
    <row r="57">
      <c r="A57" s="1155">
        <v>24.0</v>
      </c>
      <c r="B57" s="185"/>
      <c r="C57" s="1155" t="s">
        <v>5891</v>
      </c>
      <c r="D57" s="185"/>
      <c r="E57" s="1154"/>
      <c r="F57" s="1154"/>
      <c r="G57" s="1154"/>
      <c r="H57" s="1154"/>
      <c r="I57" s="1154"/>
      <c r="J57" s="1154"/>
      <c r="K57" s="1154"/>
      <c r="L57" s="1154"/>
      <c r="M57" s="1154"/>
      <c r="N57" s="1154"/>
      <c r="O57" s="1154"/>
      <c r="P57" s="1154"/>
      <c r="Q57" s="1154"/>
      <c r="R57" s="1154"/>
      <c r="S57" s="1154"/>
      <c r="T57" s="1154"/>
      <c r="U57" s="1154"/>
      <c r="V57" s="1154"/>
      <c r="W57" s="1154"/>
      <c r="X57" s="1154"/>
      <c r="Y57" s="1154"/>
      <c r="Z57" s="1154"/>
    </row>
    <row r="58">
      <c r="A58" s="1155">
        <v>25.0</v>
      </c>
      <c r="B58" s="1158">
        <v>13.0</v>
      </c>
      <c r="C58" s="1155" t="s">
        <v>5889</v>
      </c>
      <c r="D58" s="1158" t="s">
        <v>1571</v>
      </c>
      <c r="E58" s="1154"/>
      <c r="F58" s="1154"/>
      <c r="G58" s="1154"/>
      <c r="H58" s="1154"/>
      <c r="I58" s="1154"/>
      <c r="J58" s="1154"/>
      <c r="K58" s="1154"/>
      <c r="L58" s="1154"/>
      <c r="M58" s="1154"/>
      <c r="N58" s="1154"/>
      <c r="O58" s="1154"/>
      <c r="P58" s="1154"/>
      <c r="Q58" s="1154"/>
      <c r="R58" s="1154"/>
      <c r="S58" s="1154"/>
      <c r="T58" s="1154"/>
      <c r="U58" s="1154"/>
      <c r="V58" s="1154"/>
      <c r="W58" s="1154"/>
      <c r="X58" s="1154"/>
      <c r="Y58" s="1154"/>
      <c r="Z58" s="1154"/>
    </row>
    <row r="59">
      <c r="A59" s="1155">
        <v>26.0</v>
      </c>
      <c r="B59" s="185"/>
      <c r="C59" s="1155" t="s">
        <v>5891</v>
      </c>
      <c r="D59" s="185"/>
      <c r="E59" s="1154"/>
      <c r="F59" s="1154"/>
      <c r="G59" s="1154"/>
      <c r="H59" s="1154"/>
      <c r="I59" s="1154"/>
      <c r="J59" s="1154"/>
      <c r="K59" s="1154"/>
      <c r="L59" s="1154"/>
      <c r="M59" s="1154"/>
      <c r="N59" s="1154"/>
      <c r="O59" s="1154"/>
      <c r="P59" s="1154"/>
      <c r="Q59" s="1154"/>
      <c r="R59" s="1154"/>
      <c r="S59" s="1154"/>
      <c r="T59" s="1154"/>
      <c r="U59" s="1154"/>
      <c r="V59" s="1154"/>
      <c r="W59" s="1154"/>
      <c r="X59" s="1154"/>
      <c r="Y59" s="1154"/>
      <c r="Z59" s="1154"/>
    </row>
    <row r="60">
      <c r="A60" s="1155">
        <v>27.0</v>
      </c>
      <c r="B60" s="1158">
        <v>14.0</v>
      </c>
      <c r="C60" s="1155" t="s">
        <v>5889</v>
      </c>
      <c r="D60" s="1158" t="s">
        <v>5896</v>
      </c>
      <c r="E60" s="1154"/>
      <c r="F60" s="1154"/>
      <c r="G60" s="1154"/>
      <c r="H60" s="1154"/>
      <c r="I60" s="1154"/>
      <c r="J60" s="1154"/>
      <c r="K60" s="1154"/>
      <c r="L60" s="1154"/>
      <c r="M60" s="1154"/>
      <c r="N60" s="1154"/>
      <c r="O60" s="1154"/>
      <c r="P60" s="1154"/>
      <c r="Q60" s="1154"/>
      <c r="R60" s="1154"/>
      <c r="S60" s="1154"/>
      <c r="T60" s="1154"/>
      <c r="U60" s="1154"/>
      <c r="V60" s="1154"/>
      <c r="W60" s="1154"/>
      <c r="X60" s="1154"/>
      <c r="Y60" s="1154"/>
      <c r="Z60" s="1154"/>
    </row>
    <row r="61">
      <c r="A61" s="1155">
        <v>28.0</v>
      </c>
      <c r="B61" s="185"/>
      <c r="C61" s="1155" t="s">
        <v>5891</v>
      </c>
      <c r="D61" s="185"/>
      <c r="E61" s="1154"/>
      <c r="F61" s="1154"/>
      <c r="G61" s="1154"/>
      <c r="H61" s="1154"/>
      <c r="I61" s="1154"/>
      <c r="J61" s="1154"/>
      <c r="K61" s="1154"/>
      <c r="L61" s="1154"/>
      <c r="M61" s="1154"/>
      <c r="N61" s="1154"/>
      <c r="O61" s="1154"/>
      <c r="P61" s="1154"/>
      <c r="Q61" s="1154"/>
      <c r="R61" s="1154"/>
      <c r="S61" s="1154"/>
      <c r="T61" s="1154"/>
      <c r="U61" s="1154"/>
      <c r="V61" s="1154"/>
      <c r="W61" s="1154"/>
      <c r="X61" s="1154"/>
      <c r="Y61" s="1154"/>
      <c r="Z61" s="1154"/>
    </row>
    <row r="62">
      <c r="A62" s="1155">
        <v>29.0</v>
      </c>
      <c r="B62" s="1158">
        <v>15.0</v>
      </c>
      <c r="C62" s="1155" t="s">
        <v>5889</v>
      </c>
      <c r="D62" s="1158" t="s">
        <v>663</v>
      </c>
      <c r="E62" s="1154"/>
      <c r="F62" s="1154"/>
      <c r="G62" s="1154"/>
      <c r="H62" s="1154"/>
      <c r="I62" s="1154"/>
      <c r="J62" s="1154"/>
      <c r="K62" s="1154"/>
      <c r="L62" s="1154"/>
      <c r="M62" s="1154"/>
      <c r="N62" s="1154"/>
      <c r="O62" s="1154"/>
      <c r="P62" s="1154"/>
      <c r="Q62" s="1154"/>
      <c r="R62" s="1154"/>
      <c r="S62" s="1154"/>
      <c r="T62" s="1154"/>
      <c r="U62" s="1154"/>
      <c r="V62" s="1154"/>
      <c r="W62" s="1154"/>
      <c r="X62" s="1154"/>
      <c r="Y62" s="1154"/>
      <c r="Z62" s="1154"/>
    </row>
    <row r="63">
      <c r="A63" s="1155">
        <v>30.0</v>
      </c>
      <c r="B63" s="185"/>
      <c r="C63" s="1155" t="s">
        <v>5891</v>
      </c>
      <c r="D63" s="185"/>
      <c r="E63" s="1154"/>
      <c r="F63" s="1154"/>
      <c r="G63" s="1154"/>
      <c r="H63" s="1154"/>
      <c r="I63" s="1154"/>
      <c r="J63" s="1154"/>
      <c r="K63" s="1154"/>
      <c r="L63" s="1154"/>
      <c r="M63" s="1154"/>
      <c r="N63" s="1154"/>
      <c r="O63" s="1154"/>
      <c r="P63" s="1154"/>
      <c r="Q63" s="1154"/>
      <c r="R63" s="1154"/>
      <c r="S63" s="1154"/>
      <c r="T63" s="1154"/>
      <c r="U63" s="1154"/>
      <c r="V63" s="1154"/>
      <c r="W63" s="1154"/>
      <c r="X63" s="1154"/>
      <c r="Y63" s="1154"/>
      <c r="Z63" s="1154"/>
    </row>
    <row r="64">
      <c r="A64" s="1155">
        <v>31.0</v>
      </c>
      <c r="B64" s="1158">
        <v>16.0</v>
      </c>
      <c r="C64" s="1155" t="s">
        <v>5889</v>
      </c>
      <c r="D64" s="1158" t="s">
        <v>157</v>
      </c>
      <c r="E64" s="1154"/>
      <c r="F64" s="1154"/>
      <c r="G64" s="1154"/>
      <c r="H64" s="1154"/>
      <c r="I64" s="1154"/>
      <c r="J64" s="1154"/>
      <c r="K64" s="1154"/>
      <c r="L64" s="1154"/>
      <c r="M64" s="1154"/>
      <c r="N64" s="1154"/>
      <c r="O64" s="1154"/>
      <c r="P64" s="1154"/>
      <c r="Q64" s="1154"/>
      <c r="R64" s="1154"/>
      <c r="S64" s="1154"/>
      <c r="T64" s="1154"/>
      <c r="U64" s="1154"/>
      <c r="V64" s="1154"/>
      <c r="W64" s="1154"/>
      <c r="X64" s="1154"/>
      <c r="Y64" s="1154"/>
      <c r="Z64" s="1154"/>
    </row>
    <row r="65">
      <c r="A65" s="1155">
        <v>32.0</v>
      </c>
      <c r="B65" s="185"/>
      <c r="C65" s="1155" t="s">
        <v>5891</v>
      </c>
      <c r="D65" s="185"/>
      <c r="E65" s="1154"/>
      <c r="F65" s="1154"/>
      <c r="G65" s="1154"/>
      <c r="H65" s="1154"/>
      <c r="I65" s="1154"/>
      <c r="J65" s="1154"/>
      <c r="K65" s="1154"/>
      <c r="L65" s="1154"/>
      <c r="M65" s="1154"/>
      <c r="N65" s="1154"/>
      <c r="O65" s="1154"/>
      <c r="P65" s="1154"/>
      <c r="Q65" s="1154"/>
      <c r="R65" s="1154"/>
      <c r="S65" s="1154"/>
      <c r="T65" s="1154"/>
      <c r="U65" s="1154"/>
      <c r="V65" s="1154"/>
      <c r="W65" s="1154"/>
      <c r="X65" s="1154"/>
      <c r="Y65" s="1154"/>
      <c r="Z65" s="1154"/>
    </row>
    <row r="66">
      <c r="A66" s="1155">
        <v>33.0</v>
      </c>
      <c r="B66" s="1158">
        <v>17.0</v>
      </c>
      <c r="C66" s="1155" t="s">
        <v>5889</v>
      </c>
      <c r="D66" s="1158" t="s">
        <v>1287</v>
      </c>
      <c r="E66" s="1154"/>
      <c r="F66" s="1154"/>
      <c r="G66" s="1154"/>
      <c r="H66" s="1154"/>
      <c r="I66" s="1154"/>
      <c r="J66" s="1154"/>
      <c r="K66" s="1154"/>
      <c r="L66" s="1154"/>
      <c r="M66" s="1154"/>
      <c r="N66" s="1154"/>
      <c r="O66" s="1154"/>
      <c r="P66" s="1154"/>
      <c r="Q66" s="1154"/>
      <c r="R66" s="1154"/>
      <c r="S66" s="1154"/>
      <c r="T66" s="1154"/>
      <c r="U66" s="1154"/>
      <c r="V66" s="1154"/>
      <c r="W66" s="1154"/>
      <c r="X66" s="1154"/>
      <c r="Y66" s="1154"/>
      <c r="Z66" s="1154"/>
    </row>
    <row r="67">
      <c r="A67" s="1155">
        <v>34.0</v>
      </c>
      <c r="B67" s="185"/>
      <c r="C67" s="1155" t="s">
        <v>5891</v>
      </c>
      <c r="D67" s="185"/>
      <c r="E67" s="1154"/>
      <c r="F67" s="1154"/>
      <c r="G67" s="1154"/>
      <c r="H67" s="1154"/>
      <c r="I67" s="1154"/>
      <c r="J67" s="1154"/>
      <c r="K67" s="1154"/>
      <c r="L67" s="1154"/>
      <c r="M67" s="1154"/>
      <c r="N67" s="1154"/>
      <c r="O67" s="1154"/>
      <c r="P67" s="1154"/>
      <c r="Q67" s="1154"/>
      <c r="R67" s="1154"/>
      <c r="S67" s="1154"/>
      <c r="T67" s="1154"/>
      <c r="U67" s="1154"/>
      <c r="V67" s="1154"/>
      <c r="W67" s="1154"/>
      <c r="X67" s="1154"/>
      <c r="Y67" s="1154"/>
      <c r="Z67" s="1154"/>
    </row>
    <row r="68">
      <c r="A68" s="1155">
        <v>35.0</v>
      </c>
      <c r="B68" s="1158">
        <v>18.0</v>
      </c>
      <c r="C68" s="1155" t="s">
        <v>5889</v>
      </c>
      <c r="D68" s="1158" t="s">
        <v>5883</v>
      </c>
      <c r="E68" s="1154"/>
      <c r="F68" s="1154"/>
      <c r="G68" s="1154"/>
      <c r="H68" s="1154"/>
      <c r="I68" s="1154"/>
      <c r="J68" s="1154"/>
      <c r="K68" s="1154"/>
      <c r="L68" s="1154"/>
      <c r="M68" s="1154"/>
      <c r="N68" s="1154"/>
      <c r="O68" s="1154"/>
      <c r="P68" s="1154"/>
      <c r="Q68" s="1154"/>
      <c r="R68" s="1154"/>
      <c r="S68" s="1154"/>
      <c r="T68" s="1154"/>
      <c r="U68" s="1154"/>
      <c r="V68" s="1154"/>
      <c r="W68" s="1154"/>
      <c r="X68" s="1154"/>
      <c r="Y68" s="1154"/>
      <c r="Z68" s="1154"/>
    </row>
    <row r="69">
      <c r="A69" s="1155">
        <v>36.0</v>
      </c>
      <c r="B69" s="185"/>
      <c r="C69" s="1155" t="s">
        <v>5891</v>
      </c>
      <c r="D69" s="1155"/>
      <c r="E69" s="1154"/>
      <c r="F69" s="1154"/>
      <c r="G69" s="1154"/>
      <c r="H69" s="1154"/>
      <c r="I69" s="1154"/>
      <c r="J69" s="1154"/>
      <c r="K69" s="1154"/>
      <c r="L69" s="1154"/>
      <c r="M69" s="1154"/>
      <c r="N69" s="1154"/>
      <c r="O69" s="1154"/>
      <c r="P69" s="1154"/>
      <c r="Q69" s="1154"/>
      <c r="R69" s="1154"/>
      <c r="S69" s="1154"/>
      <c r="T69" s="1154"/>
      <c r="U69" s="1154"/>
      <c r="V69" s="1154"/>
      <c r="W69" s="1154"/>
      <c r="X69" s="1154"/>
      <c r="Y69" s="1154"/>
      <c r="Z69" s="1154"/>
    </row>
    <row r="70">
      <c r="A70" s="1155">
        <v>37.0</v>
      </c>
      <c r="B70" s="1158">
        <v>19.0</v>
      </c>
      <c r="C70" s="1155" t="s">
        <v>5889</v>
      </c>
      <c r="D70" s="1158" t="s">
        <v>77</v>
      </c>
      <c r="E70" s="1154"/>
      <c r="F70" s="1154"/>
      <c r="G70" s="1154"/>
      <c r="H70" s="1154"/>
      <c r="I70" s="1154"/>
      <c r="J70" s="1154"/>
      <c r="K70" s="1154"/>
      <c r="L70" s="1154"/>
      <c r="M70" s="1154"/>
      <c r="N70" s="1154"/>
      <c r="O70" s="1154"/>
      <c r="P70" s="1154"/>
      <c r="Q70" s="1154"/>
      <c r="R70" s="1154"/>
      <c r="S70" s="1154"/>
      <c r="T70" s="1154"/>
      <c r="U70" s="1154"/>
      <c r="V70" s="1154"/>
      <c r="W70" s="1154"/>
      <c r="X70" s="1154"/>
      <c r="Y70" s="1154"/>
      <c r="Z70" s="1154"/>
    </row>
    <row r="71">
      <c r="A71" s="1155">
        <v>38.0</v>
      </c>
      <c r="B71" s="185"/>
      <c r="C71" s="1155" t="s">
        <v>5891</v>
      </c>
      <c r="D71" s="185"/>
      <c r="E71" s="1154"/>
      <c r="F71" s="1154"/>
      <c r="G71" s="1154"/>
      <c r="H71" s="1154"/>
      <c r="I71" s="1154"/>
      <c r="J71" s="1154"/>
      <c r="K71" s="1154"/>
      <c r="L71" s="1154"/>
      <c r="M71" s="1154"/>
      <c r="N71" s="1154"/>
      <c r="O71" s="1154"/>
      <c r="P71" s="1154"/>
      <c r="Q71" s="1154"/>
      <c r="R71" s="1154"/>
      <c r="S71" s="1154"/>
      <c r="T71" s="1154"/>
      <c r="U71" s="1154"/>
      <c r="V71" s="1154"/>
      <c r="W71" s="1154"/>
      <c r="X71" s="1154"/>
      <c r="Y71" s="1154"/>
      <c r="Z71" s="1154"/>
    </row>
    <row r="72">
      <c r="A72" s="1155">
        <v>39.0</v>
      </c>
      <c r="B72" s="1158">
        <v>20.0</v>
      </c>
      <c r="C72" s="1155" t="s">
        <v>5889</v>
      </c>
      <c r="D72" s="1158" t="s">
        <v>5897</v>
      </c>
      <c r="E72" s="1154"/>
      <c r="F72" s="1154"/>
      <c r="G72" s="1154"/>
      <c r="H72" s="1154"/>
      <c r="I72" s="1154"/>
      <c r="J72" s="1154"/>
      <c r="K72" s="1154"/>
      <c r="L72" s="1154"/>
      <c r="M72" s="1154"/>
      <c r="N72" s="1154"/>
      <c r="O72" s="1154"/>
      <c r="P72" s="1154"/>
      <c r="Q72" s="1154"/>
      <c r="R72" s="1154"/>
      <c r="S72" s="1154"/>
      <c r="T72" s="1154"/>
      <c r="U72" s="1154"/>
      <c r="V72" s="1154"/>
      <c r="W72" s="1154"/>
      <c r="X72" s="1154"/>
      <c r="Y72" s="1154"/>
      <c r="Z72" s="1154"/>
    </row>
    <row r="73">
      <c r="A73" s="1155">
        <v>40.0</v>
      </c>
      <c r="B73" s="185"/>
      <c r="C73" s="1155" t="s">
        <v>5891</v>
      </c>
      <c r="D73" s="185"/>
      <c r="E73" s="1154"/>
      <c r="F73" s="1154"/>
      <c r="G73" s="1154"/>
      <c r="H73" s="1154"/>
      <c r="I73" s="1154"/>
      <c r="J73" s="1154"/>
      <c r="K73" s="1154"/>
      <c r="L73" s="1154"/>
      <c r="M73" s="1154"/>
      <c r="N73" s="1154"/>
      <c r="O73" s="1154"/>
      <c r="P73" s="1154"/>
      <c r="Q73" s="1154"/>
      <c r="R73" s="1154"/>
      <c r="S73" s="1154"/>
      <c r="T73" s="1154"/>
      <c r="U73" s="1154"/>
      <c r="V73" s="1154"/>
      <c r="W73" s="1154"/>
      <c r="X73" s="1154"/>
      <c r="Y73" s="1154"/>
      <c r="Z73" s="1154"/>
    </row>
    <row r="74">
      <c r="A74" s="1155">
        <v>41.0</v>
      </c>
      <c r="B74" s="1158">
        <v>21.0</v>
      </c>
      <c r="C74" s="1155" t="s">
        <v>5889</v>
      </c>
      <c r="D74" s="1155" t="s">
        <v>5884</v>
      </c>
      <c r="E74" s="1154"/>
      <c r="F74" s="1154"/>
      <c r="G74" s="1154"/>
      <c r="H74" s="1154"/>
      <c r="I74" s="1154"/>
      <c r="J74" s="1154"/>
      <c r="K74" s="1154"/>
      <c r="L74" s="1154"/>
      <c r="M74" s="1154"/>
      <c r="N74" s="1154"/>
      <c r="O74" s="1154"/>
      <c r="P74" s="1154"/>
      <c r="Q74" s="1154"/>
      <c r="R74" s="1154"/>
      <c r="S74" s="1154"/>
      <c r="T74" s="1154"/>
      <c r="U74" s="1154"/>
      <c r="V74" s="1154"/>
      <c r="W74" s="1154"/>
      <c r="X74" s="1154"/>
      <c r="Y74" s="1154"/>
      <c r="Z74" s="1154"/>
    </row>
    <row r="75">
      <c r="A75" s="1155">
        <v>42.0</v>
      </c>
      <c r="B75" s="185"/>
      <c r="C75" s="1155" t="s">
        <v>5891</v>
      </c>
      <c r="D75" s="1159" t="s">
        <v>66</v>
      </c>
      <c r="E75" s="1154"/>
      <c r="F75" s="1154"/>
      <c r="G75" s="1154"/>
      <c r="H75" s="1154"/>
      <c r="I75" s="1154"/>
      <c r="J75" s="1154"/>
      <c r="K75" s="1154"/>
      <c r="L75" s="1154"/>
      <c r="M75" s="1154"/>
      <c r="N75" s="1154"/>
      <c r="O75" s="1154"/>
      <c r="P75" s="1154"/>
      <c r="Q75" s="1154"/>
      <c r="R75" s="1154"/>
      <c r="S75" s="1154"/>
      <c r="T75" s="1154"/>
      <c r="U75" s="1154"/>
      <c r="V75" s="1154"/>
      <c r="W75" s="1154"/>
      <c r="X75" s="1154"/>
      <c r="Y75" s="1154"/>
      <c r="Z75" s="1154"/>
    </row>
    <row r="76">
      <c r="A76" s="1155">
        <v>43.0</v>
      </c>
      <c r="B76" s="1158">
        <v>22.0</v>
      </c>
      <c r="C76" s="1155" t="s">
        <v>5889</v>
      </c>
      <c r="D76" s="1155" t="s">
        <v>5898</v>
      </c>
      <c r="E76" s="1154"/>
      <c r="F76" s="1154"/>
      <c r="G76" s="1154"/>
      <c r="H76" s="1154"/>
      <c r="I76" s="1154"/>
      <c r="J76" s="1154"/>
      <c r="K76" s="1154"/>
      <c r="L76" s="1154"/>
      <c r="M76" s="1154"/>
      <c r="N76" s="1154"/>
      <c r="O76" s="1154"/>
      <c r="P76" s="1154"/>
      <c r="Q76" s="1154"/>
      <c r="R76" s="1154"/>
      <c r="S76" s="1154"/>
      <c r="T76" s="1154"/>
      <c r="U76" s="1154"/>
      <c r="V76" s="1154"/>
      <c r="W76" s="1154"/>
      <c r="X76" s="1154"/>
      <c r="Y76" s="1154"/>
      <c r="Z76" s="1154"/>
    </row>
    <row r="77">
      <c r="A77" s="1155">
        <v>44.0</v>
      </c>
      <c r="B77" s="185"/>
      <c r="C77" s="1155" t="s">
        <v>5891</v>
      </c>
      <c r="D77" s="1159" t="s">
        <v>5899</v>
      </c>
      <c r="E77" s="1154"/>
      <c r="F77" s="1154"/>
      <c r="G77" s="1154"/>
      <c r="H77" s="1154"/>
      <c r="I77" s="1154"/>
      <c r="J77" s="1154"/>
      <c r="K77" s="1154"/>
      <c r="L77" s="1154"/>
      <c r="M77" s="1154"/>
      <c r="N77" s="1154"/>
      <c r="O77" s="1154"/>
      <c r="P77" s="1154"/>
      <c r="Q77" s="1154"/>
      <c r="R77" s="1154"/>
      <c r="S77" s="1154"/>
      <c r="T77" s="1154"/>
      <c r="U77" s="1154"/>
      <c r="V77" s="1154"/>
      <c r="W77" s="1154"/>
      <c r="X77" s="1154"/>
      <c r="Y77" s="1154"/>
      <c r="Z77" s="1154"/>
    </row>
    <row r="78">
      <c r="A78" s="1155">
        <v>45.0</v>
      </c>
      <c r="B78" s="1158">
        <v>23.0</v>
      </c>
      <c r="C78" s="1155" t="s">
        <v>5889</v>
      </c>
      <c r="D78" s="1158" t="s">
        <v>1571</v>
      </c>
      <c r="E78" s="1154"/>
      <c r="F78" s="1154"/>
      <c r="G78" s="1154"/>
      <c r="H78" s="1154"/>
      <c r="I78" s="1154"/>
      <c r="J78" s="1154"/>
      <c r="K78" s="1154"/>
      <c r="L78" s="1154"/>
      <c r="M78" s="1154"/>
      <c r="N78" s="1154"/>
      <c r="O78" s="1154"/>
      <c r="P78" s="1154"/>
      <c r="Q78" s="1154"/>
      <c r="R78" s="1154"/>
      <c r="S78" s="1154"/>
      <c r="T78" s="1154"/>
      <c r="U78" s="1154"/>
      <c r="V78" s="1154"/>
      <c r="W78" s="1154"/>
      <c r="X78" s="1154"/>
      <c r="Y78" s="1154"/>
      <c r="Z78" s="1154"/>
    </row>
    <row r="79">
      <c r="A79" s="1155">
        <v>46.0</v>
      </c>
      <c r="B79" s="185"/>
      <c r="C79" s="1155" t="s">
        <v>5891</v>
      </c>
      <c r="D79" s="185"/>
      <c r="E79" s="1154"/>
      <c r="F79" s="1154"/>
      <c r="G79" s="1154"/>
      <c r="H79" s="1154"/>
      <c r="I79" s="1154"/>
      <c r="J79" s="1154"/>
      <c r="K79" s="1154"/>
      <c r="L79" s="1154"/>
      <c r="M79" s="1154"/>
      <c r="N79" s="1154"/>
      <c r="O79" s="1154"/>
      <c r="P79" s="1154"/>
      <c r="Q79" s="1154"/>
      <c r="R79" s="1154"/>
      <c r="S79" s="1154"/>
      <c r="T79" s="1154"/>
      <c r="U79" s="1154"/>
      <c r="V79" s="1154"/>
      <c r="W79" s="1154"/>
      <c r="X79" s="1154"/>
      <c r="Y79" s="1154"/>
      <c r="Z79" s="1154"/>
    </row>
    <row r="80">
      <c r="A80" s="1155">
        <v>47.0</v>
      </c>
      <c r="B80" s="1158">
        <v>24.0</v>
      </c>
      <c r="C80" s="1155" t="s">
        <v>5889</v>
      </c>
      <c r="D80" s="1158" t="s">
        <v>1571</v>
      </c>
      <c r="E80" s="1154"/>
      <c r="F80" s="1154"/>
      <c r="G80" s="1154"/>
      <c r="H80" s="1154"/>
      <c r="I80" s="1154"/>
      <c r="J80" s="1154"/>
      <c r="K80" s="1154"/>
      <c r="L80" s="1154"/>
      <c r="M80" s="1154"/>
      <c r="N80" s="1154"/>
      <c r="O80" s="1154"/>
      <c r="P80" s="1154"/>
      <c r="Q80" s="1154"/>
      <c r="R80" s="1154"/>
      <c r="S80" s="1154"/>
      <c r="T80" s="1154"/>
      <c r="U80" s="1154"/>
      <c r="V80" s="1154"/>
      <c r="W80" s="1154"/>
      <c r="X80" s="1154"/>
      <c r="Y80" s="1154"/>
      <c r="Z80" s="1154"/>
    </row>
    <row r="81">
      <c r="A81" s="1155">
        <v>48.0</v>
      </c>
      <c r="B81" s="185"/>
      <c r="C81" s="1155" t="s">
        <v>5891</v>
      </c>
      <c r="D81" s="185"/>
      <c r="E81" s="1154"/>
      <c r="F81" s="1154"/>
      <c r="G81" s="1154"/>
      <c r="H81" s="1154"/>
      <c r="I81" s="1154"/>
      <c r="J81" s="1154"/>
      <c r="K81" s="1154"/>
      <c r="L81" s="1154"/>
      <c r="M81" s="1154"/>
      <c r="N81" s="1154"/>
      <c r="O81" s="1154"/>
      <c r="P81" s="1154"/>
      <c r="Q81" s="1154"/>
      <c r="R81" s="1154"/>
      <c r="S81" s="1154"/>
      <c r="T81" s="1154"/>
      <c r="U81" s="1154"/>
      <c r="V81" s="1154"/>
      <c r="W81" s="1154"/>
      <c r="X81" s="1154"/>
      <c r="Y81" s="1154"/>
      <c r="Z81" s="1154"/>
    </row>
    <row r="82">
      <c r="A82" s="1155">
        <v>49.0</v>
      </c>
      <c r="B82" s="1158">
        <v>25.0</v>
      </c>
      <c r="C82" s="1155" t="s">
        <v>5889</v>
      </c>
      <c r="D82" s="1158" t="s">
        <v>1571</v>
      </c>
      <c r="E82" s="1154"/>
      <c r="F82" s="1154"/>
      <c r="G82" s="1154"/>
      <c r="H82" s="1154"/>
      <c r="I82" s="1154"/>
      <c r="J82" s="1154"/>
      <c r="K82" s="1154"/>
      <c r="L82" s="1154"/>
      <c r="M82" s="1154"/>
      <c r="N82" s="1154"/>
      <c r="O82" s="1154"/>
      <c r="P82" s="1154"/>
      <c r="Q82" s="1154"/>
      <c r="R82" s="1154"/>
      <c r="S82" s="1154"/>
      <c r="T82" s="1154"/>
      <c r="U82" s="1154"/>
      <c r="V82" s="1154"/>
      <c r="W82" s="1154"/>
      <c r="X82" s="1154"/>
      <c r="Y82" s="1154"/>
      <c r="Z82" s="1154"/>
    </row>
    <row r="83">
      <c r="A83" s="1155">
        <v>50.0</v>
      </c>
      <c r="B83" s="185"/>
      <c r="C83" s="1155" t="s">
        <v>5891</v>
      </c>
      <c r="D83" s="185"/>
      <c r="E83" s="1154"/>
      <c r="F83" s="1154"/>
      <c r="G83" s="1154"/>
      <c r="H83" s="1154"/>
      <c r="I83" s="1154"/>
      <c r="J83" s="1154"/>
      <c r="K83" s="1154"/>
      <c r="L83" s="1154"/>
      <c r="M83" s="1154"/>
      <c r="N83" s="1154"/>
      <c r="O83" s="1154"/>
      <c r="P83" s="1154"/>
      <c r="Q83" s="1154"/>
      <c r="R83" s="1154"/>
      <c r="S83" s="1154"/>
      <c r="T83" s="1154"/>
      <c r="U83" s="1154"/>
      <c r="V83" s="1154"/>
      <c r="W83" s="1154"/>
      <c r="X83" s="1154"/>
      <c r="Y83" s="1154"/>
      <c r="Z83" s="1154"/>
    </row>
    <row r="84">
      <c r="A84" s="1155">
        <v>51.0</v>
      </c>
      <c r="B84" s="1158">
        <v>26.0</v>
      </c>
      <c r="C84" s="1155" t="s">
        <v>5889</v>
      </c>
      <c r="D84" s="1158" t="s">
        <v>1571</v>
      </c>
      <c r="E84" s="1154"/>
      <c r="F84" s="1154"/>
      <c r="G84" s="1154"/>
      <c r="H84" s="1154"/>
      <c r="I84" s="1154"/>
      <c r="J84" s="1154"/>
      <c r="K84" s="1154"/>
      <c r="L84" s="1154"/>
      <c r="M84" s="1154"/>
      <c r="N84" s="1154"/>
      <c r="O84" s="1154"/>
      <c r="P84" s="1154"/>
      <c r="Q84" s="1154"/>
      <c r="R84" s="1154"/>
      <c r="S84" s="1154"/>
      <c r="T84" s="1154"/>
      <c r="U84" s="1154"/>
      <c r="V84" s="1154"/>
      <c r="W84" s="1154"/>
      <c r="X84" s="1154"/>
      <c r="Y84" s="1154"/>
      <c r="Z84" s="1154"/>
    </row>
    <row r="85">
      <c r="A85" s="1155">
        <v>52.0</v>
      </c>
      <c r="B85" s="185"/>
      <c r="C85" s="1155" t="s">
        <v>5891</v>
      </c>
      <c r="D85" s="185"/>
      <c r="E85" s="1154"/>
      <c r="F85" s="1154"/>
      <c r="G85" s="1154"/>
      <c r="H85" s="1154"/>
      <c r="I85" s="1154"/>
      <c r="J85" s="1154"/>
      <c r="K85" s="1154"/>
      <c r="L85" s="1154"/>
      <c r="M85" s="1154"/>
      <c r="N85" s="1154"/>
      <c r="O85" s="1154"/>
      <c r="P85" s="1154"/>
      <c r="Q85" s="1154"/>
      <c r="R85" s="1154"/>
      <c r="S85" s="1154"/>
      <c r="T85" s="1154"/>
      <c r="U85" s="1154"/>
      <c r="V85" s="1154"/>
      <c r="W85" s="1154"/>
      <c r="X85" s="1154"/>
      <c r="Y85" s="1154"/>
      <c r="Z85" s="1154"/>
    </row>
    <row r="86">
      <c r="A86" s="1155">
        <v>53.0</v>
      </c>
      <c r="B86" s="1158">
        <v>27.0</v>
      </c>
      <c r="C86" s="1155" t="s">
        <v>5889</v>
      </c>
      <c r="D86" s="1158" t="s">
        <v>5900</v>
      </c>
      <c r="E86" s="1154"/>
      <c r="F86" s="1154"/>
      <c r="G86" s="1154"/>
      <c r="H86" s="1154"/>
      <c r="I86" s="1154"/>
      <c r="J86" s="1154"/>
      <c r="K86" s="1154"/>
      <c r="L86" s="1154"/>
      <c r="M86" s="1154"/>
      <c r="N86" s="1154"/>
      <c r="O86" s="1154"/>
      <c r="P86" s="1154"/>
      <c r="Q86" s="1154"/>
      <c r="R86" s="1154"/>
      <c r="S86" s="1154"/>
      <c r="T86" s="1154"/>
      <c r="U86" s="1154"/>
      <c r="V86" s="1154"/>
      <c r="W86" s="1154"/>
      <c r="X86" s="1154"/>
      <c r="Y86" s="1154"/>
      <c r="Z86" s="1154"/>
    </row>
    <row r="87">
      <c r="A87" s="1155">
        <v>54.0</v>
      </c>
      <c r="B87" s="185"/>
      <c r="C87" s="1155" t="s">
        <v>5891</v>
      </c>
      <c r="D87" s="185"/>
      <c r="E87" s="1154"/>
      <c r="F87" s="1154"/>
      <c r="G87" s="1154"/>
      <c r="H87" s="1154"/>
      <c r="I87" s="1154"/>
      <c r="J87" s="1154"/>
      <c r="K87" s="1154"/>
      <c r="L87" s="1154"/>
      <c r="M87" s="1154"/>
      <c r="N87" s="1154"/>
      <c r="O87" s="1154"/>
      <c r="P87" s="1154"/>
      <c r="Q87" s="1154"/>
      <c r="R87" s="1154"/>
      <c r="S87" s="1154"/>
      <c r="T87" s="1154"/>
      <c r="U87" s="1154"/>
      <c r="V87" s="1154"/>
      <c r="W87" s="1154"/>
      <c r="X87" s="1154"/>
      <c r="Y87" s="1154"/>
      <c r="Z87" s="1154"/>
    </row>
    <row r="88">
      <c r="A88" s="1155">
        <v>55.0</v>
      </c>
      <c r="B88" s="1158">
        <v>28.0</v>
      </c>
      <c r="C88" s="1155" t="s">
        <v>5889</v>
      </c>
      <c r="D88" s="1158" t="s">
        <v>5901</v>
      </c>
      <c r="E88" s="1154"/>
      <c r="F88" s="1154"/>
      <c r="G88" s="1154"/>
      <c r="H88" s="1154"/>
      <c r="I88" s="1154"/>
      <c r="J88" s="1154"/>
      <c r="K88" s="1154"/>
      <c r="L88" s="1154"/>
      <c r="M88" s="1154"/>
      <c r="N88" s="1154"/>
      <c r="O88" s="1154"/>
      <c r="P88" s="1154"/>
      <c r="Q88" s="1154"/>
      <c r="R88" s="1154"/>
      <c r="S88" s="1154"/>
      <c r="T88" s="1154"/>
      <c r="U88" s="1154"/>
      <c r="V88" s="1154"/>
      <c r="W88" s="1154"/>
      <c r="X88" s="1154"/>
      <c r="Y88" s="1154"/>
      <c r="Z88" s="1154"/>
    </row>
    <row r="89">
      <c r="A89" s="1155">
        <v>56.0</v>
      </c>
      <c r="B89" s="185"/>
      <c r="C89" s="1155" t="s">
        <v>5891</v>
      </c>
      <c r="D89" s="1159" t="s">
        <v>5902</v>
      </c>
      <c r="E89" s="1154"/>
      <c r="F89" s="1154"/>
      <c r="G89" s="1154"/>
      <c r="H89" s="1154"/>
      <c r="I89" s="1154"/>
      <c r="J89" s="1154"/>
      <c r="K89" s="1154"/>
      <c r="L89" s="1154"/>
      <c r="M89" s="1154"/>
      <c r="N89" s="1154"/>
      <c r="O89" s="1154"/>
      <c r="P89" s="1154"/>
      <c r="Q89" s="1154"/>
      <c r="R89" s="1154"/>
      <c r="S89" s="1154"/>
      <c r="T89" s="1154"/>
      <c r="U89" s="1154"/>
      <c r="V89" s="1154"/>
      <c r="W89" s="1154"/>
      <c r="X89" s="1154"/>
      <c r="Y89" s="1154"/>
      <c r="Z89" s="1154"/>
    </row>
    <row r="90">
      <c r="A90" s="1155">
        <v>57.0</v>
      </c>
      <c r="B90" s="1158">
        <v>29.0</v>
      </c>
      <c r="C90" s="1155" t="s">
        <v>5889</v>
      </c>
      <c r="D90" s="1158" t="s">
        <v>5903</v>
      </c>
      <c r="E90" s="1154"/>
      <c r="F90" s="1154"/>
      <c r="G90" s="1154"/>
      <c r="H90" s="1154"/>
      <c r="I90" s="1154"/>
      <c r="J90" s="1154"/>
      <c r="K90" s="1154"/>
      <c r="L90" s="1154"/>
      <c r="M90" s="1154"/>
      <c r="N90" s="1154"/>
      <c r="O90" s="1154"/>
      <c r="P90" s="1154"/>
      <c r="Q90" s="1154"/>
      <c r="R90" s="1154"/>
      <c r="S90" s="1154"/>
      <c r="T90" s="1154"/>
      <c r="U90" s="1154"/>
      <c r="V90" s="1154"/>
      <c r="W90" s="1154"/>
      <c r="X90" s="1154"/>
      <c r="Y90" s="1154"/>
      <c r="Z90" s="1154"/>
    </row>
    <row r="91">
      <c r="A91" s="1155">
        <v>58.0</v>
      </c>
      <c r="B91" s="185"/>
      <c r="C91" s="1155" t="s">
        <v>5891</v>
      </c>
      <c r="D91" s="185"/>
      <c r="E91" s="1154"/>
      <c r="F91" s="1154"/>
      <c r="G91" s="1154"/>
      <c r="H91" s="1154"/>
      <c r="I91" s="1154"/>
      <c r="J91" s="1154"/>
      <c r="K91" s="1154"/>
      <c r="L91" s="1154"/>
      <c r="M91" s="1154"/>
      <c r="N91" s="1154"/>
      <c r="O91" s="1154"/>
      <c r="P91" s="1154"/>
      <c r="Q91" s="1154"/>
      <c r="R91" s="1154"/>
      <c r="S91" s="1154"/>
      <c r="T91" s="1154"/>
      <c r="U91" s="1154"/>
      <c r="V91" s="1154"/>
      <c r="W91" s="1154"/>
      <c r="X91" s="1154"/>
      <c r="Y91" s="1154"/>
      <c r="Z91" s="1154"/>
    </row>
    <row r="92">
      <c r="A92" s="1155">
        <v>59.0</v>
      </c>
      <c r="B92" s="1158">
        <v>30.0</v>
      </c>
      <c r="C92" s="1155" t="s">
        <v>5889</v>
      </c>
      <c r="D92" s="1158" t="s">
        <v>5904</v>
      </c>
      <c r="E92" s="1154"/>
      <c r="F92" s="1154"/>
      <c r="G92" s="1154"/>
      <c r="H92" s="1154"/>
      <c r="I92" s="1154"/>
      <c r="J92" s="1154"/>
      <c r="K92" s="1154"/>
      <c r="L92" s="1154"/>
      <c r="M92" s="1154"/>
      <c r="N92" s="1154"/>
      <c r="O92" s="1154"/>
      <c r="P92" s="1154"/>
      <c r="Q92" s="1154"/>
      <c r="R92" s="1154"/>
      <c r="S92" s="1154"/>
      <c r="T92" s="1154"/>
      <c r="U92" s="1154"/>
      <c r="V92" s="1154"/>
      <c r="W92" s="1154"/>
      <c r="X92" s="1154"/>
      <c r="Y92" s="1154"/>
      <c r="Z92" s="1154"/>
    </row>
    <row r="93">
      <c r="A93" s="1155">
        <v>60.0</v>
      </c>
      <c r="B93" s="185"/>
      <c r="C93" s="1155" t="s">
        <v>5891</v>
      </c>
      <c r="D93" s="185"/>
      <c r="E93" s="1154"/>
      <c r="F93" s="1154"/>
      <c r="G93" s="1154"/>
      <c r="H93" s="1154"/>
      <c r="I93" s="1154"/>
      <c r="J93" s="1154"/>
      <c r="K93" s="1154"/>
      <c r="L93" s="1154"/>
      <c r="M93" s="1154"/>
      <c r="N93" s="1154"/>
      <c r="O93" s="1154"/>
      <c r="P93" s="1154"/>
      <c r="Q93" s="1154"/>
      <c r="R93" s="1154"/>
      <c r="S93" s="1154"/>
      <c r="T93" s="1154"/>
      <c r="U93" s="1154"/>
      <c r="V93" s="1154"/>
      <c r="W93" s="1154"/>
      <c r="X93" s="1154"/>
      <c r="Y93" s="1154"/>
      <c r="Z93" s="1154"/>
    </row>
    <row r="94">
      <c r="A94" s="1155">
        <v>61.0</v>
      </c>
      <c r="B94" s="1158">
        <v>31.0</v>
      </c>
      <c r="C94" s="1155" t="s">
        <v>5889</v>
      </c>
      <c r="D94" s="1158" t="s">
        <v>5905</v>
      </c>
      <c r="E94" s="1154"/>
      <c r="F94" s="1154"/>
      <c r="G94" s="1154"/>
      <c r="H94" s="1154"/>
      <c r="I94" s="1154"/>
      <c r="J94" s="1154"/>
      <c r="K94" s="1154"/>
      <c r="L94" s="1154"/>
      <c r="M94" s="1154"/>
      <c r="N94" s="1154"/>
      <c r="O94" s="1154"/>
      <c r="P94" s="1154"/>
      <c r="Q94" s="1154"/>
      <c r="R94" s="1154"/>
      <c r="S94" s="1154"/>
      <c r="T94" s="1154"/>
      <c r="U94" s="1154"/>
      <c r="V94" s="1154"/>
      <c r="W94" s="1154"/>
      <c r="X94" s="1154"/>
      <c r="Y94" s="1154"/>
      <c r="Z94" s="1154"/>
    </row>
    <row r="95">
      <c r="A95" s="1155">
        <v>62.0</v>
      </c>
      <c r="B95" s="185"/>
      <c r="C95" s="1155" t="s">
        <v>5891</v>
      </c>
      <c r="D95" s="185"/>
      <c r="E95" s="1154"/>
      <c r="F95" s="1154"/>
      <c r="G95" s="1154"/>
      <c r="H95" s="1154"/>
      <c r="I95" s="1154"/>
      <c r="J95" s="1154"/>
      <c r="K95" s="1154"/>
      <c r="L95" s="1154"/>
      <c r="M95" s="1154"/>
      <c r="N95" s="1154"/>
      <c r="O95" s="1154"/>
      <c r="P95" s="1154"/>
      <c r="Q95" s="1154"/>
      <c r="R95" s="1154"/>
      <c r="S95" s="1154"/>
      <c r="T95" s="1154"/>
      <c r="U95" s="1154"/>
      <c r="V95" s="1154"/>
      <c r="W95" s="1154"/>
      <c r="X95" s="1154"/>
      <c r="Y95" s="1154"/>
      <c r="Z95" s="1154"/>
    </row>
    <row r="96">
      <c r="A96" s="1155">
        <v>63.0</v>
      </c>
      <c r="B96" s="1158">
        <v>32.0</v>
      </c>
      <c r="C96" s="1155" t="s">
        <v>5889</v>
      </c>
      <c r="D96" s="1158" t="s">
        <v>5906</v>
      </c>
      <c r="E96" s="1154"/>
      <c r="F96" s="1154"/>
      <c r="G96" s="1154"/>
      <c r="H96" s="1154"/>
      <c r="I96" s="1154"/>
      <c r="J96" s="1154"/>
      <c r="K96" s="1154"/>
      <c r="L96" s="1154"/>
      <c r="M96" s="1154"/>
      <c r="N96" s="1154"/>
      <c r="O96" s="1154"/>
      <c r="P96" s="1154"/>
      <c r="Q96" s="1154"/>
      <c r="R96" s="1154"/>
      <c r="S96" s="1154"/>
      <c r="T96" s="1154"/>
      <c r="U96" s="1154"/>
      <c r="V96" s="1154"/>
      <c r="W96" s="1154"/>
      <c r="X96" s="1154"/>
      <c r="Y96" s="1154"/>
      <c r="Z96" s="1154"/>
    </row>
    <row r="97">
      <c r="A97" s="1155">
        <v>64.0</v>
      </c>
      <c r="B97" s="185"/>
      <c r="C97" s="1155" t="s">
        <v>5891</v>
      </c>
      <c r="D97" s="185"/>
      <c r="E97" s="1154"/>
      <c r="F97" s="1154"/>
      <c r="G97" s="1154"/>
      <c r="H97" s="1154"/>
      <c r="I97" s="1154"/>
      <c r="J97" s="1154"/>
      <c r="K97" s="1154"/>
      <c r="L97" s="1154"/>
      <c r="M97" s="1154"/>
      <c r="N97" s="1154"/>
      <c r="O97" s="1154"/>
      <c r="P97" s="1154"/>
      <c r="Q97" s="1154"/>
      <c r="R97" s="1154"/>
      <c r="S97" s="1154"/>
      <c r="T97" s="1154"/>
      <c r="U97" s="1154"/>
      <c r="V97" s="1154"/>
      <c r="W97" s="1154"/>
      <c r="X97" s="1154"/>
      <c r="Y97" s="1154"/>
      <c r="Z97" s="1154"/>
    </row>
    <row r="98">
      <c r="A98" s="1155">
        <v>65.0</v>
      </c>
      <c r="B98" s="1158">
        <v>33.0</v>
      </c>
      <c r="C98" s="1155" t="s">
        <v>5889</v>
      </c>
      <c r="D98" s="1158" t="s">
        <v>5907</v>
      </c>
      <c r="E98" s="1154"/>
      <c r="F98" s="1154"/>
      <c r="G98" s="1154"/>
      <c r="H98" s="1154"/>
      <c r="I98" s="1154"/>
      <c r="J98" s="1154"/>
      <c r="K98" s="1154"/>
      <c r="L98" s="1154"/>
      <c r="M98" s="1154"/>
      <c r="N98" s="1154"/>
      <c r="O98" s="1154"/>
      <c r="P98" s="1154"/>
      <c r="Q98" s="1154"/>
      <c r="R98" s="1154"/>
      <c r="S98" s="1154"/>
      <c r="T98" s="1154"/>
      <c r="U98" s="1154"/>
      <c r="V98" s="1154"/>
      <c r="W98" s="1154"/>
      <c r="X98" s="1154"/>
      <c r="Y98" s="1154"/>
      <c r="Z98" s="1154"/>
    </row>
    <row r="99">
      <c r="A99" s="1155">
        <v>66.0</v>
      </c>
      <c r="B99" s="185"/>
      <c r="C99" s="1155" t="s">
        <v>5891</v>
      </c>
      <c r="D99" s="185"/>
      <c r="E99" s="1154"/>
      <c r="F99" s="1154"/>
      <c r="G99" s="1154"/>
      <c r="H99" s="1154"/>
      <c r="I99" s="1154"/>
      <c r="J99" s="1154"/>
      <c r="K99" s="1154"/>
      <c r="L99" s="1154"/>
      <c r="M99" s="1154"/>
      <c r="N99" s="1154"/>
      <c r="O99" s="1154"/>
      <c r="P99" s="1154"/>
      <c r="Q99" s="1154"/>
      <c r="R99" s="1154"/>
      <c r="S99" s="1154"/>
      <c r="T99" s="1154"/>
      <c r="U99" s="1154"/>
      <c r="V99" s="1154"/>
      <c r="W99" s="1154"/>
      <c r="X99" s="1154"/>
      <c r="Y99" s="1154"/>
      <c r="Z99" s="1154"/>
    </row>
    <row r="100">
      <c r="A100" s="1155">
        <v>67.0</v>
      </c>
      <c r="B100" s="1158">
        <v>34.0</v>
      </c>
      <c r="C100" s="1155" t="s">
        <v>5889</v>
      </c>
      <c r="D100" s="1158" t="s">
        <v>5908</v>
      </c>
      <c r="E100" s="1154"/>
      <c r="F100" s="1154"/>
      <c r="G100" s="1154"/>
      <c r="H100" s="1154"/>
      <c r="I100" s="1154"/>
      <c r="J100" s="1154"/>
      <c r="K100" s="1154"/>
      <c r="L100" s="1154"/>
      <c r="M100" s="1154"/>
      <c r="N100" s="1154"/>
      <c r="O100" s="1154"/>
      <c r="P100" s="1154"/>
      <c r="Q100" s="1154"/>
      <c r="R100" s="1154"/>
      <c r="S100" s="1154"/>
      <c r="T100" s="1154"/>
      <c r="U100" s="1154"/>
      <c r="V100" s="1154"/>
      <c r="W100" s="1154"/>
      <c r="X100" s="1154"/>
      <c r="Y100" s="1154"/>
      <c r="Z100" s="1154"/>
    </row>
    <row r="101">
      <c r="A101" s="1155">
        <v>68.0</v>
      </c>
      <c r="B101" s="185"/>
      <c r="C101" s="1155" t="s">
        <v>5891</v>
      </c>
      <c r="D101" s="185"/>
      <c r="E101" s="1154"/>
      <c r="F101" s="1154"/>
      <c r="G101" s="1154"/>
      <c r="H101" s="1154"/>
      <c r="I101" s="1154"/>
      <c r="J101" s="1154"/>
      <c r="K101" s="1154"/>
      <c r="L101" s="1154"/>
      <c r="M101" s="1154"/>
      <c r="N101" s="1154"/>
      <c r="O101" s="1154"/>
      <c r="P101" s="1154"/>
      <c r="Q101" s="1154"/>
      <c r="R101" s="1154"/>
      <c r="S101" s="1154"/>
      <c r="T101" s="1154"/>
      <c r="U101" s="1154"/>
      <c r="V101" s="1154"/>
      <c r="W101" s="1154"/>
      <c r="X101" s="1154"/>
      <c r="Y101" s="1154"/>
      <c r="Z101" s="1154"/>
    </row>
    <row r="102">
      <c r="A102" s="1155">
        <v>69.0</v>
      </c>
      <c r="B102" s="1158">
        <v>35.0</v>
      </c>
      <c r="C102" s="1155" t="s">
        <v>5889</v>
      </c>
      <c r="D102" s="1158" t="s">
        <v>5909</v>
      </c>
      <c r="E102" s="1154"/>
      <c r="F102" s="1154"/>
      <c r="G102" s="1154"/>
      <c r="H102" s="1154"/>
      <c r="I102" s="1154"/>
      <c r="J102" s="1154"/>
      <c r="K102" s="1154"/>
      <c r="L102" s="1154"/>
      <c r="M102" s="1154"/>
      <c r="N102" s="1154"/>
      <c r="O102" s="1154"/>
      <c r="P102" s="1154"/>
      <c r="Q102" s="1154"/>
      <c r="R102" s="1154"/>
      <c r="S102" s="1154"/>
      <c r="T102" s="1154"/>
      <c r="U102" s="1154"/>
      <c r="V102" s="1154"/>
      <c r="W102" s="1154"/>
      <c r="X102" s="1154"/>
      <c r="Y102" s="1154"/>
      <c r="Z102" s="1154"/>
    </row>
    <row r="103">
      <c r="A103" s="1155">
        <v>70.0</v>
      </c>
      <c r="B103" s="185"/>
      <c r="C103" s="1155" t="s">
        <v>5891</v>
      </c>
      <c r="D103" s="185"/>
      <c r="E103" s="1154"/>
      <c r="F103" s="1154"/>
      <c r="G103" s="1154"/>
      <c r="H103" s="1154"/>
      <c r="I103" s="1154"/>
      <c r="J103" s="1154"/>
      <c r="K103" s="1154"/>
      <c r="L103" s="1154"/>
      <c r="M103" s="1154"/>
      <c r="N103" s="1154"/>
      <c r="O103" s="1154"/>
      <c r="P103" s="1154"/>
      <c r="Q103" s="1154"/>
      <c r="R103" s="1154"/>
      <c r="S103" s="1154"/>
      <c r="T103" s="1154"/>
      <c r="U103" s="1154"/>
      <c r="V103" s="1154"/>
      <c r="W103" s="1154"/>
      <c r="X103" s="1154"/>
      <c r="Y103" s="1154"/>
      <c r="Z103" s="1154"/>
    </row>
    <row r="104">
      <c r="A104" s="1155">
        <v>71.0</v>
      </c>
      <c r="B104" s="1158">
        <v>36.0</v>
      </c>
      <c r="C104" s="1155" t="s">
        <v>5889</v>
      </c>
      <c r="D104" s="1158" t="s">
        <v>5910</v>
      </c>
      <c r="E104" s="1154"/>
      <c r="F104" s="1154"/>
      <c r="G104" s="1154"/>
      <c r="H104" s="1154"/>
      <c r="I104" s="1154"/>
      <c r="J104" s="1154"/>
      <c r="K104" s="1154"/>
      <c r="L104" s="1154"/>
      <c r="M104" s="1154"/>
      <c r="N104" s="1154"/>
      <c r="O104" s="1154"/>
      <c r="P104" s="1154"/>
      <c r="Q104" s="1154"/>
      <c r="R104" s="1154"/>
      <c r="S104" s="1154"/>
      <c r="T104" s="1154"/>
      <c r="U104" s="1154"/>
      <c r="V104" s="1154"/>
      <c r="W104" s="1154"/>
      <c r="X104" s="1154"/>
      <c r="Y104" s="1154"/>
      <c r="Z104" s="1154"/>
    </row>
    <row r="105">
      <c r="A105" s="1155">
        <v>72.0</v>
      </c>
      <c r="B105" s="185"/>
      <c r="C105" s="1155" t="s">
        <v>5891</v>
      </c>
      <c r="D105" s="185"/>
      <c r="E105" s="1154"/>
      <c r="F105" s="1154"/>
      <c r="G105" s="1154"/>
      <c r="H105" s="1154"/>
      <c r="I105" s="1154"/>
      <c r="J105" s="1154"/>
      <c r="K105" s="1154"/>
      <c r="L105" s="1154"/>
      <c r="M105" s="1154"/>
      <c r="N105" s="1154"/>
      <c r="O105" s="1154"/>
      <c r="P105" s="1154"/>
      <c r="Q105" s="1154"/>
      <c r="R105" s="1154"/>
      <c r="S105" s="1154"/>
      <c r="T105" s="1154"/>
      <c r="U105" s="1154"/>
      <c r="V105" s="1154"/>
      <c r="W105" s="1154"/>
      <c r="X105" s="1154"/>
      <c r="Y105" s="1154"/>
      <c r="Z105" s="1154"/>
    </row>
    <row r="106">
      <c r="A106" s="1155">
        <v>73.0</v>
      </c>
      <c r="B106" s="1158">
        <v>37.0</v>
      </c>
      <c r="C106" s="1155" t="s">
        <v>5889</v>
      </c>
      <c r="D106" s="1158" t="s">
        <v>5911</v>
      </c>
      <c r="E106" s="1154"/>
      <c r="F106" s="1154"/>
      <c r="G106" s="1154"/>
      <c r="H106" s="1154"/>
      <c r="I106" s="1154"/>
      <c r="J106" s="1154"/>
      <c r="K106" s="1154"/>
      <c r="L106" s="1154"/>
      <c r="M106" s="1154"/>
      <c r="N106" s="1154"/>
      <c r="O106" s="1154"/>
      <c r="P106" s="1154"/>
      <c r="Q106" s="1154"/>
      <c r="R106" s="1154"/>
      <c r="S106" s="1154"/>
      <c r="T106" s="1154"/>
      <c r="U106" s="1154"/>
      <c r="V106" s="1154"/>
      <c r="W106" s="1154"/>
      <c r="X106" s="1154"/>
      <c r="Y106" s="1154"/>
      <c r="Z106" s="1154"/>
    </row>
    <row r="107">
      <c r="A107" s="1155">
        <v>74.0</v>
      </c>
      <c r="B107" s="185"/>
      <c r="C107" s="1155" t="s">
        <v>5891</v>
      </c>
      <c r="D107" s="185"/>
      <c r="E107" s="1154"/>
      <c r="F107" s="1154"/>
      <c r="G107" s="1154"/>
      <c r="H107" s="1154"/>
      <c r="I107" s="1154"/>
      <c r="J107" s="1154"/>
      <c r="K107" s="1154"/>
      <c r="L107" s="1154"/>
      <c r="M107" s="1154"/>
      <c r="N107" s="1154"/>
      <c r="O107" s="1154"/>
      <c r="P107" s="1154"/>
      <c r="Q107" s="1154"/>
      <c r="R107" s="1154"/>
      <c r="S107" s="1154"/>
      <c r="T107" s="1154"/>
      <c r="U107" s="1154"/>
      <c r="V107" s="1154"/>
      <c r="W107" s="1154"/>
      <c r="X107" s="1154"/>
      <c r="Y107" s="1154"/>
      <c r="Z107" s="1154"/>
    </row>
    <row r="108">
      <c r="A108" s="1155">
        <v>75.0</v>
      </c>
      <c r="B108" s="1158">
        <v>38.0</v>
      </c>
      <c r="C108" s="1155" t="s">
        <v>5889</v>
      </c>
      <c r="D108" s="1158" t="s">
        <v>5912</v>
      </c>
      <c r="E108" s="1154"/>
      <c r="F108" s="1154"/>
      <c r="G108" s="1154"/>
      <c r="H108" s="1154"/>
      <c r="I108" s="1154"/>
      <c r="J108" s="1154"/>
      <c r="K108" s="1154"/>
      <c r="L108" s="1154"/>
      <c r="M108" s="1154"/>
      <c r="N108" s="1154"/>
      <c r="O108" s="1154"/>
      <c r="P108" s="1154"/>
      <c r="Q108" s="1154"/>
      <c r="R108" s="1154"/>
      <c r="S108" s="1154"/>
      <c r="T108" s="1154"/>
      <c r="U108" s="1154"/>
      <c r="V108" s="1154"/>
      <c r="W108" s="1154"/>
      <c r="X108" s="1154"/>
      <c r="Y108" s="1154"/>
      <c r="Z108" s="1154"/>
    </row>
    <row r="109">
      <c r="A109" s="1155">
        <v>76.0</v>
      </c>
      <c r="B109" s="185"/>
      <c r="C109" s="1155" t="s">
        <v>5891</v>
      </c>
      <c r="D109" s="185"/>
      <c r="E109" s="1154"/>
      <c r="F109" s="1154"/>
      <c r="G109" s="1154"/>
      <c r="H109" s="1154"/>
      <c r="I109" s="1154"/>
      <c r="J109" s="1154"/>
      <c r="K109" s="1154"/>
      <c r="L109" s="1154"/>
      <c r="M109" s="1154"/>
      <c r="N109" s="1154"/>
      <c r="O109" s="1154"/>
      <c r="P109" s="1154"/>
      <c r="Q109" s="1154"/>
      <c r="R109" s="1154"/>
      <c r="S109" s="1154"/>
      <c r="T109" s="1154"/>
      <c r="U109" s="1154"/>
      <c r="V109" s="1154"/>
      <c r="W109" s="1154"/>
      <c r="X109" s="1154"/>
      <c r="Y109" s="1154"/>
      <c r="Z109" s="1154"/>
    </row>
    <row r="110">
      <c r="A110" s="1155">
        <v>77.0</v>
      </c>
      <c r="B110" s="1158">
        <v>39.0</v>
      </c>
      <c r="C110" s="1155" t="s">
        <v>5889</v>
      </c>
      <c r="D110" s="1158" t="s">
        <v>671</v>
      </c>
      <c r="E110" s="1154"/>
      <c r="F110" s="1154"/>
      <c r="G110" s="1154"/>
      <c r="H110" s="1154"/>
      <c r="I110" s="1154"/>
      <c r="J110" s="1154"/>
      <c r="K110" s="1154"/>
      <c r="L110" s="1154"/>
      <c r="M110" s="1154"/>
      <c r="N110" s="1154"/>
      <c r="O110" s="1154"/>
      <c r="P110" s="1154"/>
      <c r="Q110" s="1154"/>
      <c r="R110" s="1154"/>
      <c r="S110" s="1154"/>
      <c r="T110" s="1154"/>
      <c r="U110" s="1154"/>
      <c r="V110" s="1154"/>
      <c r="W110" s="1154"/>
      <c r="X110" s="1154"/>
      <c r="Y110" s="1154"/>
      <c r="Z110" s="1154"/>
    </row>
    <row r="111">
      <c r="A111" s="1155">
        <v>78.0</v>
      </c>
      <c r="B111" s="185"/>
      <c r="C111" s="1155" t="s">
        <v>5891</v>
      </c>
      <c r="D111" s="185"/>
      <c r="E111" s="1154"/>
      <c r="F111" s="1154"/>
      <c r="G111" s="1154"/>
      <c r="H111" s="1154"/>
      <c r="I111" s="1154"/>
      <c r="J111" s="1154"/>
      <c r="K111" s="1154"/>
      <c r="L111" s="1154"/>
      <c r="M111" s="1154"/>
      <c r="N111" s="1154"/>
      <c r="O111" s="1154"/>
      <c r="P111" s="1154"/>
      <c r="Q111" s="1154"/>
      <c r="R111" s="1154"/>
      <c r="S111" s="1154"/>
      <c r="T111" s="1154"/>
      <c r="U111" s="1154"/>
      <c r="V111" s="1154"/>
      <c r="W111" s="1154"/>
      <c r="X111" s="1154"/>
      <c r="Y111" s="1154"/>
      <c r="Z111" s="1154"/>
    </row>
    <row r="112">
      <c r="A112" s="1155">
        <v>79.0</v>
      </c>
      <c r="B112" s="1158">
        <v>40.0</v>
      </c>
      <c r="C112" s="1155" t="s">
        <v>5889</v>
      </c>
      <c r="D112" s="1158" t="s">
        <v>5913</v>
      </c>
      <c r="E112" s="1154"/>
      <c r="F112" s="1154"/>
      <c r="G112" s="1154"/>
      <c r="H112" s="1154"/>
      <c r="I112" s="1154"/>
      <c r="J112" s="1154"/>
      <c r="K112" s="1154"/>
      <c r="L112" s="1154"/>
      <c r="M112" s="1154"/>
      <c r="N112" s="1154"/>
      <c r="O112" s="1154"/>
      <c r="P112" s="1154"/>
      <c r="Q112" s="1154"/>
      <c r="R112" s="1154"/>
      <c r="S112" s="1154"/>
      <c r="T112" s="1154"/>
      <c r="U112" s="1154"/>
      <c r="V112" s="1154"/>
      <c r="W112" s="1154"/>
      <c r="X112" s="1154"/>
      <c r="Y112" s="1154"/>
      <c r="Z112" s="1154"/>
    </row>
    <row r="113">
      <c r="A113" s="1155">
        <v>80.0</v>
      </c>
      <c r="B113" s="185"/>
      <c r="C113" s="1155" t="s">
        <v>5891</v>
      </c>
      <c r="D113" s="185"/>
      <c r="E113" s="1154"/>
      <c r="F113" s="1154"/>
      <c r="G113" s="1154"/>
      <c r="H113" s="1154"/>
      <c r="I113" s="1154"/>
      <c r="J113" s="1154"/>
      <c r="K113" s="1154"/>
      <c r="L113" s="1154"/>
      <c r="M113" s="1154"/>
      <c r="N113" s="1154"/>
      <c r="O113" s="1154"/>
      <c r="P113" s="1154"/>
      <c r="Q113" s="1154"/>
      <c r="R113" s="1154"/>
      <c r="S113" s="1154"/>
      <c r="T113" s="1154"/>
      <c r="U113" s="1154"/>
      <c r="V113" s="1154"/>
      <c r="W113" s="1154"/>
      <c r="X113" s="1154"/>
      <c r="Y113" s="1154"/>
      <c r="Z113" s="1154"/>
    </row>
    <row r="114">
      <c r="A114" s="1155">
        <v>81.0</v>
      </c>
      <c r="B114" s="1158">
        <v>41.0</v>
      </c>
      <c r="C114" s="1155" t="s">
        <v>5889</v>
      </c>
      <c r="D114" s="1158" t="s">
        <v>5913</v>
      </c>
      <c r="E114" s="1154"/>
      <c r="F114" s="1154"/>
      <c r="G114" s="1154"/>
      <c r="H114" s="1154"/>
      <c r="I114" s="1154"/>
      <c r="J114" s="1154"/>
      <c r="K114" s="1154"/>
      <c r="L114" s="1154"/>
      <c r="M114" s="1154"/>
      <c r="N114" s="1154"/>
      <c r="O114" s="1154"/>
      <c r="P114" s="1154"/>
      <c r="Q114" s="1154"/>
      <c r="R114" s="1154"/>
      <c r="S114" s="1154"/>
      <c r="T114" s="1154"/>
      <c r="U114" s="1154"/>
      <c r="V114" s="1154"/>
      <c r="W114" s="1154"/>
      <c r="X114" s="1154"/>
      <c r="Y114" s="1154"/>
      <c r="Z114" s="1154"/>
    </row>
    <row r="115">
      <c r="A115" s="1155">
        <v>82.0</v>
      </c>
      <c r="B115" s="185"/>
      <c r="C115" s="1155" t="s">
        <v>5891</v>
      </c>
      <c r="D115" s="185"/>
      <c r="E115" s="1154"/>
      <c r="F115" s="1154"/>
      <c r="G115" s="1154"/>
      <c r="H115" s="1154"/>
      <c r="I115" s="1154"/>
      <c r="J115" s="1154"/>
      <c r="K115" s="1154"/>
      <c r="L115" s="1154"/>
      <c r="M115" s="1154"/>
      <c r="N115" s="1154"/>
      <c r="O115" s="1154"/>
      <c r="P115" s="1154"/>
      <c r="Q115" s="1154"/>
      <c r="R115" s="1154"/>
      <c r="S115" s="1154"/>
      <c r="T115" s="1154"/>
      <c r="U115" s="1154"/>
      <c r="V115" s="1154"/>
      <c r="W115" s="1154"/>
      <c r="X115" s="1154"/>
      <c r="Y115" s="1154"/>
      <c r="Z115" s="1154"/>
    </row>
    <row r="116">
      <c r="A116" s="1155">
        <v>83.0</v>
      </c>
      <c r="B116" s="1158">
        <v>42.0</v>
      </c>
      <c r="C116" s="1155" t="s">
        <v>5889</v>
      </c>
      <c r="D116" s="1158" t="s">
        <v>5913</v>
      </c>
      <c r="E116" s="1154"/>
      <c r="F116" s="1154"/>
      <c r="G116" s="1154"/>
      <c r="H116" s="1154"/>
      <c r="I116" s="1154"/>
      <c r="J116" s="1154"/>
      <c r="K116" s="1154"/>
      <c r="L116" s="1154"/>
      <c r="M116" s="1154"/>
      <c r="N116" s="1154"/>
      <c r="O116" s="1154"/>
      <c r="P116" s="1154"/>
      <c r="Q116" s="1154"/>
      <c r="R116" s="1154"/>
      <c r="S116" s="1154"/>
      <c r="T116" s="1154"/>
      <c r="U116" s="1154"/>
      <c r="V116" s="1154"/>
      <c r="W116" s="1154"/>
      <c r="X116" s="1154"/>
      <c r="Y116" s="1154"/>
      <c r="Z116" s="1154"/>
    </row>
    <row r="117">
      <c r="A117" s="1155">
        <v>84.0</v>
      </c>
      <c r="B117" s="185"/>
      <c r="C117" s="1155" t="s">
        <v>5891</v>
      </c>
      <c r="D117" s="185"/>
      <c r="E117" s="1154"/>
      <c r="F117" s="1154"/>
      <c r="G117" s="1154"/>
      <c r="H117" s="1154"/>
      <c r="I117" s="1154"/>
      <c r="J117" s="1154"/>
      <c r="K117" s="1154"/>
      <c r="L117" s="1154"/>
      <c r="M117" s="1154"/>
      <c r="N117" s="1154"/>
      <c r="O117" s="1154"/>
      <c r="P117" s="1154"/>
      <c r="Q117" s="1154"/>
      <c r="R117" s="1154"/>
      <c r="S117" s="1154"/>
      <c r="T117" s="1154"/>
      <c r="U117" s="1154"/>
      <c r="V117" s="1154"/>
      <c r="W117" s="1154"/>
      <c r="X117" s="1154"/>
      <c r="Y117" s="1154"/>
      <c r="Z117" s="1154"/>
    </row>
    <row r="118">
      <c r="A118" s="1155">
        <v>85.0</v>
      </c>
      <c r="B118" s="1158">
        <v>43.0</v>
      </c>
      <c r="C118" s="1155" t="s">
        <v>5889</v>
      </c>
      <c r="D118" s="1158" t="s">
        <v>5914</v>
      </c>
      <c r="E118" s="1154"/>
      <c r="F118" s="1154"/>
      <c r="G118" s="1154"/>
      <c r="H118" s="1154"/>
      <c r="I118" s="1154"/>
      <c r="J118" s="1154"/>
      <c r="K118" s="1154"/>
      <c r="L118" s="1154"/>
      <c r="M118" s="1154"/>
      <c r="N118" s="1154"/>
      <c r="O118" s="1154"/>
      <c r="P118" s="1154"/>
      <c r="Q118" s="1154"/>
      <c r="R118" s="1154"/>
      <c r="S118" s="1154"/>
      <c r="T118" s="1154"/>
      <c r="U118" s="1154"/>
      <c r="V118" s="1154"/>
      <c r="W118" s="1154"/>
      <c r="X118" s="1154"/>
      <c r="Y118" s="1154"/>
      <c r="Z118" s="1154"/>
    </row>
    <row r="119">
      <c r="A119" s="1155">
        <v>86.0</v>
      </c>
      <c r="B119" s="185"/>
      <c r="C119" s="1155" t="s">
        <v>5891</v>
      </c>
      <c r="D119" s="185"/>
      <c r="E119" s="1154"/>
      <c r="F119" s="1154"/>
      <c r="G119" s="1154"/>
      <c r="H119" s="1154"/>
      <c r="I119" s="1154"/>
      <c r="J119" s="1154"/>
      <c r="K119" s="1154"/>
      <c r="L119" s="1154"/>
      <c r="M119" s="1154"/>
      <c r="N119" s="1154"/>
      <c r="O119" s="1154"/>
      <c r="P119" s="1154"/>
      <c r="Q119" s="1154"/>
      <c r="R119" s="1154"/>
      <c r="S119" s="1154"/>
      <c r="T119" s="1154"/>
      <c r="U119" s="1154"/>
      <c r="V119" s="1154"/>
      <c r="W119" s="1154"/>
      <c r="X119" s="1154"/>
      <c r="Y119" s="1154"/>
      <c r="Z119" s="1154"/>
    </row>
    <row r="120">
      <c r="A120" s="1155">
        <v>87.0</v>
      </c>
      <c r="B120" s="1158">
        <v>44.0</v>
      </c>
      <c r="C120" s="1155" t="s">
        <v>5889</v>
      </c>
      <c r="D120" s="1158" t="s">
        <v>5915</v>
      </c>
      <c r="E120" s="1154"/>
      <c r="F120" s="1154"/>
      <c r="G120" s="1154"/>
      <c r="H120" s="1154"/>
      <c r="I120" s="1154"/>
      <c r="J120" s="1154"/>
      <c r="K120" s="1154"/>
      <c r="L120" s="1154"/>
      <c r="M120" s="1154"/>
      <c r="N120" s="1154"/>
      <c r="O120" s="1154"/>
      <c r="P120" s="1154"/>
      <c r="Q120" s="1154"/>
      <c r="R120" s="1154"/>
      <c r="S120" s="1154"/>
      <c r="T120" s="1154"/>
      <c r="U120" s="1154"/>
      <c r="V120" s="1154"/>
      <c r="W120" s="1154"/>
      <c r="X120" s="1154"/>
      <c r="Y120" s="1154"/>
      <c r="Z120" s="1154"/>
    </row>
    <row r="121">
      <c r="A121" s="1155">
        <v>88.0</v>
      </c>
      <c r="B121" s="185"/>
      <c r="C121" s="1155" t="s">
        <v>5891</v>
      </c>
      <c r="D121" s="185"/>
      <c r="E121" s="1154"/>
      <c r="F121" s="1154"/>
      <c r="G121" s="1154"/>
      <c r="H121" s="1154"/>
      <c r="I121" s="1154"/>
      <c r="J121" s="1154"/>
      <c r="K121" s="1154"/>
      <c r="L121" s="1154"/>
      <c r="M121" s="1154"/>
      <c r="N121" s="1154"/>
      <c r="O121" s="1154"/>
      <c r="P121" s="1154"/>
      <c r="Q121" s="1154"/>
      <c r="R121" s="1154"/>
      <c r="S121" s="1154"/>
      <c r="T121" s="1154"/>
      <c r="U121" s="1154"/>
      <c r="V121" s="1154"/>
      <c r="W121" s="1154"/>
      <c r="X121" s="1154"/>
      <c r="Y121" s="1154"/>
      <c r="Z121" s="1154"/>
    </row>
    <row r="122">
      <c r="A122" s="1155">
        <v>89.0</v>
      </c>
      <c r="B122" s="1158">
        <v>45.0</v>
      </c>
      <c r="C122" s="1155" t="s">
        <v>5889</v>
      </c>
      <c r="D122" s="1158" t="s">
        <v>5916</v>
      </c>
      <c r="E122" s="1154"/>
      <c r="F122" s="1154"/>
      <c r="G122" s="1154"/>
      <c r="H122" s="1154"/>
      <c r="I122" s="1154"/>
      <c r="J122" s="1154"/>
      <c r="K122" s="1154"/>
      <c r="L122" s="1154"/>
      <c r="M122" s="1154"/>
      <c r="N122" s="1154"/>
      <c r="O122" s="1154"/>
      <c r="P122" s="1154"/>
      <c r="Q122" s="1154"/>
      <c r="R122" s="1154"/>
      <c r="S122" s="1154"/>
      <c r="T122" s="1154"/>
      <c r="U122" s="1154"/>
      <c r="V122" s="1154"/>
      <c r="W122" s="1154"/>
      <c r="X122" s="1154"/>
      <c r="Y122" s="1154"/>
      <c r="Z122" s="1154"/>
    </row>
    <row r="123">
      <c r="A123" s="1155">
        <v>90.0</v>
      </c>
      <c r="B123" s="185"/>
      <c r="C123" s="1155" t="s">
        <v>5891</v>
      </c>
      <c r="D123" s="185"/>
      <c r="E123" s="1154"/>
      <c r="F123" s="1154"/>
      <c r="G123" s="1154"/>
      <c r="H123" s="1154"/>
      <c r="I123" s="1154"/>
      <c r="J123" s="1154"/>
      <c r="K123" s="1154"/>
      <c r="L123" s="1154"/>
      <c r="M123" s="1154"/>
      <c r="N123" s="1154"/>
      <c r="O123" s="1154"/>
      <c r="P123" s="1154"/>
      <c r="Q123" s="1154"/>
      <c r="R123" s="1154"/>
      <c r="S123" s="1154"/>
      <c r="T123" s="1154"/>
      <c r="U123" s="1154"/>
      <c r="V123" s="1154"/>
      <c r="W123" s="1154"/>
      <c r="X123" s="1154"/>
      <c r="Y123" s="1154"/>
      <c r="Z123" s="1154"/>
    </row>
    <row r="124">
      <c r="A124" s="1155">
        <v>91.0</v>
      </c>
      <c r="B124" s="1158">
        <v>46.0</v>
      </c>
      <c r="C124" s="1155" t="s">
        <v>5889</v>
      </c>
      <c r="D124" s="1158" t="s">
        <v>5917</v>
      </c>
      <c r="E124" s="1154"/>
      <c r="F124" s="1154"/>
      <c r="G124" s="1154"/>
      <c r="H124" s="1154"/>
      <c r="I124" s="1154"/>
      <c r="J124" s="1154"/>
      <c r="K124" s="1154"/>
      <c r="L124" s="1154"/>
      <c r="M124" s="1154"/>
      <c r="N124" s="1154"/>
      <c r="O124" s="1154"/>
      <c r="P124" s="1154"/>
      <c r="Q124" s="1154"/>
      <c r="R124" s="1154"/>
      <c r="S124" s="1154"/>
      <c r="T124" s="1154"/>
      <c r="U124" s="1154"/>
      <c r="V124" s="1154"/>
      <c r="W124" s="1154"/>
      <c r="X124" s="1154"/>
      <c r="Y124" s="1154"/>
      <c r="Z124" s="1154"/>
    </row>
    <row r="125">
      <c r="A125" s="1155">
        <v>92.0</v>
      </c>
      <c r="B125" s="185"/>
      <c r="C125" s="1155" t="s">
        <v>5891</v>
      </c>
      <c r="D125" s="185"/>
      <c r="E125" s="1154"/>
      <c r="F125" s="1154"/>
      <c r="G125" s="1154"/>
      <c r="H125" s="1154"/>
      <c r="I125" s="1154"/>
      <c r="J125" s="1154"/>
      <c r="K125" s="1154"/>
      <c r="L125" s="1154"/>
      <c r="M125" s="1154"/>
      <c r="N125" s="1154"/>
      <c r="O125" s="1154"/>
      <c r="P125" s="1154"/>
      <c r="Q125" s="1154"/>
      <c r="R125" s="1154"/>
      <c r="S125" s="1154"/>
      <c r="T125" s="1154"/>
      <c r="U125" s="1154"/>
      <c r="V125" s="1154"/>
      <c r="W125" s="1154"/>
      <c r="X125" s="1154"/>
      <c r="Y125" s="1154"/>
      <c r="Z125" s="1154"/>
    </row>
    <row r="126">
      <c r="A126" s="1155">
        <v>93.0</v>
      </c>
      <c r="B126" s="1158">
        <v>47.0</v>
      </c>
      <c r="C126" s="1155" t="s">
        <v>5889</v>
      </c>
      <c r="D126" s="1158" t="s">
        <v>5918</v>
      </c>
      <c r="E126" s="1154"/>
      <c r="F126" s="1154"/>
      <c r="G126" s="1154"/>
      <c r="H126" s="1154"/>
      <c r="I126" s="1154"/>
      <c r="J126" s="1154"/>
      <c r="K126" s="1154"/>
      <c r="L126" s="1154"/>
      <c r="M126" s="1154"/>
      <c r="N126" s="1154"/>
      <c r="O126" s="1154"/>
      <c r="P126" s="1154"/>
      <c r="Q126" s="1154"/>
      <c r="R126" s="1154"/>
      <c r="S126" s="1154"/>
      <c r="T126" s="1154"/>
      <c r="U126" s="1154"/>
      <c r="V126" s="1154"/>
      <c r="W126" s="1154"/>
      <c r="X126" s="1154"/>
      <c r="Y126" s="1154"/>
      <c r="Z126" s="1154"/>
    </row>
    <row r="127">
      <c r="A127" s="1155">
        <v>94.0</v>
      </c>
      <c r="B127" s="185"/>
      <c r="C127" s="1155" t="s">
        <v>5891</v>
      </c>
      <c r="D127" s="185"/>
      <c r="E127" s="1154"/>
      <c r="F127" s="1154"/>
      <c r="G127" s="1154"/>
      <c r="H127" s="1154"/>
      <c r="I127" s="1154"/>
      <c r="J127" s="1154"/>
      <c r="K127" s="1154"/>
      <c r="L127" s="1154"/>
      <c r="M127" s="1154"/>
      <c r="N127" s="1154"/>
      <c r="O127" s="1154"/>
      <c r="P127" s="1154"/>
      <c r="Q127" s="1154"/>
      <c r="R127" s="1154"/>
      <c r="S127" s="1154"/>
      <c r="T127" s="1154"/>
      <c r="U127" s="1154"/>
      <c r="V127" s="1154"/>
      <c r="W127" s="1154"/>
      <c r="X127" s="1154"/>
      <c r="Y127" s="1154"/>
      <c r="Z127" s="1154"/>
    </row>
    <row r="128">
      <c r="A128" s="1155">
        <v>95.0</v>
      </c>
      <c r="B128" s="1158">
        <v>48.0</v>
      </c>
      <c r="C128" s="1155" t="s">
        <v>5889</v>
      </c>
      <c r="D128" s="1158" t="s">
        <v>11</v>
      </c>
      <c r="E128" s="1154"/>
      <c r="F128" s="1154"/>
      <c r="G128" s="1154"/>
      <c r="H128" s="1154"/>
      <c r="I128" s="1154"/>
      <c r="J128" s="1154"/>
      <c r="K128" s="1154"/>
      <c r="L128" s="1154"/>
      <c r="M128" s="1154"/>
      <c r="N128" s="1154"/>
      <c r="O128" s="1154"/>
      <c r="P128" s="1154"/>
      <c r="Q128" s="1154"/>
      <c r="R128" s="1154"/>
      <c r="S128" s="1154"/>
      <c r="T128" s="1154"/>
      <c r="U128" s="1154"/>
      <c r="V128" s="1154"/>
      <c r="W128" s="1154"/>
      <c r="X128" s="1154"/>
      <c r="Y128" s="1154"/>
      <c r="Z128" s="1154"/>
    </row>
    <row r="129">
      <c r="A129" s="1155">
        <v>96.0</v>
      </c>
      <c r="B129" s="185"/>
      <c r="C129" s="1155" t="s">
        <v>5891</v>
      </c>
      <c r="D129" s="185"/>
      <c r="E129" s="1154"/>
      <c r="F129" s="1154"/>
      <c r="G129" s="1154"/>
      <c r="H129" s="1154"/>
      <c r="I129" s="1154"/>
      <c r="J129" s="1154"/>
      <c r="K129" s="1154"/>
      <c r="L129" s="1154"/>
      <c r="M129" s="1154"/>
      <c r="N129" s="1154"/>
      <c r="O129" s="1154"/>
      <c r="P129" s="1154"/>
      <c r="Q129" s="1154"/>
      <c r="R129" s="1154"/>
      <c r="S129" s="1154"/>
      <c r="T129" s="1154"/>
      <c r="U129" s="1154"/>
      <c r="V129" s="1154"/>
      <c r="W129" s="1154"/>
      <c r="X129" s="1154"/>
      <c r="Y129" s="1154"/>
      <c r="Z129" s="1154"/>
    </row>
    <row r="130">
      <c r="A130" s="1155">
        <v>97.0</v>
      </c>
      <c r="B130" s="1158">
        <v>49.0</v>
      </c>
      <c r="C130" s="1155" t="s">
        <v>5889</v>
      </c>
      <c r="D130" s="1158" t="s">
        <v>5919</v>
      </c>
      <c r="E130" s="1154"/>
      <c r="F130" s="1154"/>
      <c r="G130" s="1154"/>
      <c r="H130" s="1154"/>
      <c r="I130" s="1154"/>
      <c r="J130" s="1154"/>
      <c r="K130" s="1154"/>
      <c r="L130" s="1154"/>
      <c r="M130" s="1154"/>
      <c r="N130" s="1154"/>
      <c r="O130" s="1154"/>
      <c r="P130" s="1154"/>
      <c r="Q130" s="1154"/>
      <c r="R130" s="1154"/>
      <c r="S130" s="1154"/>
      <c r="T130" s="1154"/>
      <c r="U130" s="1154"/>
      <c r="V130" s="1154"/>
      <c r="W130" s="1154"/>
      <c r="X130" s="1154"/>
      <c r="Y130" s="1154"/>
      <c r="Z130" s="1154"/>
    </row>
    <row r="131">
      <c r="A131" s="1155">
        <v>98.0</v>
      </c>
      <c r="B131" s="185"/>
      <c r="C131" s="1155" t="s">
        <v>5891</v>
      </c>
      <c r="D131" s="185"/>
      <c r="E131" s="1154"/>
      <c r="F131" s="1154"/>
      <c r="G131" s="1154"/>
      <c r="H131" s="1154"/>
      <c r="I131" s="1154"/>
      <c r="J131" s="1154"/>
      <c r="K131" s="1154"/>
      <c r="L131" s="1154"/>
      <c r="M131" s="1154"/>
      <c r="N131" s="1154"/>
      <c r="O131" s="1154"/>
      <c r="P131" s="1154"/>
      <c r="Q131" s="1154"/>
      <c r="R131" s="1154"/>
      <c r="S131" s="1154"/>
      <c r="T131" s="1154"/>
      <c r="U131" s="1154"/>
      <c r="V131" s="1154"/>
      <c r="W131" s="1154"/>
      <c r="X131" s="1154"/>
      <c r="Y131" s="1154"/>
      <c r="Z131" s="1154"/>
    </row>
    <row r="132">
      <c r="A132" s="1155">
        <v>99.0</v>
      </c>
      <c r="B132" s="1158">
        <v>50.0</v>
      </c>
      <c r="C132" s="1155" t="s">
        <v>5889</v>
      </c>
      <c r="D132" s="1158" t="s">
        <v>5920</v>
      </c>
      <c r="E132" s="1154"/>
      <c r="F132" s="1154"/>
      <c r="G132" s="1154"/>
      <c r="H132" s="1154"/>
      <c r="I132" s="1154"/>
      <c r="J132" s="1154"/>
      <c r="K132" s="1154"/>
      <c r="L132" s="1154"/>
      <c r="M132" s="1154"/>
      <c r="N132" s="1154"/>
      <c r="O132" s="1154"/>
      <c r="P132" s="1154"/>
      <c r="Q132" s="1154"/>
      <c r="R132" s="1154"/>
      <c r="S132" s="1154"/>
      <c r="T132" s="1154"/>
      <c r="U132" s="1154"/>
      <c r="V132" s="1154"/>
      <c r="W132" s="1154"/>
      <c r="X132" s="1154"/>
      <c r="Y132" s="1154"/>
      <c r="Z132" s="1154"/>
    </row>
    <row r="133">
      <c r="A133" s="1155">
        <v>100.0</v>
      </c>
      <c r="B133" s="185"/>
      <c r="C133" s="1155" t="s">
        <v>5891</v>
      </c>
      <c r="D133" s="185"/>
      <c r="E133" s="1154"/>
      <c r="F133" s="1154"/>
      <c r="G133" s="1154"/>
      <c r="H133" s="1154"/>
      <c r="I133" s="1154"/>
      <c r="J133" s="1154"/>
      <c r="K133" s="1154"/>
      <c r="L133" s="1154"/>
      <c r="M133" s="1154"/>
      <c r="N133" s="1154"/>
      <c r="O133" s="1154"/>
      <c r="P133" s="1154"/>
      <c r="Q133" s="1154"/>
      <c r="R133" s="1154"/>
      <c r="S133" s="1154"/>
      <c r="T133" s="1154"/>
      <c r="U133" s="1154"/>
      <c r="V133" s="1154"/>
      <c r="W133" s="1154"/>
      <c r="X133" s="1154"/>
      <c r="Y133" s="1154"/>
      <c r="Z133" s="1154"/>
    </row>
    <row r="134">
      <c r="A134" s="1155">
        <v>101.0</v>
      </c>
      <c r="B134" s="1158">
        <v>51.0</v>
      </c>
      <c r="C134" s="1155" t="s">
        <v>5889</v>
      </c>
      <c r="D134" s="1158" t="s">
        <v>5921</v>
      </c>
      <c r="E134" s="1154"/>
      <c r="F134" s="1154"/>
      <c r="G134" s="1154"/>
      <c r="H134" s="1154"/>
      <c r="I134" s="1154"/>
      <c r="J134" s="1154"/>
      <c r="K134" s="1154"/>
      <c r="L134" s="1154"/>
      <c r="M134" s="1154"/>
      <c r="N134" s="1154"/>
      <c r="O134" s="1154"/>
      <c r="P134" s="1154"/>
      <c r="Q134" s="1154"/>
      <c r="R134" s="1154"/>
      <c r="S134" s="1154"/>
      <c r="T134" s="1154"/>
      <c r="U134" s="1154"/>
      <c r="V134" s="1154"/>
      <c r="W134" s="1154"/>
      <c r="X134" s="1154"/>
      <c r="Y134" s="1154"/>
      <c r="Z134" s="1154"/>
    </row>
    <row r="135">
      <c r="A135" s="1155">
        <v>102.0</v>
      </c>
      <c r="B135" s="185"/>
      <c r="C135" s="1155" t="s">
        <v>5891</v>
      </c>
      <c r="D135" s="185"/>
      <c r="E135" s="1154"/>
      <c r="F135" s="1154"/>
      <c r="G135" s="1154"/>
      <c r="H135" s="1154"/>
      <c r="I135" s="1154"/>
      <c r="J135" s="1154"/>
      <c r="K135" s="1154"/>
      <c r="L135" s="1154"/>
      <c r="M135" s="1154"/>
      <c r="N135" s="1154"/>
      <c r="O135" s="1154"/>
      <c r="P135" s="1154"/>
      <c r="Q135" s="1154"/>
      <c r="R135" s="1154"/>
      <c r="S135" s="1154"/>
      <c r="T135" s="1154"/>
      <c r="U135" s="1154"/>
      <c r="V135" s="1154"/>
      <c r="W135" s="1154"/>
      <c r="X135" s="1154"/>
      <c r="Y135" s="1154"/>
      <c r="Z135" s="1154"/>
    </row>
    <row r="136">
      <c r="A136" s="1155">
        <v>103.0</v>
      </c>
      <c r="B136" s="1158">
        <v>52.0</v>
      </c>
      <c r="C136" s="1155" t="s">
        <v>5889</v>
      </c>
      <c r="D136" s="1158" t="s">
        <v>5922</v>
      </c>
      <c r="E136" s="1154"/>
      <c r="F136" s="1154"/>
      <c r="G136" s="1154"/>
      <c r="H136" s="1154"/>
      <c r="I136" s="1154"/>
      <c r="J136" s="1154"/>
      <c r="K136" s="1154"/>
      <c r="L136" s="1154"/>
      <c r="M136" s="1154"/>
      <c r="N136" s="1154"/>
      <c r="O136" s="1154"/>
      <c r="P136" s="1154"/>
      <c r="Q136" s="1154"/>
      <c r="R136" s="1154"/>
      <c r="S136" s="1154"/>
      <c r="T136" s="1154"/>
      <c r="U136" s="1154"/>
      <c r="V136" s="1154"/>
      <c r="W136" s="1154"/>
      <c r="X136" s="1154"/>
      <c r="Y136" s="1154"/>
      <c r="Z136" s="1154"/>
    </row>
    <row r="137">
      <c r="A137" s="1155">
        <v>104.0</v>
      </c>
      <c r="B137" s="185"/>
      <c r="C137" s="1155" t="s">
        <v>5891</v>
      </c>
      <c r="D137" s="185"/>
      <c r="E137" s="1154"/>
      <c r="F137" s="1154"/>
      <c r="G137" s="1154"/>
      <c r="H137" s="1154"/>
      <c r="I137" s="1154"/>
      <c r="J137" s="1154"/>
      <c r="K137" s="1154"/>
      <c r="L137" s="1154"/>
      <c r="M137" s="1154"/>
      <c r="N137" s="1154"/>
      <c r="O137" s="1154"/>
      <c r="P137" s="1154"/>
      <c r="Q137" s="1154"/>
      <c r="R137" s="1154"/>
      <c r="S137" s="1154"/>
      <c r="T137" s="1154"/>
      <c r="U137" s="1154"/>
      <c r="V137" s="1154"/>
      <c r="W137" s="1154"/>
      <c r="X137" s="1154"/>
      <c r="Y137" s="1154"/>
      <c r="Z137" s="1154"/>
    </row>
    <row r="138">
      <c r="A138" s="1154"/>
      <c r="B138" s="1154"/>
      <c r="C138" s="1154"/>
      <c r="D138" s="1154"/>
      <c r="E138" s="1154"/>
      <c r="F138" s="1154"/>
      <c r="G138" s="1154"/>
      <c r="H138" s="1154"/>
      <c r="I138" s="1154"/>
      <c r="J138" s="1154"/>
      <c r="K138" s="1154"/>
      <c r="L138" s="1154"/>
      <c r="M138" s="1154"/>
      <c r="N138" s="1154"/>
      <c r="O138" s="1154"/>
      <c r="P138" s="1154"/>
      <c r="Q138" s="1154"/>
      <c r="R138" s="1154"/>
      <c r="S138" s="1154"/>
      <c r="T138" s="1154"/>
      <c r="U138" s="1154"/>
      <c r="V138" s="1154"/>
      <c r="W138" s="1154"/>
      <c r="X138" s="1154"/>
      <c r="Y138" s="1154"/>
      <c r="Z138" s="1154"/>
    </row>
    <row r="139">
      <c r="A139" s="1154"/>
      <c r="B139" s="1154"/>
      <c r="C139" s="1154"/>
      <c r="D139" s="1154"/>
      <c r="E139" s="1154"/>
      <c r="F139" s="1154"/>
      <c r="G139" s="1154"/>
      <c r="H139" s="1154"/>
      <c r="I139" s="1154"/>
      <c r="J139" s="1154"/>
      <c r="K139" s="1154"/>
      <c r="L139" s="1154"/>
      <c r="M139" s="1154"/>
      <c r="N139" s="1154"/>
      <c r="O139" s="1154"/>
      <c r="P139" s="1154"/>
      <c r="Q139" s="1154"/>
      <c r="R139" s="1154"/>
      <c r="S139" s="1154"/>
      <c r="T139" s="1154"/>
      <c r="U139" s="1154"/>
      <c r="V139" s="1154"/>
      <c r="W139" s="1154"/>
      <c r="X139" s="1154"/>
      <c r="Y139" s="1154"/>
      <c r="Z139" s="1154"/>
    </row>
    <row r="140">
      <c r="A140" s="1154"/>
      <c r="B140" s="1154"/>
      <c r="C140" s="1154"/>
      <c r="D140" s="1154"/>
      <c r="E140" s="1154"/>
      <c r="F140" s="1154"/>
      <c r="G140" s="1154"/>
      <c r="H140" s="1154"/>
      <c r="I140" s="1154"/>
      <c r="J140" s="1154"/>
      <c r="K140" s="1154"/>
      <c r="L140" s="1154"/>
      <c r="M140" s="1154"/>
      <c r="N140" s="1154"/>
      <c r="O140" s="1154"/>
      <c r="P140" s="1154"/>
      <c r="Q140" s="1154"/>
      <c r="R140" s="1154"/>
      <c r="S140" s="1154"/>
      <c r="T140" s="1154"/>
      <c r="U140" s="1154"/>
      <c r="V140" s="1154"/>
      <c r="W140" s="1154"/>
      <c r="X140" s="1154"/>
      <c r="Y140" s="1154"/>
      <c r="Z140" s="1154"/>
    </row>
    <row r="141">
      <c r="A141" s="1154"/>
      <c r="B141" s="1154"/>
      <c r="C141" s="1154"/>
      <c r="D141" s="1154"/>
      <c r="E141" s="1154"/>
      <c r="F141" s="1154"/>
      <c r="G141" s="1154"/>
      <c r="H141" s="1154"/>
      <c r="I141" s="1154"/>
      <c r="J141" s="1154"/>
      <c r="K141" s="1154"/>
      <c r="L141" s="1154"/>
      <c r="M141" s="1154"/>
      <c r="N141" s="1154"/>
      <c r="O141" s="1154"/>
      <c r="P141" s="1154"/>
      <c r="Q141" s="1154"/>
      <c r="R141" s="1154"/>
      <c r="S141" s="1154"/>
      <c r="T141" s="1154"/>
      <c r="U141" s="1154"/>
      <c r="V141" s="1154"/>
      <c r="W141" s="1154"/>
      <c r="X141" s="1154"/>
      <c r="Y141" s="1154"/>
      <c r="Z141" s="1154"/>
    </row>
    <row r="142">
      <c r="A142" s="1154"/>
      <c r="B142" s="1154"/>
      <c r="C142" s="1154"/>
      <c r="D142" s="1154"/>
      <c r="E142" s="1154"/>
      <c r="F142" s="1154"/>
      <c r="G142" s="1154"/>
      <c r="H142" s="1154"/>
      <c r="I142" s="1154"/>
      <c r="J142" s="1154"/>
      <c r="K142" s="1154"/>
      <c r="L142" s="1154"/>
      <c r="M142" s="1154"/>
      <c r="N142" s="1154"/>
      <c r="O142" s="1154"/>
      <c r="P142" s="1154"/>
      <c r="Q142" s="1154"/>
      <c r="R142" s="1154"/>
      <c r="S142" s="1154"/>
      <c r="T142" s="1154"/>
      <c r="U142" s="1154"/>
      <c r="V142" s="1154"/>
      <c r="W142" s="1154"/>
      <c r="X142" s="1154"/>
      <c r="Y142" s="1154"/>
      <c r="Z142" s="1154"/>
    </row>
    <row r="143">
      <c r="A143" s="1154"/>
      <c r="B143" s="1154"/>
      <c r="C143" s="1154"/>
      <c r="D143" s="1154"/>
      <c r="E143" s="1154"/>
      <c r="F143" s="1154"/>
      <c r="G143" s="1154"/>
      <c r="H143" s="1154"/>
      <c r="I143" s="1154"/>
      <c r="J143" s="1154"/>
      <c r="K143" s="1154"/>
      <c r="L143" s="1154"/>
      <c r="M143" s="1154"/>
      <c r="N143" s="1154"/>
      <c r="O143" s="1154"/>
      <c r="P143" s="1154"/>
      <c r="Q143" s="1154"/>
      <c r="R143" s="1154"/>
      <c r="S143" s="1154"/>
      <c r="T143" s="1154"/>
      <c r="U143" s="1154"/>
      <c r="V143" s="1154"/>
      <c r="W143" s="1154"/>
      <c r="X143" s="1154"/>
      <c r="Y143" s="1154"/>
      <c r="Z143" s="1154"/>
    </row>
    <row r="144">
      <c r="A144" s="1154"/>
      <c r="B144" s="1154"/>
      <c r="C144" s="1154"/>
      <c r="D144" s="1154"/>
      <c r="E144" s="1154"/>
      <c r="F144" s="1154"/>
      <c r="G144" s="1154"/>
      <c r="H144" s="1154"/>
      <c r="I144" s="1154"/>
      <c r="J144" s="1154"/>
      <c r="K144" s="1154"/>
      <c r="L144" s="1154"/>
      <c r="M144" s="1154"/>
      <c r="N144" s="1154"/>
      <c r="O144" s="1154"/>
      <c r="P144" s="1154"/>
      <c r="Q144" s="1154"/>
      <c r="R144" s="1154"/>
      <c r="S144" s="1154"/>
      <c r="T144" s="1154"/>
      <c r="U144" s="1154"/>
      <c r="V144" s="1154"/>
      <c r="W144" s="1154"/>
      <c r="X144" s="1154"/>
      <c r="Y144" s="1154"/>
      <c r="Z144" s="1154"/>
    </row>
    <row r="145">
      <c r="A145" s="1154"/>
      <c r="B145" s="1154"/>
      <c r="C145" s="1154"/>
      <c r="D145" s="1154"/>
      <c r="E145" s="1154"/>
      <c r="F145" s="1154"/>
      <c r="G145" s="1154"/>
      <c r="H145" s="1154"/>
      <c r="I145" s="1154"/>
      <c r="J145" s="1154"/>
      <c r="K145" s="1154"/>
      <c r="L145" s="1154"/>
      <c r="M145" s="1154"/>
      <c r="N145" s="1154"/>
      <c r="O145" s="1154"/>
      <c r="P145" s="1154"/>
      <c r="Q145" s="1154"/>
      <c r="R145" s="1154"/>
      <c r="S145" s="1154"/>
      <c r="T145" s="1154"/>
      <c r="U145" s="1154"/>
      <c r="V145" s="1154"/>
      <c r="W145" s="1154"/>
      <c r="X145" s="1154"/>
      <c r="Y145" s="1154"/>
      <c r="Z145" s="1154"/>
    </row>
    <row r="146">
      <c r="A146" s="1154"/>
      <c r="B146" s="1154"/>
      <c r="C146" s="1154"/>
      <c r="D146" s="1154"/>
      <c r="E146" s="1154"/>
      <c r="F146" s="1154"/>
      <c r="G146" s="1154"/>
      <c r="H146" s="1154"/>
      <c r="I146" s="1154"/>
      <c r="J146" s="1154"/>
      <c r="K146" s="1154"/>
      <c r="L146" s="1154"/>
      <c r="M146" s="1154"/>
      <c r="N146" s="1154"/>
      <c r="O146" s="1154"/>
      <c r="P146" s="1154"/>
      <c r="Q146" s="1154"/>
      <c r="R146" s="1154"/>
      <c r="S146" s="1154"/>
      <c r="T146" s="1154"/>
      <c r="U146" s="1154"/>
      <c r="V146" s="1154"/>
      <c r="W146" s="1154"/>
      <c r="X146" s="1154"/>
      <c r="Y146" s="1154"/>
      <c r="Z146" s="1154"/>
    </row>
    <row r="147">
      <c r="A147" s="1154"/>
      <c r="B147" s="1154"/>
      <c r="C147" s="1154"/>
      <c r="D147" s="1154"/>
      <c r="E147" s="1154"/>
      <c r="F147" s="1154"/>
      <c r="G147" s="1154"/>
      <c r="H147" s="1154"/>
      <c r="I147" s="1154"/>
      <c r="J147" s="1154"/>
      <c r="K147" s="1154"/>
      <c r="L147" s="1154"/>
      <c r="M147" s="1154"/>
      <c r="N147" s="1154"/>
      <c r="O147" s="1154"/>
      <c r="P147" s="1154"/>
      <c r="Q147" s="1154"/>
      <c r="R147" s="1154"/>
      <c r="S147" s="1154"/>
      <c r="T147" s="1154"/>
      <c r="U147" s="1154"/>
      <c r="V147" s="1154"/>
      <c r="W147" s="1154"/>
      <c r="X147" s="1154"/>
      <c r="Y147" s="1154"/>
      <c r="Z147" s="1154"/>
    </row>
    <row r="148">
      <c r="A148" s="1154"/>
      <c r="B148" s="1154"/>
      <c r="C148" s="1154"/>
      <c r="D148" s="1154"/>
      <c r="E148" s="1154"/>
      <c r="F148" s="1154"/>
      <c r="G148" s="1154"/>
      <c r="H148" s="1154"/>
      <c r="I148" s="1154"/>
      <c r="J148" s="1154"/>
      <c r="K148" s="1154"/>
      <c r="L148" s="1154"/>
      <c r="M148" s="1154"/>
      <c r="N148" s="1154"/>
      <c r="O148" s="1154"/>
      <c r="P148" s="1154"/>
      <c r="Q148" s="1154"/>
      <c r="R148" s="1154"/>
      <c r="S148" s="1154"/>
      <c r="T148" s="1154"/>
      <c r="U148" s="1154"/>
      <c r="V148" s="1154"/>
      <c r="W148" s="1154"/>
      <c r="X148" s="1154"/>
      <c r="Y148" s="1154"/>
      <c r="Z148" s="1154"/>
    </row>
    <row r="149">
      <c r="A149" s="1154"/>
      <c r="B149" s="1154"/>
      <c r="C149" s="1154"/>
      <c r="D149" s="1154"/>
      <c r="E149" s="1154"/>
      <c r="F149" s="1154"/>
      <c r="G149" s="1154"/>
      <c r="H149" s="1154"/>
      <c r="I149" s="1154"/>
      <c r="J149" s="1154"/>
      <c r="K149" s="1154"/>
      <c r="L149" s="1154"/>
      <c r="M149" s="1154"/>
      <c r="N149" s="1154"/>
      <c r="O149" s="1154"/>
      <c r="P149" s="1154"/>
      <c r="Q149" s="1154"/>
      <c r="R149" s="1154"/>
      <c r="S149" s="1154"/>
      <c r="T149" s="1154"/>
      <c r="U149" s="1154"/>
      <c r="V149" s="1154"/>
      <c r="W149" s="1154"/>
      <c r="X149" s="1154"/>
      <c r="Y149" s="1154"/>
      <c r="Z149" s="1154"/>
    </row>
    <row r="150">
      <c r="A150" s="1154"/>
      <c r="B150" s="1154"/>
      <c r="C150" s="1154"/>
      <c r="D150" s="1154"/>
      <c r="E150" s="1154"/>
      <c r="F150" s="1154"/>
      <c r="G150" s="1154"/>
      <c r="H150" s="1154"/>
      <c r="I150" s="1154"/>
      <c r="J150" s="1154"/>
      <c r="K150" s="1154"/>
      <c r="L150" s="1154"/>
      <c r="M150" s="1154"/>
      <c r="N150" s="1154"/>
      <c r="O150" s="1154"/>
      <c r="P150" s="1154"/>
      <c r="Q150" s="1154"/>
      <c r="R150" s="1154"/>
      <c r="S150" s="1154"/>
      <c r="T150" s="1154"/>
      <c r="U150" s="1154"/>
      <c r="V150" s="1154"/>
      <c r="W150" s="1154"/>
      <c r="X150" s="1154"/>
      <c r="Y150" s="1154"/>
      <c r="Z150" s="1154"/>
    </row>
    <row r="151">
      <c r="A151" s="1154"/>
      <c r="B151" s="1154"/>
      <c r="C151" s="1154"/>
      <c r="D151" s="1154"/>
      <c r="E151" s="1154"/>
      <c r="F151" s="1154"/>
      <c r="G151" s="1154"/>
      <c r="H151" s="1154"/>
      <c r="I151" s="1154"/>
      <c r="J151" s="1154"/>
      <c r="K151" s="1154"/>
      <c r="L151" s="1154"/>
      <c r="M151" s="1154"/>
      <c r="N151" s="1154"/>
      <c r="O151" s="1154"/>
      <c r="P151" s="1154"/>
      <c r="Q151" s="1154"/>
      <c r="R151" s="1154"/>
      <c r="S151" s="1154"/>
      <c r="T151" s="1154"/>
      <c r="U151" s="1154"/>
      <c r="V151" s="1154"/>
      <c r="W151" s="1154"/>
      <c r="X151" s="1154"/>
      <c r="Y151" s="1154"/>
      <c r="Z151" s="1154"/>
    </row>
    <row r="152">
      <c r="A152" s="1154"/>
      <c r="B152" s="1154"/>
      <c r="C152" s="1154"/>
      <c r="D152" s="1154"/>
      <c r="E152" s="1154"/>
      <c r="F152" s="1154"/>
      <c r="G152" s="1154"/>
      <c r="H152" s="1154"/>
      <c r="I152" s="1154"/>
      <c r="J152" s="1154"/>
      <c r="K152" s="1154"/>
      <c r="L152" s="1154"/>
      <c r="M152" s="1154"/>
      <c r="N152" s="1154"/>
      <c r="O152" s="1154"/>
      <c r="P152" s="1154"/>
      <c r="Q152" s="1154"/>
      <c r="R152" s="1154"/>
      <c r="S152" s="1154"/>
      <c r="T152" s="1154"/>
      <c r="U152" s="1154"/>
      <c r="V152" s="1154"/>
      <c r="W152" s="1154"/>
      <c r="X152" s="1154"/>
      <c r="Y152" s="1154"/>
      <c r="Z152" s="1154"/>
    </row>
    <row r="153">
      <c r="A153" s="1154"/>
      <c r="B153" s="1154"/>
      <c r="C153" s="1154"/>
      <c r="D153" s="1154"/>
      <c r="E153" s="1154"/>
      <c r="F153" s="1154"/>
      <c r="G153" s="1154"/>
      <c r="H153" s="1154"/>
      <c r="I153" s="1154"/>
      <c r="J153" s="1154"/>
      <c r="K153" s="1154"/>
      <c r="L153" s="1154"/>
      <c r="M153" s="1154"/>
      <c r="N153" s="1154"/>
      <c r="O153" s="1154"/>
      <c r="P153" s="1154"/>
      <c r="Q153" s="1154"/>
      <c r="R153" s="1154"/>
      <c r="S153" s="1154"/>
      <c r="T153" s="1154"/>
      <c r="U153" s="1154"/>
      <c r="V153" s="1154"/>
      <c r="W153" s="1154"/>
      <c r="X153" s="1154"/>
      <c r="Y153" s="1154"/>
      <c r="Z153" s="1154"/>
    </row>
    <row r="154">
      <c r="A154" s="1154"/>
      <c r="B154" s="1154"/>
      <c r="C154" s="1154"/>
      <c r="D154" s="1154"/>
      <c r="E154" s="1154"/>
      <c r="F154" s="1154"/>
      <c r="G154" s="1154"/>
      <c r="H154" s="1154"/>
      <c r="I154" s="1154"/>
      <c r="J154" s="1154"/>
      <c r="K154" s="1154"/>
      <c r="L154" s="1154"/>
      <c r="M154" s="1154"/>
      <c r="N154" s="1154"/>
      <c r="O154" s="1154"/>
      <c r="P154" s="1154"/>
      <c r="Q154" s="1154"/>
      <c r="R154" s="1154"/>
      <c r="S154" s="1154"/>
      <c r="T154" s="1154"/>
      <c r="U154" s="1154"/>
      <c r="V154" s="1154"/>
      <c r="W154" s="1154"/>
      <c r="X154" s="1154"/>
      <c r="Y154" s="1154"/>
      <c r="Z154" s="1154"/>
    </row>
    <row r="155">
      <c r="A155" s="1154"/>
      <c r="B155" s="1154"/>
      <c r="C155" s="1154"/>
      <c r="D155" s="1154"/>
      <c r="E155" s="1154"/>
      <c r="F155" s="1154"/>
      <c r="G155" s="1154"/>
      <c r="H155" s="1154"/>
      <c r="I155" s="1154"/>
      <c r="J155" s="1154"/>
      <c r="K155" s="1154"/>
      <c r="L155" s="1154"/>
      <c r="M155" s="1154"/>
      <c r="N155" s="1154"/>
      <c r="O155" s="1154"/>
      <c r="P155" s="1154"/>
      <c r="Q155" s="1154"/>
      <c r="R155" s="1154"/>
      <c r="S155" s="1154"/>
      <c r="T155" s="1154"/>
      <c r="U155" s="1154"/>
      <c r="V155" s="1154"/>
      <c r="W155" s="1154"/>
      <c r="X155" s="1154"/>
      <c r="Y155" s="1154"/>
      <c r="Z155" s="1154"/>
    </row>
    <row r="156">
      <c r="A156" s="1154"/>
      <c r="B156" s="1154"/>
      <c r="C156" s="1154"/>
      <c r="D156" s="1154"/>
      <c r="E156" s="1154"/>
      <c r="F156" s="1154"/>
      <c r="G156" s="1154"/>
      <c r="H156" s="1154"/>
      <c r="I156" s="1154"/>
      <c r="J156" s="1154"/>
      <c r="K156" s="1154"/>
      <c r="L156" s="1154"/>
      <c r="M156" s="1154"/>
      <c r="N156" s="1154"/>
      <c r="O156" s="1154"/>
      <c r="P156" s="1154"/>
      <c r="Q156" s="1154"/>
      <c r="R156" s="1154"/>
      <c r="S156" s="1154"/>
      <c r="T156" s="1154"/>
      <c r="U156" s="1154"/>
      <c r="V156" s="1154"/>
      <c r="W156" s="1154"/>
      <c r="X156" s="1154"/>
      <c r="Y156" s="1154"/>
      <c r="Z156" s="1154"/>
    </row>
    <row r="157">
      <c r="A157" s="1154"/>
      <c r="B157" s="1154"/>
      <c r="C157" s="1154"/>
      <c r="D157" s="1154"/>
      <c r="E157" s="1154"/>
      <c r="F157" s="1154"/>
      <c r="G157" s="1154"/>
      <c r="H157" s="1154"/>
      <c r="I157" s="1154"/>
      <c r="J157" s="1154"/>
      <c r="K157" s="1154"/>
      <c r="L157" s="1154"/>
      <c r="M157" s="1154"/>
      <c r="N157" s="1154"/>
      <c r="O157" s="1154"/>
      <c r="P157" s="1154"/>
      <c r="Q157" s="1154"/>
      <c r="R157" s="1154"/>
      <c r="S157" s="1154"/>
      <c r="T157" s="1154"/>
      <c r="U157" s="1154"/>
      <c r="V157" s="1154"/>
      <c r="W157" s="1154"/>
      <c r="X157" s="1154"/>
      <c r="Y157" s="1154"/>
      <c r="Z157" s="1154"/>
    </row>
    <row r="158">
      <c r="A158" s="1154"/>
      <c r="B158" s="1154"/>
      <c r="C158" s="1154"/>
      <c r="D158" s="1154"/>
      <c r="E158" s="1154"/>
      <c r="F158" s="1154"/>
      <c r="G158" s="1154"/>
      <c r="H158" s="1154"/>
      <c r="I158" s="1154"/>
      <c r="J158" s="1154"/>
      <c r="K158" s="1154"/>
      <c r="L158" s="1154"/>
      <c r="M158" s="1154"/>
      <c r="N158" s="1154"/>
      <c r="O158" s="1154"/>
      <c r="P158" s="1154"/>
      <c r="Q158" s="1154"/>
      <c r="R158" s="1154"/>
      <c r="S158" s="1154"/>
      <c r="T158" s="1154"/>
      <c r="U158" s="1154"/>
      <c r="V158" s="1154"/>
      <c r="W158" s="1154"/>
      <c r="X158" s="1154"/>
      <c r="Y158" s="1154"/>
      <c r="Z158" s="1154"/>
    </row>
    <row r="159">
      <c r="A159" s="1154"/>
      <c r="B159" s="1154"/>
      <c r="C159" s="1154"/>
      <c r="D159" s="1154"/>
      <c r="E159" s="1154"/>
      <c r="F159" s="1154"/>
      <c r="G159" s="1154"/>
      <c r="H159" s="1154"/>
      <c r="I159" s="1154"/>
      <c r="J159" s="1154"/>
      <c r="K159" s="1154"/>
      <c r="L159" s="1154"/>
      <c r="M159" s="1154"/>
      <c r="N159" s="1154"/>
      <c r="O159" s="1154"/>
      <c r="P159" s="1154"/>
      <c r="Q159" s="1154"/>
      <c r="R159" s="1154"/>
      <c r="S159" s="1154"/>
      <c r="T159" s="1154"/>
      <c r="U159" s="1154"/>
      <c r="V159" s="1154"/>
      <c r="W159" s="1154"/>
      <c r="X159" s="1154"/>
      <c r="Y159" s="1154"/>
      <c r="Z159" s="1154"/>
    </row>
    <row r="160">
      <c r="A160" s="1154"/>
      <c r="B160" s="1154"/>
      <c r="C160" s="1154"/>
      <c r="D160" s="1154"/>
      <c r="E160" s="1154"/>
      <c r="F160" s="1154"/>
      <c r="G160" s="1154"/>
      <c r="H160" s="1154"/>
      <c r="I160" s="1154"/>
      <c r="J160" s="1154"/>
      <c r="K160" s="1154"/>
      <c r="L160" s="1154"/>
      <c r="M160" s="1154"/>
      <c r="N160" s="1154"/>
      <c r="O160" s="1154"/>
      <c r="P160" s="1154"/>
      <c r="Q160" s="1154"/>
      <c r="R160" s="1154"/>
      <c r="S160" s="1154"/>
      <c r="T160" s="1154"/>
      <c r="U160" s="1154"/>
      <c r="V160" s="1154"/>
      <c r="W160" s="1154"/>
      <c r="X160" s="1154"/>
      <c r="Y160" s="1154"/>
      <c r="Z160" s="1154"/>
    </row>
    <row r="161">
      <c r="A161" s="1154"/>
      <c r="B161" s="1154"/>
      <c r="C161" s="1154"/>
      <c r="D161" s="1154"/>
      <c r="E161" s="1154"/>
      <c r="F161" s="1154"/>
      <c r="G161" s="1154"/>
      <c r="H161" s="1154"/>
      <c r="I161" s="1154"/>
      <c r="J161" s="1154"/>
      <c r="K161" s="1154"/>
      <c r="L161" s="1154"/>
      <c r="M161" s="1154"/>
      <c r="N161" s="1154"/>
      <c r="O161" s="1154"/>
      <c r="P161" s="1154"/>
      <c r="Q161" s="1154"/>
      <c r="R161" s="1154"/>
      <c r="S161" s="1154"/>
      <c r="T161" s="1154"/>
      <c r="U161" s="1154"/>
      <c r="V161" s="1154"/>
      <c r="W161" s="1154"/>
      <c r="X161" s="1154"/>
      <c r="Y161" s="1154"/>
      <c r="Z161" s="1154"/>
    </row>
    <row r="162">
      <c r="A162" s="1154"/>
      <c r="B162" s="1154"/>
      <c r="C162" s="1154"/>
      <c r="D162" s="1154"/>
      <c r="E162" s="1154"/>
      <c r="F162" s="1154"/>
      <c r="G162" s="1154"/>
      <c r="H162" s="1154"/>
      <c r="I162" s="1154"/>
      <c r="J162" s="1154"/>
      <c r="K162" s="1154"/>
      <c r="L162" s="1154"/>
      <c r="M162" s="1154"/>
      <c r="N162" s="1154"/>
      <c r="O162" s="1154"/>
      <c r="P162" s="1154"/>
      <c r="Q162" s="1154"/>
      <c r="R162" s="1154"/>
      <c r="S162" s="1154"/>
      <c r="T162" s="1154"/>
      <c r="U162" s="1154"/>
      <c r="V162" s="1154"/>
      <c r="W162" s="1154"/>
      <c r="X162" s="1154"/>
      <c r="Y162" s="1154"/>
      <c r="Z162" s="1154"/>
    </row>
    <row r="163">
      <c r="A163" s="1154"/>
      <c r="B163" s="1154"/>
      <c r="C163" s="1154"/>
      <c r="D163" s="1154"/>
      <c r="E163" s="1154"/>
      <c r="F163" s="1154"/>
      <c r="G163" s="1154"/>
      <c r="H163" s="1154"/>
      <c r="I163" s="1154"/>
      <c r="J163" s="1154"/>
      <c r="K163" s="1154"/>
      <c r="L163" s="1154"/>
      <c r="M163" s="1154"/>
      <c r="N163" s="1154"/>
      <c r="O163" s="1154"/>
      <c r="P163" s="1154"/>
      <c r="Q163" s="1154"/>
      <c r="R163" s="1154"/>
      <c r="S163" s="1154"/>
      <c r="T163" s="1154"/>
      <c r="U163" s="1154"/>
      <c r="V163" s="1154"/>
      <c r="W163" s="1154"/>
      <c r="X163" s="1154"/>
      <c r="Y163" s="1154"/>
      <c r="Z163" s="1154"/>
    </row>
    <row r="164">
      <c r="A164" s="1154"/>
      <c r="B164" s="1154"/>
      <c r="C164" s="1154"/>
      <c r="D164" s="1154"/>
      <c r="E164" s="1154"/>
      <c r="F164" s="1154"/>
      <c r="G164" s="1154"/>
      <c r="H164" s="1154"/>
      <c r="I164" s="1154"/>
      <c r="J164" s="1154"/>
      <c r="K164" s="1154"/>
      <c r="L164" s="1154"/>
      <c r="M164" s="1154"/>
      <c r="N164" s="1154"/>
      <c r="O164" s="1154"/>
      <c r="P164" s="1154"/>
      <c r="Q164" s="1154"/>
      <c r="R164" s="1154"/>
      <c r="S164" s="1154"/>
      <c r="T164" s="1154"/>
      <c r="U164" s="1154"/>
      <c r="V164" s="1154"/>
      <c r="W164" s="1154"/>
      <c r="X164" s="1154"/>
      <c r="Y164" s="1154"/>
      <c r="Z164" s="1154"/>
    </row>
    <row r="165">
      <c r="A165" s="1154"/>
      <c r="B165" s="1154"/>
      <c r="C165" s="1154"/>
      <c r="D165" s="1154"/>
      <c r="E165" s="1154"/>
      <c r="F165" s="1154"/>
      <c r="G165" s="1154"/>
      <c r="H165" s="1154"/>
      <c r="I165" s="1154"/>
      <c r="J165" s="1154"/>
      <c r="K165" s="1154"/>
      <c r="L165" s="1154"/>
      <c r="M165" s="1154"/>
      <c r="N165" s="1154"/>
      <c r="O165" s="1154"/>
      <c r="P165" s="1154"/>
      <c r="Q165" s="1154"/>
      <c r="R165" s="1154"/>
      <c r="S165" s="1154"/>
      <c r="T165" s="1154"/>
      <c r="U165" s="1154"/>
      <c r="V165" s="1154"/>
      <c r="W165" s="1154"/>
      <c r="X165" s="1154"/>
      <c r="Y165" s="1154"/>
      <c r="Z165" s="1154"/>
    </row>
    <row r="166">
      <c r="A166" s="1154"/>
      <c r="B166" s="1154"/>
      <c r="C166" s="1154"/>
      <c r="D166" s="1154"/>
      <c r="E166" s="1154"/>
      <c r="F166" s="1154"/>
      <c r="G166" s="1154"/>
      <c r="H166" s="1154"/>
      <c r="I166" s="1154"/>
      <c r="J166" s="1154"/>
      <c r="K166" s="1154"/>
      <c r="L166" s="1154"/>
      <c r="M166" s="1154"/>
      <c r="N166" s="1154"/>
      <c r="O166" s="1154"/>
      <c r="P166" s="1154"/>
      <c r="Q166" s="1154"/>
      <c r="R166" s="1154"/>
      <c r="S166" s="1154"/>
      <c r="T166" s="1154"/>
      <c r="U166" s="1154"/>
      <c r="V166" s="1154"/>
      <c r="W166" s="1154"/>
      <c r="X166" s="1154"/>
      <c r="Y166" s="1154"/>
      <c r="Z166" s="1154"/>
    </row>
    <row r="167">
      <c r="A167" s="1154"/>
      <c r="B167" s="1154"/>
      <c r="C167" s="1154"/>
      <c r="D167" s="1154"/>
      <c r="E167" s="1154"/>
      <c r="F167" s="1154"/>
      <c r="G167" s="1154"/>
      <c r="H167" s="1154"/>
      <c r="I167" s="1154"/>
      <c r="J167" s="1154"/>
      <c r="K167" s="1154"/>
      <c r="L167" s="1154"/>
      <c r="M167" s="1154"/>
      <c r="N167" s="1154"/>
      <c r="O167" s="1154"/>
      <c r="P167" s="1154"/>
      <c r="Q167" s="1154"/>
      <c r="R167" s="1154"/>
      <c r="S167" s="1154"/>
      <c r="T167" s="1154"/>
      <c r="U167" s="1154"/>
      <c r="V167" s="1154"/>
      <c r="W167" s="1154"/>
      <c r="X167" s="1154"/>
      <c r="Y167" s="1154"/>
      <c r="Z167" s="1154"/>
    </row>
    <row r="168">
      <c r="A168" s="1154"/>
      <c r="B168" s="1154"/>
      <c r="C168" s="1154"/>
      <c r="D168" s="1154"/>
      <c r="E168" s="1154"/>
      <c r="F168" s="1154"/>
      <c r="G168" s="1154"/>
      <c r="H168" s="1154"/>
      <c r="I168" s="1154"/>
      <c r="J168" s="1154"/>
      <c r="K168" s="1154"/>
      <c r="L168" s="1154"/>
      <c r="M168" s="1154"/>
      <c r="N168" s="1154"/>
      <c r="O168" s="1154"/>
      <c r="P168" s="1154"/>
      <c r="Q168" s="1154"/>
      <c r="R168" s="1154"/>
      <c r="S168" s="1154"/>
      <c r="T168" s="1154"/>
      <c r="U168" s="1154"/>
      <c r="V168" s="1154"/>
      <c r="W168" s="1154"/>
      <c r="X168" s="1154"/>
      <c r="Y168" s="1154"/>
      <c r="Z168" s="1154"/>
    </row>
    <row r="169">
      <c r="A169" s="1154"/>
      <c r="B169" s="1154"/>
      <c r="C169" s="1154"/>
      <c r="D169" s="1154"/>
      <c r="E169" s="1154"/>
      <c r="F169" s="1154"/>
      <c r="G169" s="1154"/>
      <c r="H169" s="1154"/>
      <c r="I169" s="1154"/>
      <c r="J169" s="1154"/>
      <c r="K169" s="1154"/>
      <c r="L169" s="1154"/>
      <c r="M169" s="1154"/>
      <c r="N169" s="1154"/>
      <c r="O169" s="1154"/>
      <c r="P169" s="1154"/>
      <c r="Q169" s="1154"/>
      <c r="R169" s="1154"/>
      <c r="S169" s="1154"/>
      <c r="T169" s="1154"/>
      <c r="U169" s="1154"/>
      <c r="V169" s="1154"/>
      <c r="W169" s="1154"/>
      <c r="X169" s="1154"/>
      <c r="Y169" s="1154"/>
      <c r="Z169" s="1154"/>
    </row>
    <row r="170">
      <c r="A170" s="1154"/>
      <c r="B170" s="1154"/>
      <c r="C170" s="1154"/>
      <c r="D170" s="1154"/>
      <c r="E170" s="1154"/>
      <c r="F170" s="1154"/>
      <c r="G170" s="1154"/>
      <c r="H170" s="1154"/>
      <c r="I170" s="1154"/>
      <c r="J170" s="1154"/>
      <c r="K170" s="1154"/>
      <c r="L170" s="1154"/>
      <c r="M170" s="1154"/>
      <c r="N170" s="1154"/>
      <c r="O170" s="1154"/>
      <c r="P170" s="1154"/>
      <c r="Q170" s="1154"/>
      <c r="R170" s="1154"/>
      <c r="S170" s="1154"/>
      <c r="T170" s="1154"/>
      <c r="U170" s="1154"/>
      <c r="V170" s="1154"/>
      <c r="W170" s="1154"/>
      <c r="X170" s="1154"/>
      <c r="Y170" s="1154"/>
      <c r="Z170" s="1154"/>
    </row>
    <row r="171">
      <c r="A171" s="1154"/>
      <c r="B171" s="1154"/>
      <c r="C171" s="1154"/>
      <c r="D171" s="1154"/>
      <c r="E171" s="1154"/>
      <c r="F171" s="1154"/>
      <c r="G171" s="1154"/>
      <c r="H171" s="1154"/>
      <c r="I171" s="1154"/>
      <c r="J171" s="1154"/>
      <c r="K171" s="1154"/>
      <c r="L171" s="1154"/>
      <c r="M171" s="1154"/>
      <c r="N171" s="1154"/>
      <c r="O171" s="1154"/>
      <c r="P171" s="1154"/>
      <c r="Q171" s="1154"/>
      <c r="R171" s="1154"/>
      <c r="S171" s="1154"/>
      <c r="T171" s="1154"/>
      <c r="U171" s="1154"/>
      <c r="V171" s="1154"/>
      <c r="W171" s="1154"/>
      <c r="X171" s="1154"/>
      <c r="Y171" s="1154"/>
      <c r="Z171" s="1154"/>
    </row>
    <row r="172">
      <c r="A172" s="1154"/>
      <c r="B172" s="1154"/>
      <c r="C172" s="1154"/>
      <c r="D172" s="1154"/>
      <c r="E172" s="1154"/>
      <c r="F172" s="1154"/>
      <c r="G172" s="1154"/>
      <c r="H172" s="1154"/>
      <c r="I172" s="1154"/>
      <c r="J172" s="1154"/>
      <c r="K172" s="1154"/>
      <c r="L172" s="1154"/>
      <c r="M172" s="1154"/>
      <c r="N172" s="1154"/>
      <c r="O172" s="1154"/>
      <c r="P172" s="1154"/>
      <c r="Q172" s="1154"/>
      <c r="R172" s="1154"/>
      <c r="S172" s="1154"/>
      <c r="T172" s="1154"/>
      <c r="U172" s="1154"/>
      <c r="V172" s="1154"/>
      <c r="W172" s="1154"/>
      <c r="X172" s="1154"/>
      <c r="Y172" s="1154"/>
      <c r="Z172" s="1154"/>
    </row>
    <row r="173">
      <c r="A173" s="1154"/>
      <c r="B173" s="1154"/>
      <c r="C173" s="1154"/>
      <c r="D173" s="1154"/>
      <c r="E173" s="1154"/>
      <c r="F173" s="1154"/>
      <c r="G173" s="1154"/>
      <c r="H173" s="1154"/>
      <c r="I173" s="1154"/>
      <c r="J173" s="1154"/>
      <c r="K173" s="1154"/>
      <c r="L173" s="1154"/>
      <c r="M173" s="1154"/>
      <c r="N173" s="1154"/>
      <c r="O173" s="1154"/>
      <c r="P173" s="1154"/>
      <c r="Q173" s="1154"/>
      <c r="R173" s="1154"/>
      <c r="S173" s="1154"/>
      <c r="T173" s="1154"/>
      <c r="U173" s="1154"/>
      <c r="V173" s="1154"/>
      <c r="W173" s="1154"/>
      <c r="X173" s="1154"/>
      <c r="Y173" s="1154"/>
      <c r="Z173" s="1154"/>
    </row>
    <row r="174">
      <c r="A174" s="1154"/>
      <c r="B174" s="1154"/>
      <c r="C174" s="1154"/>
      <c r="D174" s="1154"/>
      <c r="E174" s="1154"/>
      <c r="F174" s="1154"/>
      <c r="G174" s="1154"/>
      <c r="H174" s="1154"/>
      <c r="I174" s="1154"/>
      <c r="J174" s="1154"/>
      <c r="K174" s="1154"/>
      <c r="L174" s="1154"/>
      <c r="M174" s="1154"/>
      <c r="N174" s="1154"/>
      <c r="O174" s="1154"/>
      <c r="P174" s="1154"/>
      <c r="Q174" s="1154"/>
      <c r="R174" s="1154"/>
      <c r="S174" s="1154"/>
      <c r="T174" s="1154"/>
      <c r="U174" s="1154"/>
      <c r="V174" s="1154"/>
      <c r="W174" s="1154"/>
      <c r="X174" s="1154"/>
      <c r="Y174" s="1154"/>
      <c r="Z174" s="1154"/>
    </row>
    <row r="175">
      <c r="A175" s="1154"/>
      <c r="B175" s="1154"/>
      <c r="C175" s="1154"/>
      <c r="D175" s="1154"/>
      <c r="E175" s="1154"/>
      <c r="F175" s="1154"/>
      <c r="G175" s="1154"/>
      <c r="H175" s="1154"/>
      <c r="I175" s="1154"/>
      <c r="J175" s="1154"/>
      <c r="K175" s="1154"/>
      <c r="L175" s="1154"/>
      <c r="M175" s="1154"/>
      <c r="N175" s="1154"/>
      <c r="O175" s="1154"/>
      <c r="P175" s="1154"/>
      <c r="Q175" s="1154"/>
      <c r="R175" s="1154"/>
      <c r="S175" s="1154"/>
      <c r="T175" s="1154"/>
      <c r="U175" s="1154"/>
      <c r="V175" s="1154"/>
      <c r="W175" s="1154"/>
      <c r="X175" s="1154"/>
      <c r="Y175" s="1154"/>
      <c r="Z175" s="1154"/>
    </row>
    <row r="176">
      <c r="A176" s="1154"/>
      <c r="B176" s="1154"/>
      <c r="C176" s="1154"/>
      <c r="D176" s="1154"/>
      <c r="E176" s="1154"/>
      <c r="F176" s="1154"/>
      <c r="G176" s="1154"/>
      <c r="H176" s="1154"/>
      <c r="I176" s="1154"/>
      <c r="J176" s="1154"/>
      <c r="K176" s="1154"/>
      <c r="L176" s="1154"/>
      <c r="M176" s="1154"/>
      <c r="N176" s="1154"/>
      <c r="O176" s="1154"/>
      <c r="P176" s="1154"/>
      <c r="Q176" s="1154"/>
      <c r="R176" s="1154"/>
      <c r="S176" s="1154"/>
      <c r="T176" s="1154"/>
      <c r="U176" s="1154"/>
      <c r="V176" s="1154"/>
      <c r="W176" s="1154"/>
      <c r="X176" s="1154"/>
      <c r="Y176" s="1154"/>
      <c r="Z176" s="1154"/>
    </row>
    <row r="177">
      <c r="A177" s="1154"/>
      <c r="B177" s="1154"/>
      <c r="C177" s="1154"/>
      <c r="D177" s="1154"/>
      <c r="E177" s="1154"/>
      <c r="F177" s="1154"/>
      <c r="G177" s="1154"/>
      <c r="H177" s="1154"/>
      <c r="I177" s="1154"/>
      <c r="J177" s="1154"/>
      <c r="K177" s="1154"/>
      <c r="L177" s="1154"/>
      <c r="M177" s="1154"/>
      <c r="N177" s="1154"/>
      <c r="O177" s="1154"/>
      <c r="P177" s="1154"/>
      <c r="Q177" s="1154"/>
      <c r="R177" s="1154"/>
      <c r="S177" s="1154"/>
      <c r="T177" s="1154"/>
      <c r="U177" s="1154"/>
      <c r="V177" s="1154"/>
      <c r="W177" s="1154"/>
      <c r="X177" s="1154"/>
      <c r="Y177" s="1154"/>
      <c r="Z177" s="1154"/>
    </row>
    <row r="178">
      <c r="A178" s="1154"/>
      <c r="B178" s="1154"/>
      <c r="C178" s="1154"/>
      <c r="D178" s="1154"/>
      <c r="E178" s="1154"/>
      <c r="F178" s="1154"/>
      <c r="G178" s="1154"/>
      <c r="H178" s="1154"/>
      <c r="I178" s="1154"/>
      <c r="J178" s="1154"/>
      <c r="K178" s="1154"/>
      <c r="L178" s="1154"/>
      <c r="M178" s="1154"/>
      <c r="N178" s="1154"/>
      <c r="O178" s="1154"/>
      <c r="P178" s="1154"/>
      <c r="Q178" s="1154"/>
      <c r="R178" s="1154"/>
      <c r="S178" s="1154"/>
      <c r="T178" s="1154"/>
      <c r="U178" s="1154"/>
      <c r="V178" s="1154"/>
      <c r="W178" s="1154"/>
      <c r="X178" s="1154"/>
      <c r="Y178" s="1154"/>
      <c r="Z178" s="1154"/>
    </row>
    <row r="179">
      <c r="A179" s="1154"/>
      <c r="B179" s="1154"/>
      <c r="C179" s="1154"/>
      <c r="D179" s="1154"/>
      <c r="E179" s="1154"/>
      <c r="F179" s="1154"/>
      <c r="G179" s="1154"/>
      <c r="H179" s="1154"/>
      <c r="I179" s="1154"/>
      <c r="J179" s="1154"/>
      <c r="K179" s="1154"/>
      <c r="L179" s="1154"/>
      <c r="M179" s="1154"/>
      <c r="N179" s="1154"/>
      <c r="O179" s="1154"/>
      <c r="P179" s="1154"/>
      <c r="Q179" s="1154"/>
      <c r="R179" s="1154"/>
      <c r="S179" s="1154"/>
      <c r="T179" s="1154"/>
      <c r="U179" s="1154"/>
      <c r="V179" s="1154"/>
      <c r="W179" s="1154"/>
      <c r="X179" s="1154"/>
      <c r="Y179" s="1154"/>
      <c r="Z179" s="1154"/>
    </row>
    <row r="180">
      <c r="A180" s="1154"/>
      <c r="B180" s="1154"/>
      <c r="C180" s="1154"/>
      <c r="D180" s="1154"/>
      <c r="E180" s="1154"/>
      <c r="F180" s="1154"/>
      <c r="G180" s="1154"/>
      <c r="H180" s="1154"/>
      <c r="I180" s="1154"/>
      <c r="J180" s="1154"/>
      <c r="K180" s="1154"/>
      <c r="L180" s="1154"/>
      <c r="M180" s="1154"/>
      <c r="N180" s="1154"/>
      <c r="O180" s="1154"/>
      <c r="P180" s="1154"/>
      <c r="Q180" s="1154"/>
      <c r="R180" s="1154"/>
      <c r="S180" s="1154"/>
      <c r="T180" s="1154"/>
      <c r="U180" s="1154"/>
      <c r="V180" s="1154"/>
      <c r="W180" s="1154"/>
      <c r="X180" s="1154"/>
      <c r="Y180" s="1154"/>
      <c r="Z180" s="1154"/>
    </row>
    <row r="181">
      <c r="A181" s="1154"/>
      <c r="B181" s="1154"/>
      <c r="C181" s="1154"/>
      <c r="D181" s="1154"/>
      <c r="E181" s="1154"/>
      <c r="F181" s="1154"/>
      <c r="G181" s="1154"/>
      <c r="H181" s="1154"/>
      <c r="I181" s="1154"/>
      <c r="J181" s="1154"/>
      <c r="K181" s="1154"/>
      <c r="L181" s="1154"/>
      <c r="M181" s="1154"/>
      <c r="N181" s="1154"/>
      <c r="O181" s="1154"/>
      <c r="P181" s="1154"/>
      <c r="Q181" s="1154"/>
      <c r="R181" s="1154"/>
      <c r="S181" s="1154"/>
      <c r="T181" s="1154"/>
      <c r="U181" s="1154"/>
      <c r="V181" s="1154"/>
      <c r="W181" s="1154"/>
      <c r="X181" s="1154"/>
      <c r="Y181" s="1154"/>
      <c r="Z181" s="1154"/>
    </row>
    <row r="182">
      <c r="A182" s="1154"/>
      <c r="B182" s="1154"/>
      <c r="C182" s="1154"/>
      <c r="D182" s="1154"/>
      <c r="E182" s="1154"/>
      <c r="F182" s="1154"/>
      <c r="G182" s="1154"/>
      <c r="H182" s="1154"/>
      <c r="I182" s="1154"/>
      <c r="J182" s="1154"/>
      <c r="K182" s="1154"/>
      <c r="L182" s="1154"/>
      <c r="M182" s="1154"/>
      <c r="N182" s="1154"/>
      <c r="O182" s="1154"/>
      <c r="P182" s="1154"/>
      <c r="Q182" s="1154"/>
      <c r="R182" s="1154"/>
      <c r="S182" s="1154"/>
      <c r="T182" s="1154"/>
      <c r="U182" s="1154"/>
      <c r="V182" s="1154"/>
      <c r="W182" s="1154"/>
      <c r="X182" s="1154"/>
      <c r="Y182" s="1154"/>
      <c r="Z182" s="1154"/>
    </row>
    <row r="183">
      <c r="A183" s="1154"/>
      <c r="B183" s="1154"/>
      <c r="C183" s="1154"/>
      <c r="D183" s="1154"/>
      <c r="E183" s="1154"/>
      <c r="F183" s="1154"/>
      <c r="G183" s="1154"/>
      <c r="H183" s="1154"/>
      <c r="I183" s="1154"/>
      <c r="J183" s="1154"/>
      <c r="K183" s="1154"/>
      <c r="L183" s="1154"/>
      <c r="M183" s="1154"/>
      <c r="N183" s="1154"/>
      <c r="O183" s="1154"/>
      <c r="P183" s="1154"/>
      <c r="Q183" s="1154"/>
      <c r="R183" s="1154"/>
      <c r="S183" s="1154"/>
      <c r="T183" s="1154"/>
      <c r="U183" s="1154"/>
      <c r="V183" s="1154"/>
      <c r="W183" s="1154"/>
      <c r="X183" s="1154"/>
      <c r="Y183" s="1154"/>
      <c r="Z183" s="1154"/>
    </row>
    <row r="184">
      <c r="A184" s="1154"/>
      <c r="B184" s="1154"/>
      <c r="C184" s="1154"/>
      <c r="D184" s="1154"/>
      <c r="E184" s="1154"/>
      <c r="F184" s="1154"/>
      <c r="G184" s="1154"/>
      <c r="H184" s="1154"/>
      <c r="I184" s="1154"/>
      <c r="J184" s="1154"/>
      <c r="K184" s="1154"/>
      <c r="L184" s="1154"/>
      <c r="M184" s="1154"/>
      <c r="N184" s="1154"/>
      <c r="O184" s="1154"/>
      <c r="P184" s="1154"/>
      <c r="Q184" s="1154"/>
      <c r="R184" s="1154"/>
      <c r="S184" s="1154"/>
      <c r="T184" s="1154"/>
      <c r="U184" s="1154"/>
      <c r="V184" s="1154"/>
      <c r="W184" s="1154"/>
      <c r="X184" s="1154"/>
      <c r="Y184" s="1154"/>
      <c r="Z184" s="1154"/>
    </row>
    <row r="185">
      <c r="A185" s="1154"/>
      <c r="B185" s="1154"/>
      <c r="C185" s="1154"/>
      <c r="D185" s="1154"/>
      <c r="E185" s="1154"/>
      <c r="F185" s="1154"/>
      <c r="G185" s="1154"/>
      <c r="H185" s="1154"/>
      <c r="I185" s="1154"/>
      <c r="J185" s="1154"/>
      <c r="K185" s="1154"/>
      <c r="L185" s="1154"/>
      <c r="M185" s="1154"/>
      <c r="N185" s="1154"/>
      <c r="O185" s="1154"/>
      <c r="P185" s="1154"/>
      <c r="Q185" s="1154"/>
      <c r="R185" s="1154"/>
      <c r="S185" s="1154"/>
      <c r="T185" s="1154"/>
      <c r="U185" s="1154"/>
      <c r="V185" s="1154"/>
      <c r="W185" s="1154"/>
      <c r="X185" s="1154"/>
      <c r="Y185" s="1154"/>
      <c r="Z185" s="1154"/>
    </row>
    <row r="186">
      <c r="A186" s="1154"/>
      <c r="B186" s="1154"/>
      <c r="C186" s="1154"/>
      <c r="D186" s="1154"/>
      <c r="E186" s="1154"/>
      <c r="F186" s="1154"/>
      <c r="G186" s="1154"/>
      <c r="H186" s="1154"/>
      <c r="I186" s="1154"/>
      <c r="J186" s="1154"/>
      <c r="K186" s="1154"/>
      <c r="L186" s="1154"/>
      <c r="M186" s="1154"/>
      <c r="N186" s="1154"/>
      <c r="O186" s="1154"/>
      <c r="P186" s="1154"/>
      <c r="Q186" s="1154"/>
      <c r="R186" s="1154"/>
      <c r="S186" s="1154"/>
      <c r="T186" s="1154"/>
      <c r="U186" s="1154"/>
      <c r="V186" s="1154"/>
      <c r="W186" s="1154"/>
      <c r="X186" s="1154"/>
      <c r="Y186" s="1154"/>
      <c r="Z186" s="1154"/>
    </row>
    <row r="187">
      <c r="A187" s="1154"/>
      <c r="B187" s="1154"/>
      <c r="C187" s="1154"/>
      <c r="D187" s="1154"/>
      <c r="E187" s="1154"/>
      <c r="F187" s="1154"/>
      <c r="G187" s="1154"/>
      <c r="H187" s="1154"/>
      <c r="I187" s="1154"/>
      <c r="J187" s="1154"/>
      <c r="K187" s="1154"/>
      <c r="L187" s="1154"/>
      <c r="M187" s="1154"/>
      <c r="N187" s="1154"/>
      <c r="O187" s="1154"/>
      <c r="P187" s="1154"/>
      <c r="Q187" s="1154"/>
      <c r="R187" s="1154"/>
      <c r="S187" s="1154"/>
      <c r="T187" s="1154"/>
      <c r="U187" s="1154"/>
      <c r="V187" s="1154"/>
      <c r="W187" s="1154"/>
      <c r="X187" s="1154"/>
      <c r="Y187" s="1154"/>
      <c r="Z187" s="1154"/>
    </row>
    <row r="188">
      <c r="A188" s="1154"/>
      <c r="B188" s="1154"/>
      <c r="C188" s="1154"/>
      <c r="D188" s="1154"/>
      <c r="E188" s="1154"/>
      <c r="F188" s="1154"/>
      <c r="G188" s="1154"/>
      <c r="H188" s="1154"/>
      <c r="I188" s="1154"/>
      <c r="J188" s="1154"/>
      <c r="K188" s="1154"/>
      <c r="L188" s="1154"/>
      <c r="M188" s="1154"/>
      <c r="N188" s="1154"/>
      <c r="O188" s="1154"/>
      <c r="P188" s="1154"/>
      <c r="Q188" s="1154"/>
      <c r="R188" s="1154"/>
      <c r="S188" s="1154"/>
      <c r="T188" s="1154"/>
      <c r="U188" s="1154"/>
      <c r="V188" s="1154"/>
      <c r="W188" s="1154"/>
      <c r="X188" s="1154"/>
      <c r="Y188" s="1154"/>
      <c r="Z188" s="1154"/>
    </row>
    <row r="189">
      <c r="A189" s="1154"/>
      <c r="B189" s="1154"/>
      <c r="C189" s="1154"/>
      <c r="D189" s="1154"/>
      <c r="E189" s="1154"/>
      <c r="F189" s="1154"/>
      <c r="G189" s="1154"/>
      <c r="H189" s="1154"/>
      <c r="I189" s="1154"/>
      <c r="J189" s="1154"/>
      <c r="K189" s="1154"/>
      <c r="L189" s="1154"/>
      <c r="M189" s="1154"/>
      <c r="N189" s="1154"/>
      <c r="O189" s="1154"/>
      <c r="P189" s="1154"/>
      <c r="Q189" s="1154"/>
      <c r="R189" s="1154"/>
      <c r="S189" s="1154"/>
      <c r="T189" s="1154"/>
      <c r="U189" s="1154"/>
      <c r="V189" s="1154"/>
      <c r="W189" s="1154"/>
      <c r="X189" s="1154"/>
      <c r="Y189" s="1154"/>
      <c r="Z189" s="1154"/>
    </row>
    <row r="190">
      <c r="A190" s="1154"/>
      <c r="B190" s="1154"/>
      <c r="C190" s="1154"/>
      <c r="D190" s="1154"/>
      <c r="E190" s="1154"/>
      <c r="F190" s="1154"/>
      <c r="G190" s="1154"/>
      <c r="H190" s="1154"/>
      <c r="I190" s="1154"/>
      <c r="J190" s="1154"/>
      <c r="K190" s="1154"/>
      <c r="L190" s="1154"/>
      <c r="M190" s="1154"/>
      <c r="N190" s="1154"/>
      <c r="O190" s="1154"/>
      <c r="P190" s="1154"/>
      <c r="Q190" s="1154"/>
      <c r="R190" s="1154"/>
      <c r="S190" s="1154"/>
      <c r="T190" s="1154"/>
      <c r="U190" s="1154"/>
      <c r="V190" s="1154"/>
      <c r="W190" s="1154"/>
      <c r="X190" s="1154"/>
      <c r="Y190" s="1154"/>
      <c r="Z190" s="1154"/>
    </row>
    <row r="191">
      <c r="A191" s="1154"/>
      <c r="B191" s="1154"/>
      <c r="C191" s="1154"/>
      <c r="D191" s="1154"/>
      <c r="E191" s="1154"/>
      <c r="F191" s="1154"/>
      <c r="G191" s="1154"/>
      <c r="H191" s="1154"/>
      <c r="I191" s="1154"/>
      <c r="J191" s="1154"/>
      <c r="K191" s="1154"/>
      <c r="L191" s="1154"/>
      <c r="M191" s="1154"/>
      <c r="N191" s="1154"/>
      <c r="O191" s="1154"/>
      <c r="P191" s="1154"/>
      <c r="Q191" s="1154"/>
      <c r="R191" s="1154"/>
      <c r="S191" s="1154"/>
      <c r="T191" s="1154"/>
      <c r="U191" s="1154"/>
      <c r="V191" s="1154"/>
      <c r="W191" s="1154"/>
      <c r="X191" s="1154"/>
      <c r="Y191" s="1154"/>
      <c r="Z191" s="1154"/>
    </row>
    <row r="192">
      <c r="A192" s="1154"/>
      <c r="B192" s="1154"/>
      <c r="C192" s="1154"/>
      <c r="D192" s="1154"/>
      <c r="E192" s="1154"/>
      <c r="F192" s="1154"/>
      <c r="G192" s="1154"/>
      <c r="H192" s="1154"/>
      <c r="I192" s="1154"/>
      <c r="J192" s="1154"/>
      <c r="K192" s="1154"/>
      <c r="L192" s="1154"/>
      <c r="M192" s="1154"/>
      <c r="N192" s="1154"/>
      <c r="O192" s="1154"/>
      <c r="P192" s="1154"/>
      <c r="Q192" s="1154"/>
      <c r="R192" s="1154"/>
      <c r="S192" s="1154"/>
      <c r="T192" s="1154"/>
      <c r="U192" s="1154"/>
      <c r="V192" s="1154"/>
      <c r="W192" s="1154"/>
      <c r="X192" s="1154"/>
      <c r="Y192" s="1154"/>
      <c r="Z192" s="1154"/>
    </row>
    <row r="193">
      <c r="A193" s="1154"/>
      <c r="B193" s="1154"/>
      <c r="C193" s="1154"/>
      <c r="D193" s="1154"/>
      <c r="E193" s="1154"/>
      <c r="F193" s="1154"/>
      <c r="G193" s="1154"/>
      <c r="H193" s="1154"/>
      <c r="I193" s="1154"/>
      <c r="J193" s="1154"/>
      <c r="K193" s="1154"/>
      <c r="L193" s="1154"/>
      <c r="M193" s="1154"/>
      <c r="N193" s="1154"/>
      <c r="O193" s="1154"/>
      <c r="P193" s="1154"/>
      <c r="Q193" s="1154"/>
      <c r="R193" s="1154"/>
      <c r="S193" s="1154"/>
      <c r="T193" s="1154"/>
      <c r="U193" s="1154"/>
      <c r="V193" s="1154"/>
      <c r="W193" s="1154"/>
      <c r="X193" s="1154"/>
      <c r="Y193" s="1154"/>
      <c r="Z193" s="1154"/>
    </row>
    <row r="194">
      <c r="A194" s="1154"/>
      <c r="B194" s="1154"/>
      <c r="C194" s="1154"/>
      <c r="D194" s="1154"/>
      <c r="E194" s="1154"/>
      <c r="F194" s="1154"/>
      <c r="G194" s="1154"/>
      <c r="H194" s="1154"/>
      <c r="I194" s="1154"/>
      <c r="J194" s="1154"/>
      <c r="K194" s="1154"/>
      <c r="L194" s="1154"/>
      <c r="M194" s="1154"/>
      <c r="N194" s="1154"/>
      <c r="O194" s="1154"/>
      <c r="P194" s="1154"/>
      <c r="Q194" s="1154"/>
      <c r="R194" s="1154"/>
      <c r="S194" s="1154"/>
      <c r="T194" s="1154"/>
      <c r="U194" s="1154"/>
      <c r="V194" s="1154"/>
      <c r="W194" s="1154"/>
      <c r="X194" s="1154"/>
      <c r="Y194" s="1154"/>
      <c r="Z194" s="1154"/>
    </row>
    <row r="195">
      <c r="A195" s="1154"/>
      <c r="B195" s="1154"/>
      <c r="C195" s="1154"/>
      <c r="D195" s="1154"/>
      <c r="E195" s="1154"/>
      <c r="F195" s="1154"/>
      <c r="G195" s="1154"/>
      <c r="H195" s="1154"/>
      <c r="I195" s="1154"/>
      <c r="J195" s="1154"/>
      <c r="K195" s="1154"/>
      <c r="L195" s="1154"/>
      <c r="M195" s="1154"/>
      <c r="N195" s="1154"/>
      <c r="O195" s="1154"/>
      <c r="P195" s="1154"/>
      <c r="Q195" s="1154"/>
      <c r="R195" s="1154"/>
      <c r="S195" s="1154"/>
      <c r="T195" s="1154"/>
      <c r="U195" s="1154"/>
      <c r="V195" s="1154"/>
      <c r="W195" s="1154"/>
      <c r="X195" s="1154"/>
      <c r="Y195" s="1154"/>
      <c r="Z195" s="1154"/>
    </row>
    <row r="196">
      <c r="A196" s="1154"/>
      <c r="B196" s="1154"/>
      <c r="C196" s="1154"/>
      <c r="D196" s="1154"/>
      <c r="E196" s="1154"/>
      <c r="F196" s="1154"/>
      <c r="G196" s="1154"/>
      <c r="H196" s="1154"/>
      <c r="I196" s="1154"/>
      <c r="J196" s="1154"/>
      <c r="K196" s="1154"/>
      <c r="L196" s="1154"/>
      <c r="M196" s="1154"/>
      <c r="N196" s="1154"/>
      <c r="O196" s="1154"/>
      <c r="P196" s="1154"/>
      <c r="Q196" s="1154"/>
      <c r="R196" s="1154"/>
      <c r="S196" s="1154"/>
      <c r="T196" s="1154"/>
      <c r="U196" s="1154"/>
      <c r="V196" s="1154"/>
      <c r="W196" s="1154"/>
      <c r="X196" s="1154"/>
      <c r="Y196" s="1154"/>
      <c r="Z196" s="1154"/>
    </row>
    <row r="197">
      <c r="A197" s="1154"/>
      <c r="B197" s="1154"/>
      <c r="C197" s="1154"/>
      <c r="D197" s="1154"/>
      <c r="E197" s="1154"/>
      <c r="F197" s="1154"/>
      <c r="G197" s="1154"/>
      <c r="H197" s="1154"/>
      <c r="I197" s="1154"/>
      <c r="J197" s="1154"/>
      <c r="K197" s="1154"/>
      <c r="L197" s="1154"/>
      <c r="M197" s="1154"/>
      <c r="N197" s="1154"/>
      <c r="O197" s="1154"/>
      <c r="P197" s="1154"/>
      <c r="Q197" s="1154"/>
      <c r="R197" s="1154"/>
      <c r="S197" s="1154"/>
      <c r="T197" s="1154"/>
      <c r="U197" s="1154"/>
      <c r="V197" s="1154"/>
      <c r="W197" s="1154"/>
      <c r="X197" s="1154"/>
      <c r="Y197" s="1154"/>
      <c r="Z197" s="1154"/>
    </row>
    <row r="198">
      <c r="A198" s="1154"/>
      <c r="B198" s="1154"/>
      <c r="C198" s="1154"/>
      <c r="D198" s="1154"/>
      <c r="E198" s="1154"/>
      <c r="F198" s="1154"/>
      <c r="G198" s="1154"/>
      <c r="H198" s="1154"/>
      <c r="I198" s="1154"/>
      <c r="J198" s="1154"/>
      <c r="K198" s="1154"/>
      <c r="L198" s="1154"/>
      <c r="M198" s="1154"/>
      <c r="N198" s="1154"/>
      <c r="O198" s="1154"/>
      <c r="P198" s="1154"/>
      <c r="Q198" s="1154"/>
      <c r="R198" s="1154"/>
      <c r="S198" s="1154"/>
      <c r="T198" s="1154"/>
      <c r="U198" s="1154"/>
      <c r="V198" s="1154"/>
      <c r="W198" s="1154"/>
      <c r="X198" s="1154"/>
      <c r="Y198" s="1154"/>
      <c r="Z198" s="1154"/>
    </row>
    <row r="199">
      <c r="A199" s="1154"/>
      <c r="B199" s="1154"/>
      <c r="C199" s="1154"/>
      <c r="D199" s="1154"/>
      <c r="E199" s="1154"/>
      <c r="F199" s="1154"/>
      <c r="G199" s="1154"/>
      <c r="H199" s="1154"/>
      <c r="I199" s="1154"/>
      <c r="J199" s="1154"/>
      <c r="K199" s="1154"/>
      <c r="L199" s="1154"/>
      <c r="M199" s="1154"/>
      <c r="N199" s="1154"/>
      <c r="O199" s="1154"/>
      <c r="P199" s="1154"/>
      <c r="Q199" s="1154"/>
      <c r="R199" s="1154"/>
      <c r="S199" s="1154"/>
      <c r="T199" s="1154"/>
      <c r="U199" s="1154"/>
      <c r="V199" s="1154"/>
      <c r="W199" s="1154"/>
      <c r="X199" s="1154"/>
      <c r="Y199" s="1154"/>
      <c r="Z199" s="1154"/>
    </row>
    <row r="200">
      <c r="A200" s="1154"/>
      <c r="B200" s="1154"/>
      <c r="C200" s="1154"/>
      <c r="D200" s="1154"/>
      <c r="E200" s="1154"/>
      <c r="F200" s="1154"/>
      <c r="G200" s="1154"/>
      <c r="H200" s="1154"/>
      <c r="I200" s="1154"/>
      <c r="J200" s="1154"/>
      <c r="K200" s="1154"/>
      <c r="L200" s="1154"/>
      <c r="M200" s="1154"/>
      <c r="N200" s="1154"/>
      <c r="O200" s="1154"/>
      <c r="P200" s="1154"/>
      <c r="Q200" s="1154"/>
      <c r="R200" s="1154"/>
      <c r="S200" s="1154"/>
      <c r="T200" s="1154"/>
      <c r="U200" s="1154"/>
      <c r="V200" s="1154"/>
      <c r="W200" s="1154"/>
      <c r="X200" s="1154"/>
      <c r="Y200" s="1154"/>
      <c r="Z200" s="1154"/>
    </row>
    <row r="201">
      <c r="A201" s="1154"/>
      <c r="B201" s="1154"/>
      <c r="C201" s="1154"/>
      <c r="D201" s="1154"/>
      <c r="E201" s="1154"/>
      <c r="F201" s="1154"/>
      <c r="G201" s="1154"/>
      <c r="H201" s="1154"/>
      <c r="I201" s="1154"/>
      <c r="J201" s="1154"/>
      <c r="K201" s="1154"/>
      <c r="L201" s="1154"/>
      <c r="M201" s="1154"/>
      <c r="N201" s="1154"/>
      <c r="O201" s="1154"/>
      <c r="P201" s="1154"/>
      <c r="Q201" s="1154"/>
      <c r="R201" s="1154"/>
      <c r="S201" s="1154"/>
      <c r="T201" s="1154"/>
      <c r="U201" s="1154"/>
      <c r="V201" s="1154"/>
      <c r="W201" s="1154"/>
      <c r="X201" s="1154"/>
      <c r="Y201" s="1154"/>
      <c r="Z201" s="1154"/>
    </row>
    <row r="202">
      <c r="A202" s="1154"/>
      <c r="B202" s="1154"/>
      <c r="C202" s="1154"/>
      <c r="D202" s="1154"/>
      <c r="E202" s="1154"/>
      <c r="F202" s="1154"/>
      <c r="G202" s="1154"/>
      <c r="H202" s="1154"/>
      <c r="I202" s="1154"/>
      <c r="J202" s="1154"/>
      <c r="K202" s="1154"/>
      <c r="L202" s="1154"/>
      <c r="M202" s="1154"/>
      <c r="N202" s="1154"/>
      <c r="O202" s="1154"/>
      <c r="P202" s="1154"/>
      <c r="Q202" s="1154"/>
      <c r="R202" s="1154"/>
      <c r="S202" s="1154"/>
      <c r="T202" s="1154"/>
      <c r="U202" s="1154"/>
      <c r="V202" s="1154"/>
      <c r="W202" s="1154"/>
      <c r="X202" s="1154"/>
      <c r="Y202" s="1154"/>
      <c r="Z202" s="1154"/>
    </row>
    <row r="203">
      <c r="A203" s="1154"/>
      <c r="B203" s="1154"/>
      <c r="C203" s="1154"/>
      <c r="D203" s="1154"/>
      <c r="E203" s="1154"/>
      <c r="F203" s="1154"/>
      <c r="G203" s="1154"/>
      <c r="H203" s="1154"/>
      <c r="I203" s="1154"/>
      <c r="J203" s="1154"/>
      <c r="K203" s="1154"/>
      <c r="L203" s="1154"/>
      <c r="M203" s="1154"/>
      <c r="N203" s="1154"/>
      <c r="O203" s="1154"/>
      <c r="P203" s="1154"/>
      <c r="Q203" s="1154"/>
      <c r="R203" s="1154"/>
      <c r="S203" s="1154"/>
      <c r="T203" s="1154"/>
      <c r="U203" s="1154"/>
      <c r="V203" s="1154"/>
      <c r="W203" s="1154"/>
      <c r="X203" s="1154"/>
      <c r="Y203" s="1154"/>
      <c r="Z203" s="1154"/>
    </row>
    <row r="204">
      <c r="A204" s="1154"/>
      <c r="B204" s="1154"/>
      <c r="C204" s="1154"/>
      <c r="D204" s="1154"/>
      <c r="E204" s="1154"/>
      <c r="F204" s="1154"/>
      <c r="G204" s="1154"/>
      <c r="H204" s="1154"/>
      <c r="I204" s="1154"/>
      <c r="J204" s="1154"/>
      <c r="K204" s="1154"/>
      <c r="L204" s="1154"/>
      <c r="M204" s="1154"/>
      <c r="N204" s="1154"/>
      <c r="O204" s="1154"/>
      <c r="P204" s="1154"/>
      <c r="Q204" s="1154"/>
      <c r="R204" s="1154"/>
      <c r="S204" s="1154"/>
      <c r="T204" s="1154"/>
      <c r="U204" s="1154"/>
      <c r="V204" s="1154"/>
      <c r="W204" s="1154"/>
      <c r="X204" s="1154"/>
      <c r="Y204" s="1154"/>
      <c r="Z204" s="1154"/>
    </row>
    <row r="205">
      <c r="A205" s="1154"/>
      <c r="B205" s="1154"/>
      <c r="C205" s="1154"/>
      <c r="D205" s="1154"/>
      <c r="E205" s="1154"/>
      <c r="F205" s="1154"/>
      <c r="G205" s="1154"/>
      <c r="H205" s="1154"/>
      <c r="I205" s="1154"/>
      <c r="J205" s="1154"/>
      <c r="K205" s="1154"/>
      <c r="L205" s="1154"/>
      <c r="M205" s="1154"/>
      <c r="N205" s="1154"/>
      <c r="O205" s="1154"/>
      <c r="P205" s="1154"/>
      <c r="Q205" s="1154"/>
      <c r="R205" s="1154"/>
      <c r="S205" s="1154"/>
      <c r="T205" s="1154"/>
      <c r="U205" s="1154"/>
      <c r="V205" s="1154"/>
      <c r="W205" s="1154"/>
      <c r="X205" s="1154"/>
      <c r="Y205" s="1154"/>
      <c r="Z205" s="1154"/>
    </row>
    <row r="206">
      <c r="A206" s="1154"/>
      <c r="B206" s="1154"/>
      <c r="C206" s="1154"/>
      <c r="D206" s="1154"/>
      <c r="E206" s="1154"/>
      <c r="F206" s="1154"/>
      <c r="G206" s="1154"/>
      <c r="H206" s="1154"/>
      <c r="I206" s="1154"/>
      <c r="J206" s="1154"/>
      <c r="K206" s="1154"/>
      <c r="L206" s="1154"/>
      <c r="M206" s="1154"/>
      <c r="N206" s="1154"/>
      <c r="O206" s="1154"/>
      <c r="P206" s="1154"/>
      <c r="Q206" s="1154"/>
      <c r="R206" s="1154"/>
      <c r="S206" s="1154"/>
      <c r="T206" s="1154"/>
      <c r="U206" s="1154"/>
      <c r="V206" s="1154"/>
      <c r="W206" s="1154"/>
      <c r="X206" s="1154"/>
      <c r="Y206" s="1154"/>
      <c r="Z206" s="1154"/>
    </row>
    <row r="207">
      <c r="A207" s="1154"/>
      <c r="B207" s="1154"/>
      <c r="C207" s="1154"/>
      <c r="D207" s="1154"/>
      <c r="E207" s="1154"/>
      <c r="F207" s="1154"/>
      <c r="G207" s="1154"/>
      <c r="H207" s="1154"/>
      <c r="I207" s="1154"/>
      <c r="J207" s="1154"/>
      <c r="K207" s="1154"/>
      <c r="L207" s="1154"/>
      <c r="M207" s="1154"/>
      <c r="N207" s="1154"/>
      <c r="O207" s="1154"/>
      <c r="P207" s="1154"/>
      <c r="Q207" s="1154"/>
      <c r="R207" s="1154"/>
      <c r="S207" s="1154"/>
      <c r="T207" s="1154"/>
      <c r="U207" s="1154"/>
      <c r="V207" s="1154"/>
      <c r="W207" s="1154"/>
      <c r="X207" s="1154"/>
      <c r="Y207" s="1154"/>
      <c r="Z207" s="1154"/>
    </row>
    <row r="208">
      <c r="A208" s="1154"/>
      <c r="B208" s="1154"/>
      <c r="C208" s="1154"/>
      <c r="D208" s="1154"/>
      <c r="E208" s="1154"/>
      <c r="F208" s="1154"/>
      <c r="G208" s="1154"/>
      <c r="H208" s="1154"/>
      <c r="I208" s="1154"/>
      <c r="J208" s="1154"/>
      <c r="K208" s="1154"/>
      <c r="L208" s="1154"/>
      <c r="M208" s="1154"/>
      <c r="N208" s="1154"/>
      <c r="O208" s="1154"/>
      <c r="P208" s="1154"/>
      <c r="Q208" s="1154"/>
      <c r="R208" s="1154"/>
      <c r="S208" s="1154"/>
      <c r="T208" s="1154"/>
      <c r="U208" s="1154"/>
      <c r="V208" s="1154"/>
      <c r="W208" s="1154"/>
      <c r="X208" s="1154"/>
      <c r="Y208" s="1154"/>
      <c r="Z208" s="1154"/>
    </row>
    <row r="209">
      <c r="A209" s="1154"/>
      <c r="B209" s="1154"/>
      <c r="C209" s="1154"/>
      <c r="D209" s="1154"/>
      <c r="E209" s="1154"/>
      <c r="F209" s="1154"/>
      <c r="G209" s="1154"/>
      <c r="H209" s="1154"/>
      <c r="I209" s="1154"/>
      <c r="J209" s="1154"/>
      <c r="K209" s="1154"/>
      <c r="L209" s="1154"/>
      <c r="M209" s="1154"/>
      <c r="N209" s="1154"/>
      <c r="O209" s="1154"/>
      <c r="P209" s="1154"/>
      <c r="Q209" s="1154"/>
      <c r="R209" s="1154"/>
      <c r="S209" s="1154"/>
      <c r="T209" s="1154"/>
      <c r="U209" s="1154"/>
      <c r="V209" s="1154"/>
      <c r="W209" s="1154"/>
      <c r="X209" s="1154"/>
      <c r="Y209" s="1154"/>
      <c r="Z209" s="1154"/>
    </row>
    <row r="210">
      <c r="A210" s="1154"/>
      <c r="B210" s="1154"/>
      <c r="C210" s="1154"/>
      <c r="D210" s="1154"/>
      <c r="E210" s="1154"/>
      <c r="F210" s="1154"/>
      <c r="G210" s="1154"/>
      <c r="H210" s="1154"/>
      <c r="I210" s="1154"/>
      <c r="J210" s="1154"/>
      <c r="K210" s="1154"/>
      <c r="L210" s="1154"/>
      <c r="M210" s="1154"/>
      <c r="N210" s="1154"/>
      <c r="O210" s="1154"/>
      <c r="P210" s="1154"/>
      <c r="Q210" s="1154"/>
      <c r="R210" s="1154"/>
      <c r="S210" s="1154"/>
      <c r="T210" s="1154"/>
      <c r="U210" s="1154"/>
      <c r="V210" s="1154"/>
      <c r="W210" s="1154"/>
      <c r="X210" s="1154"/>
      <c r="Y210" s="1154"/>
      <c r="Z210" s="1154"/>
    </row>
    <row r="211">
      <c r="A211" s="1154"/>
      <c r="B211" s="1154"/>
      <c r="C211" s="1154"/>
      <c r="D211" s="1154"/>
      <c r="E211" s="1154"/>
      <c r="F211" s="1154"/>
      <c r="G211" s="1154"/>
      <c r="H211" s="1154"/>
      <c r="I211" s="1154"/>
      <c r="J211" s="1154"/>
      <c r="K211" s="1154"/>
      <c r="L211" s="1154"/>
      <c r="M211" s="1154"/>
      <c r="N211" s="1154"/>
      <c r="O211" s="1154"/>
      <c r="P211" s="1154"/>
      <c r="Q211" s="1154"/>
      <c r="R211" s="1154"/>
      <c r="S211" s="1154"/>
      <c r="T211" s="1154"/>
      <c r="U211" s="1154"/>
      <c r="V211" s="1154"/>
      <c r="W211" s="1154"/>
      <c r="X211" s="1154"/>
      <c r="Y211" s="1154"/>
      <c r="Z211" s="1154"/>
    </row>
    <row r="212">
      <c r="A212" s="1154"/>
      <c r="B212" s="1154"/>
      <c r="C212" s="1154"/>
      <c r="D212" s="1154"/>
      <c r="E212" s="1154"/>
      <c r="F212" s="1154"/>
      <c r="G212" s="1154"/>
      <c r="H212" s="1154"/>
      <c r="I212" s="1154"/>
      <c r="J212" s="1154"/>
      <c r="K212" s="1154"/>
      <c r="L212" s="1154"/>
      <c r="M212" s="1154"/>
      <c r="N212" s="1154"/>
      <c r="O212" s="1154"/>
      <c r="P212" s="1154"/>
      <c r="Q212" s="1154"/>
      <c r="R212" s="1154"/>
      <c r="S212" s="1154"/>
      <c r="T212" s="1154"/>
      <c r="U212" s="1154"/>
      <c r="V212" s="1154"/>
      <c r="W212" s="1154"/>
      <c r="X212" s="1154"/>
      <c r="Y212" s="1154"/>
      <c r="Z212" s="1154"/>
    </row>
    <row r="213">
      <c r="A213" s="1154"/>
      <c r="B213" s="1154"/>
      <c r="C213" s="1154"/>
      <c r="D213" s="1154"/>
      <c r="E213" s="1154"/>
      <c r="F213" s="1154"/>
      <c r="G213" s="1154"/>
      <c r="H213" s="1154"/>
      <c r="I213" s="1154"/>
      <c r="J213" s="1154"/>
      <c r="K213" s="1154"/>
      <c r="L213" s="1154"/>
      <c r="M213" s="1154"/>
      <c r="N213" s="1154"/>
      <c r="O213" s="1154"/>
      <c r="P213" s="1154"/>
      <c r="Q213" s="1154"/>
      <c r="R213" s="1154"/>
      <c r="S213" s="1154"/>
      <c r="T213" s="1154"/>
      <c r="U213" s="1154"/>
      <c r="V213" s="1154"/>
      <c r="W213" s="1154"/>
      <c r="X213" s="1154"/>
      <c r="Y213" s="1154"/>
      <c r="Z213" s="1154"/>
    </row>
    <row r="214">
      <c r="A214" s="1154"/>
      <c r="B214" s="1154"/>
      <c r="C214" s="1154"/>
      <c r="D214" s="1154"/>
      <c r="E214" s="1154"/>
      <c r="F214" s="1154"/>
      <c r="G214" s="1154"/>
      <c r="H214" s="1154"/>
      <c r="I214" s="1154"/>
      <c r="J214" s="1154"/>
      <c r="K214" s="1154"/>
      <c r="L214" s="1154"/>
      <c r="M214" s="1154"/>
      <c r="N214" s="1154"/>
      <c r="O214" s="1154"/>
      <c r="P214" s="1154"/>
      <c r="Q214" s="1154"/>
      <c r="R214" s="1154"/>
      <c r="S214" s="1154"/>
      <c r="T214" s="1154"/>
      <c r="U214" s="1154"/>
      <c r="V214" s="1154"/>
      <c r="W214" s="1154"/>
      <c r="X214" s="1154"/>
      <c r="Y214" s="1154"/>
      <c r="Z214" s="1154"/>
    </row>
    <row r="215">
      <c r="A215" s="1154"/>
      <c r="B215" s="1154"/>
      <c r="C215" s="1154"/>
      <c r="D215" s="1154"/>
      <c r="E215" s="1154"/>
      <c r="F215" s="1154"/>
      <c r="G215" s="1154"/>
      <c r="H215" s="1154"/>
      <c r="I215" s="1154"/>
      <c r="J215" s="1154"/>
      <c r="K215" s="1154"/>
      <c r="L215" s="1154"/>
      <c r="M215" s="1154"/>
      <c r="N215" s="1154"/>
      <c r="O215" s="1154"/>
      <c r="P215" s="1154"/>
      <c r="Q215" s="1154"/>
      <c r="R215" s="1154"/>
      <c r="S215" s="1154"/>
      <c r="T215" s="1154"/>
      <c r="U215" s="1154"/>
      <c r="V215" s="1154"/>
      <c r="W215" s="1154"/>
      <c r="X215" s="1154"/>
      <c r="Y215" s="1154"/>
      <c r="Z215" s="1154"/>
    </row>
    <row r="216">
      <c r="A216" s="1154"/>
      <c r="B216" s="1154"/>
      <c r="C216" s="1154"/>
      <c r="D216" s="1154"/>
      <c r="E216" s="1154"/>
      <c r="F216" s="1154"/>
      <c r="G216" s="1154"/>
      <c r="H216" s="1154"/>
      <c r="I216" s="1154"/>
      <c r="J216" s="1154"/>
      <c r="K216" s="1154"/>
      <c r="L216" s="1154"/>
      <c r="M216" s="1154"/>
      <c r="N216" s="1154"/>
      <c r="O216" s="1154"/>
      <c r="P216" s="1154"/>
      <c r="Q216" s="1154"/>
      <c r="R216" s="1154"/>
      <c r="S216" s="1154"/>
      <c r="T216" s="1154"/>
      <c r="U216" s="1154"/>
      <c r="V216" s="1154"/>
      <c r="W216" s="1154"/>
      <c r="X216" s="1154"/>
      <c r="Y216" s="1154"/>
      <c r="Z216" s="1154"/>
    </row>
    <row r="217">
      <c r="A217" s="1154"/>
      <c r="B217" s="1154"/>
      <c r="C217" s="1154"/>
      <c r="D217" s="1154"/>
      <c r="E217" s="1154"/>
      <c r="F217" s="1154"/>
      <c r="G217" s="1154"/>
      <c r="H217" s="1154"/>
      <c r="I217" s="1154"/>
      <c r="J217" s="1154"/>
      <c r="K217" s="1154"/>
      <c r="L217" s="1154"/>
      <c r="M217" s="1154"/>
      <c r="N217" s="1154"/>
      <c r="O217" s="1154"/>
      <c r="P217" s="1154"/>
      <c r="Q217" s="1154"/>
      <c r="R217" s="1154"/>
      <c r="S217" s="1154"/>
      <c r="T217" s="1154"/>
      <c r="U217" s="1154"/>
      <c r="V217" s="1154"/>
      <c r="W217" s="1154"/>
      <c r="X217" s="1154"/>
      <c r="Y217" s="1154"/>
      <c r="Z217" s="1154"/>
    </row>
    <row r="218">
      <c r="A218" s="1154"/>
      <c r="B218" s="1154"/>
      <c r="C218" s="1154"/>
      <c r="D218" s="1154"/>
      <c r="E218" s="1154"/>
      <c r="F218" s="1154"/>
      <c r="G218" s="1154"/>
      <c r="H218" s="1154"/>
      <c r="I218" s="1154"/>
      <c r="J218" s="1154"/>
      <c r="K218" s="1154"/>
      <c r="L218" s="1154"/>
      <c r="M218" s="1154"/>
      <c r="N218" s="1154"/>
      <c r="O218" s="1154"/>
      <c r="P218" s="1154"/>
      <c r="Q218" s="1154"/>
      <c r="R218" s="1154"/>
      <c r="S218" s="1154"/>
      <c r="T218" s="1154"/>
      <c r="U218" s="1154"/>
      <c r="V218" s="1154"/>
      <c r="W218" s="1154"/>
      <c r="X218" s="1154"/>
      <c r="Y218" s="1154"/>
      <c r="Z218" s="1154"/>
    </row>
    <row r="219">
      <c r="A219" s="1154"/>
      <c r="B219" s="1154"/>
      <c r="C219" s="1154"/>
      <c r="D219" s="1154"/>
      <c r="E219" s="1154"/>
      <c r="F219" s="1154"/>
      <c r="G219" s="1154"/>
      <c r="H219" s="1154"/>
      <c r="I219" s="1154"/>
      <c r="J219" s="1154"/>
      <c r="K219" s="1154"/>
      <c r="L219" s="1154"/>
      <c r="M219" s="1154"/>
      <c r="N219" s="1154"/>
      <c r="O219" s="1154"/>
      <c r="P219" s="1154"/>
      <c r="Q219" s="1154"/>
      <c r="R219" s="1154"/>
      <c r="S219" s="1154"/>
      <c r="T219" s="1154"/>
      <c r="U219" s="1154"/>
      <c r="V219" s="1154"/>
      <c r="W219" s="1154"/>
      <c r="X219" s="1154"/>
      <c r="Y219" s="1154"/>
      <c r="Z219" s="1154"/>
    </row>
    <row r="220">
      <c r="A220" s="1154"/>
      <c r="B220" s="1154"/>
      <c r="C220" s="1154"/>
      <c r="D220" s="1154"/>
      <c r="E220" s="1154"/>
      <c r="F220" s="1154"/>
      <c r="G220" s="1154"/>
      <c r="H220" s="1154"/>
      <c r="I220" s="1154"/>
      <c r="J220" s="1154"/>
      <c r="K220" s="1154"/>
      <c r="L220" s="1154"/>
      <c r="M220" s="1154"/>
      <c r="N220" s="1154"/>
      <c r="O220" s="1154"/>
      <c r="P220" s="1154"/>
      <c r="Q220" s="1154"/>
      <c r="R220" s="1154"/>
      <c r="S220" s="1154"/>
      <c r="T220" s="1154"/>
      <c r="U220" s="1154"/>
      <c r="V220" s="1154"/>
      <c r="W220" s="1154"/>
      <c r="X220" s="1154"/>
      <c r="Y220" s="1154"/>
      <c r="Z220" s="1154"/>
    </row>
    <row r="221">
      <c r="A221" s="1154"/>
      <c r="B221" s="1154"/>
      <c r="C221" s="1154"/>
      <c r="D221" s="1154"/>
      <c r="E221" s="1154"/>
      <c r="F221" s="1154"/>
      <c r="G221" s="1154"/>
      <c r="H221" s="1154"/>
      <c r="I221" s="1154"/>
      <c r="J221" s="1154"/>
      <c r="K221" s="1154"/>
      <c r="L221" s="1154"/>
      <c r="M221" s="1154"/>
      <c r="N221" s="1154"/>
      <c r="O221" s="1154"/>
      <c r="P221" s="1154"/>
      <c r="Q221" s="1154"/>
      <c r="R221" s="1154"/>
      <c r="S221" s="1154"/>
      <c r="T221" s="1154"/>
      <c r="U221" s="1154"/>
      <c r="V221" s="1154"/>
      <c r="W221" s="1154"/>
      <c r="X221" s="1154"/>
      <c r="Y221" s="1154"/>
      <c r="Z221" s="1154"/>
    </row>
    <row r="222">
      <c r="A222" s="1154"/>
      <c r="B222" s="1154"/>
      <c r="C222" s="1154"/>
      <c r="D222" s="1154"/>
      <c r="E222" s="1154"/>
      <c r="F222" s="1154"/>
      <c r="G222" s="1154"/>
      <c r="H222" s="1154"/>
      <c r="I222" s="1154"/>
      <c r="J222" s="1154"/>
      <c r="K222" s="1154"/>
      <c r="L222" s="1154"/>
      <c r="M222" s="1154"/>
      <c r="N222" s="1154"/>
      <c r="O222" s="1154"/>
      <c r="P222" s="1154"/>
      <c r="Q222" s="1154"/>
      <c r="R222" s="1154"/>
      <c r="S222" s="1154"/>
      <c r="T222" s="1154"/>
      <c r="U222" s="1154"/>
      <c r="V222" s="1154"/>
      <c r="W222" s="1154"/>
      <c r="X222" s="1154"/>
      <c r="Y222" s="1154"/>
      <c r="Z222" s="1154"/>
    </row>
    <row r="223">
      <c r="A223" s="1154"/>
      <c r="B223" s="1154"/>
      <c r="C223" s="1154"/>
      <c r="D223" s="1154"/>
      <c r="E223" s="1154"/>
      <c r="F223" s="1154"/>
      <c r="G223" s="1154"/>
      <c r="H223" s="1154"/>
      <c r="I223" s="1154"/>
      <c r="J223" s="1154"/>
      <c r="K223" s="1154"/>
      <c r="L223" s="1154"/>
      <c r="M223" s="1154"/>
      <c r="N223" s="1154"/>
      <c r="O223" s="1154"/>
      <c r="P223" s="1154"/>
      <c r="Q223" s="1154"/>
      <c r="R223" s="1154"/>
      <c r="S223" s="1154"/>
      <c r="T223" s="1154"/>
      <c r="U223" s="1154"/>
      <c r="V223" s="1154"/>
      <c r="W223" s="1154"/>
      <c r="X223" s="1154"/>
      <c r="Y223" s="1154"/>
      <c r="Z223" s="1154"/>
    </row>
    <row r="224">
      <c r="A224" s="1154"/>
      <c r="B224" s="1154"/>
      <c r="C224" s="1154"/>
      <c r="D224" s="1154"/>
      <c r="E224" s="1154"/>
      <c r="F224" s="1154"/>
      <c r="G224" s="1154"/>
      <c r="H224" s="1154"/>
      <c r="I224" s="1154"/>
      <c r="J224" s="1154"/>
      <c r="K224" s="1154"/>
      <c r="L224" s="1154"/>
      <c r="M224" s="1154"/>
      <c r="N224" s="1154"/>
      <c r="O224" s="1154"/>
      <c r="P224" s="1154"/>
      <c r="Q224" s="1154"/>
      <c r="R224" s="1154"/>
      <c r="S224" s="1154"/>
      <c r="T224" s="1154"/>
      <c r="U224" s="1154"/>
      <c r="V224" s="1154"/>
      <c r="W224" s="1154"/>
      <c r="X224" s="1154"/>
      <c r="Y224" s="1154"/>
      <c r="Z224" s="1154"/>
    </row>
    <row r="225">
      <c r="A225" s="1154"/>
      <c r="B225" s="1154"/>
      <c r="C225" s="1154"/>
      <c r="D225" s="1154"/>
      <c r="E225" s="1154"/>
      <c r="F225" s="1154"/>
      <c r="G225" s="1154"/>
      <c r="H225" s="1154"/>
      <c r="I225" s="1154"/>
      <c r="J225" s="1154"/>
      <c r="K225" s="1154"/>
      <c r="L225" s="1154"/>
      <c r="M225" s="1154"/>
      <c r="N225" s="1154"/>
      <c r="O225" s="1154"/>
      <c r="P225" s="1154"/>
      <c r="Q225" s="1154"/>
      <c r="R225" s="1154"/>
      <c r="S225" s="1154"/>
      <c r="T225" s="1154"/>
      <c r="U225" s="1154"/>
      <c r="V225" s="1154"/>
      <c r="W225" s="1154"/>
      <c r="X225" s="1154"/>
      <c r="Y225" s="1154"/>
      <c r="Z225" s="1154"/>
    </row>
    <row r="226">
      <c r="A226" s="1154"/>
      <c r="B226" s="1154"/>
      <c r="C226" s="1154"/>
      <c r="D226" s="1154"/>
      <c r="E226" s="1154"/>
      <c r="F226" s="1154"/>
      <c r="G226" s="1154"/>
      <c r="H226" s="1154"/>
      <c r="I226" s="1154"/>
      <c r="J226" s="1154"/>
      <c r="K226" s="1154"/>
      <c r="L226" s="1154"/>
      <c r="M226" s="1154"/>
      <c r="N226" s="1154"/>
      <c r="O226" s="1154"/>
      <c r="P226" s="1154"/>
      <c r="Q226" s="1154"/>
      <c r="R226" s="1154"/>
      <c r="S226" s="1154"/>
      <c r="T226" s="1154"/>
      <c r="U226" s="1154"/>
      <c r="V226" s="1154"/>
      <c r="W226" s="1154"/>
      <c r="X226" s="1154"/>
      <c r="Y226" s="1154"/>
      <c r="Z226" s="1154"/>
    </row>
    <row r="227">
      <c r="A227" s="1154"/>
      <c r="B227" s="1154"/>
      <c r="C227" s="1154"/>
      <c r="D227" s="1154"/>
      <c r="E227" s="1154"/>
      <c r="F227" s="1154"/>
      <c r="G227" s="1154"/>
      <c r="H227" s="1154"/>
      <c r="I227" s="1154"/>
      <c r="J227" s="1154"/>
      <c r="K227" s="1154"/>
      <c r="L227" s="1154"/>
      <c r="M227" s="1154"/>
      <c r="N227" s="1154"/>
      <c r="O227" s="1154"/>
      <c r="P227" s="1154"/>
      <c r="Q227" s="1154"/>
      <c r="R227" s="1154"/>
      <c r="S227" s="1154"/>
      <c r="T227" s="1154"/>
      <c r="U227" s="1154"/>
      <c r="V227" s="1154"/>
      <c r="W227" s="1154"/>
      <c r="X227" s="1154"/>
      <c r="Y227" s="1154"/>
      <c r="Z227" s="1154"/>
    </row>
    <row r="228">
      <c r="A228" s="1154"/>
      <c r="B228" s="1154"/>
      <c r="C228" s="1154"/>
      <c r="D228" s="1154"/>
      <c r="E228" s="1154"/>
      <c r="F228" s="1154"/>
      <c r="G228" s="1154"/>
      <c r="H228" s="1154"/>
      <c r="I228" s="1154"/>
      <c r="J228" s="1154"/>
      <c r="K228" s="1154"/>
      <c r="L228" s="1154"/>
      <c r="M228" s="1154"/>
      <c r="N228" s="1154"/>
      <c r="O228" s="1154"/>
      <c r="P228" s="1154"/>
      <c r="Q228" s="1154"/>
      <c r="R228" s="1154"/>
      <c r="S228" s="1154"/>
      <c r="T228" s="1154"/>
      <c r="U228" s="1154"/>
      <c r="V228" s="1154"/>
      <c r="W228" s="1154"/>
      <c r="X228" s="1154"/>
      <c r="Y228" s="1154"/>
      <c r="Z228" s="1154"/>
    </row>
    <row r="229">
      <c r="A229" s="1154"/>
      <c r="B229" s="1154"/>
      <c r="C229" s="1154"/>
      <c r="D229" s="1154"/>
      <c r="E229" s="1154"/>
      <c r="F229" s="1154"/>
      <c r="G229" s="1154"/>
      <c r="H229" s="1154"/>
      <c r="I229" s="1154"/>
      <c r="J229" s="1154"/>
      <c r="K229" s="1154"/>
      <c r="L229" s="1154"/>
      <c r="M229" s="1154"/>
      <c r="N229" s="1154"/>
      <c r="O229" s="1154"/>
      <c r="P229" s="1154"/>
      <c r="Q229" s="1154"/>
      <c r="R229" s="1154"/>
      <c r="S229" s="1154"/>
      <c r="T229" s="1154"/>
      <c r="U229" s="1154"/>
      <c r="V229" s="1154"/>
      <c r="W229" s="1154"/>
      <c r="X229" s="1154"/>
      <c r="Y229" s="1154"/>
      <c r="Z229" s="1154"/>
    </row>
    <row r="230">
      <c r="A230" s="1154"/>
      <c r="B230" s="1154"/>
      <c r="C230" s="1154"/>
      <c r="D230" s="1154"/>
      <c r="E230" s="1154"/>
      <c r="F230" s="1154"/>
      <c r="G230" s="1154"/>
      <c r="H230" s="1154"/>
      <c r="I230" s="1154"/>
      <c r="J230" s="1154"/>
      <c r="K230" s="1154"/>
      <c r="L230" s="1154"/>
      <c r="M230" s="1154"/>
      <c r="N230" s="1154"/>
      <c r="O230" s="1154"/>
      <c r="P230" s="1154"/>
      <c r="Q230" s="1154"/>
      <c r="R230" s="1154"/>
      <c r="S230" s="1154"/>
      <c r="T230" s="1154"/>
      <c r="U230" s="1154"/>
      <c r="V230" s="1154"/>
      <c r="W230" s="1154"/>
      <c r="X230" s="1154"/>
      <c r="Y230" s="1154"/>
      <c r="Z230" s="1154"/>
    </row>
    <row r="231">
      <c r="A231" s="1154"/>
      <c r="B231" s="1154"/>
      <c r="C231" s="1154"/>
      <c r="D231" s="1154"/>
      <c r="E231" s="1154"/>
      <c r="F231" s="1154"/>
      <c r="G231" s="1154"/>
      <c r="H231" s="1154"/>
      <c r="I231" s="1154"/>
      <c r="J231" s="1154"/>
      <c r="K231" s="1154"/>
      <c r="L231" s="1154"/>
      <c r="M231" s="1154"/>
      <c r="N231" s="1154"/>
      <c r="O231" s="1154"/>
      <c r="P231" s="1154"/>
      <c r="Q231" s="1154"/>
      <c r="R231" s="1154"/>
      <c r="S231" s="1154"/>
      <c r="T231" s="1154"/>
      <c r="U231" s="1154"/>
      <c r="V231" s="1154"/>
      <c r="W231" s="1154"/>
      <c r="X231" s="1154"/>
      <c r="Y231" s="1154"/>
      <c r="Z231" s="1154"/>
    </row>
    <row r="232">
      <c r="A232" s="1154"/>
      <c r="B232" s="1154"/>
      <c r="C232" s="1154"/>
      <c r="D232" s="1154"/>
      <c r="E232" s="1154"/>
      <c r="F232" s="1154"/>
      <c r="G232" s="1154"/>
      <c r="H232" s="1154"/>
      <c r="I232" s="1154"/>
      <c r="J232" s="1154"/>
      <c r="K232" s="1154"/>
      <c r="L232" s="1154"/>
      <c r="M232" s="1154"/>
      <c r="N232" s="1154"/>
      <c r="O232" s="1154"/>
      <c r="P232" s="1154"/>
      <c r="Q232" s="1154"/>
      <c r="R232" s="1154"/>
      <c r="S232" s="1154"/>
      <c r="T232" s="1154"/>
      <c r="U232" s="1154"/>
      <c r="V232" s="1154"/>
      <c r="W232" s="1154"/>
      <c r="X232" s="1154"/>
      <c r="Y232" s="1154"/>
      <c r="Z232" s="1154"/>
    </row>
    <row r="233">
      <c r="A233" s="1154"/>
      <c r="B233" s="1154"/>
      <c r="C233" s="1154"/>
      <c r="D233" s="1154"/>
      <c r="E233" s="1154"/>
      <c r="F233" s="1154"/>
      <c r="G233" s="1154"/>
      <c r="H233" s="1154"/>
      <c r="I233" s="1154"/>
      <c r="J233" s="1154"/>
      <c r="K233" s="1154"/>
      <c r="L233" s="1154"/>
      <c r="M233" s="1154"/>
      <c r="N233" s="1154"/>
      <c r="O233" s="1154"/>
      <c r="P233" s="1154"/>
      <c r="Q233" s="1154"/>
      <c r="R233" s="1154"/>
      <c r="S233" s="1154"/>
      <c r="T233" s="1154"/>
      <c r="U233" s="1154"/>
      <c r="V233" s="1154"/>
      <c r="W233" s="1154"/>
      <c r="X233" s="1154"/>
      <c r="Y233" s="1154"/>
      <c r="Z233" s="1154"/>
    </row>
    <row r="234">
      <c r="A234" s="1154"/>
      <c r="B234" s="1154"/>
      <c r="C234" s="1154"/>
      <c r="D234" s="1154"/>
      <c r="E234" s="1154"/>
      <c r="F234" s="1154"/>
      <c r="G234" s="1154"/>
      <c r="H234" s="1154"/>
      <c r="I234" s="1154"/>
      <c r="J234" s="1154"/>
      <c r="K234" s="1154"/>
      <c r="L234" s="1154"/>
      <c r="M234" s="1154"/>
      <c r="N234" s="1154"/>
      <c r="O234" s="1154"/>
      <c r="P234" s="1154"/>
      <c r="Q234" s="1154"/>
      <c r="R234" s="1154"/>
      <c r="S234" s="1154"/>
      <c r="T234" s="1154"/>
      <c r="U234" s="1154"/>
      <c r="V234" s="1154"/>
      <c r="W234" s="1154"/>
      <c r="X234" s="1154"/>
      <c r="Y234" s="1154"/>
      <c r="Z234" s="1154"/>
    </row>
    <row r="235">
      <c r="A235" s="1154"/>
      <c r="B235" s="1154"/>
      <c r="C235" s="1154"/>
      <c r="D235" s="1154"/>
      <c r="E235" s="1154"/>
      <c r="F235" s="1154"/>
      <c r="G235" s="1154"/>
      <c r="H235" s="1154"/>
      <c r="I235" s="1154"/>
      <c r="J235" s="1154"/>
      <c r="K235" s="1154"/>
      <c r="L235" s="1154"/>
      <c r="M235" s="1154"/>
      <c r="N235" s="1154"/>
      <c r="O235" s="1154"/>
      <c r="P235" s="1154"/>
      <c r="Q235" s="1154"/>
      <c r="R235" s="1154"/>
      <c r="S235" s="1154"/>
      <c r="T235" s="1154"/>
      <c r="U235" s="1154"/>
      <c r="V235" s="1154"/>
      <c r="W235" s="1154"/>
      <c r="X235" s="1154"/>
      <c r="Y235" s="1154"/>
      <c r="Z235" s="1154"/>
    </row>
    <row r="236">
      <c r="A236" s="1154"/>
      <c r="B236" s="1154"/>
      <c r="C236" s="1154"/>
      <c r="D236" s="1154"/>
      <c r="E236" s="1154"/>
      <c r="F236" s="1154"/>
      <c r="G236" s="1154"/>
      <c r="H236" s="1154"/>
      <c r="I236" s="1154"/>
      <c r="J236" s="1154"/>
      <c r="K236" s="1154"/>
      <c r="L236" s="1154"/>
      <c r="M236" s="1154"/>
      <c r="N236" s="1154"/>
      <c r="O236" s="1154"/>
      <c r="P236" s="1154"/>
      <c r="Q236" s="1154"/>
      <c r="R236" s="1154"/>
      <c r="S236" s="1154"/>
      <c r="T236" s="1154"/>
      <c r="U236" s="1154"/>
      <c r="V236" s="1154"/>
      <c r="W236" s="1154"/>
      <c r="X236" s="1154"/>
      <c r="Y236" s="1154"/>
      <c r="Z236" s="1154"/>
    </row>
    <row r="237">
      <c r="A237" s="1154"/>
      <c r="B237" s="1154"/>
      <c r="C237" s="1154"/>
      <c r="D237" s="1154"/>
      <c r="E237" s="1154"/>
      <c r="F237" s="1154"/>
      <c r="G237" s="1154"/>
      <c r="H237" s="1154"/>
      <c r="I237" s="1154"/>
      <c r="J237" s="1154"/>
      <c r="K237" s="1154"/>
      <c r="L237" s="1154"/>
      <c r="M237" s="1154"/>
      <c r="N237" s="1154"/>
      <c r="O237" s="1154"/>
      <c r="P237" s="1154"/>
      <c r="Q237" s="1154"/>
      <c r="R237" s="1154"/>
      <c r="S237" s="1154"/>
      <c r="T237" s="1154"/>
      <c r="U237" s="1154"/>
      <c r="V237" s="1154"/>
      <c r="W237" s="1154"/>
      <c r="X237" s="1154"/>
      <c r="Y237" s="1154"/>
      <c r="Z237" s="1154"/>
    </row>
    <row r="238">
      <c r="A238" s="1154"/>
      <c r="B238" s="1154"/>
      <c r="C238" s="1154"/>
      <c r="D238" s="1154"/>
      <c r="E238" s="1154"/>
      <c r="F238" s="1154"/>
      <c r="G238" s="1154"/>
      <c r="H238" s="1154"/>
      <c r="I238" s="1154"/>
      <c r="J238" s="1154"/>
      <c r="K238" s="1154"/>
      <c r="L238" s="1154"/>
      <c r="M238" s="1154"/>
      <c r="N238" s="1154"/>
      <c r="O238" s="1154"/>
      <c r="P238" s="1154"/>
      <c r="Q238" s="1154"/>
      <c r="R238" s="1154"/>
      <c r="S238" s="1154"/>
      <c r="T238" s="1154"/>
      <c r="U238" s="1154"/>
      <c r="V238" s="1154"/>
      <c r="W238" s="1154"/>
      <c r="X238" s="1154"/>
      <c r="Y238" s="1154"/>
      <c r="Z238" s="1154"/>
    </row>
    <row r="239">
      <c r="A239" s="1154"/>
      <c r="B239" s="1154"/>
      <c r="C239" s="1154"/>
      <c r="D239" s="1154"/>
      <c r="E239" s="1154"/>
      <c r="F239" s="1154"/>
      <c r="G239" s="1154"/>
      <c r="H239" s="1154"/>
      <c r="I239" s="1154"/>
      <c r="J239" s="1154"/>
      <c r="K239" s="1154"/>
      <c r="L239" s="1154"/>
      <c r="M239" s="1154"/>
      <c r="N239" s="1154"/>
      <c r="O239" s="1154"/>
      <c r="P239" s="1154"/>
      <c r="Q239" s="1154"/>
      <c r="R239" s="1154"/>
      <c r="S239" s="1154"/>
      <c r="T239" s="1154"/>
      <c r="U239" s="1154"/>
      <c r="V239" s="1154"/>
      <c r="W239" s="1154"/>
      <c r="X239" s="1154"/>
      <c r="Y239" s="1154"/>
      <c r="Z239" s="1154"/>
    </row>
    <row r="240">
      <c r="A240" s="1154"/>
      <c r="B240" s="1154"/>
      <c r="C240" s="1154"/>
      <c r="D240" s="1154"/>
      <c r="E240" s="1154"/>
      <c r="F240" s="1154"/>
      <c r="G240" s="1154"/>
      <c r="H240" s="1154"/>
      <c r="I240" s="1154"/>
      <c r="J240" s="1154"/>
      <c r="K240" s="1154"/>
      <c r="L240" s="1154"/>
      <c r="M240" s="1154"/>
      <c r="N240" s="1154"/>
      <c r="O240" s="1154"/>
      <c r="P240" s="1154"/>
      <c r="Q240" s="1154"/>
      <c r="R240" s="1154"/>
      <c r="S240" s="1154"/>
      <c r="T240" s="1154"/>
      <c r="U240" s="1154"/>
      <c r="V240" s="1154"/>
      <c r="W240" s="1154"/>
      <c r="X240" s="1154"/>
      <c r="Y240" s="1154"/>
      <c r="Z240" s="1154"/>
    </row>
    <row r="241">
      <c r="A241" s="1154"/>
      <c r="B241" s="1154"/>
      <c r="C241" s="1154"/>
      <c r="D241" s="1154"/>
      <c r="E241" s="1154"/>
      <c r="F241" s="1154"/>
      <c r="G241" s="1154"/>
      <c r="H241" s="1154"/>
      <c r="I241" s="1154"/>
      <c r="J241" s="1154"/>
      <c r="K241" s="1154"/>
      <c r="L241" s="1154"/>
      <c r="M241" s="1154"/>
      <c r="N241" s="1154"/>
      <c r="O241" s="1154"/>
      <c r="P241" s="1154"/>
      <c r="Q241" s="1154"/>
      <c r="R241" s="1154"/>
      <c r="S241" s="1154"/>
      <c r="T241" s="1154"/>
      <c r="U241" s="1154"/>
      <c r="V241" s="1154"/>
      <c r="W241" s="1154"/>
      <c r="X241" s="1154"/>
      <c r="Y241" s="1154"/>
      <c r="Z241" s="1154"/>
    </row>
    <row r="242">
      <c r="A242" s="1154"/>
      <c r="B242" s="1154"/>
      <c r="C242" s="1154"/>
      <c r="D242" s="1154"/>
      <c r="E242" s="1154"/>
      <c r="F242" s="1154"/>
      <c r="G242" s="1154"/>
      <c r="H242" s="1154"/>
      <c r="I242" s="1154"/>
      <c r="J242" s="1154"/>
      <c r="K242" s="1154"/>
      <c r="L242" s="1154"/>
      <c r="M242" s="1154"/>
      <c r="N242" s="1154"/>
      <c r="O242" s="1154"/>
      <c r="P242" s="1154"/>
      <c r="Q242" s="1154"/>
      <c r="R242" s="1154"/>
      <c r="S242" s="1154"/>
      <c r="T242" s="1154"/>
      <c r="U242" s="1154"/>
      <c r="V242" s="1154"/>
      <c r="W242" s="1154"/>
      <c r="X242" s="1154"/>
      <c r="Y242" s="1154"/>
      <c r="Z242" s="1154"/>
    </row>
    <row r="243">
      <c r="A243" s="1154"/>
      <c r="B243" s="1154"/>
      <c r="C243" s="1154"/>
      <c r="D243" s="1154"/>
      <c r="E243" s="1154"/>
      <c r="F243" s="1154"/>
      <c r="G243" s="1154"/>
      <c r="H243" s="1154"/>
      <c r="I243" s="1154"/>
      <c r="J243" s="1154"/>
      <c r="K243" s="1154"/>
      <c r="L243" s="1154"/>
      <c r="M243" s="1154"/>
      <c r="N243" s="1154"/>
      <c r="O243" s="1154"/>
      <c r="P243" s="1154"/>
      <c r="Q243" s="1154"/>
      <c r="R243" s="1154"/>
      <c r="S243" s="1154"/>
      <c r="T243" s="1154"/>
      <c r="U243" s="1154"/>
      <c r="V243" s="1154"/>
      <c r="W243" s="1154"/>
      <c r="X243" s="1154"/>
      <c r="Y243" s="1154"/>
      <c r="Z243" s="1154"/>
    </row>
    <row r="244">
      <c r="A244" s="1154"/>
      <c r="B244" s="1154"/>
      <c r="C244" s="1154"/>
      <c r="D244" s="1154"/>
      <c r="E244" s="1154"/>
      <c r="F244" s="1154"/>
      <c r="G244" s="1154"/>
      <c r="H244" s="1154"/>
      <c r="I244" s="1154"/>
      <c r="J244" s="1154"/>
      <c r="K244" s="1154"/>
      <c r="L244" s="1154"/>
      <c r="M244" s="1154"/>
      <c r="N244" s="1154"/>
      <c r="O244" s="1154"/>
      <c r="P244" s="1154"/>
      <c r="Q244" s="1154"/>
      <c r="R244" s="1154"/>
      <c r="S244" s="1154"/>
      <c r="T244" s="1154"/>
      <c r="U244" s="1154"/>
      <c r="V244" s="1154"/>
      <c r="W244" s="1154"/>
      <c r="X244" s="1154"/>
      <c r="Y244" s="1154"/>
      <c r="Z244" s="1154"/>
    </row>
    <row r="245">
      <c r="A245" s="1154"/>
      <c r="B245" s="1154"/>
      <c r="C245" s="1154"/>
      <c r="D245" s="1154"/>
      <c r="E245" s="1154"/>
      <c r="F245" s="1154"/>
      <c r="G245" s="1154"/>
      <c r="H245" s="1154"/>
      <c r="I245" s="1154"/>
      <c r="J245" s="1154"/>
      <c r="K245" s="1154"/>
      <c r="L245" s="1154"/>
      <c r="M245" s="1154"/>
      <c r="N245" s="1154"/>
      <c r="O245" s="1154"/>
      <c r="P245" s="1154"/>
      <c r="Q245" s="1154"/>
      <c r="R245" s="1154"/>
      <c r="S245" s="1154"/>
      <c r="T245" s="1154"/>
      <c r="U245" s="1154"/>
      <c r="V245" s="1154"/>
      <c r="W245" s="1154"/>
      <c r="X245" s="1154"/>
      <c r="Y245" s="1154"/>
      <c r="Z245" s="1154"/>
    </row>
    <row r="246">
      <c r="A246" s="1154"/>
      <c r="B246" s="1154"/>
      <c r="C246" s="1154"/>
      <c r="D246" s="1154"/>
      <c r="E246" s="1154"/>
      <c r="F246" s="1154"/>
      <c r="G246" s="1154"/>
      <c r="H246" s="1154"/>
      <c r="I246" s="1154"/>
      <c r="J246" s="1154"/>
      <c r="K246" s="1154"/>
      <c r="L246" s="1154"/>
      <c r="M246" s="1154"/>
      <c r="N246" s="1154"/>
      <c r="O246" s="1154"/>
      <c r="P246" s="1154"/>
      <c r="Q246" s="1154"/>
      <c r="R246" s="1154"/>
      <c r="S246" s="1154"/>
      <c r="T246" s="1154"/>
      <c r="U246" s="1154"/>
      <c r="V246" s="1154"/>
      <c r="W246" s="1154"/>
      <c r="X246" s="1154"/>
      <c r="Y246" s="1154"/>
      <c r="Z246" s="1154"/>
    </row>
    <row r="247">
      <c r="A247" s="1154"/>
      <c r="B247" s="1154"/>
      <c r="C247" s="1154"/>
      <c r="D247" s="1154"/>
      <c r="E247" s="1154"/>
      <c r="F247" s="1154"/>
      <c r="G247" s="1154"/>
      <c r="H247" s="1154"/>
      <c r="I247" s="1154"/>
      <c r="J247" s="1154"/>
      <c r="K247" s="1154"/>
      <c r="L247" s="1154"/>
      <c r="M247" s="1154"/>
      <c r="N247" s="1154"/>
      <c r="O247" s="1154"/>
      <c r="P247" s="1154"/>
      <c r="Q247" s="1154"/>
      <c r="R247" s="1154"/>
      <c r="S247" s="1154"/>
      <c r="T247" s="1154"/>
      <c r="U247" s="1154"/>
      <c r="V247" s="1154"/>
      <c r="W247" s="1154"/>
      <c r="X247" s="1154"/>
      <c r="Y247" s="1154"/>
      <c r="Z247" s="1154"/>
    </row>
    <row r="248">
      <c r="A248" s="1154"/>
      <c r="B248" s="1154"/>
      <c r="C248" s="1154"/>
      <c r="D248" s="1154"/>
      <c r="E248" s="1154"/>
      <c r="F248" s="1154"/>
      <c r="G248" s="1154"/>
      <c r="H248" s="1154"/>
      <c r="I248" s="1154"/>
      <c r="J248" s="1154"/>
      <c r="K248" s="1154"/>
      <c r="L248" s="1154"/>
      <c r="M248" s="1154"/>
      <c r="N248" s="1154"/>
      <c r="O248" s="1154"/>
      <c r="P248" s="1154"/>
      <c r="Q248" s="1154"/>
      <c r="R248" s="1154"/>
      <c r="S248" s="1154"/>
      <c r="T248" s="1154"/>
      <c r="U248" s="1154"/>
      <c r="V248" s="1154"/>
      <c r="W248" s="1154"/>
      <c r="X248" s="1154"/>
      <c r="Y248" s="1154"/>
      <c r="Z248" s="1154"/>
    </row>
    <row r="249">
      <c r="A249" s="1154"/>
      <c r="B249" s="1154"/>
      <c r="C249" s="1154"/>
      <c r="D249" s="1154"/>
      <c r="E249" s="1154"/>
      <c r="F249" s="1154"/>
      <c r="G249" s="1154"/>
      <c r="H249" s="1154"/>
      <c r="I249" s="1154"/>
      <c r="J249" s="1154"/>
      <c r="K249" s="1154"/>
      <c r="L249" s="1154"/>
      <c r="M249" s="1154"/>
      <c r="N249" s="1154"/>
      <c r="O249" s="1154"/>
      <c r="P249" s="1154"/>
      <c r="Q249" s="1154"/>
      <c r="R249" s="1154"/>
      <c r="S249" s="1154"/>
      <c r="T249" s="1154"/>
      <c r="U249" s="1154"/>
      <c r="V249" s="1154"/>
      <c r="W249" s="1154"/>
      <c r="X249" s="1154"/>
      <c r="Y249" s="1154"/>
      <c r="Z249" s="1154"/>
    </row>
    <row r="250">
      <c r="A250" s="1154"/>
      <c r="B250" s="1154"/>
      <c r="C250" s="1154"/>
      <c r="D250" s="1154"/>
      <c r="E250" s="1154"/>
      <c r="F250" s="1154"/>
      <c r="G250" s="1154"/>
      <c r="H250" s="1154"/>
      <c r="I250" s="1154"/>
      <c r="J250" s="1154"/>
      <c r="K250" s="1154"/>
      <c r="L250" s="1154"/>
      <c r="M250" s="1154"/>
      <c r="N250" s="1154"/>
      <c r="O250" s="1154"/>
      <c r="P250" s="1154"/>
      <c r="Q250" s="1154"/>
      <c r="R250" s="1154"/>
      <c r="S250" s="1154"/>
      <c r="T250" s="1154"/>
      <c r="U250" s="1154"/>
      <c r="V250" s="1154"/>
      <c r="W250" s="1154"/>
      <c r="X250" s="1154"/>
      <c r="Y250" s="1154"/>
      <c r="Z250" s="1154"/>
    </row>
    <row r="251">
      <c r="A251" s="1154"/>
      <c r="B251" s="1154"/>
      <c r="C251" s="1154"/>
      <c r="D251" s="1154"/>
      <c r="E251" s="1154"/>
      <c r="F251" s="1154"/>
      <c r="G251" s="1154"/>
      <c r="H251" s="1154"/>
      <c r="I251" s="1154"/>
      <c r="J251" s="1154"/>
      <c r="K251" s="1154"/>
      <c r="L251" s="1154"/>
      <c r="M251" s="1154"/>
      <c r="N251" s="1154"/>
      <c r="O251" s="1154"/>
      <c r="P251" s="1154"/>
      <c r="Q251" s="1154"/>
      <c r="R251" s="1154"/>
      <c r="S251" s="1154"/>
      <c r="T251" s="1154"/>
      <c r="U251" s="1154"/>
      <c r="V251" s="1154"/>
      <c r="W251" s="1154"/>
      <c r="X251" s="1154"/>
      <c r="Y251" s="1154"/>
      <c r="Z251" s="1154"/>
    </row>
    <row r="252">
      <c r="A252" s="1154"/>
      <c r="B252" s="1154"/>
      <c r="C252" s="1154"/>
      <c r="D252" s="1154"/>
      <c r="E252" s="1154"/>
      <c r="F252" s="1154"/>
      <c r="G252" s="1154"/>
      <c r="H252" s="1154"/>
      <c r="I252" s="1154"/>
      <c r="J252" s="1154"/>
      <c r="K252" s="1154"/>
      <c r="L252" s="1154"/>
      <c r="M252" s="1154"/>
      <c r="N252" s="1154"/>
      <c r="O252" s="1154"/>
      <c r="P252" s="1154"/>
      <c r="Q252" s="1154"/>
      <c r="R252" s="1154"/>
      <c r="S252" s="1154"/>
      <c r="T252" s="1154"/>
      <c r="U252" s="1154"/>
      <c r="V252" s="1154"/>
      <c r="W252" s="1154"/>
      <c r="X252" s="1154"/>
      <c r="Y252" s="1154"/>
      <c r="Z252" s="1154"/>
    </row>
    <row r="253">
      <c r="A253" s="1154"/>
      <c r="B253" s="1154"/>
      <c r="C253" s="1154"/>
      <c r="D253" s="1154"/>
      <c r="E253" s="1154"/>
      <c r="F253" s="1154"/>
      <c r="G253" s="1154"/>
      <c r="H253" s="1154"/>
      <c r="I253" s="1154"/>
      <c r="J253" s="1154"/>
      <c r="K253" s="1154"/>
      <c r="L253" s="1154"/>
      <c r="M253" s="1154"/>
      <c r="N253" s="1154"/>
      <c r="O253" s="1154"/>
      <c r="P253" s="1154"/>
      <c r="Q253" s="1154"/>
      <c r="R253" s="1154"/>
      <c r="S253" s="1154"/>
      <c r="T253" s="1154"/>
      <c r="U253" s="1154"/>
      <c r="V253" s="1154"/>
      <c r="W253" s="1154"/>
      <c r="X253" s="1154"/>
      <c r="Y253" s="1154"/>
      <c r="Z253" s="1154"/>
    </row>
    <row r="254">
      <c r="A254" s="1154"/>
      <c r="B254" s="1154"/>
      <c r="C254" s="1154"/>
      <c r="D254" s="1154"/>
      <c r="E254" s="1154"/>
      <c r="F254" s="1154"/>
      <c r="G254" s="1154"/>
      <c r="H254" s="1154"/>
      <c r="I254" s="1154"/>
      <c r="J254" s="1154"/>
      <c r="K254" s="1154"/>
      <c r="L254" s="1154"/>
      <c r="M254" s="1154"/>
      <c r="N254" s="1154"/>
      <c r="O254" s="1154"/>
      <c r="P254" s="1154"/>
      <c r="Q254" s="1154"/>
      <c r="R254" s="1154"/>
      <c r="S254" s="1154"/>
      <c r="T254" s="1154"/>
      <c r="U254" s="1154"/>
      <c r="V254" s="1154"/>
      <c r="W254" s="1154"/>
      <c r="X254" s="1154"/>
      <c r="Y254" s="1154"/>
      <c r="Z254" s="1154"/>
    </row>
    <row r="255">
      <c r="A255" s="1154"/>
      <c r="B255" s="1154"/>
      <c r="C255" s="1154"/>
      <c r="D255" s="1154"/>
      <c r="E255" s="1154"/>
      <c r="F255" s="1154"/>
      <c r="G255" s="1154"/>
      <c r="H255" s="1154"/>
      <c r="I255" s="1154"/>
      <c r="J255" s="1154"/>
      <c r="K255" s="1154"/>
      <c r="L255" s="1154"/>
      <c r="M255" s="1154"/>
      <c r="N255" s="1154"/>
      <c r="O255" s="1154"/>
      <c r="P255" s="1154"/>
      <c r="Q255" s="1154"/>
      <c r="R255" s="1154"/>
      <c r="S255" s="1154"/>
      <c r="T255" s="1154"/>
      <c r="U255" s="1154"/>
      <c r="V255" s="1154"/>
      <c r="W255" s="1154"/>
      <c r="X255" s="1154"/>
      <c r="Y255" s="1154"/>
      <c r="Z255" s="1154"/>
    </row>
    <row r="256">
      <c r="A256" s="1154"/>
      <c r="B256" s="1154"/>
      <c r="C256" s="1154"/>
      <c r="D256" s="1154"/>
      <c r="E256" s="1154"/>
      <c r="F256" s="1154"/>
      <c r="G256" s="1154"/>
      <c r="H256" s="1154"/>
      <c r="I256" s="1154"/>
      <c r="J256" s="1154"/>
      <c r="K256" s="1154"/>
      <c r="L256" s="1154"/>
      <c r="M256" s="1154"/>
      <c r="N256" s="1154"/>
      <c r="O256" s="1154"/>
      <c r="P256" s="1154"/>
      <c r="Q256" s="1154"/>
      <c r="R256" s="1154"/>
      <c r="S256" s="1154"/>
      <c r="T256" s="1154"/>
      <c r="U256" s="1154"/>
      <c r="V256" s="1154"/>
      <c r="W256" s="1154"/>
      <c r="X256" s="1154"/>
      <c r="Y256" s="1154"/>
      <c r="Z256" s="1154"/>
    </row>
    <row r="257">
      <c r="A257" s="1154"/>
      <c r="B257" s="1154"/>
      <c r="C257" s="1154"/>
      <c r="D257" s="1154"/>
      <c r="E257" s="1154"/>
      <c r="F257" s="1154"/>
      <c r="G257" s="1154"/>
      <c r="H257" s="1154"/>
      <c r="I257" s="1154"/>
      <c r="J257" s="1154"/>
      <c r="K257" s="1154"/>
      <c r="L257" s="1154"/>
      <c r="M257" s="1154"/>
      <c r="N257" s="1154"/>
      <c r="O257" s="1154"/>
      <c r="P257" s="1154"/>
      <c r="Q257" s="1154"/>
      <c r="R257" s="1154"/>
      <c r="S257" s="1154"/>
      <c r="T257" s="1154"/>
      <c r="U257" s="1154"/>
      <c r="V257" s="1154"/>
      <c r="W257" s="1154"/>
      <c r="X257" s="1154"/>
      <c r="Y257" s="1154"/>
      <c r="Z257" s="1154"/>
    </row>
    <row r="258">
      <c r="A258" s="1154"/>
      <c r="B258" s="1154"/>
      <c r="C258" s="1154"/>
      <c r="D258" s="1154"/>
      <c r="E258" s="1154"/>
      <c r="F258" s="1154"/>
      <c r="G258" s="1154"/>
      <c r="H258" s="1154"/>
      <c r="I258" s="1154"/>
      <c r="J258" s="1154"/>
      <c r="K258" s="1154"/>
      <c r="L258" s="1154"/>
      <c r="M258" s="1154"/>
      <c r="N258" s="1154"/>
      <c r="O258" s="1154"/>
      <c r="P258" s="1154"/>
      <c r="Q258" s="1154"/>
      <c r="R258" s="1154"/>
      <c r="S258" s="1154"/>
      <c r="T258" s="1154"/>
      <c r="U258" s="1154"/>
      <c r="V258" s="1154"/>
      <c r="W258" s="1154"/>
      <c r="X258" s="1154"/>
      <c r="Y258" s="1154"/>
      <c r="Z258" s="1154"/>
    </row>
    <row r="259">
      <c r="A259" s="1154"/>
      <c r="B259" s="1154"/>
      <c r="C259" s="1154"/>
      <c r="D259" s="1154"/>
      <c r="E259" s="1154"/>
      <c r="F259" s="1154"/>
      <c r="G259" s="1154"/>
      <c r="H259" s="1154"/>
      <c r="I259" s="1154"/>
      <c r="J259" s="1154"/>
      <c r="K259" s="1154"/>
      <c r="L259" s="1154"/>
      <c r="M259" s="1154"/>
      <c r="N259" s="1154"/>
      <c r="O259" s="1154"/>
      <c r="P259" s="1154"/>
      <c r="Q259" s="1154"/>
      <c r="R259" s="1154"/>
      <c r="S259" s="1154"/>
      <c r="T259" s="1154"/>
      <c r="U259" s="1154"/>
      <c r="V259" s="1154"/>
      <c r="W259" s="1154"/>
      <c r="X259" s="1154"/>
      <c r="Y259" s="1154"/>
      <c r="Z259" s="1154"/>
    </row>
    <row r="260">
      <c r="A260" s="1154"/>
      <c r="B260" s="1154"/>
      <c r="C260" s="1154"/>
      <c r="D260" s="1154"/>
      <c r="E260" s="1154"/>
      <c r="F260" s="1154"/>
      <c r="G260" s="1154"/>
      <c r="H260" s="1154"/>
      <c r="I260" s="1154"/>
      <c r="J260" s="1154"/>
      <c r="K260" s="1154"/>
      <c r="L260" s="1154"/>
      <c r="M260" s="1154"/>
      <c r="N260" s="1154"/>
      <c r="O260" s="1154"/>
      <c r="P260" s="1154"/>
      <c r="Q260" s="1154"/>
      <c r="R260" s="1154"/>
      <c r="S260" s="1154"/>
      <c r="T260" s="1154"/>
      <c r="U260" s="1154"/>
      <c r="V260" s="1154"/>
      <c r="W260" s="1154"/>
      <c r="X260" s="1154"/>
      <c r="Y260" s="1154"/>
      <c r="Z260" s="1154"/>
    </row>
    <row r="261">
      <c r="A261" s="1154"/>
      <c r="B261" s="1154"/>
      <c r="C261" s="1154"/>
      <c r="D261" s="1154"/>
      <c r="E261" s="1154"/>
      <c r="F261" s="1154"/>
      <c r="G261" s="1154"/>
      <c r="H261" s="1154"/>
      <c r="I261" s="1154"/>
      <c r="J261" s="1154"/>
      <c r="K261" s="1154"/>
      <c r="L261" s="1154"/>
      <c r="M261" s="1154"/>
      <c r="N261" s="1154"/>
      <c r="O261" s="1154"/>
      <c r="P261" s="1154"/>
      <c r="Q261" s="1154"/>
      <c r="R261" s="1154"/>
      <c r="S261" s="1154"/>
      <c r="T261" s="1154"/>
      <c r="U261" s="1154"/>
      <c r="V261" s="1154"/>
      <c r="W261" s="1154"/>
      <c r="X261" s="1154"/>
      <c r="Y261" s="1154"/>
      <c r="Z261" s="1154"/>
    </row>
    <row r="262">
      <c r="A262" s="1154"/>
      <c r="B262" s="1154"/>
      <c r="C262" s="1154"/>
      <c r="D262" s="1154"/>
      <c r="E262" s="1154"/>
      <c r="F262" s="1154"/>
      <c r="G262" s="1154"/>
      <c r="H262" s="1154"/>
      <c r="I262" s="1154"/>
      <c r="J262" s="1154"/>
      <c r="K262" s="1154"/>
      <c r="L262" s="1154"/>
      <c r="M262" s="1154"/>
      <c r="N262" s="1154"/>
      <c r="O262" s="1154"/>
      <c r="P262" s="1154"/>
      <c r="Q262" s="1154"/>
      <c r="R262" s="1154"/>
      <c r="S262" s="1154"/>
      <c r="T262" s="1154"/>
      <c r="U262" s="1154"/>
      <c r="V262" s="1154"/>
      <c r="W262" s="1154"/>
      <c r="X262" s="1154"/>
      <c r="Y262" s="1154"/>
      <c r="Z262" s="1154"/>
    </row>
    <row r="263">
      <c r="A263" s="1154"/>
      <c r="B263" s="1154"/>
      <c r="C263" s="1154"/>
      <c r="D263" s="1154"/>
      <c r="E263" s="1154"/>
      <c r="F263" s="1154"/>
      <c r="G263" s="1154"/>
      <c r="H263" s="1154"/>
      <c r="I263" s="1154"/>
      <c r="J263" s="1154"/>
      <c r="K263" s="1154"/>
      <c r="L263" s="1154"/>
      <c r="M263" s="1154"/>
      <c r="N263" s="1154"/>
      <c r="O263" s="1154"/>
      <c r="P263" s="1154"/>
      <c r="Q263" s="1154"/>
      <c r="R263" s="1154"/>
      <c r="S263" s="1154"/>
      <c r="T263" s="1154"/>
      <c r="U263" s="1154"/>
      <c r="V263" s="1154"/>
      <c r="W263" s="1154"/>
      <c r="X263" s="1154"/>
      <c r="Y263" s="1154"/>
      <c r="Z263" s="1154"/>
    </row>
    <row r="264">
      <c r="A264" s="1154"/>
      <c r="B264" s="1154"/>
      <c r="C264" s="1154"/>
      <c r="D264" s="1154"/>
      <c r="E264" s="1154"/>
      <c r="F264" s="1154"/>
      <c r="G264" s="1154"/>
      <c r="H264" s="1154"/>
      <c r="I264" s="1154"/>
      <c r="J264" s="1154"/>
      <c r="K264" s="1154"/>
      <c r="L264" s="1154"/>
      <c r="M264" s="1154"/>
      <c r="N264" s="1154"/>
      <c r="O264" s="1154"/>
      <c r="P264" s="1154"/>
      <c r="Q264" s="1154"/>
      <c r="R264" s="1154"/>
      <c r="S264" s="1154"/>
      <c r="T264" s="1154"/>
      <c r="U264" s="1154"/>
      <c r="V264" s="1154"/>
      <c r="W264" s="1154"/>
      <c r="X264" s="1154"/>
      <c r="Y264" s="1154"/>
      <c r="Z264" s="1154"/>
    </row>
    <row r="265">
      <c r="A265" s="1154"/>
      <c r="B265" s="1154"/>
      <c r="C265" s="1154"/>
      <c r="D265" s="1154"/>
      <c r="E265" s="1154"/>
      <c r="F265" s="1154"/>
      <c r="G265" s="1154"/>
      <c r="H265" s="1154"/>
      <c r="I265" s="1154"/>
      <c r="J265" s="1154"/>
      <c r="K265" s="1154"/>
      <c r="L265" s="1154"/>
      <c r="M265" s="1154"/>
      <c r="N265" s="1154"/>
      <c r="O265" s="1154"/>
      <c r="P265" s="1154"/>
      <c r="Q265" s="1154"/>
      <c r="R265" s="1154"/>
      <c r="S265" s="1154"/>
      <c r="T265" s="1154"/>
      <c r="U265" s="1154"/>
      <c r="V265" s="1154"/>
      <c r="W265" s="1154"/>
      <c r="X265" s="1154"/>
      <c r="Y265" s="1154"/>
      <c r="Z265" s="1154"/>
    </row>
    <row r="266">
      <c r="A266" s="1154"/>
      <c r="B266" s="1154"/>
      <c r="C266" s="1154"/>
      <c r="D266" s="1154"/>
      <c r="E266" s="1154"/>
      <c r="F266" s="1154"/>
      <c r="G266" s="1154"/>
      <c r="H266" s="1154"/>
      <c r="I266" s="1154"/>
      <c r="J266" s="1154"/>
      <c r="K266" s="1154"/>
      <c r="L266" s="1154"/>
      <c r="M266" s="1154"/>
      <c r="N266" s="1154"/>
      <c r="O266" s="1154"/>
      <c r="P266" s="1154"/>
      <c r="Q266" s="1154"/>
      <c r="R266" s="1154"/>
      <c r="S266" s="1154"/>
      <c r="T266" s="1154"/>
      <c r="U266" s="1154"/>
      <c r="V266" s="1154"/>
      <c r="W266" s="1154"/>
      <c r="X266" s="1154"/>
      <c r="Y266" s="1154"/>
      <c r="Z266" s="1154"/>
    </row>
    <row r="267">
      <c r="A267" s="1154"/>
      <c r="B267" s="1154"/>
      <c r="C267" s="1154"/>
      <c r="D267" s="1154"/>
      <c r="E267" s="1154"/>
      <c r="F267" s="1154"/>
      <c r="G267" s="1154"/>
      <c r="H267" s="1154"/>
      <c r="I267" s="1154"/>
      <c r="J267" s="1154"/>
      <c r="K267" s="1154"/>
      <c r="L267" s="1154"/>
      <c r="M267" s="1154"/>
      <c r="N267" s="1154"/>
      <c r="O267" s="1154"/>
      <c r="P267" s="1154"/>
      <c r="Q267" s="1154"/>
      <c r="R267" s="1154"/>
      <c r="S267" s="1154"/>
      <c r="T267" s="1154"/>
      <c r="U267" s="1154"/>
      <c r="V267" s="1154"/>
      <c r="W267" s="1154"/>
      <c r="X267" s="1154"/>
      <c r="Y267" s="1154"/>
      <c r="Z267" s="1154"/>
    </row>
    <row r="268">
      <c r="A268" s="1154"/>
      <c r="B268" s="1154"/>
      <c r="C268" s="1154"/>
      <c r="D268" s="1154"/>
      <c r="E268" s="1154"/>
      <c r="F268" s="1154"/>
      <c r="G268" s="1154"/>
      <c r="H268" s="1154"/>
      <c r="I268" s="1154"/>
      <c r="J268" s="1154"/>
      <c r="K268" s="1154"/>
      <c r="L268" s="1154"/>
      <c r="M268" s="1154"/>
      <c r="N268" s="1154"/>
      <c r="O268" s="1154"/>
      <c r="P268" s="1154"/>
      <c r="Q268" s="1154"/>
      <c r="R268" s="1154"/>
      <c r="S268" s="1154"/>
      <c r="T268" s="1154"/>
      <c r="U268" s="1154"/>
      <c r="V268" s="1154"/>
      <c r="W268" s="1154"/>
      <c r="X268" s="1154"/>
      <c r="Y268" s="1154"/>
      <c r="Z268" s="1154"/>
    </row>
    <row r="269">
      <c r="A269" s="1154"/>
      <c r="B269" s="1154"/>
      <c r="C269" s="1154"/>
      <c r="D269" s="1154"/>
      <c r="E269" s="1154"/>
      <c r="F269" s="1154"/>
      <c r="G269" s="1154"/>
      <c r="H269" s="1154"/>
      <c r="I269" s="1154"/>
      <c r="J269" s="1154"/>
      <c r="K269" s="1154"/>
      <c r="L269" s="1154"/>
      <c r="M269" s="1154"/>
      <c r="N269" s="1154"/>
      <c r="O269" s="1154"/>
      <c r="P269" s="1154"/>
      <c r="Q269" s="1154"/>
      <c r="R269" s="1154"/>
      <c r="S269" s="1154"/>
      <c r="T269" s="1154"/>
      <c r="U269" s="1154"/>
      <c r="V269" s="1154"/>
      <c r="W269" s="1154"/>
      <c r="X269" s="1154"/>
      <c r="Y269" s="1154"/>
      <c r="Z269" s="1154"/>
    </row>
    <row r="270">
      <c r="A270" s="1154"/>
      <c r="B270" s="1154"/>
      <c r="C270" s="1154"/>
      <c r="D270" s="1154"/>
      <c r="E270" s="1154"/>
      <c r="F270" s="1154"/>
      <c r="G270" s="1154"/>
      <c r="H270" s="1154"/>
      <c r="I270" s="1154"/>
      <c r="J270" s="1154"/>
      <c r="K270" s="1154"/>
      <c r="L270" s="1154"/>
      <c r="M270" s="1154"/>
      <c r="N270" s="1154"/>
      <c r="O270" s="1154"/>
      <c r="P270" s="1154"/>
      <c r="Q270" s="1154"/>
      <c r="R270" s="1154"/>
      <c r="S270" s="1154"/>
      <c r="T270" s="1154"/>
      <c r="U270" s="1154"/>
      <c r="V270" s="1154"/>
      <c r="W270" s="1154"/>
      <c r="X270" s="1154"/>
      <c r="Y270" s="1154"/>
      <c r="Z270" s="1154"/>
    </row>
    <row r="271">
      <c r="A271" s="1154"/>
      <c r="B271" s="1154"/>
      <c r="C271" s="1154"/>
      <c r="D271" s="1154"/>
      <c r="E271" s="1154"/>
      <c r="F271" s="1154"/>
      <c r="G271" s="1154"/>
      <c r="H271" s="1154"/>
      <c r="I271" s="1154"/>
      <c r="J271" s="1154"/>
      <c r="K271" s="1154"/>
      <c r="L271" s="1154"/>
      <c r="M271" s="1154"/>
      <c r="N271" s="1154"/>
      <c r="O271" s="1154"/>
      <c r="P271" s="1154"/>
      <c r="Q271" s="1154"/>
      <c r="R271" s="1154"/>
      <c r="S271" s="1154"/>
      <c r="T271" s="1154"/>
      <c r="U271" s="1154"/>
      <c r="V271" s="1154"/>
      <c r="W271" s="1154"/>
      <c r="X271" s="1154"/>
      <c r="Y271" s="1154"/>
      <c r="Z271" s="1154"/>
    </row>
    <row r="272">
      <c r="A272" s="1154"/>
      <c r="B272" s="1154"/>
      <c r="C272" s="1154"/>
      <c r="D272" s="1154"/>
      <c r="E272" s="1154"/>
      <c r="F272" s="1154"/>
      <c r="G272" s="1154"/>
      <c r="H272" s="1154"/>
      <c r="I272" s="1154"/>
      <c r="J272" s="1154"/>
      <c r="K272" s="1154"/>
      <c r="L272" s="1154"/>
      <c r="M272" s="1154"/>
      <c r="N272" s="1154"/>
      <c r="O272" s="1154"/>
      <c r="P272" s="1154"/>
      <c r="Q272" s="1154"/>
      <c r="R272" s="1154"/>
      <c r="S272" s="1154"/>
      <c r="T272" s="1154"/>
      <c r="U272" s="1154"/>
      <c r="V272" s="1154"/>
      <c r="W272" s="1154"/>
      <c r="X272" s="1154"/>
      <c r="Y272" s="1154"/>
      <c r="Z272" s="1154"/>
    </row>
    <row r="273">
      <c r="A273" s="1154"/>
      <c r="B273" s="1154"/>
      <c r="C273" s="1154"/>
      <c r="D273" s="1154"/>
      <c r="E273" s="1154"/>
      <c r="F273" s="1154"/>
      <c r="G273" s="1154"/>
      <c r="H273" s="1154"/>
      <c r="I273" s="1154"/>
      <c r="J273" s="1154"/>
      <c r="K273" s="1154"/>
      <c r="L273" s="1154"/>
      <c r="M273" s="1154"/>
      <c r="N273" s="1154"/>
      <c r="O273" s="1154"/>
      <c r="P273" s="1154"/>
      <c r="Q273" s="1154"/>
      <c r="R273" s="1154"/>
      <c r="S273" s="1154"/>
      <c r="T273" s="1154"/>
      <c r="U273" s="1154"/>
      <c r="V273" s="1154"/>
      <c r="W273" s="1154"/>
      <c r="X273" s="1154"/>
      <c r="Y273" s="1154"/>
      <c r="Z273" s="1154"/>
    </row>
    <row r="274">
      <c r="A274" s="1154"/>
      <c r="B274" s="1154"/>
      <c r="C274" s="1154"/>
      <c r="D274" s="1154"/>
      <c r="E274" s="1154"/>
      <c r="F274" s="1154"/>
      <c r="G274" s="1154"/>
      <c r="H274" s="1154"/>
      <c r="I274" s="1154"/>
      <c r="J274" s="1154"/>
      <c r="K274" s="1154"/>
      <c r="L274" s="1154"/>
      <c r="M274" s="1154"/>
      <c r="N274" s="1154"/>
      <c r="O274" s="1154"/>
      <c r="P274" s="1154"/>
      <c r="Q274" s="1154"/>
      <c r="R274" s="1154"/>
      <c r="S274" s="1154"/>
      <c r="T274" s="1154"/>
      <c r="U274" s="1154"/>
      <c r="V274" s="1154"/>
      <c r="W274" s="1154"/>
      <c r="X274" s="1154"/>
      <c r="Y274" s="1154"/>
      <c r="Z274" s="1154"/>
    </row>
    <row r="275">
      <c r="A275" s="1154"/>
      <c r="B275" s="1154"/>
      <c r="C275" s="1154"/>
      <c r="D275" s="1154"/>
      <c r="E275" s="1154"/>
      <c r="F275" s="1154"/>
      <c r="G275" s="1154"/>
      <c r="H275" s="1154"/>
      <c r="I275" s="1154"/>
      <c r="J275" s="1154"/>
      <c r="K275" s="1154"/>
      <c r="L275" s="1154"/>
      <c r="M275" s="1154"/>
      <c r="N275" s="1154"/>
      <c r="O275" s="1154"/>
      <c r="P275" s="1154"/>
      <c r="Q275" s="1154"/>
      <c r="R275" s="1154"/>
      <c r="S275" s="1154"/>
      <c r="T275" s="1154"/>
      <c r="U275" s="1154"/>
      <c r="V275" s="1154"/>
      <c r="W275" s="1154"/>
      <c r="X275" s="1154"/>
      <c r="Y275" s="1154"/>
      <c r="Z275" s="1154"/>
    </row>
    <row r="276">
      <c r="A276" s="1154"/>
      <c r="B276" s="1154"/>
      <c r="C276" s="1154"/>
      <c r="D276" s="1154"/>
      <c r="E276" s="1154"/>
      <c r="F276" s="1154"/>
      <c r="G276" s="1154"/>
      <c r="H276" s="1154"/>
      <c r="I276" s="1154"/>
      <c r="J276" s="1154"/>
      <c r="K276" s="1154"/>
      <c r="L276" s="1154"/>
      <c r="M276" s="1154"/>
      <c r="N276" s="1154"/>
      <c r="O276" s="1154"/>
      <c r="P276" s="1154"/>
      <c r="Q276" s="1154"/>
      <c r="R276" s="1154"/>
      <c r="S276" s="1154"/>
      <c r="T276" s="1154"/>
      <c r="U276" s="1154"/>
      <c r="V276" s="1154"/>
      <c r="W276" s="1154"/>
      <c r="X276" s="1154"/>
      <c r="Y276" s="1154"/>
      <c r="Z276" s="1154"/>
    </row>
    <row r="277">
      <c r="A277" s="1154"/>
      <c r="B277" s="1154"/>
      <c r="C277" s="1154"/>
      <c r="D277" s="1154"/>
      <c r="E277" s="1154"/>
      <c r="F277" s="1154"/>
      <c r="G277" s="1154"/>
      <c r="H277" s="1154"/>
      <c r="I277" s="1154"/>
      <c r="J277" s="1154"/>
      <c r="K277" s="1154"/>
      <c r="L277" s="1154"/>
      <c r="M277" s="1154"/>
      <c r="N277" s="1154"/>
      <c r="O277" s="1154"/>
      <c r="P277" s="1154"/>
      <c r="Q277" s="1154"/>
      <c r="R277" s="1154"/>
      <c r="S277" s="1154"/>
      <c r="T277" s="1154"/>
      <c r="U277" s="1154"/>
      <c r="V277" s="1154"/>
      <c r="W277" s="1154"/>
      <c r="X277" s="1154"/>
      <c r="Y277" s="1154"/>
      <c r="Z277" s="1154"/>
    </row>
    <row r="278">
      <c r="A278" s="1154"/>
      <c r="B278" s="1154"/>
      <c r="C278" s="1154"/>
      <c r="D278" s="1154"/>
      <c r="E278" s="1154"/>
      <c r="F278" s="1154"/>
      <c r="G278" s="1154"/>
      <c r="H278" s="1154"/>
      <c r="I278" s="1154"/>
      <c r="J278" s="1154"/>
      <c r="K278" s="1154"/>
      <c r="L278" s="1154"/>
      <c r="M278" s="1154"/>
      <c r="N278" s="1154"/>
      <c r="O278" s="1154"/>
      <c r="P278" s="1154"/>
      <c r="Q278" s="1154"/>
      <c r="R278" s="1154"/>
      <c r="S278" s="1154"/>
      <c r="T278" s="1154"/>
      <c r="U278" s="1154"/>
      <c r="V278" s="1154"/>
      <c r="W278" s="1154"/>
      <c r="X278" s="1154"/>
      <c r="Y278" s="1154"/>
      <c r="Z278" s="1154"/>
    </row>
    <row r="279">
      <c r="A279" s="1154"/>
      <c r="B279" s="1154"/>
      <c r="C279" s="1154"/>
      <c r="D279" s="1154"/>
      <c r="E279" s="1154"/>
      <c r="F279" s="1154"/>
      <c r="G279" s="1154"/>
      <c r="H279" s="1154"/>
      <c r="I279" s="1154"/>
      <c r="J279" s="1154"/>
      <c r="K279" s="1154"/>
      <c r="L279" s="1154"/>
      <c r="M279" s="1154"/>
      <c r="N279" s="1154"/>
      <c r="O279" s="1154"/>
      <c r="P279" s="1154"/>
      <c r="Q279" s="1154"/>
      <c r="R279" s="1154"/>
      <c r="S279" s="1154"/>
      <c r="T279" s="1154"/>
      <c r="U279" s="1154"/>
      <c r="V279" s="1154"/>
      <c r="W279" s="1154"/>
      <c r="X279" s="1154"/>
      <c r="Y279" s="1154"/>
      <c r="Z279" s="1154"/>
    </row>
    <row r="280">
      <c r="A280" s="1154"/>
      <c r="B280" s="1154"/>
      <c r="C280" s="1154"/>
      <c r="D280" s="1154"/>
      <c r="E280" s="1154"/>
      <c r="F280" s="1154"/>
      <c r="G280" s="1154"/>
      <c r="H280" s="1154"/>
      <c r="I280" s="1154"/>
      <c r="J280" s="1154"/>
      <c r="K280" s="1154"/>
      <c r="L280" s="1154"/>
      <c r="M280" s="1154"/>
      <c r="N280" s="1154"/>
      <c r="O280" s="1154"/>
      <c r="P280" s="1154"/>
      <c r="Q280" s="1154"/>
      <c r="R280" s="1154"/>
      <c r="S280" s="1154"/>
      <c r="T280" s="1154"/>
      <c r="U280" s="1154"/>
      <c r="V280" s="1154"/>
      <c r="W280" s="1154"/>
      <c r="X280" s="1154"/>
      <c r="Y280" s="1154"/>
      <c r="Z280" s="1154"/>
    </row>
    <row r="281">
      <c r="A281" s="1154"/>
      <c r="B281" s="1154"/>
      <c r="C281" s="1154"/>
      <c r="D281" s="1154"/>
      <c r="E281" s="1154"/>
      <c r="F281" s="1154"/>
      <c r="G281" s="1154"/>
      <c r="H281" s="1154"/>
      <c r="I281" s="1154"/>
      <c r="J281" s="1154"/>
      <c r="K281" s="1154"/>
      <c r="L281" s="1154"/>
      <c r="M281" s="1154"/>
      <c r="N281" s="1154"/>
      <c r="O281" s="1154"/>
      <c r="P281" s="1154"/>
      <c r="Q281" s="1154"/>
      <c r="R281" s="1154"/>
      <c r="S281" s="1154"/>
      <c r="T281" s="1154"/>
      <c r="U281" s="1154"/>
      <c r="V281" s="1154"/>
      <c r="W281" s="1154"/>
      <c r="X281" s="1154"/>
      <c r="Y281" s="1154"/>
      <c r="Z281" s="1154"/>
    </row>
    <row r="282">
      <c r="A282" s="1154"/>
      <c r="B282" s="1154"/>
      <c r="C282" s="1154"/>
      <c r="D282" s="1154"/>
      <c r="E282" s="1154"/>
      <c r="F282" s="1154"/>
      <c r="G282" s="1154"/>
      <c r="H282" s="1154"/>
      <c r="I282" s="1154"/>
      <c r="J282" s="1154"/>
      <c r="K282" s="1154"/>
      <c r="L282" s="1154"/>
      <c r="M282" s="1154"/>
      <c r="N282" s="1154"/>
      <c r="O282" s="1154"/>
      <c r="P282" s="1154"/>
      <c r="Q282" s="1154"/>
      <c r="R282" s="1154"/>
      <c r="S282" s="1154"/>
      <c r="T282" s="1154"/>
      <c r="U282" s="1154"/>
      <c r="V282" s="1154"/>
      <c r="W282" s="1154"/>
      <c r="X282" s="1154"/>
      <c r="Y282" s="1154"/>
      <c r="Z282" s="1154"/>
    </row>
    <row r="283">
      <c r="A283" s="1154"/>
      <c r="B283" s="1154"/>
      <c r="C283" s="1154"/>
      <c r="D283" s="1154"/>
      <c r="E283" s="1154"/>
      <c r="F283" s="1154"/>
      <c r="G283" s="1154"/>
      <c r="H283" s="1154"/>
      <c r="I283" s="1154"/>
      <c r="J283" s="1154"/>
      <c r="K283" s="1154"/>
      <c r="L283" s="1154"/>
      <c r="M283" s="1154"/>
      <c r="N283" s="1154"/>
      <c r="O283" s="1154"/>
      <c r="P283" s="1154"/>
      <c r="Q283" s="1154"/>
      <c r="R283" s="1154"/>
      <c r="S283" s="1154"/>
      <c r="T283" s="1154"/>
      <c r="U283" s="1154"/>
      <c r="V283" s="1154"/>
      <c r="W283" s="1154"/>
      <c r="X283" s="1154"/>
      <c r="Y283" s="1154"/>
      <c r="Z283" s="1154"/>
    </row>
    <row r="284">
      <c r="A284" s="1154"/>
      <c r="B284" s="1154"/>
      <c r="C284" s="1154"/>
      <c r="D284" s="1154"/>
      <c r="E284" s="1154"/>
      <c r="F284" s="1154"/>
      <c r="G284" s="1154"/>
      <c r="H284" s="1154"/>
      <c r="I284" s="1154"/>
      <c r="J284" s="1154"/>
      <c r="K284" s="1154"/>
      <c r="L284" s="1154"/>
      <c r="M284" s="1154"/>
      <c r="N284" s="1154"/>
      <c r="O284" s="1154"/>
      <c r="P284" s="1154"/>
      <c r="Q284" s="1154"/>
      <c r="R284" s="1154"/>
      <c r="S284" s="1154"/>
      <c r="T284" s="1154"/>
      <c r="U284" s="1154"/>
      <c r="V284" s="1154"/>
      <c r="W284" s="1154"/>
      <c r="X284" s="1154"/>
      <c r="Y284" s="1154"/>
      <c r="Z284" s="1154"/>
    </row>
    <row r="285">
      <c r="A285" s="1154"/>
      <c r="B285" s="1154"/>
      <c r="C285" s="1154"/>
      <c r="D285" s="1154"/>
      <c r="E285" s="1154"/>
      <c r="F285" s="1154"/>
      <c r="G285" s="1154"/>
      <c r="H285" s="1154"/>
      <c r="I285" s="1154"/>
      <c r="J285" s="1154"/>
      <c r="K285" s="1154"/>
      <c r="L285" s="1154"/>
      <c r="M285" s="1154"/>
      <c r="N285" s="1154"/>
      <c r="O285" s="1154"/>
      <c r="P285" s="1154"/>
      <c r="Q285" s="1154"/>
      <c r="R285" s="1154"/>
      <c r="S285" s="1154"/>
      <c r="T285" s="1154"/>
      <c r="U285" s="1154"/>
      <c r="V285" s="1154"/>
      <c r="W285" s="1154"/>
      <c r="X285" s="1154"/>
      <c r="Y285" s="1154"/>
      <c r="Z285" s="1154"/>
    </row>
    <row r="286">
      <c r="A286" s="1154"/>
      <c r="B286" s="1154"/>
      <c r="C286" s="1154"/>
      <c r="D286" s="1154"/>
      <c r="E286" s="1154"/>
      <c r="F286" s="1154"/>
      <c r="G286" s="1154"/>
      <c r="H286" s="1154"/>
      <c r="I286" s="1154"/>
      <c r="J286" s="1154"/>
      <c r="K286" s="1154"/>
      <c r="L286" s="1154"/>
      <c r="M286" s="1154"/>
      <c r="N286" s="1154"/>
      <c r="O286" s="1154"/>
      <c r="P286" s="1154"/>
      <c r="Q286" s="1154"/>
      <c r="R286" s="1154"/>
      <c r="S286" s="1154"/>
      <c r="T286" s="1154"/>
      <c r="U286" s="1154"/>
      <c r="V286" s="1154"/>
      <c r="W286" s="1154"/>
      <c r="X286" s="1154"/>
      <c r="Y286" s="1154"/>
      <c r="Z286" s="1154"/>
    </row>
    <row r="287">
      <c r="A287" s="1154"/>
      <c r="B287" s="1154"/>
      <c r="C287" s="1154"/>
      <c r="D287" s="1154"/>
      <c r="E287" s="1154"/>
      <c r="F287" s="1154"/>
      <c r="G287" s="1154"/>
      <c r="H287" s="1154"/>
      <c r="I287" s="1154"/>
      <c r="J287" s="1154"/>
      <c r="K287" s="1154"/>
      <c r="L287" s="1154"/>
      <c r="M287" s="1154"/>
      <c r="N287" s="1154"/>
      <c r="O287" s="1154"/>
      <c r="P287" s="1154"/>
      <c r="Q287" s="1154"/>
      <c r="R287" s="1154"/>
      <c r="S287" s="1154"/>
      <c r="T287" s="1154"/>
      <c r="U287" s="1154"/>
      <c r="V287" s="1154"/>
      <c r="W287" s="1154"/>
      <c r="X287" s="1154"/>
      <c r="Y287" s="1154"/>
      <c r="Z287" s="1154"/>
    </row>
    <row r="288">
      <c r="A288" s="1154"/>
      <c r="B288" s="1154"/>
      <c r="C288" s="1154"/>
      <c r="D288" s="1154"/>
      <c r="E288" s="1154"/>
      <c r="F288" s="1154"/>
      <c r="G288" s="1154"/>
      <c r="H288" s="1154"/>
      <c r="I288" s="1154"/>
      <c r="J288" s="1154"/>
      <c r="K288" s="1154"/>
      <c r="L288" s="1154"/>
      <c r="M288" s="1154"/>
      <c r="N288" s="1154"/>
      <c r="O288" s="1154"/>
      <c r="P288" s="1154"/>
      <c r="Q288" s="1154"/>
      <c r="R288" s="1154"/>
      <c r="S288" s="1154"/>
      <c r="T288" s="1154"/>
      <c r="U288" s="1154"/>
      <c r="V288" s="1154"/>
      <c r="W288" s="1154"/>
      <c r="X288" s="1154"/>
      <c r="Y288" s="1154"/>
      <c r="Z288" s="1154"/>
    </row>
    <row r="289">
      <c r="A289" s="1154"/>
      <c r="B289" s="1154"/>
      <c r="C289" s="1154"/>
      <c r="D289" s="1154"/>
      <c r="E289" s="1154"/>
      <c r="F289" s="1154"/>
      <c r="G289" s="1154"/>
      <c r="H289" s="1154"/>
      <c r="I289" s="1154"/>
      <c r="J289" s="1154"/>
      <c r="K289" s="1154"/>
      <c r="L289" s="1154"/>
      <c r="M289" s="1154"/>
      <c r="N289" s="1154"/>
      <c r="O289" s="1154"/>
      <c r="P289" s="1154"/>
      <c r="Q289" s="1154"/>
      <c r="R289" s="1154"/>
      <c r="S289" s="1154"/>
      <c r="T289" s="1154"/>
      <c r="U289" s="1154"/>
      <c r="V289" s="1154"/>
      <c r="W289" s="1154"/>
      <c r="X289" s="1154"/>
      <c r="Y289" s="1154"/>
      <c r="Z289" s="1154"/>
    </row>
    <row r="290">
      <c r="A290" s="1154"/>
      <c r="B290" s="1154"/>
      <c r="C290" s="1154"/>
      <c r="D290" s="1154"/>
      <c r="E290" s="1154"/>
      <c r="F290" s="1154"/>
      <c r="G290" s="1154"/>
      <c r="H290" s="1154"/>
      <c r="I290" s="1154"/>
      <c r="J290" s="1154"/>
      <c r="K290" s="1154"/>
      <c r="L290" s="1154"/>
      <c r="M290" s="1154"/>
      <c r="N290" s="1154"/>
      <c r="O290" s="1154"/>
      <c r="P290" s="1154"/>
      <c r="Q290" s="1154"/>
      <c r="R290" s="1154"/>
      <c r="S290" s="1154"/>
      <c r="T290" s="1154"/>
      <c r="U290" s="1154"/>
      <c r="V290" s="1154"/>
      <c r="W290" s="1154"/>
      <c r="X290" s="1154"/>
      <c r="Y290" s="1154"/>
      <c r="Z290" s="1154"/>
    </row>
    <row r="291">
      <c r="A291" s="1154"/>
      <c r="B291" s="1154"/>
      <c r="C291" s="1154"/>
      <c r="D291" s="1154"/>
      <c r="E291" s="1154"/>
      <c r="F291" s="1154"/>
      <c r="G291" s="1154"/>
      <c r="H291" s="1154"/>
      <c r="I291" s="1154"/>
      <c r="J291" s="1154"/>
      <c r="K291" s="1154"/>
      <c r="L291" s="1154"/>
      <c r="M291" s="1154"/>
      <c r="N291" s="1154"/>
      <c r="O291" s="1154"/>
      <c r="P291" s="1154"/>
      <c r="Q291" s="1154"/>
      <c r="R291" s="1154"/>
      <c r="S291" s="1154"/>
      <c r="T291" s="1154"/>
      <c r="U291" s="1154"/>
      <c r="V291" s="1154"/>
      <c r="W291" s="1154"/>
      <c r="X291" s="1154"/>
      <c r="Y291" s="1154"/>
      <c r="Z291" s="1154"/>
    </row>
    <row r="292">
      <c r="A292" s="1154"/>
      <c r="B292" s="1154"/>
      <c r="C292" s="1154"/>
      <c r="D292" s="1154"/>
      <c r="E292" s="1154"/>
      <c r="F292" s="1154"/>
      <c r="G292" s="1154"/>
      <c r="H292" s="1154"/>
      <c r="I292" s="1154"/>
      <c r="J292" s="1154"/>
      <c r="K292" s="1154"/>
      <c r="L292" s="1154"/>
      <c r="M292" s="1154"/>
      <c r="N292" s="1154"/>
      <c r="O292" s="1154"/>
      <c r="P292" s="1154"/>
      <c r="Q292" s="1154"/>
      <c r="R292" s="1154"/>
      <c r="S292" s="1154"/>
      <c r="T292" s="1154"/>
      <c r="U292" s="1154"/>
      <c r="V292" s="1154"/>
      <c r="W292" s="1154"/>
      <c r="X292" s="1154"/>
      <c r="Y292" s="1154"/>
      <c r="Z292" s="1154"/>
    </row>
    <row r="293">
      <c r="A293" s="1154"/>
      <c r="B293" s="1154"/>
      <c r="C293" s="1154"/>
      <c r="D293" s="1154"/>
      <c r="E293" s="1154"/>
      <c r="F293" s="1154"/>
      <c r="G293" s="1154"/>
      <c r="H293" s="1154"/>
      <c r="I293" s="1154"/>
      <c r="J293" s="1154"/>
      <c r="K293" s="1154"/>
      <c r="L293" s="1154"/>
      <c r="M293" s="1154"/>
      <c r="N293" s="1154"/>
      <c r="O293" s="1154"/>
      <c r="P293" s="1154"/>
      <c r="Q293" s="1154"/>
      <c r="R293" s="1154"/>
      <c r="S293" s="1154"/>
      <c r="T293" s="1154"/>
      <c r="U293" s="1154"/>
      <c r="V293" s="1154"/>
      <c r="W293" s="1154"/>
      <c r="X293" s="1154"/>
      <c r="Y293" s="1154"/>
      <c r="Z293" s="1154"/>
    </row>
    <row r="294">
      <c r="A294" s="1154"/>
      <c r="B294" s="1154"/>
      <c r="C294" s="1154"/>
      <c r="D294" s="1154"/>
      <c r="E294" s="1154"/>
      <c r="F294" s="1154"/>
      <c r="G294" s="1154"/>
      <c r="H294" s="1154"/>
      <c r="I294" s="1154"/>
      <c r="J294" s="1154"/>
      <c r="K294" s="1154"/>
      <c r="L294" s="1154"/>
      <c r="M294" s="1154"/>
      <c r="N294" s="1154"/>
      <c r="O294" s="1154"/>
      <c r="P294" s="1154"/>
      <c r="Q294" s="1154"/>
      <c r="R294" s="1154"/>
      <c r="S294" s="1154"/>
      <c r="T294" s="1154"/>
      <c r="U294" s="1154"/>
      <c r="V294" s="1154"/>
      <c r="W294" s="1154"/>
      <c r="X294" s="1154"/>
      <c r="Y294" s="1154"/>
      <c r="Z294" s="1154"/>
    </row>
    <row r="295">
      <c r="A295" s="1154"/>
      <c r="B295" s="1154"/>
      <c r="C295" s="1154"/>
      <c r="D295" s="1154"/>
      <c r="E295" s="1154"/>
      <c r="F295" s="1154"/>
      <c r="G295" s="1154"/>
      <c r="H295" s="1154"/>
      <c r="I295" s="1154"/>
      <c r="J295" s="1154"/>
      <c r="K295" s="1154"/>
      <c r="L295" s="1154"/>
      <c r="M295" s="1154"/>
      <c r="N295" s="1154"/>
      <c r="O295" s="1154"/>
      <c r="P295" s="1154"/>
      <c r="Q295" s="1154"/>
      <c r="R295" s="1154"/>
      <c r="S295" s="1154"/>
      <c r="T295" s="1154"/>
      <c r="U295" s="1154"/>
      <c r="V295" s="1154"/>
      <c r="W295" s="1154"/>
      <c r="X295" s="1154"/>
      <c r="Y295" s="1154"/>
      <c r="Z295" s="1154"/>
    </row>
    <row r="296">
      <c r="A296" s="1154"/>
      <c r="B296" s="1154"/>
      <c r="C296" s="1154"/>
      <c r="D296" s="1154"/>
      <c r="E296" s="1154"/>
      <c r="F296" s="1154"/>
      <c r="G296" s="1154"/>
      <c r="H296" s="1154"/>
      <c r="I296" s="1154"/>
      <c r="J296" s="1154"/>
      <c r="K296" s="1154"/>
      <c r="L296" s="1154"/>
      <c r="M296" s="1154"/>
      <c r="N296" s="1154"/>
      <c r="O296" s="1154"/>
      <c r="P296" s="1154"/>
      <c r="Q296" s="1154"/>
      <c r="R296" s="1154"/>
      <c r="S296" s="1154"/>
      <c r="T296" s="1154"/>
      <c r="U296" s="1154"/>
      <c r="V296" s="1154"/>
      <c r="W296" s="1154"/>
      <c r="X296" s="1154"/>
      <c r="Y296" s="1154"/>
      <c r="Z296" s="1154"/>
    </row>
    <row r="297">
      <c r="A297" s="1154"/>
      <c r="B297" s="1154"/>
      <c r="C297" s="1154"/>
      <c r="D297" s="1154"/>
      <c r="E297" s="1154"/>
      <c r="F297" s="1154"/>
      <c r="G297" s="1154"/>
      <c r="H297" s="1154"/>
      <c r="I297" s="1154"/>
      <c r="J297" s="1154"/>
      <c r="K297" s="1154"/>
      <c r="L297" s="1154"/>
      <c r="M297" s="1154"/>
      <c r="N297" s="1154"/>
      <c r="O297" s="1154"/>
      <c r="P297" s="1154"/>
      <c r="Q297" s="1154"/>
      <c r="R297" s="1154"/>
      <c r="S297" s="1154"/>
      <c r="T297" s="1154"/>
      <c r="U297" s="1154"/>
      <c r="V297" s="1154"/>
      <c r="W297" s="1154"/>
      <c r="X297" s="1154"/>
      <c r="Y297" s="1154"/>
      <c r="Z297" s="1154"/>
    </row>
    <row r="298">
      <c r="A298" s="1154"/>
      <c r="B298" s="1154"/>
      <c r="C298" s="1154"/>
      <c r="D298" s="1154"/>
      <c r="E298" s="1154"/>
      <c r="F298" s="1154"/>
      <c r="G298" s="1154"/>
      <c r="H298" s="1154"/>
      <c r="I298" s="1154"/>
      <c r="J298" s="1154"/>
      <c r="K298" s="1154"/>
      <c r="L298" s="1154"/>
      <c r="M298" s="1154"/>
      <c r="N298" s="1154"/>
      <c r="O298" s="1154"/>
      <c r="P298" s="1154"/>
      <c r="Q298" s="1154"/>
      <c r="R298" s="1154"/>
      <c r="S298" s="1154"/>
      <c r="T298" s="1154"/>
      <c r="U298" s="1154"/>
      <c r="V298" s="1154"/>
      <c r="W298" s="1154"/>
      <c r="X298" s="1154"/>
      <c r="Y298" s="1154"/>
      <c r="Z298" s="1154"/>
    </row>
    <row r="299">
      <c r="A299" s="1154"/>
      <c r="B299" s="1154"/>
      <c r="C299" s="1154"/>
      <c r="D299" s="1154"/>
      <c r="E299" s="1154"/>
      <c r="F299" s="1154"/>
      <c r="G299" s="1154"/>
      <c r="H299" s="1154"/>
      <c r="I299" s="1154"/>
      <c r="J299" s="1154"/>
      <c r="K299" s="1154"/>
      <c r="L299" s="1154"/>
      <c r="M299" s="1154"/>
      <c r="N299" s="1154"/>
      <c r="O299" s="1154"/>
      <c r="P299" s="1154"/>
      <c r="Q299" s="1154"/>
      <c r="R299" s="1154"/>
      <c r="S299" s="1154"/>
      <c r="T299" s="1154"/>
      <c r="U299" s="1154"/>
      <c r="V299" s="1154"/>
      <c r="W299" s="1154"/>
      <c r="X299" s="1154"/>
      <c r="Y299" s="1154"/>
      <c r="Z299" s="1154"/>
    </row>
    <row r="300">
      <c r="A300" s="1154"/>
      <c r="B300" s="1154"/>
      <c r="C300" s="1154"/>
      <c r="D300" s="1154"/>
      <c r="E300" s="1154"/>
      <c r="F300" s="1154"/>
      <c r="G300" s="1154"/>
      <c r="H300" s="1154"/>
      <c r="I300" s="1154"/>
      <c r="J300" s="1154"/>
      <c r="K300" s="1154"/>
      <c r="L300" s="1154"/>
      <c r="M300" s="1154"/>
      <c r="N300" s="1154"/>
      <c r="O300" s="1154"/>
      <c r="P300" s="1154"/>
      <c r="Q300" s="1154"/>
      <c r="R300" s="1154"/>
      <c r="S300" s="1154"/>
      <c r="T300" s="1154"/>
      <c r="U300" s="1154"/>
      <c r="V300" s="1154"/>
      <c r="W300" s="1154"/>
      <c r="X300" s="1154"/>
      <c r="Y300" s="1154"/>
      <c r="Z300" s="1154"/>
    </row>
    <row r="301">
      <c r="A301" s="1154"/>
      <c r="B301" s="1154"/>
      <c r="C301" s="1154"/>
      <c r="D301" s="1154"/>
      <c r="E301" s="1154"/>
      <c r="F301" s="1154"/>
      <c r="G301" s="1154"/>
      <c r="H301" s="1154"/>
      <c r="I301" s="1154"/>
      <c r="J301" s="1154"/>
      <c r="K301" s="1154"/>
      <c r="L301" s="1154"/>
      <c r="M301" s="1154"/>
      <c r="N301" s="1154"/>
      <c r="O301" s="1154"/>
      <c r="P301" s="1154"/>
      <c r="Q301" s="1154"/>
      <c r="R301" s="1154"/>
      <c r="S301" s="1154"/>
      <c r="T301" s="1154"/>
      <c r="U301" s="1154"/>
      <c r="V301" s="1154"/>
      <c r="W301" s="1154"/>
      <c r="X301" s="1154"/>
      <c r="Y301" s="1154"/>
      <c r="Z301" s="1154"/>
    </row>
    <row r="302">
      <c r="A302" s="1154"/>
      <c r="B302" s="1154"/>
      <c r="C302" s="1154"/>
      <c r="D302" s="1154"/>
      <c r="E302" s="1154"/>
      <c r="F302" s="1154"/>
      <c r="G302" s="1154"/>
      <c r="H302" s="1154"/>
      <c r="I302" s="1154"/>
      <c r="J302" s="1154"/>
      <c r="K302" s="1154"/>
      <c r="L302" s="1154"/>
      <c r="M302" s="1154"/>
      <c r="N302" s="1154"/>
      <c r="O302" s="1154"/>
      <c r="P302" s="1154"/>
      <c r="Q302" s="1154"/>
      <c r="R302" s="1154"/>
      <c r="S302" s="1154"/>
      <c r="T302" s="1154"/>
      <c r="U302" s="1154"/>
      <c r="V302" s="1154"/>
      <c r="W302" s="1154"/>
      <c r="X302" s="1154"/>
      <c r="Y302" s="1154"/>
      <c r="Z302" s="1154"/>
    </row>
    <row r="303">
      <c r="A303" s="1154"/>
      <c r="B303" s="1154"/>
      <c r="C303" s="1154"/>
      <c r="D303" s="1154"/>
      <c r="E303" s="1154"/>
      <c r="F303" s="1154"/>
      <c r="G303" s="1154"/>
      <c r="H303" s="1154"/>
      <c r="I303" s="1154"/>
      <c r="J303" s="1154"/>
      <c r="K303" s="1154"/>
      <c r="L303" s="1154"/>
      <c r="M303" s="1154"/>
      <c r="N303" s="1154"/>
      <c r="O303" s="1154"/>
      <c r="P303" s="1154"/>
      <c r="Q303" s="1154"/>
      <c r="R303" s="1154"/>
      <c r="S303" s="1154"/>
      <c r="T303" s="1154"/>
      <c r="U303" s="1154"/>
      <c r="V303" s="1154"/>
      <c r="W303" s="1154"/>
      <c r="X303" s="1154"/>
      <c r="Y303" s="1154"/>
      <c r="Z303" s="1154"/>
    </row>
    <row r="304">
      <c r="A304" s="1154"/>
      <c r="B304" s="1154"/>
      <c r="C304" s="1154"/>
      <c r="D304" s="1154"/>
      <c r="E304" s="1154"/>
      <c r="F304" s="1154"/>
      <c r="G304" s="1154"/>
      <c r="H304" s="1154"/>
      <c r="I304" s="1154"/>
      <c r="J304" s="1154"/>
      <c r="K304" s="1154"/>
      <c r="L304" s="1154"/>
      <c r="M304" s="1154"/>
      <c r="N304" s="1154"/>
      <c r="O304" s="1154"/>
      <c r="P304" s="1154"/>
      <c r="Q304" s="1154"/>
      <c r="R304" s="1154"/>
      <c r="S304" s="1154"/>
      <c r="T304" s="1154"/>
      <c r="U304" s="1154"/>
      <c r="V304" s="1154"/>
      <c r="W304" s="1154"/>
      <c r="X304" s="1154"/>
      <c r="Y304" s="1154"/>
      <c r="Z304" s="1154"/>
    </row>
    <row r="305">
      <c r="A305" s="1154"/>
      <c r="B305" s="1154"/>
      <c r="C305" s="1154"/>
      <c r="D305" s="1154"/>
      <c r="E305" s="1154"/>
      <c r="F305" s="1154"/>
      <c r="G305" s="1154"/>
      <c r="H305" s="1154"/>
      <c r="I305" s="1154"/>
      <c r="J305" s="1154"/>
      <c r="K305" s="1154"/>
      <c r="L305" s="1154"/>
      <c r="M305" s="1154"/>
      <c r="N305" s="1154"/>
      <c r="O305" s="1154"/>
      <c r="P305" s="1154"/>
      <c r="Q305" s="1154"/>
      <c r="R305" s="1154"/>
      <c r="S305" s="1154"/>
      <c r="T305" s="1154"/>
      <c r="U305" s="1154"/>
      <c r="V305" s="1154"/>
      <c r="W305" s="1154"/>
      <c r="X305" s="1154"/>
      <c r="Y305" s="1154"/>
      <c r="Z305" s="1154"/>
    </row>
    <row r="306">
      <c r="A306" s="1154"/>
      <c r="B306" s="1154"/>
      <c r="C306" s="1154"/>
      <c r="D306" s="1154"/>
      <c r="E306" s="1154"/>
      <c r="F306" s="1154"/>
      <c r="G306" s="1154"/>
      <c r="H306" s="1154"/>
      <c r="I306" s="1154"/>
      <c r="J306" s="1154"/>
      <c r="K306" s="1154"/>
      <c r="L306" s="1154"/>
      <c r="M306" s="1154"/>
      <c r="N306" s="1154"/>
      <c r="O306" s="1154"/>
      <c r="P306" s="1154"/>
      <c r="Q306" s="1154"/>
      <c r="R306" s="1154"/>
      <c r="S306" s="1154"/>
      <c r="T306" s="1154"/>
      <c r="U306" s="1154"/>
      <c r="V306" s="1154"/>
      <c r="W306" s="1154"/>
      <c r="X306" s="1154"/>
      <c r="Y306" s="1154"/>
      <c r="Z306" s="1154"/>
    </row>
    <row r="307">
      <c r="A307" s="1154"/>
      <c r="B307" s="1154"/>
      <c r="C307" s="1154"/>
      <c r="D307" s="1154"/>
      <c r="E307" s="1154"/>
      <c r="F307" s="1154"/>
      <c r="G307" s="1154"/>
      <c r="H307" s="1154"/>
      <c r="I307" s="1154"/>
      <c r="J307" s="1154"/>
      <c r="K307" s="1154"/>
      <c r="L307" s="1154"/>
      <c r="M307" s="1154"/>
      <c r="N307" s="1154"/>
      <c r="O307" s="1154"/>
      <c r="P307" s="1154"/>
      <c r="Q307" s="1154"/>
      <c r="R307" s="1154"/>
      <c r="S307" s="1154"/>
      <c r="T307" s="1154"/>
      <c r="U307" s="1154"/>
      <c r="V307" s="1154"/>
      <c r="W307" s="1154"/>
      <c r="X307" s="1154"/>
      <c r="Y307" s="1154"/>
      <c r="Z307" s="1154"/>
    </row>
    <row r="308">
      <c r="A308" s="1154"/>
      <c r="B308" s="1154"/>
      <c r="C308" s="1154"/>
      <c r="D308" s="1154"/>
      <c r="E308" s="1154"/>
      <c r="F308" s="1154"/>
      <c r="G308" s="1154"/>
      <c r="H308" s="1154"/>
      <c r="I308" s="1154"/>
      <c r="J308" s="1154"/>
      <c r="K308" s="1154"/>
      <c r="L308" s="1154"/>
      <c r="M308" s="1154"/>
      <c r="N308" s="1154"/>
      <c r="O308" s="1154"/>
      <c r="P308" s="1154"/>
      <c r="Q308" s="1154"/>
      <c r="R308" s="1154"/>
      <c r="S308" s="1154"/>
      <c r="T308" s="1154"/>
      <c r="U308" s="1154"/>
      <c r="V308" s="1154"/>
      <c r="W308" s="1154"/>
      <c r="X308" s="1154"/>
      <c r="Y308" s="1154"/>
      <c r="Z308" s="1154"/>
    </row>
    <row r="309">
      <c r="A309" s="1154"/>
      <c r="B309" s="1154"/>
      <c r="C309" s="1154"/>
      <c r="D309" s="1154"/>
      <c r="E309" s="1154"/>
      <c r="F309" s="1154"/>
      <c r="G309" s="1154"/>
      <c r="H309" s="1154"/>
      <c r="I309" s="1154"/>
      <c r="J309" s="1154"/>
      <c r="K309" s="1154"/>
      <c r="L309" s="1154"/>
      <c r="M309" s="1154"/>
      <c r="N309" s="1154"/>
      <c r="O309" s="1154"/>
      <c r="P309" s="1154"/>
      <c r="Q309" s="1154"/>
      <c r="R309" s="1154"/>
      <c r="S309" s="1154"/>
      <c r="T309" s="1154"/>
      <c r="U309" s="1154"/>
      <c r="V309" s="1154"/>
      <c r="W309" s="1154"/>
      <c r="X309" s="1154"/>
      <c r="Y309" s="1154"/>
      <c r="Z309" s="1154"/>
    </row>
    <row r="310">
      <c r="A310" s="1154"/>
      <c r="B310" s="1154"/>
      <c r="C310" s="1154"/>
      <c r="D310" s="1154"/>
      <c r="E310" s="1154"/>
      <c r="F310" s="1154"/>
      <c r="G310" s="1154"/>
      <c r="H310" s="1154"/>
      <c r="I310" s="1154"/>
      <c r="J310" s="1154"/>
      <c r="K310" s="1154"/>
      <c r="L310" s="1154"/>
      <c r="M310" s="1154"/>
      <c r="N310" s="1154"/>
      <c r="O310" s="1154"/>
      <c r="P310" s="1154"/>
      <c r="Q310" s="1154"/>
      <c r="R310" s="1154"/>
      <c r="S310" s="1154"/>
      <c r="T310" s="1154"/>
      <c r="U310" s="1154"/>
      <c r="V310" s="1154"/>
      <c r="W310" s="1154"/>
      <c r="X310" s="1154"/>
      <c r="Y310" s="1154"/>
      <c r="Z310" s="1154"/>
    </row>
    <row r="311">
      <c r="A311" s="1154"/>
      <c r="B311" s="1154"/>
      <c r="C311" s="1154"/>
      <c r="D311" s="1154"/>
      <c r="E311" s="1154"/>
      <c r="F311" s="1154"/>
      <c r="G311" s="1154"/>
      <c r="H311" s="1154"/>
      <c r="I311" s="1154"/>
      <c r="J311" s="1154"/>
      <c r="K311" s="1154"/>
      <c r="L311" s="1154"/>
      <c r="M311" s="1154"/>
      <c r="N311" s="1154"/>
      <c r="O311" s="1154"/>
      <c r="P311" s="1154"/>
      <c r="Q311" s="1154"/>
      <c r="R311" s="1154"/>
      <c r="S311" s="1154"/>
      <c r="T311" s="1154"/>
      <c r="U311" s="1154"/>
      <c r="V311" s="1154"/>
      <c r="W311" s="1154"/>
      <c r="X311" s="1154"/>
      <c r="Y311" s="1154"/>
      <c r="Z311" s="1154"/>
    </row>
    <row r="312">
      <c r="A312" s="1154"/>
      <c r="B312" s="1154"/>
      <c r="C312" s="1154"/>
      <c r="D312" s="1154"/>
      <c r="E312" s="1154"/>
      <c r="F312" s="1154"/>
      <c r="G312" s="1154"/>
      <c r="H312" s="1154"/>
      <c r="I312" s="1154"/>
      <c r="J312" s="1154"/>
      <c r="K312" s="1154"/>
      <c r="L312" s="1154"/>
      <c r="M312" s="1154"/>
      <c r="N312" s="1154"/>
      <c r="O312" s="1154"/>
      <c r="P312" s="1154"/>
      <c r="Q312" s="1154"/>
      <c r="R312" s="1154"/>
      <c r="S312" s="1154"/>
      <c r="T312" s="1154"/>
      <c r="U312" s="1154"/>
      <c r="V312" s="1154"/>
      <c r="W312" s="1154"/>
      <c r="X312" s="1154"/>
      <c r="Y312" s="1154"/>
      <c r="Z312" s="1154"/>
    </row>
    <row r="313">
      <c r="A313" s="1154"/>
      <c r="B313" s="1154"/>
      <c r="C313" s="1154"/>
      <c r="D313" s="1154"/>
      <c r="E313" s="1154"/>
      <c r="F313" s="1154"/>
      <c r="G313" s="1154"/>
      <c r="H313" s="1154"/>
      <c r="I313" s="1154"/>
      <c r="J313" s="1154"/>
      <c r="K313" s="1154"/>
      <c r="L313" s="1154"/>
      <c r="M313" s="1154"/>
      <c r="N313" s="1154"/>
      <c r="O313" s="1154"/>
      <c r="P313" s="1154"/>
      <c r="Q313" s="1154"/>
      <c r="R313" s="1154"/>
      <c r="S313" s="1154"/>
      <c r="T313" s="1154"/>
      <c r="U313" s="1154"/>
      <c r="V313" s="1154"/>
      <c r="W313" s="1154"/>
      <c r="X313" s="1154"/>
      <c r="Y313" s="1154"/>
      <c r="Z313" s="1154"/>
    </row>
    <row r="314">
      <c r="A314" s="1154"/>
      <c r="B314" s="1154"/>
      <c r="C314" s="1154"/>
      <c r="D314" s="1154"/>
      <c r="E314" s="1154"/>
      <c r="F314" s="1154"/>
      <c r="G314" s="1154"/>
      <c r="H314" s="1154"/>
      <c r="I314" s="1154"/>
      <c r="J314" s="1154"/>
      <c r="K314" s="1154"/>
      <c r="L314" s="1154"/>
      <c r="M314" s="1154"/>
      <c r="N314" s="1154"/>
      <c r="O314" s="1154"/>
      <c r="P314" s="1154"/>
      <c r="Q314" s="1154"/>
      <c r="R314" s="1154"/>
      <c r="S314" s="1154"/>
      <c r="T314" s="1154"/>
      <c r="U314" s="1154"/>
      <c r="V314" s="1154"/>
      <c r="W314" s="1154"/>
      <c r="X314" s="1154"/>
      <c r="Y314" s="1154"/>
      <c r="Z314" s="1154"/>
    </row>
    <row r="315">
      <c r="A315" s="1154"/>
      <c r="B315" s="1154"/>
      <c r="C315" s="1154"/>
      <c r="D315" s="1154"/>
      <c r="E315" s="1154"/>
      <c r="F315" s="1154"/>
      <c r="G315" s="1154"/>
      <c r="H315" s="1154"/>
      <c r="I315" s="1154"/>
      <c r="J315" s="1154"/>
      <c r="K315" s="1154"/>
      <c r="L315" s="1154"/>
      <c r="M315" s="1154"/>
      <c r="N315" s="1154"/>
      <c r="O315" s="1154"/>
      <c r="P315" s="1154"/>
      <c r="Q315" s="1154"/>
      <c r="R315" s="1154"/>
      <c r="S315" s="1154"/>
      <c r="T315" s="1154"/>
      <c r="U315" s="1154"/>
      <c r="V315" s="1154"/>
      <c r="W315" s="1154"/>
      <c r="X315" s="1154"/>
      <c r="Y315" s="1154"/>
      <c r="Z315" s="1154"/>
    </row>
    <row r="316">
      <c r="A316" s="1154"/>
      <c r="B316" s="1154"/>
      <c r="C316" s="1154"/>
      <c r="D316" s="1154"/>
      <c r="E316" s="1154"/>
      <c r="F316" s="1154"/>
      <c r="G316" s="1154"/>
      <c r="H316" s="1154"/>
      <c r="I316" s="1154"/>
      <c r="J316" s="1154"/>
      <c r="K316" s="1154"/>
      <c r="L316" s="1154"/>
      <c r="M316" s="1154"/>
      <c r="N316" s="1154"/>
      <c r="O316" s="1154"/>
      <c r="P316" s="1154"/>
      <c r="Q316" s="1154"/>
      <c r="R316" s="1154"/>
      <c r="S316" s="1154"/>
      <c r="T316" s="1154"/>
      <c r="U316" s="1154"/>
      <c r="V316" s="1154"/>
      <c r="W316" s="1154"/>
      <c r="X316" s="1154"/>
      <c r="Y316" s="1154"/>
      <c r="Z316" s="1154"/>
    </row>
    <row r="317">
      <c r="A317" s="1154"/>
      <c r="B317" s="1154"/>
      <c r="C317" s="1154"/>
      <c r="D317" s="1154"/>
      <c r="E317" s="1154"/>
      <c r="F317" s="1154"/>
      <c r="G317" s="1154"/>
      <c r="H317" s="1154"/>
      <c r="I317" s="1154"/>
      <c r="J317" s="1154"/>
      <c r="K317" s="1154"/>
      <c r="L317" s="1154"/>
      <c r="M317" s="1154"/>
      <c r="N317" s="1154"/>
      <c r="O317" s="1154"/>
      <c r="P317" s="1154"/>
      <c r="Q317" s="1154"/>
      <c r="R317" s="1154"/>
      <c r="S317" s="1154"/>
      <c r="T317" s="1154"/>
      <c r="U317" s="1154"/>
      <c r="V317" s="1154"/>
      <c r="W317" s="1154"/>
      <c r="X317" s="1154"/>
      <c r="Y317" s="1154"/>
      <c r="Z317" s="1154"/>
    </row>
    <row r="318">
      <c r="A318" s="1154"/>
      <c r="B318" s="1154"/>
      <c r="C318" s="1154"/>
      <c r="D318" s="1154"/>
      <c r="E318" s="1154"/>
      <c r="F318" s="1154"/>
      <c r="G318" s="1154"/>
      <c r="H318" s="1154"/>
      <c r="I318" s="1154"/>
      <c r="J318" s="1154"/>
      <c r="K318" s="1154"/>
      <c r="L318" s="1154"/>
      <c r="M318" s="1154"/>
      <c r="N318" s="1154"/>
      <c r="O318" s="1154"/>
      <c r="P318" s="1154"/>
      <c r="Q318" s="1154"/>
      <c r="R318" s="1154"/>
      <c r="S318" s="1154"/>
      <c r="T318" s="1154"/>
      <c r="U318" s="1154"/>
      <c r="V318" s="1154"/>
      <c r="W318" s="1154"/>
      <c r="X318" s="1154"/>
      <c r="Y318" s="1154"/>
      <c r="Z318" s="1154"/>
    </row>
    <row r="319">
      <c r="A319" s="1154"/>
      <c r="B319" s="1154"/>
      <c r="C319" s="1154"/>
      <c r="D319" s="1154"/>
      <c r="E319" s="1154"/>
      <c r="F319" s="1154"/>
      <c r="G319" s="1154"/>
      <c r="H319" s="1154"/>
      <c r="I319" s="1154"/>
      <c r="J319" s="1154"/>
      <c r="K319" s="1154"/>
      <c r="L319" s="1154"/>
      <c r="M319" s="1154"/>
      <c r="N319" s="1154"/>
      <c r="O319" s="1154"/>
      <c r="P319" s="1154"/>
      <c r="Q319" s="1154"/>
      <c r="R319" s="1154"/>
      <c r="S319" s="1154"/>
      <c r="T319" s="1154"/>
      <c r="U319" s="1154"/>
      <c r="V319" s="1154"/>
      <c r="W319" s="1154"/>
      <c r="X319" s="1154"/>
      <c r="Y319" s="1154"/>
      <c r="Z319" s="1154"/>
    </row>
    <row r="320">
      <c r="A320" s="1154"/>
      <c r="B320" s="1154"/>
      <c r="C320" s="1154"/>
      <c r="D320" s="1154"/>
      <c r="E320" s="1154"/>
      <c r="F320" s="1154"/>
      <c r="G320" s="1154"/>
      <c r="H320" s="1154"/>
      <c r="I320" s="1154"/>
      <c r="J320" s="1154"/>
      <c r="K320" s="1154"/>
      <c r="L320" s="1154"/>
      <c r="M320" s="1154"/>
      <c r="N320" s="1154"/>
      <c r="O320" s="1154"/>
      <c r="P320" s="1154"/>
      <c r="Q320" s="1154"/>
      <c r="R320" s="1154"/>
      <c r="S320" s="1154"/>
      <c r="T320" s="1154"/>
      <c r="U320" s="1154"/>
      <c r="V320" s="1154"/>
      <c r="W320" s="1154"/>
      <c r="X320" s="1154"/>
      <c r="Y320" s="1154"/>
      <c r="Z320" s="1154"/>
    </row>
    <row r="321">
      <c r="A321" s="1154"/>
      <c r="B321" s="1154"/>
      <c r="C321" s="1154"/>
      <c r="D321" s="1154"/>
      <c r="E321" s="1154"/>
      <c r="F321" s="1154"/>
      <c r="G321" s="1154"/>
      <c r="H321" s="1154"/>
      <c r="I321" s="1154"/>
      <c r="J321" s="1154"/>
      <c r="K321" s="1154"/>
      <c r="L321" s="1154"/>
      <c r="M321" s="1154"/>
      <c r="N321" s="1154"/>
      <c r="O321" s="1154"/>
      <c r="P321" s="1154"/>
      <c r="Q321" s="1154"/>
      <c r="R321" s="1154"/>
      <c r="S321" s="1154"/>
      <c r="T321" s="1154"/>
      <c r="U321" s="1154"/>
      <c r="V321" s="1154"/>
      <c r="W321" s="1154"/>
      <c r="X321" s="1154"/>
      <c r="Y321" s="1154"/>
      <c r="Z321" s="1154"/>
    </row>
    <row r="322">
      <c r="A322" s="1154"/>
      <c r="B322" s="1154"/>
      <c r="C322" s="1154"/>
      <c r="D322" s="1154"/>
      <c r="E322" s="1154"/>
      <c r="F322" s="1154"/>
      <c r="G322" s="1154"/>
      <c r="H322" s="1154"/>
      <c r="I322" s="1154"/>
      <c r="J322" s="1154"/>
      <c r="K322" s="1154"/>
      <c r="L322" s="1154"/>
      <c r="M322" s="1154"/>
      <c r="N322" s="1154"/>
      <c r="O322" s="1154"/>
      <c r="P322" s="1154"/>
      <c r="Q322" s="1154"/>
      <c r="R322" s="1154"/>
      <c r="S322" s="1154"/>
      <c r="T322" s="1154"/>
      <c r="U322" s="1154"/>
      <c r="V322" s="1154"/>
      <c r="W322" s="1154"/>
      <c r="X322" s="1154"/>
      <c r="Y322" s="1154"/>
      <c r="Z322" s="1154"/>
    </row>
    <row r="323">
      <c r="A323" s="1154"/>
      <c r="B323" s="1154"/>
      <c r="C323" s="1154"/>
      <c r="D323" s="1154"/>
      <c r="E323" s="1154"/>
      <c r="F323" s="1154"/>
      <c r="G323" s="1154"/>
      <c r="H323" s="1154"/>
      <c r="I323" s="1154"/>
      <c r="J323" s="1154"/>
      <c r="K323" s="1154"/>
      <c r="L323" s="1154"/>
      <c r="M323" s="1154"/>
      <c r="N323" s="1154"/>
      <c r="O323" s="1154"/>
      <c r="P323" s="1154"/>
      <c r="Q323" s="1154"/>
      <c r="R323" s="1154"/>
      <c r="S323" s="1154"/>
      <c r="T323" s="1154"/>
      <c r="U323" s="1154"/>
      <c r="V323" s="1154"/>
      <c r="W323" s="1154"/>
      <c r="X323" s="1154"/>
      <c r="Y323" s="1154"/>
      <c r="Z323" s="1154"/>
    </row>
    <row r="324">
      <c r="A324" s="1154"/>
      <c r="B324" s="1154"/>
      <c r="C324" s="1154"/>
      <c r="D324" s="1154"/>
      <c r="E324" s="1154"/>
      <c r="F324" s="1154"/>
      <c r="G324" s="1154"/>
      <c r="H324" s="1154"/>
      <c r="I324" s="1154"/>
      <c r="J324" s="1154"/>
      <c r="K324" s="1154"/>
      <c r="L324" s="1154"/>
      <c r="M324" s="1154"/>
      <c r="N324" s="1154"/>
      <c r="O324" s="1154"/>
      <c r="P324" s="1154"/>
      <c r="Q324" s="1154"/>
      <c r="R324" s="1154"/>
      <c r="S324" s="1154"/>
      <c r="T324" s="1154"/>
      <c r="U324" s="1154"/>
      <c r="V324" s="1154"/>
      <c r="W324" s="1154"/>
      <c r="X324" s="1154"/>
      <c r="Y324" s="1154"/>
      <c r="Z324" s="1154"/>
    </row>
    <row r="325">
      <c r="A325" s="1154"/>
      <c r="B325" s="1154"/>
      <c r="C325" s="1154"/>
      <c r="D325" s="1154"/>
      <c r="E325" s="1154"/>
      <c r="F325" s="1154"/>
      <c r="G325" s="1154"/>
      <c r="H325" s="1154"/>
      <c r="I325" s="1154"/>
      <c r="J325" s="1154"/>
      <c r="K325" s="1154"/>
      <c r="L325" s="1154"/>
      <c r="M325" s="1154"/>
      <c r="N325" s="1154"/>
      <c r="O325" s="1154"/>
      <c r="P325" s="1154"/>
      <c r="Q325" s="1154"/>
      <c r="R325" s="1154"/>
      <c r="S325" s="1154"/>
      <c r="T325" s="1154"/>
      <c r="U325" s="1154"/>
      <c r="V325" s="1154"/>
      <c r="W325" s="1154"/>
      <c r="X325" s="1154"/>
      <c r="Y325" s="1154"/>
      <c r="Z325" s="1154"/>
    </row>
    <row r="326">
      <c r="A326" s="1154"/>
      <c r="B326" s="1154"/>
      <c r="C326" s="1154"/>
      <c r="D326" s="1154"/>
      <c r="E326" s="1154"/>
      <c r="F326" s="1154"/>
      <c r="G326" s="1154"/>
      <c r="H326" s="1154"/>
      <c r="I326" s="1154"/>
      <c r="J326" s="1154"/>
      <c r="K326" s="1154"/>
      <c r="L326" s="1154"/>
      <c r="M326" s="1154"/>
      <c r="N326" s="1154"/>
      <c r="O326" s="1154"/>
      <c r="P326" s="1154"/>
      <c r="Q326" s="1154"/>
      <c r="R326" s="1154"/>
      <c r="S326" s="1154"/>
      <c r="T326" s="1154"/>
      <c r="U326" s="1154"/>
      <c r="V326" s="1154"/>
      <c r="W326" s="1154"/>
      <c r="X326" s="1154"/>
      <c r="Y326" s="1154"/>
      <c r="Z326" s="1154"/>
    </row>
    <row r="327">
      <c r="A327" s="1154"/>
      <c r="B327" s="1154"/>
      <c r="C327" s="1154"/>
      <c r="D327" s="1154"/>
      <c r="E327" s="1154"/>
      <c r="F327" s="1154"/>
      <c r="G327" s="1154"/>
      <c r="H327" s="1154"/>
      <c r="I327" s="1154"/>
      <c r="J327" s="1154"/>
      <c r="K327" s="1154"/>
      <c r="L327" s="1154"/>
      <c r="M327" s="1154"/>
      <c r="N327" s="1154"/>
      <c r="O327" s="1154"/>
      <c r="P327" s="1154"/>
      <c r="Q327" s="1154"/>
      <c r="R327" s="1154"/>
      <c r="S327" s="1154"/>
      <c r="T327" s="1154"/>
      <c r="U327" s="1154"/>
      <c r="V327" s="1154"/>
      <c r="W327" s="1154"/>
      <c r="X327" s="1154"/>
      <c r="Y327" s="1154"/>
      <c r="Z327" s="1154"/>
    </row>
    <row r="328">
      <c r="A328" s="1154"/>
      <c r="B328" s="1154"/>
      <c r="C328" s="1154"/>
      <c r="D328" s="1154"/>
      <c r="E328" s="1154"/>
      <c r="F328" s="1154"/>
      <c r="G328" s="1154"/>
      <c r="H328" s="1154"/>
      <c r="I328" s="1154"/>
      <c r="J328" s="1154"/>
      <c r="K328" s="1154"/>
      <c r="L328" s="1154"/>
      <c r="M328" s="1154"/>
      <c r="N328" s="1154"/>
      <c r="O328" s="1154"/>
      <c r="P328" s="1154"/>
      <c r="Q328" s="1154"/>
      <c r="R328" s="1154"/>
      <c r="S328" s="1154"/>
      <c r="T328" s="1154"/>
      <c r="U328" s="1154"/>
      <c r="V328" s="1154"/>
      <c r="W328" s="1154"/>
      <c r="X328" s="1154"/>
      <c r="Y328" s="1154"/>
      <c r="Z328" s="1154"/>
    </row>
    <row r="329">
      <c r="A329" s="1154"/>
      <c r="B329" s="1154"/>
      <c r="C329" s="1154"/>
      <c r="D329" s="1154"/>
      <c r="E329" s="1154"/>
      <c r="F329" s="1154"/>
      <c r="G329" s="1154"/>
      <c r="H329" s="1154"/>
      <c r="I329" s="1154"/>
      <c r="J329" s="1154"/>
      <c r="K329" s="1154"/>
      <c r="L329" s="1154"/>
      <c r="M329" s="1154"/>
      <c r="N329" s="1154"/>
      <c r="O329" s="1154"/>
      <c r="P329" s="1154"/>
      <c r="Q329" s="1154"/>
      <c r="R329" s="1154"/>
      <c r="S329" s="1154"/>
      <c r="T329" s="1154"/>
      <c r="U329" s="1154"/>
      <c r="V329" s="1154"/>
      <c r="W329" s="1154"/>
      <c r="X329" s="1154"/>
      <c r="Y329" s="1154"/>
      <c r="Z329" s="1154"/>
    </row>
    <row r="330">
      <c r="A330" s="1154"/>
      <c r="B330" s="1154"/>
      <c r="C330" s="1154"/>
      <c r="D330" s="1154"/>
      <c r="E330" s="1154"/>
      <c r="F330" s="1154"/>
      <c r="G330" s="1154"/>
      <c r="H330" s="1154"/>
      <c r="I330" s="1154"/>
      <c r="J330" s="1154"/>
      <c r="K330" s="1154"/>
      <c r="L330" s="1154"/>
      <c r="M330" s="1154"/>
      <c r="N330" s="1154"/>
      <c r="O330" s="1154"/>
      <c r="P330" s="1154"/>
      <c r="Q330" s="1154"/>
      <c r="R330" s="1154"/>
      <c r="S330" s="1154"/>
      <c r="T330" s="1154"/>
      <c r="U330" s="1154"/>
      <c r="V330" s="1154"/>
      <c r="W330" s="1154"/>
      <c r="X330" s="1154"/>
      <c r="Y330" s="1154"/>
      <c r="Z330" s="1154"/>
    </row>
    <row r="331">
      <c r="A331" s="1154"/>
      <c r="B331" s="1154"/>
      <c r="C331" s="1154"/>
      <c r="D331" s="1154"/>
      <c r="E331" s="1154"/>
      <c r="F331" s="1154"/>
      <c r="G331" s="1154"/>
      <c r="H331" s="1154"/>
      <c r="I331" s="1154"/>
      <c r="J331" s="1154"/>
      <c r="K331" s="1154"/>
      <c r="L331" s="1154"/>
      <c r="M331" s="1154"/>
      <c r="N331" s="1154"/>
      <c r="O331" s="1154"/>
      <c r="P331" s="1154"/>
      <c r="Q331" s="1154"/>
      <c r="R331" s="1154"/>
      <c r="S331" s="1154"/>
      <c r="T331" s="1154"/>
      <c r="U331" s="1154"/>
      <c r="V331" s="1154"/>
      <c r="W331" s="1154"/>
      <c r="X331" s="1154"/>
      <c r="Y331" s="1154"/>
      <c r="Z331" s="1154"/>
    </row>
    <row r="332">
      <c r="A332" s="1154"/>
      <c r="B332" s="1154"/>
      <c r="C332" s="1154"/>
      <c r="D332" s="1154"/>
      <c r="E332" s="1154"/>
      <c r="F332" s="1154"/>
      <c r="G332" s="1154"/>
      <c r="H332" s="1154"/>
      <c r="I332" s="1154"/>
      <c r="J332" s="1154"/>
      <c r="K332" s="1154"/>
      <c r="L332" s="1154"/>
      <c r="M332" s="1154"/>
      <c r="N332" s="1154"/>
      <c r="O332" s="1154"/>
      <c r="P332" s="1154"/>
      <c r="Q332" s="1154"/>
      <c r="R332" s="1154"/>
      <c r="S332" s="1154"/>
      <c r="T332" s="1154"/>
      <c r="U332" s="1154"/>
      <c r="V332" s="1154"/>
      <c r="W332" s="1154"/>
      <c r="X332" s="1154"/>
      <c r="Y332" s="1154"/>
      <c r="Z332" s="1154"/>
    </row>
    <row r="333">
      <c r="A333" s="1154"/>
      <c r="B333" s="1154"/>
      <c r="C333" s="1154"/>
      <c r="D333" s="1154"/>
      <c r="E333" s="1154"/>
      <c r="F333" s="1154"/>
      <c r="G333" s="1154"/>
      <c r="H333" s="1154"/>
      <c r="I333" s="1154"/>
      <c r="J333" s="1154"/>
      <c r="K333" s="1154"/>
      <c r="L333" s="1154"/>
      <c r="M333" s="1154"/>
      <c r="N333" s="1154"/>
      <c r="O333" s="1154"/>
      <c r="P333" s="1154"/>
      <c r="Q333" s="1154"/>
      <c r="R333" s="1154"/>
      <c r="S333" s="1154"/>
      <c r="T333" s="1154"/>
      <c r="U333" s="1154"/>
      <c r="V333" s="1154"/>
      <c r="W333" s="1154"/>
      <c r="X333" s="1154"/>
      <c r="Y333" s="1154"/>
      <c r="Z333" s="1154"/>
    </row>
    <row r="334">
      <c r="A334" s="1154"/>
      <c r="B334" s="1154"/>
      <c r="C334" s="1154"/>
      <c r="D334" s="1154"/>
      <c r="E334" s="1154"/>
      <c r="F334" s="1154"/>
      <c r="G334" s="1154"/>
      <c r="H334" s="1154"/>
      <c r="I334" s="1154"/>
      <c r="J334" s="1154"/>
      <c r="K334" s="1154"/>
      <c r="L334" s="1154"/>
      <c r="M334" s="1154"/>
      <c r="N334" s="1154"/>
      <c r="O334" s="1154"/>
      <c r="P334" s="1154"/>
      <c r="Q334" s="1154"/>
      <c r="R334" s="1154"/>
      <c r="S334" s="1154"/>
      <c r="T334" s="1154"/>
      <c r="U334" s="1154"/>
      <c r="V334" s="1154"/>
      <c r="W334" s="1154"/>
      <c r="X334" s="1154"/>
      <c r="Y334" s="1154"/>
      <c r="Z334" s="1154"/>
    </row>
    <row r="335">
      <c r="A335" s="1154"/>
      <c r="B335" s="1154"/>
      <c r="C335" s="1154"/>
      <c r="D335" s="1154"/>
      <c r="E335" s="1154"/>
      <c r="F335" s="1154"/>
      <c r="G335" s="1154"/>
      <c r="H335" s="1154"/>
      <c r="I335" s="1154"/>
      <c r="J335" s="1154"/>
      <c r="K335" s="1154"/>
      <c r="L335" s="1154"/>
      <c r="M335" s="1154"/>
      <c r="N335" s="1154"/>
      <c r="O335" s="1154"/>
      <c r="P335" s="1154"/>
      <c r="Q335" s="1154"/>
      <c r="R335" s="1154"/>
      <c r="S335" s="1154"/>
      <c r="T335" s="1154"/>
      <c r="U335" s="1154"/>
      <c r="V335" s="1154"/>
      <c r="W335" s="1154"/>
      <c r="X335" s="1154"/>
      <c r="Y335" s="1154"/>
      <c r="Z335" s="1154"/>
    </row>
    <row r="336">
      <c r="A336" s="1154"/>
      <c r="B336" s="1154"/>
      <c r="C336" s="1154"/>
      <c r="D336" s="1154"/>
      <c r="E336" s="1154"/>
      <c r="F336" s="1154"/>
      <c r="G336" s="1154"/>
      <c r="H336" s="1154"/>
      <c r="I336" s="1154"/>
      <c r="J336" s="1154"/>
      <c r="K336" s="1154"/>
      <c r="L336" s="1154"/>
      <c r="M336" s="1154"/>
      <c r="N336" s="1154"/>
      <c r="O336" s="1154"/>
      <c r="P336" s="1154"/>
      <c r="Q336" s="1154"/>
      <c r="R336" s="1154"/>
      <c r="S336" s="1154"/>
      <c r="T336" s="1154"/>
      <c r="U336" s="1154"/>
      <c r="V336" s="1154"/>
      <c r="W336" s="1154"/>
      <c r="X336" s="1154"/>
      <c r="Y336" s="1154"/>
      <c r="Z336" s="1154"/>
    </row>
    <row r="337">
      <c r="A337" s="1154"/>
      <c r="B337" s="1154"/>
      <c r="C337" s="1154"/>
      <c r="D337" s="1154"/>
      <c r="E337" s="1154"/>
      <c r="F337" s="1154"/>
      <c r="G337" s="1154"/>
      <c r="H337" s="1154"/>
      <c r="I337" s="1154"/>
      <c r="J337" s="1154"/>
      <c r="K337" s="1154"/>
      <c r="L337" s="1154"/>
      <c r="M337" s="1154"/>
      <c r="N337" s="1154"/>
      <c r="O337" s="1154"/>
      <c r="P337" s="1154"/>
      <c r="Q337" s="1154"/>
      <c r="R337" s="1154"/>
      <c r="S337" s="1154"/>
      <c r="T337" s="1154"/>
      <c r="U337" s="1154"/>
      <c r="V337" s="1154"/>
      <c r="W337" s="1154"/>
      <c r="X337" s="1154"/>
      <c r="Y337" s="1154"/>
      <c r="Z337" s="1154"/>
    </row>
    <row r="338">
      <c r="A338" s="1154"/>
      <c r="B338" s="1154"/>
      <c r="C338" s="1154"/>
      <c r="D338" s="1154"/>
      <c r="E338" s="1154"/>
      <c r="F338" s="1154"/>
      <c r="G338" s="1154"/>
      <c r="H338" s="1154"/>
      <c r="I338" s="1154"/>
      <c r="J338" s="1154"/>
      <c r="K338" s="1154"/>
      <c r="L338" s="1154"/>
      <c r="M338" s="1154"/>
      <c r="N338" s="1154"/>
      <c r="O338" s="1154"/>
      <c r="P338" s="1154"/>
      <c r="Q338" s="1154"/>
      <c r="R338" s="1154"/>
      <c r="S338" s="1154"/>
      <c r="T338" s="1154"/>
      <c r="U338" s="1154"/>
      <c r="V338" s="1154"/>
      <c r="W338" s="1154"/>
      <c r="X338" s="1154"/>
      <c r="Y338" s="1154"/>
      <c r="Z338" s="1154"/>
    </row>
    <row r="339">
      <c r="A339" s="1154"/>
      <c r="B339" s="1154"/>
      <c r="C339" s="1154"/>
      <c r="D339" s="1154"/>
      <c r="E339" s="1154"/>
      <c r="F339" s="1154"/>
      <c r="G339" s="1154"/>
      <c r="H339" s="1154"/>
      <c r="I339" s="1154"/>
      <c r="J339" s="1154"/>
      <c r="K339" s="1154"/>
      <c r="L339" s="1154"/>
      <c r="M339" s="1154"/>
      <c r="N339" s="1154"/>
      <c r="O339" s="1154"/>
      <c r="P339" s="1154"/>
      <c r="Q339" s="1154"/>
      <c r="R339" s="1154"/>
      <c r="S339" s="1154"/>
      <c r="T339" s="1154"/>
      <c r="U339" s="1154"/>
      <c r="V339" s="1154"/>
      <c r="W339" s="1154"/>
      <c r="X339" s="1154"/>
      <c r="Y339" s="1154"/>
      <c r="Z339" s="1154"/>
    </row>
    <row r="340">
      <c r="A340" s="1154"/>
      <c r="B340" s="1154"/>
      <c r="C340" s="1154"/>
      <c r="D340" s="1154"/>
      <c r="E340" s="1154"/>
      <c r="F340" s="1154"/>
      <c r="G340" s="1154"/>
      <c r="H340" s="1154"/>
      <c r="I340" s="1154"/>
      <c r="J340" s="1154"/>
      <c r="K340" s="1154"/>
      <c r="L340" s="1154"/>
      <c r="M340" s="1154"/>
      <c r="N340" s="1154"/>
      <c r="O340" s="1154"/>
      <c r="P340" s="1154"/>
      <c r="Q340" s="1154"/>
      <c r="R340" s="1154"/>
      <c r="S340" s="1154"/>
      <c r="T340" s="1154"/>
      <c r="U340" s="1154"/>
      <c r="V340" s="1154"/>
      <c r="W340" s="1154"/>
      <c r="X340" s="1154"/>
      <c r="Y340" s="1154"/>
      <c r="Z340" s="1154"/>
    </row>
    <row r="341">
      <c r="A341" s="1154"/>
      <c r="B341" s="1154"/>
      <c r="C341" s="1154"/>
      <c r="D341" s="1154"/>
      <c r="E341" s="1154"/>
      <c r="F341" s="1154"/>
      <c r="G341" s="1154"/>
      <c r="H341" s="1154"/>
      <c r="I341" s="1154"/>
      <c r="J341" s="1154"/>
      <c r="K341" s="1154"/>
      <c r="L341" s="1154"/>
      <c r="M341" s="1154"/>
      <c r="N341" s="1154"/>
      <c r="O341" s="1154"/>
      <c r="P341" s="1154"/>
      <c r="Q341" s="1154"/>
      <c r="R341" s="1154"/>
      <c r="S341" s="1154"/>
      <c r="T341" s="1154"/>
      <c r="U341" s="1154"/>
      <c r="V341" s="1154"/>
      <c r="W341" s="1154"/>
      <c r="X341" s="1154"/>
      <c r="Y341" s="1154"/>
      <c r="Z341" s="1154"/>
    </row>
    <row r="342">
      <c r="A342" s="1154"/>
      <c r="B342" s="1154"/>
      <c r="C342" s="1154"/>
      <c r="D342" s="1154"/>
      <c r="E342" s="1154"/>
      <c r="F342" s="1154"/>
      <c r="G342" s="1154"/>
      <c r="H342" s="1154"/>
      <c r="I342" s="1154"/>
      <c r="J342" s="1154"/>
      <c r="K342" s="1154"/>
      <c r="L342" s="1154"/>
      <c r="M342" s="1154"/>
      <c r="N342" s="1154"/>
      <c r="O342" s="1154"/>
      <c r="P342" s="1154"/>
      <c r="Q342" s="1154"/>
      <c r="R342" s="1154"/>
      <c r="S342" s="1154"/>
      <c r="T342" s="1154"/>
      <c r="U342" s="1154"/>
      <c r="V342" s="1154"/>
      <c r="W342" s="1154"/>
      <c r="X342" s="1154"/>
      <c r="Y342" s="1154"/>
      <c r="Z342" s="1154"/>
    </row>
    <row r="343">
      <c r="A343" s="1154"/>
      <c r="B343" s="1154"/>
      <c r="C343" s="1154"/>
      <c r="D343" s="1154"/>
      <c r="E343" s="1154"/>
      <c r="F343" s="1154"/>
      <c r="G343" s="1154"/>
      <c r="H343" s="1154"/>
      <c r="I343" s="1154"/>
      <c r="J343" s="1154"/>
      <c r="K343" s="1154"/>
      <c r="L343" s="1154"/>
      <c r="M343" s="1154"/>
      <c r="N343" s="1154"/>
      <c r="O343" s="1154"/>
      <c r="P343" s="1154"/>
      <c r="Q343" s="1154"/>
      <c r="R343" s="1154"/>
      <c r="S343" s="1154"/>
      <c r="T343" s="1154"/>
      <c r="U343" s="1154"/>
      <c r="V343" s="1154"/>
      <c r="W343" s="1154"/>
      <c r="X343" s="1154"/>
      <c r="Y343" s="1154"/>
      <c r="Z343" s="1154"/>
    </row>
    <row r="344">
      <c r="A344" s="1154"/>
      <c r="B344" s="1154"/>
      <c r="C344" s="1154"/>
      <c r="D344" s="1154"/>
      <c r="E344" s="1154"/>
      <c r="F344" s="1154"/>
      <c r="G344" s="1154"/>
      <c r="H344" s="1154"/>
      <c r="I344" s="1154"/>
      <c r="J344" s="1154"/>
      <c r="K344" s="1154"/>
      <c r="L344" s="1154"/>
      <c r="M344" s="1154"/>
      <c r="N344" s="1154"/>
      <c r="O344" s="1154"/>
      <c r="P344" s="1154"/>
      <c r="Q344" s="1154"/>
      <c r="R344" s="1154"/>
      <c r="S344" s="1154"/>
      <c r="T344" s="1154"/>
      <c r="U344" s="1154"/>
      <c r="V344" s="1154"/>
      <c r="W344" s="1154"/>
      <c r="X344" s="1154"/>
      <c r="Y344" s="1154"/>
      <c r="Z344" s="1154"/>
    </row>
    <row r="345">
      <c r="A345" s="1154"/>
      <c r="B345" s="1154"/>
      <c r="C345" s="1154"/>
      <c r="D345" s="1154"/>
      <c r="E345" s="1154"/>
      <c r="F345" s="1154"/>
      <c r="G345" s="1154"/>
      <c r="H345" s="1154"/>
      <c r="I345" s="1154"/>
      <c r="J345" s="1154"/>
      <c r="K345" s="1154"/>
      <c r="L345" s="1154"/>
      <c r="M345" s="1154"/>
      <c r="N345" s="1154"/>
      <c r="O345" s="1154"/>
      <c r="P345" s="1154"/>
      <c r="Q345" s="1154"/>
      <c r="R345" s="1154"/>
      <c r="S345" s="1154"/>
      <c r="T345" s="1154"/>
      <c r="U345" s="1154"/>
      <c r="V345" s="1154"/>
      <c r="W345" s="1154"/>
      <c r="X345" s="1154"/>
      <c r="Y345" s="1154"/>
      <c r="Z345" s="1154"/>
    </row>
    <row r="346">
      <c r="A346" s="1154"/>
      <c r="B346" s="1154"/>
      <c r="C346" s="1154"/>
      <c r="D346" s="1154"/>
      <c r="E346" s="1154"/>
      <c r="F346" s="1154"/>
      <c r="G346" s="1154"/>
      <c r="H346" s="1154"/>
      <c r="I346" s="1154"/>
      <c r="J346" s="1154"/>
      <c r="K346" s="1154"/>
      <c r="L346" s="1154"/>
      <c r="M346" s="1154"/>
      <c r="N346" s="1154"/>
      <c r="O346" s="1154"/>
      <c r="P346" s="1154"/>
      <c r="Q346" s="1154"/>
      <c r="R346" s="1154"/>
      <c r="S346" s="1154"/>
      <c r="T346" s="1154"/>
      <c r="U346" s="1154"/>
      <c r="V346" s="1154"/>
      <c r="W346" s="1154"/>
      <c r="X346" s="1154"/>
      <c r="Y346" s="1154"/>
      <c r="Z346" s="1154"/>
    </row>
    <row r="347">
      <c r="A347" s="1154"/>
      <c r="B347" s="1154"/>
      <c r="C347" s="1154"/>
      <c r="D347" s="1154"/>
      <c r="E347" s="1154"/>
      <c r="F347" s="1154"/>
      <c r="G347" s="1154"/>
      <c r="H347" s="1154"/>
      <c r="I347" s="1154"/>
      <c r="J347" s="1154"/>
      <c r="K347" s="1154"/>
      <c r="L347" s="1154"/>
      <c r="M347" s="1154"/>
      <c r="N347" s="1154"/>
      <c r="O347" s="1154"/>
      <c r="P347" s="1154"/>
      <c r="Q347" s="1154"/>
      <c r="R347" s="1154"/>
      <c r="S347" s="1154"/>
      <c r="T347" s="1154"/>
      <c r="U347" s="1154"/>
      <c r="V347" s="1154"/>
      <c r="W347" s="1154"/>
      <c r="X347" s="1154"/>
      <c r="Y347" s="1154"/>
      <c r="Z347" s="1154"/>
    </row>
    <row r="348">
      <c r="A348" s="1154"/>
      <c r="B348" s="1154"/>
      <c r="C348" s="1154"/>
      <c r="D348" s="1154"/>
      <c r="E348" s="1154"/>
      <c r="F348" s="1154"/>
      <c r="G348" s="1154"/>
      <c r="H348" s="1154"/>
      <c r="I348" s="1154"/>
      <c r="J348" s="1154"/>
      <c r="K348" s="1154"/>
      <c r="L348" s="1154"/>
      <c r="M348" s="1154"/>
      <c r="N348" s="1154"/>
      <c r="O348" s="1154"/>
      <c r="P348" s="1154"/>
      <c r="Q348" s="1154"/>
      <c r="R348" s="1154"/>
      <c r="S348" s="1154"/>
      <c r="T348" s="1154"/>
      <c r="U348" s="1154"/>
      <c r="V348" s="1154"/>
      <c r="W348" s="1154"/>
      <c r="X348" s="1154"/>
      <c r="Y348" s="1154"/>
      <c r="Z348" s="1154"/>
    </row>
    <row r="349">
      <c r="A349" s="1154"/>
      <c r="B349" s="1154"/>
      <c r="C349" s="1154"/>
      <c r="D349" s="1154"/>
      <c r="E349" s="1154"/>
      <c r="F349" s="1154"/>
      <c r="G349" s="1154"/>
      <c r="H349" s="1154"/>
      <c r="I349" s="1154"/>
      <c r="J349" s="1154"/>
      <c r="K349" s="1154"/>
      <c r="L349" s="1154"/>
      <c r="M349" s="1154"/>
      <c r="N349" s="1154"/>
      <c r="O349" s="1154"/>
      <c r="P349" s="1154"/>
      <c r="Q349" s="1154"/>
      <c r="R349" s="1154"/>
      <c r="S349" s="1154"/>
      <c r="T349" s="1154"/>
      <c r="U349" s="1154"/>
      <c r="V349" s="1154"/>
      <c r="W349" s="1154"/>
      <c r="X349" s="1154"/>
      <c r="Y349" s="1154"/>
      <c r="Z349" s="1154"/>
    </row>
    <row r="350">
      <c r="A350" s="1154"/>
      <c r="B350" s="1154"/>
      <c r="C350" s="1154"/>
      <c r="D350" s="1154"/>
      <c r="E350" s="1154"/>
      <c r="F350" s="1154"/>
      <c r="G350" s="1154"/>
      <c r="H350" s="1154"/>
      <c r="I350" s="1154"/>
      <c r="J350" s="1154"/>
      <c r="K350" s="1154"/>
      <c r="L350" s="1154"/>
      <c r="M350" s="1154"/>
      <c r="N350" s="1154"/>
      <c r="O350" s="1154"/>
      <c r="P350" s="1154"/>
      <c r="Q350" s="1154"/>
      <c r="R350" s="1154"/>
      <c r="S350" s="1154"/>
      <c r="T350" s="1154"/>
      <c r="U350" s="1154"/>
      <c r="V350" s="1154"/>
      <c r="W350" s="1154"/>
      <c r="X350" s="1154"/>
      <c r="Y350" s="1154"/>
      <c r="Z350" s="1154"/>
    </row>
    <row r="351">
      <c r="A351" s="1154"/>
      <c r="B351" s="1154"/>
      <c r="C351" s="1154"/>
      <c r="D351" s="1154"/>
      <c r="E351" s="1154"/>
      <c r="F351" s="1154"/>
      <c r="G351" s="1154"/>
      <c r="H351" s="1154"/>
      <c r="I351" s="1154"/>
      <c r="J351" s="1154"/>
      <c r="K351" s="1154"/>
      <c r="L351" s="1154"/>
      <c r="M351" s="1154"/>
      <c r="N351" s="1154"/>
      <c r="O351" s="1154"/>
      <c r="P351" s="1154"/>
      <c r="Q351" s="1154"/>
      <c r="R351" s="1154"/>
      <c r="S351" s="1154"/>
      <c r="T351" s="1154"/>
      <c r="U351" s="1154"/>
      <c r="V351" s="1154"/>
      <c r="W351" s="1154"/>
      <c r="X351" s="1154"/>
      <c r="Y351" s="1154"/>
      <c r="Z351" s="1154"/>
    </row>
    <row r="352">
      <c r="A352" s="1154"/>
      <c r="B352" s="1154"/>
      <c r="C352" s="1154"/>
      <c r="D352" s="1154"/>
      <c r="E352" s="1154"/>
      <c r="F352" s="1154"/>
      <c r="G352" s="1154"/>
      <c r="H352" s="1154"/>
      <c r="I352" s="1154"/>
      <c r="J352" s="1154"/>
      <c r="K352" s="1154"/>
      <c r="L352" s="1154"/>
      <c r="M352" s="1154"/>
      <c r="N352" s="1154"/>
      <c r="O352" s="1154"/>
      <c r="P352" s="1154"/>
      <c r="Q352" s="1154"/>
      <c r="R352" s="1154"/>
      <c r="S352" s="1154"/>
      <c r="T352" s="1154"/>
      <c r="U352" s="1154"/>
      <c r="V352" s="1154"/>
      <c r="W352" s="1154"/>
      <c r="X352" s="1154"/>
      <c r="Y352" s="1154"/>
      <c r="Z352" s="1154"/>
    </row>
    <row r="353">
      <c r="A353" s="1154"/>
      <c r="B353" s="1154"/>
      <c r="C353" s="1154"/>
      <c r="D353" s="1154"/>
      <c r="E353" s="1154"/>
      <c r="F353" s="1154"/>
      <c r="G353" s="1154"/>
      <c r="H353" s="1154"/>
      <c r="I353" s="1154"/>
      <c r="J353" s="1154"/>
      <c r="K353" s="1154"/>
      <c r="L353" s="1154"/>
      <c r="M353" s="1154"/>
      <c r="N353" s="1154"/>
      <c r="O353" s="1154"/>
      <c r="P353" s="1154"/>
      <c r="Q353" s="1154"/>
      <c r="R353" s="1154"/>
      <c r="S353" s="1154"/>
      <c r="T353" s="1154"/>
      <c r="U353" s="1154"/>
      <c r="V353" s="1154"/>
      <c r="W353" s="1154"/>
      <c r="X353" s="1154"/>
      <c r="Y353" s="1154"/>
      <c r="Z353" s="1154"/>
    </row>
    <row r="354">
      <c r="A354" s="1154"/>
      <c r="B354" s="1154"/>
      <c r="C354" s="1154"/>
      <c r="D354" s="1154"/>
      <c r="E354" s="1154"/>
      <c r="F354" s="1154"/>
      <c r="G354" s="1154"/>
      <c r="H354" s="1154"/>
      <c r="I354" s="1154"/>
      <c r="J354" s="1154"/>
      <c r="K354" s="1154"/>
      <c r="L354" s="1154"/>
      <c r="M354" s="1154"/>
      <c r="N354" s="1154"/>
      <c r="O354" s="1154"/>
      <c r="P354" s="1154"/>
      <c r="Q354" s="1154"/>
      <c r="R354" s="1154"/>
      <c r="S354" s="1154"/>
      <c r="T354" s="1154"/>
      <c r="U354" s="1154"/>
      <c r="V354" s="1154"/>
      <c r="W354" s="1154"/>
      <c r="X354" s="1154"/>
      <c r="Y354" s="1154"/>
      <c r="Z354" s="1154"/>
    </row>
    <row r="355">
      <c r="A355" s="1154"/>
      <c r="B355" s="1154"/>
      <c r="C355" s="1154"/>
      <c r="D355" s="1154"/>
      <c r="E355" s="1154"/>
      <c r="F355" s="1154"/>
      <c r="G355" s="1154"/>
      <c r="H355" s="1154"/>
      <c r="I355" s="1154"/>
      <c r="J355" s="1154"/>
      <c r="K355" s="1154"/>
      <c r="L355" s="1154"/>
      <c r="M355" s="1154"/>
      <c r="N355" s="1154"/>
      <c r="O355" s="1154"/>
      <c r="P355" s="1154"/>
      <c r="Q355" s="1154"/>
      <c r="R355" s="1154"/>
      <c r="S355" s="1154"/>
      <c r="T355" s="1154"/>
      <c r="U355" s="1154"/>
      <c r="V355" s="1154"/>
      <c r="W355" s="1154"/>
      <c r="X355" s="1154"/>
      <c r="Y355" s="1154"/>
      <c r="Z355" s="1154"/>
    </row>
    <row r="356">
      <c r="A356" s="1154"/>
      <c r="B356" s="1154"/>
      <c r="C356" s="1154"/>
      <c r="D356" s="1154"/>
      <c r="E356" s="1154"/>
      <c r="F356" s="1154"/>
      <c r="G356" s="1154"/>
      <c r="H356" s="1154"/>
      <c r="I356" s="1154"/>
      <c r="J356" s="1154"/>
      <c r="K356" s="1154"/>
      <c r="L356" s="1154"/>
      <c r="M356" s="1154"/>
      <c r="N356" s="1154"/>
      <c r="O356" s="1154"/>
      <c r="P356" s="1154"/>
      <c r="Q356" s="1154"/>
      <c r="R356" s="1154"/>
      <c r="S356" s="1154"/>
      <c r="T356" s="1154"/>
      <c r="U356" s="1154"/>
      <c r="V356" s="1154"/>
      <c r="W356" s="1154"/>
      <c r="X356" s="1154"/>
      <c r="Y356" s="1154"/>
      <c r="Z356" s="1154"/>
    </row>
    <row r="357">
      <c r="A357" s="1154"/>
      <c r="B357" s="1154"/>
      <c r="C357" s="1154"/>
      <c r="D357" s="1154"/>
      <c r="E357" s="1154"/>
      <c r="F357" s="1154"/>
      <c r="G357" s="1154"/>
      <c r="H357" s="1154"/>
      <c r="I357" s="1154"/>
      <c r="J357" s="1154"/>
      <c r="K357" s="1154"/>
      <c r="L357" s="1154"/>
      <c r="M357" s="1154"/>
      <c r="N357" s="1154"/>
      <c r="O357" s="1154"/>
      <c r="P357" s="1154"/>
      <c r="Q357" s="1154"/>
      <c r="R357" s="1154"/>
      <c r="S357" s="1154"/>
      <c r="T357" s="1154"/>
      <c r="U357" s="1154"/>
      <c r="V357" s="1154"/>
      <c r="W357" s="1154"/>
      <c r="X357" s="1154"/>
      <c r="Y357" s="1154"/>
      <c r="Z357" s="1154"/>
    </row>
    <row r="358">
      <c r="A358" s="1154"/>
      <c r="B358" s="1154"/>
      <c r="C358" s="1154"/>
      <c r="D358" s="1154"/>
      <c r="E358" s="1154"/>
      <c r="F358" s="1154"/>
      <c r="G358" s="1154"/>
      <c r="H358" s="1154"/>
      <c r="I358" s="1154"/>
      <c r="J358" s="1154"/>
      <c r="K358" s="1154"/>
      <c r="L358" s="1154"/>
      <c r="M358" s="1154"/>
      <c r="N358" s="1154"/>
      <c r="O358" s="1154"/>
      <c r="P358" s="1154"/>
      <c r="Q358" s="1154"/>
      <c r="R358" s="1154"/>
      <c r="S358" s="1154"/>
      <c r="T358" s="1154"/>
      <c r="U358" s="1154"/>
      <c r="V358" s="1154"/>
      <c r="W358" s="1154"/>
      <c r="X358" s="1154"/>
      <c r="Y358" s="1154"/>
      <c r="Z358" s="1154"/>
    </row>
    <row r="359">
      <c r="A359" s="1154"/>
      <c r="B359" s="1154"/>
      <c r="C359" s="1154"/>
      <c r="D359" s="1154"/>
      <c r="E359" s="1154"/>
      <c r="F359" s="1154"/>
      <c r="G359" s="1154"/>
      <c r="H359" s="1154"/>
      <c r="I359" s="1154"/>
      <c r="J359" s="1154"/>
      <c r="K359" s="1154"/>
      <c r="L359" s="1154"/>
      <c r="M359" s="1154"/>
      <c r="N359" s="1154"/>
      <c r="O359" s="1154"/>
      <c r="P359" s="1154"/>
      <c r="Q359" s="1154"/>
      <c r="R359" s="1154"/>
      <c r="S359" s="1154"/>
      <c r="T359" s="1154"/>
      <c r="U359" s="1154"/>
      <c r="V359" s="1154"/>
      <c r="W359" s="1154"/>
      <c r="X359" s="1154"/>
      <c r="Y359" s="1154"/>
      <c r="Z359" s="1154"/>
    </row>
    <row r="360">
      <c r="A360" s="1154"/>
      <c r="B360" s="1154"/>
      <c r="C360" s="1154"/>
      <c r="D360" s="1154"/>
      <c r="E360" s="1154"/>
      <c r="F360" s="1154"/>
      <c r="G360" s="1154"/>
      <c r="H360" s="1154"/>
      <c r="I360" s="1154"/>
      <c r="J360" s="1154"/>
      <c r="K360" s="1154"/>
      <c r="L360" s="1154"/>
      <c r="M360" s="1154"/>
      <c r="N360" s="1154"/>
      <c r="O360" s="1154"/>
      <c r="P360" s="1154"/>
      <c r="Q360" s="1154"/>
      <c r="R360" s="1154"/>
      <c r="S360" s="1154"/>
      <c r="T360" s="1154"/>
      <c r="U360" s="1154"/>
      <c r="V360" s="1154"/>
      <c r="W360" s="1154"/>
      <c r="X360" s="1154"/>
      <c r="Y360" s="1154"/>
      <c r="Z360" s="1154"/>
    </row>
    <row r="361">
      <c r="A361" s="1154"/>
      <c r="B361" s="1154"/>
      <c r="C361" s="1154"/>
      <c r="D361" s="1154"/>
      <c r="E361" s="1154"/>
      <c r="F361" s="1154"/>
      <c r="G361" s="1154"/>
      <c r="H361" s="1154"/>
      <c r="I361" s="1154"/>
      <c r="J361" s="1154"/>
      <c r="K361" s="1154"/>
      <c r="L361" s="1154"/>
      <c r="M361" s="1154"/>
      <c r="N361" s="1154"/>
      <c r="O361" s="1154"/>
      <c r="P361" s="1154"/>
      <c r="Q361" s="1154"/>
      <c r="R361" s="1154"/>
      <c r="S361" s="1154"/>
      <c r="T361" s="1154"/>
      <c r="U361" s="1154"/>
      <c r="V361" s="1154"/>
      <c r="W361" s="1154"/>
      <c r="X361" s="1154"/>
      <c r="Y361" s="1154"/>
      <c r="Z361" s="1154"/>
    </row>
    <row r="362">
      <c r="A362" s="1154"/>
      <c r="B362" s="1154"/>
      <c r="C362" s="1154"/>
      <c r="D362" s="1154"/>
      <c r="E362" s="1154"/>
      <c r="F362" s="1154"/>
      <c r="G362" s="1154"/>
      <c r="H362" s="1154"/>
      <c r="I362" s="1154"/>
      <c r="J362" s="1154"/>
      <c r="K362" s="1154"/>
      <c r="L362" s="1154"/>
      <c r="M362" s="1154"/>
      <c r="N362" s="1154"/>
      <c r="O362" s="1154"/>
      <c r="P362" s="1154"/>
      <c r="Q362" s="1154"/>
      <c r="R362" s="1154"/>
      <c r="S362" s="1154"/>
      <c r="T362" s="1154"/>
      <c r="U362" s="1154"/>
      <c r="V362" s="1154"/>
      <c r="W362" s="1154"/>
      <c r="X362" s="1154"/>
      <c r="Y362" s="1154"/>
      <c r="Z362" s="1154"/>
    </row>
    <row r="363">
      <c r="A363" s="1154"/>
      <c r="B363" s="1154"/>
      <c r="C363" s="1154"/>
      <c r="D363" s="1154"/>
      <c r="E363" s="1154"/>
      <c r="F363" s="1154"/>
      <c r="G363" s="1154"/>
      <c r="H363" s="1154"/>
      <c r="I363" s="1154"/>
      <c r="J363" s="1154"/>
      <c r="K363" s="1154"/>
      <c r="L363" s="1154"/>
      <c r="M363" s="1154"/>
      <c r="N363" s="1154"/>
      <c r="O363" s="1154"/>
      <c r="P363" s="1154"/>
      <c r="Q363" s="1154"/>
      <c r="R363" s="1154"/>
      <c r="S363" s="1154"/>
      <c r="T363" s="1154"/>
      <c r="U363" s="1154"/>
      <c r="V363" s="1154"/>
      <c r="W363" s="1154"/>
      <c r="X363" s="1154"/>
      <c r="Y363" s="1154"/>
      <c r="Z363" s="1154"/>
    </row>
    <row r="364">
      <c r="A364" s="1154"/>
      <c r="B364" s="1154"/>
      <c r="C364" s="1154"/>
      <c r="D364" s="1154"/>
      <c r="E364" s="1154"/>
      <c r="F364" s="1154"/>
      <c r="G364" s="1154"/>
      <c r="H364" s="1154"/>
      <c r="I364" s="1154"/>
      <c r="J364" s="1154"/>
      <c r="K364" s="1154"/>
      <c r="L364" s="1154"/>
      <c r="M364" s="1154"/>
      <c r="N364" s="1154"/>
      <c r="O364" s="1154"/>
      <c r="P364" s="1154"/>
      <c r="Q364" s="1154"/>
      <c r="R364" s="1154"/>
      <c r="S364" s="1154"/>
      <c r="T364" s="1154"/>
      <c r="U364" s="1154"/>
      <c r="V364" s="1154"/>
      <c r="W364" s="1154"/>
      <c r="X364" s="1154"/>
      <c r="Y364" s="1154"/>
      <c r="Z364" s="1154"/>
    </row>
    <row r="365">
      <c r="A365" s="1154"/>
      <c r="B365" s="1154"/>
      <c r="C365" s="1154"/>
      <c r="D365" s="1154"/>
      <c r="E365" s="1154"/>
      <c r="F365" s="1154"/>
      <c r="G365" s="1154"/>
      <c r="H365" s="1154"/>
      <c r="I365" s="1154"/>
      <c r="J365" s="1154"/>
      <c r="K365" s="1154"/>
      <c r="L365" s="1154"/>
      <c r="M365" s="1154"/>
      <c r="N365" s="1154"/>
      <c r="O365" s="1154"/>
      <c r="P365" s="1154"/>
      <c r="Q365" s="1154"/>
      <c r="R365" s="1154"/>
      <c r="S365" s="1154"/>
      <c r="T365" s="1154"/>
      <c r="U365" s="1154"/>
      <c r="V365" s="1154"/>
      <c r="W365" s="1154"/>
      <c r="X365" s="1154"/>
      <c r="Y365" s="1154"/>
      <c r="Z365" s="1154"/>
    </row>
    <row r="366">
      <c r="A366" s="1154"/>
      <c r="B366" s="1154"/>
      <c r="C366" s="1154"/>
      <c r="D366" s="1154"/>
      <c r="E366" s="1154"/>
      <c r="F366" s="1154"/>
      <c r="G366" s="1154"/>
      <c r="H366" s="1154"/>
      <c r="I366" s="1154"/>
      <c r="J366" s="1154"/>
      <c r="K366" s="1154"/>
      <c r="L366" s="1154"/>
      <c r="M366" s="1154"/>
      <c r="N366" s="1154"/>
      <c r="O366" s="1154"/>
      <c r="P366" s="1154"/>
      <c r="Q366" s="1154"/>
      <c r="R366" s="1154"/>
      <c r="S366" s="1154"/>
      <c r="T366" s="1154"/>
      <c r="U366" s="1154"/>
      <c r="V366" s="1154"/>
      <c r="W366" s="1154"/>
      <c r="X366" s="1154"/>
      <c r="Y366" s="1154"/>
      <c r="Z366" s="1154"/>
    </row>
    <row r="367">
      <c r="A367" s="1154"/>
      <c r="B367" s="1154"/>
      <c r="C367" s="1154"/>
      <c r="D367" s="1154"/>
      <c r="E367" s="1154"/>
      <c r="F367" s="1154"/>
      <c r="G367" s="1154"/>
      <c r="H367" s="1154"/>
      <c r="I367" s="1154"/>
      <c r="J367" s="1154"/>
      <c r="K367" s="1154"/>
      <c r="L367" s="1154"/>
      <c r="M367" s="1154"/>
      <c r="N367" s="1154"/>
      <c r="O367" s="1154"/>
      <c r="P367" s="1154"/>
      <c r="Q367" s="1154"/>
      <c r="R367" s="1154"/>
      <c r="S367" s="1154"/>
      <c r="T367" s="1154"/>
      <c r="U367" s="1154"/>
      <c r="V367" s="1154"/>
      <c r="W367" s="1154"/>
      <c r="X367" s="1154"/>
      <c r="Y367" s="1154"/>
      <c r="Z367" s="1154"/>
    </row>
    <row r="368">
      <c r="A368" s="1154"/>
      <c r="B368" s="1154"/>
      <c r="C368" s="1154"/>
      <c r="D368" s="1154"/>
      <c r="E368" s="1154"/>
      <c r="F368" s="1154"/>
      <c r="G368" s="1154"/>
      <c r="H368" s="1154"/>
      <c r="I368" s="1154"/>
      <c r="J368" s="1154"/>
      <c r="K368" s="1154"/>
      <c r="L368" s="1154"/>
      <c r="M368" s="1154"/>
      <c r="N368" s="1154"/>
      <c r="O368" s="1154"/>
      <c r="P368" s="1154"/>
      <c r="Q368" s="1154"/>
      <c r="R368" s="1154"/>
      <c r="S368" s="1154"/>
      <c r="T368" s="1154"/>
      <c r="U368" s="1154"/>
      <c r="V368" s="1154"/>
      <c r="W368" s="1154"/>
      <c r="X368" s="1154"/>
      <c r="Y368" s="1154"/>
      <c r="Z368" s="1154"/>
    </row>
    <row r="369">
      <c r="A369" s="1154"/>
      <c r="B369" s="1154"/>
      <c r="C369" s="1154"/>
      <c r="D369" s="1154"/>
      <c r="E369" s="1154"/>
      <c r="F369" s="1154"/>
      <c r="G369" s="1154"/>
      <c r="H369" s="1154"/>
      <c r="I369" s="1154"/>
      <c r="J369" s="1154"/>
      <c r="K369" s="1154"/>
      <c r="L369" s="1154"/>
      <c r="M369" s="1154"/>
      <c r="N369" s="1154"/>
      <c r="O369" s="1154"/>
      <c r="P369" s="1154"/>
      <c r="Q369" s="1154"/>
      <c r="R369" s="1154"/>
      <c r="S369" s="1154"/>
      <c r="T369" s="1154"/>
      <c r="U369" s="1154"/>
      <c r="V369" s="1154"/>
      <c r="W369" s="1154"/>
      <c r="X369" s="1154"/>
      <c r="Y369" s="1154"/>
      <c r="Z369" s="1154"/>
    </row>
    <row r="370">
      <c r="A370" s="1154"/>
      <c r="B370" s="1154"/>
      <c r="C370" s="1154"/>
      <c r="D370" s="1154"/>
      <c r="E370" s="1154"/>
      <c r="F370" s="1154"/>
      <c r="G370" s="1154"/>
      <c r="H370" s="1154"/>
      <c r="I370" s="1154"/>
      <c r="J370" s="1154"/>
      <c r="K370" s="1154"/>
      <c r="L370" s="1154"/>
      <c r="M370" s="1154"/>
      <c r="N370" s="1154"/>
      <c r="O370" s="1154"/>
      <c r="P370" s="1154"/>
      <c r="Q370" s="1154"/>
      <c r="R370" s="1154"/>
      <c r="S370" s="1154"/>
      <c r="T370" s="1154"/>
      <c r="U370" s="1154"/>
      <c r="V370" s="1154"/>
      <c r="W370" s="1154"/>
      <c r="X370" s="1154"/>
      <c r="Y370" s="1154"/>
      <c r="Z370" s="1154"/>
    </row>
    <row r="371">
      <c r="A371" s="1154"/>
      <c r="B371" s="1154"/>
      <c r="C371" s="1154"/>
      <c r="D371" s="1154"/>
      <c r="E371" s="1154"/>
      <c r="F371" s="1154"/>
      <c r="G371" s="1154"/>
      <c r="H371" s="1154"/>
      <c r="I371" s="1154"/>
      <c r="J371" s="1154"/>
      <c r="K371" s="1154"/>
      <c r="L371" s="1154"/>
      <c r="M371" s="1154"/>
      <c r="N371" s="1154"/>
      <c r="O371" s="1154"/>
      <c r="P371" s="1154"/>
      <c r="Q371" s="1154"/>
      <c r="R371" s="1154"/>
      <c r="S371" s="1154"/>
      <c r="T371" s="1154"/>
      <c r="U371" s="1154"/>
      <c r="V371" s="1154"/>
      <c r="W371" s="1154"/>
      <c r="X371" s="1154"/>
      <c r="Y371" s="1154"/>
      <c r="Z371" s="1154"/>
    </row>
    <row r="372">
      <c r="A372" s="1154"/>
      <c r="B372" s="1154"/>
      <c r="C372" s="1154"/>
      <c r="D372" s="1154"/>
      <c r="E372" s="1154"/>
      <c r="F372" s="1154"/>
      <c r="G372" s="1154"/>
      <c r="H372" s="1154"/>
      <c r="I372" s="1154"/>
      <c r="J372" s="1154"/>
      <c r="K372" s="1154"/>
      <c r="L372" s="1154"/>
      <c r="M372" s="1154"/>
      <c r="N372" s="1154"/>
      <c r="O372" s="1154"/>
      <c r="P372" s="1154"/>
      <c r="Q372" s="1154"/>
      <c r="R372" s="1154"/>
      <c r="S372" s="1154"/>
      <c r="T372" s="1154"/>
      <c r="U372" s="1154"/>
      <c r="V372" s="1154"/>
      <c r="W372" s="1154"/>
      <c r="X372" s="1154"/>
      <c r="Y372" s="1154"/>
      <c r="Z372" s="1154"/>
    </row>
    <row r="373">
      <c r="A373" s="1154"/>
      <c r="B373" s="1154"/>
      <c r="C373" s="1154"/>
      <c r="D373" s="1154"/>
      <c r="E373" s="1154"/>
      <c r="F373" s="1154"/>
      <c r="G373" s="1154"/>
      <c r="H373" s="1154"/>
      <c r="I373" s="1154"/>
      <c r="J373" s="1154"/>
      <c r="K373" s="1154"/>
      <c r="L373" s="1154"/>
      <c r="M373" s="1154"/>
      <c r="N373" s="1154"/>
      <c r="O373" s="1154"/>
      <c r="P373" s="1154"/>
      <c r="Q373" s="1154"/>
      <c r="R373" s="1154"/>
      <c r="S373" s="1154"/>
      <c r="T373" s="1154"/>
      <c r="U373" s="1154"/>
      <c r="V373" s="1154"/>
      <c r="W373" s="1154"/>
      <c r="X373" s="1154"/>
      <c r="Y373" s="1154"/>
      <c r="Z373" s="1154"/>
    </row>
    <row r="374">
      <c r="A374" s="1154"/>
      <c r="B374" s="1154"/>
      <c r="C374" s="1154"/>
      <c r="D374" s="1154"/>
      <c r="E374" s="1154"/>
      <c r="F374" s="1154"/>
      <c r="G374" s="1154"/>
      <c r="H374" s="1154"/>
      <c r="I374" s="1154"/>
      <c r="J374" s="1154"/>
      <c r="K374" s="1154"/>
      <c r="L374" s="1154"/>
      <c r="M374" s="1154"/>
      <c r="N374" s="1154"/>
      <c r="O374" s="1154"/>
      <c r="P374" s="1154"/>
      <c r="Q374" s="1154"/>
      <c r="R374" s="1154"/>
      <c r="S374" s="1154"/>
      <c r="T374" s="1154"/>
      <c r="U374" s="1154"/>
      <c r="V374" s="1154"/>
      <c r="W374" s="1154"/>
      <c r="X374" s="1154"/>
      <c r="Y374" s="1154"/>
      <c r="Z374" s="1154"/>
    </row>
    <row r="375">
      <c r="A375" s="1154"/>
      <c r="B375" s="1154"/>
      <c r="C375" s="1154"/>
      <c r="D375" s="1154"/>
      <c r="E375" s="1154"/>
      <c r="F375" s="1154"/>
      <c r="G375" s="1154"/>
      <c r="H375" s="1154"/>
      <c r="I375" s="1154"/>
      <c r="J375" s="1154"/>
      <c r="K375" s="1154"/>
      <c r="L375" s="1154"/>
      <c r="M375" s="1154"/>
      <c r="N375" s="1154"/>
      <c r="O375" s="1154"/>
      <c r="P375" s="1154"/>
      <c r="Q375" s="1154"/>
      <c r="R375" s="1154"/>
      <c r="S375" s="1154"/>
      <c r="T375" s="1154"/>
      <c r="U375" s="1154"/>
      <c r="V375" s="1154"/>
      <c r="W375" s="1154"/>
      <c r="X375" s="1154"/>
      <c r="Y375" s="1154"/>
      <c r="Z375" s="1154"/>
    </row>
    <row r="376">
      <c r="A376" s="1154"/>
      <c r="B376" s="1154"/>
      <c r="C376" s="1154"/>
      <c r="D376" s="1154"/>
      <c r="E376" s="1154"/>
      <c r="F376" s="1154"/>
      <c r="G376" s="1154"/>
      <c r="H376" s="1154"/>
      <c r="I376" s="1154"/>
      <c r="J376" s="1154"/>
      <c r="K376" s="1154"/>
      <c r="L376" s="1154"/>
      <c r="M376" s="1154"/>
      <c r="N376" s="1154"/>
      <c r="O376" s="1154"/>
      <c r="P376" s="1154"/>
      <c r="Q376" s="1154"/>
      <c r="R376" s="1154"/>
      <c r="S376" s="1154"/>
      <c r="T376" s="1154"/>
      <c r="U376" s="1154"/>
      <c r="V376" s="1154"/>
      <c r="W376" s="1154"/>
      <c r="X376" s="1154"/>
      <c r="Y376" s="1154"/>
      <c r="Z376" s="1154"/>
    </row>
    <row r="377">
      <c r="A377" s="1154"/>
      <c r="B377" s="1154"/>
      <c r="C377" s="1154"/>
      <c r="D377" s="1154"/>
      <c r="E377" s="1154"/>
      <c r="F377" s="1154"/>
      <c r="G377" s="1154"/>
      <c r="H377" s="1154"/>
      <c r="I377" s="1154"/>
      <c r="J377" s="1154"/>
      <c r="K377" s="1154"/>
      <c r="L377" s="1154"/>
      <c r="M377" s="1154"/>
      <c r="N377" s="1154"/>
      <c r="O377" s="1154"/>
      <c r="P377" s="1154"/>
      <c r="Q377" s="1154"/>
      <c r="R377" s="1154"/>
      <c r="S377" s="1154"/>
      <c r="T377" s="1154"/>
      <c r="U377" s="1154"/>
      <c r="V377" s="1154"/>
      <c r="W377" s="1154"/>
      <c r="X377" s="1154"/>
      <c r="Y377" s="1154"/>
      <c r="Z377" s="1154"/>
    </row>
    <row r="378">
      <c r="A378" s="1154"/>
      <c r="B378" s="1154"/>
      <c r="C378" s="1154"/>
      <c r="D378" s="1154"/>
      <c r="E378" s="1154"/>
      <c r="F378" s="1154"/>
      <c r="G378" s="1154"/>
      <c r="H378" s="1154"/>
      <c r="I378" s="1154"/>
      <c r="J378" s="1154"/>
      <c r="K378" s="1154"/>
      <c r="L378" s="1154"/>
      <c r="M378" s="1154"/>
      <c r="N378" s="1154"/>
      <c r="O378" s="1154"/>
      <c r="P378" s="1154"/>
      <c r="Q378" s="1154"/>
      <c r="R378" s="1154"/>
      <c r="S378" s="1154"/>
      <c r="T378" s="1154"/>
      <c r="U378" s="1154"/>
      <c r="V378" s="1154"/>
      <c r="W378" s="1154"/>
      <c r="X378" s="1154"/>
      <c r="Y378" s="1154"/>
      <c r="Z378" s="1154"/>
    </row>
    <row r="379">
      <c r="A379" s="1154"/>
      <c r="B379" s="1154"/>
      <c r="C379" s="1154"/>
      <c r="D379" s="1154"/>
      <c r="E379" s="1154"/>
      <c r="F379" s="1154"/>
      <c r="G379" s="1154"/>
      <c r="H379" s="1154"/>
      <c r="I379" s="1154"/>
      <c r="J379" s="1154"/>
      <c r="K379" s="1154"/>
      <c r="L379" s="1154"/>
      <c r="M379" s="1154"/>
      <c r="N379" s="1154"/>
      <c r="O379" s="1154"/>
      <c r="P379" s="1154"/>
      <c r="Q379" s="1154"/>
      <c r="R379" s="1154"/>
      <c r="S379" s="1154"/>
      <c r="T379" s="1154"/>
      <c r="U379" s="1154"/>
      <c r="V379" s="1154"/>
      <c r="W379" s="1154"/>
      <c r="X379" s="1154"/>
      <c r="Y379" s="1154"/>
      <c r="Z379" s="1154"/>
    </row>
    <row r="380">
      <c r="A380" s="1154"/>
      <c r="B380" s="1154"/>
      <c r="C380" s="1154"/>
      <c r="D380" s="1154"/>
      <c r="E380" s="1154"/>
      <c r="F380" s="1154"/>
      <c r="G380" s="1154"/>
      <c r="H380" s="1154"/>
      <c r="I380" s="1154"/>
      <c r="J380" s="1154"/>
      <c r="K380" s="1154"/>
      <c r="L380" s="1154"/>
      <c r="M380" s="1154"/>
      <c r="N380" s="1154"/>
      <c r="O380" s="1154"/>
      <c r="P380" s="1154"/>
      <c r="Q380" s="1154"/>
      <c r="R380" s="1154"/>
      <c r="S380" s="1154"/>
      <c r="T380" s="1154"/>
      <c r="U380" s="1154"/>
      <c r="V380" s="1154"/>
      <c r="W380" s="1154"/>
      <c r="X380" s="1154"/>
      <c r="Y380" s="1154"/>
      <c r="Z380" s="1154"/>
    </row>
    <row r="381">
      <c r="A381" s="1154"/>
      <c r="B381" s="1154"/>
      <c r="C381" s="1154"/>
      <c r="D381" s="1154"/>
      <c r="E381" s="1154"/>
      <c r="F381" s="1154"/>
      <c r="G381" s="1154"/>
      <c r="H381" s="1154"/>
      <c r="I381" s="1154"/>
      <c r="J381" s="1154"/>
      <c r="K381" s="1154"/>
      <c r="L381" s="1154"/>
      <c r="M381" s="1154"/>
      <c r="N381" s="1154"/>
      <c r="O381" s="1154"/>
      <c r="P381" s="1154"/>
      <c r="Q381" s="1154"/>
      <c r="R381" s="1154"/>
      <c r="S381" s="1154"/>
      <c r="T381" s="1154"/>
      <c r="U381" s="1154"/>
      <c r="V381" s="1154"/>
      <c r="W381" s="1154"/>
      <c r="X381" s="1154"/>
      <c r="Y381" s="1154"/>
      <c r="Z381" s="1154"/>
    </row>
    <row r="382">
      <c r="A382" s="1154"/>
      <c r="B382" s="1154"/>
      <c r="C382" s="1154"/>
      <c r="D382" s="1154"/>
      <c r="E382" s="1154"/>
      <c r="F382" s="1154"/>
      <c r="G382" s="1154"/>
      <c r="H382" s="1154"/>
      <c r="I382" s="1154"/>
      <c r="J382" s="1154"/>
      <c r="K382" s="1154"/>
      <c r="L382" s="1154"/>
      <c r="M382" s="1154"/>
      <c r="N382" s="1154"/>
      <c r="O382" s="1154"/>
      <c r="P382" s="1154"/>
      <c r="Q382" s="1154"/>
      <c r="R382" s="1154"/>
      <c r="S382" s="1154"/>
      <c r="T382" s="1154"/>
      <c r="U382" s="1154"/>
      <c r="V382" s="1154"/>
      <c r="W382" s="1154"/>
      <c r="X382" s="1154"/>
      <c r="Y382" s="1154"/>
      <c r="Z382" s="1154"/>
    </row>
    <row r="383">
      <c r="A383" s="1154"/>
      <c r="B383" s="1154"/>
      <c r="C383" s="1154"/>
      <c r="D383" s="1154"/>
      <c r="E383" s="1154"/>
      <c r="F383" s="1154"/>
      <c r="G383" s="1154"/>
      <c r="H383" s="1154"/>
      <c r="I383" s="1154"/>
      <c r="J383" s="1154"/>
      <c r="K383" s="1154"/>
      <c r="L383" s="1154"/>
      <c r="M383" s="1154"/>
      <c r="N383" s="1154"/>
      <c r="O383" s="1154"/>
      <c r="P383" s="1154"/>
      <c r="Q383" s="1154"/>
      <c r="R383" s="1154"/>
      <c r="S383" s="1154"/>
      <c r="T383" s="1154"/>
      <c r="U383" s="1154"/>
      <c r="V383" s="1154"/>
      <c r="W383" s="1154"/>
      <c r="X383" s="1154"/>
      <c r="Y383" s="1154"/>
      <c r="Z383" s="1154"/>
    </row>
    <row r="384">
      <c r="A384" s="1154"/>
      <c r="B384" s="1154"/>
      <c r="C384" s="1154"/>
      <c r="D384" s="1154"/>
      <c r="E384" s="1154"/>
      <c r="F384" s="1154"/>
      <c r="G384" s="1154"/>
      <c r="H384" s="1154"/>
      <c r="I384" s="1154"/>
      <c r="J384" s="1154"/>
      <c r="K384" s="1154"/>
      <c r="L384" s="1154"/>
      <c r="M384" s="1154"/>
      <c r="N384" s="1154"/>
      <c r="O384" s="1154"/>
      <c r="P384" s="1154"/>
      <c r="Q384" s="1154"/>
      <c r="R384" s="1154"/>
      <c r="S384" s="1154"/>
      <c r="T384" s="1154"/>
      <c r="U384" s="1154"/>
      <c r="V384" s="1154"/>
      <c r="W384" s="1154"/>
      <c r="X384" s="1154"/>
      <c r="Y384" s="1154"/>
      <c r="Z384" s="1154"/>
    </row>
    <row r="385">
      <c r="A385" s="1154"/>
      <c r="B385" s="1154"/>
      <c r="C385" s="1154"/>
      <c r="D385" s="1154"/>
      <c r="E385" s="1154"/>
      <c r="F385" s="1154"/>
      <c r="G385" s="1154"/>
      <c r="H385" s="1154"/>
      <c r="I385" s="1154"/>
      <c r="J385" s="1154"/>
      <c r="K385" s="1154"/>
      <c r="L385" s="1154"/>
      <c r="M385" s="1154"/>
      <c r="N385" s="1154"/>
      <c r="O385" s="1154"/>
      <c r="P385" s="1154"/>
      <c r="Q385" s="1154"/>
      <c r="R385" s="1154"/>
      <c r="S385" s="1154"/>
      <c r="T385" s="1154"/>
      <c r="U385" s="1154"/>
      <c r="V385" s="1154"/>
      <c r="W385" s="1154"/>
      <c r="X385" s="1154"/>
      <c r="Y385" s="1154"/>
      <c r="Z385" s="1154"/>
    </row>
    <row r="386">
      <c r="A386" s="1154"/>
      <c r="B386" s="1154"/>
      <c r="C386" s="1154"/>
      <c r="D386" s="1154"/>
      <c r="E386" s="1154"/>
      <c r="F386" s="1154"/>
      <c r="G386" s="1154"/>
      <c r="H386" s="1154"/>
      <c r="I386" s="1154"/>
      <c r="J386" s="1154"/>
      <c r="K386" s="1154"/>
      <c r="L386" s="1154"/>
      <c r="M386" s="1154"/>
      <c r="N386" s="1154"/>
      <c r="O386" s="1154"/>
      <c r="P386" s="1154"/>
      <c r="Q386" s="1154"/>
      <c r="R386" s="1154"/>
      <c r="S386" s="1154"/>
      <c r="T386" s="1154"/>
      <c r="U386" s="1154"/>
      <c r="V386" s="1154"/>
      <c r="W386" s="1154"/>
      <c r="X386" s="1154"/>
      <c r="Y386" s="1154"/>
      <c r="Z386" s="1154"/>
    </row>
    <row r="387">
      <c r="A387" s="1154"/>
      <c r="B387" s="1154"/>
      <c r="C387" s="1154"/>
      <c r="D387" s="1154"/>
      <c r="E387" s="1154"/>
      <c r="F387" s="1154"/>
      <c r="G387" s="1154"/>
      <c r="H387" s="1154"/>
      <c r="I387" s="1154"/>
      <c r="J387" s="1154"/>
      <c r="K387" s="1154"/>
      <c r="L387" s="1154"/>
      <c r="M387" s="1154"/>
      <c r="N387" s="1154"/>
      <c r="O387" s="1154"/>
      <c r="P387" s="1154"/>
      <c r="Q387" s="1154"/>
      <c r="R387" s="1154"/>
      <c r="S387" s="1154"/>
      <c r="T387" s="1154"/>
      <c r="U387" s="1154"/>
      <c r="V387" s="1154"/>
      <c r="W387" s="1154"/>
      <c r="X387" s="1154"/>
      <c r="Y387" s="1154"/>
      <c r="Z387" s="1154"/>
    </row>
    <row r="388">
      <c r="A388" s="1154"/>
      <c r="B388" s="1154"/>
      <c r="C388" s="1154"/>
      <c r="D388" s="1154"/>
      <c r="E388" s="1154"/>
      <c r="F388" s="1154"/>
      <c r="G388" s="1154"/>
      <c r="H388" s="1154"/>
      <c r="I388" s="1154"/>
      <c r="J388" s="1154"/>
      <c r="K388" s="1154"/>
      <c r="L388" s="1154"/>
      <c r="M388" s="1154"/>
      <c r="N388" s="1154"/>
      <c r="O388" s="1154"/>
      <c r="P388" s="1154"/>
      <c r="Q388" s="1154"/>
      <c r="R388" s="1154"/>
      <c r="S388" s="1154"/>
      <c r="T388" s="1154"/>
      <c r="U388" s="1154"/>
      <c r="V388" s="1154"/>
      <c r="W388" s="1154"/>
      <c r="X388" s="1154"/>
      <c r="Y388" s="1154"/>
      <c r="Z388" s="1154"/>
    </row>
    <row r="389">
      <c r="A389" s="1154"/>
      <c r="B389" s="1154"/>
      <c r="C389" s="1154"/>
      <c r="D389" s="1154"/>
      <c r="E389" s="1154"/>
      <c r="F389" s="1154"/>
      <c r="G389" s="1154"/>
      <c r="H389" s="1154"/>
      <c r="I389" s="1154"/>
      <c r="J389" s="1154"/>
      <c r="K389" s="1154"/>
      <c r="L389" s="1154"/>
      <c r="M389" s="1154"/>
      <c r="N389" s="1154"/>
      <c r="O389" s="1154"/>
      <c r="P389" s="1154"/>
      <c r="Q389" s="1154"/>
      <c r="R389" s="1154"/>
      <c r="S389" s="1154"/>
      <c r="T389" s="1154"/>
      <c r="U389" s="1154"/>
      <c r="V389" s="1154"/>
      <c r="W389" s="1154"/>
      <c r="X389" s="1154"/>
      <c r="Y389" s="1154"/>
      <c r="Z389" s="1154"/>
    </row>
    <row r="390">
      <c r="A390" s="1154"/>
      <c r="B390" s="1154"/>
      <c r="C390" s="1154"/>
      <c r="D390" s="1154"/>
      <c r="E390" s="1154"/>
      <c r="F390" s="1154"/>
      <c r="G390" s="1154"/>
      <c r="H390" s="1154"/>
      <c r="I390" s="1154"/>
      <c r="J390" s="1154"/>
      <c r="K390" s="1154"/>
      <c r="L390" s="1154"/>
      <c r="M390" s="1154"/>
      <c r="N390" s="1154"/>
      <c r="O390" s="1154"/>
      <c r="P390" s="1154"/>
      <c r="Q390" s="1154"/>
      <c r="R390" s="1154"/>
      <c r="S390" s="1154"/>
      <c r="T390" s="1154"/>
      <c r="U390" s="1154"/>
      <c r="V390" s="1154"/>
      <c r="W390" s="1154"/>
      <c r="X390" s="1154"/>
      <c r="Y390" s="1154"/>
      <c r="Z390" s="1154"/>
    </row>
    <row r="391">
      <c r="A391" s="1154"/>
      <c r="B391" s="1154"/>
      <c r="C391" s="1154"/>
      <c r="D391" s="1154"/>
      <c r="E391" s="1154"/>
      <c r="F391" s="1154"/>
      <c r="G391" s="1154"/>
      <c r="H391" s="1154"/>
      <c r="I391" s="1154"/>
      <c r="J391" s="1154"/>
      <c r="K391" s="1154"/>
      <c r="L391" s="1154"/>
      <c r="M391" s="1154"/>
      <c r="N391" s="1154"/>
      <c r="O391" s="1154"/>
      <c r="P391" s="1154"/>
      <c r="Q391" s="1154"/>
      <c r="R391" s="1154"/>
      <c r="S391" s="1154"/>
      <c r="T391" s="1154"/>
      <c r="U391" s="1154"/>
      <c r="V391" s="1154"/>
      <c r="W391" s="1154"/>
      <c r="X391" s="1154"/>
      <c r="Y391" s="1154"/>
      <c r="Z391" s="1154"/>
    </row>
    <row r="392">
      <c r="A392" s="1154"/>
      <c r="B392" s="1154"/>
      <c r="C392" s="1154"/>
      <c r="D392" s="1154"/>
      <c r="E392" s="1154"/>
      <c r="F392" s="1154"/>
      <c r="G392" s="1154"/>
      <c r="H392" s="1154"/>
      <c r="I392" s="1154"/>
      <c r="J392" s="1154"/>
      <c r="K392" s="1154"/>
      <c r="L392" s="1154"/>
      <c r="M392" s="1154"/>
      <c r="N392" s="1154"/>
      <c r="O392" s="1154"/>
      <c r="P392" s="1154"/>
      <c r="Q392" s="1154"/>
      <c r="R392" s="1154"/>
      <c r="S392" s="1154"/>
      <c r="T392" s="1154"/>
      <c r="U392" s="1154"/>
      <c r="V392" s="1154"/>
      <c r="W392" s="1154"/>
      <c r="X392" s="1154"/>
      <c r="Y392" s="1154"/>
      <c r="Z392" s="1154"/>
    </row>
    <row r="393">
      <c r="A393" s="1154"/>
      <c r="B393" s="1154"/>
      <c r="C393" s="1154"/>
      <c r="D393" s="1154"/>
      <c r="E393" s="1154"/>
      <c r="F393" s="1154"/>
      <c r="G393" s="1154"/>
      <c r="H393" s="1154"/>
      <c r="I393" s="1154"/>
      <c r="J393" s="1154"/>
      <c r="K393" s="1154"/>
      <c r="L393" s="1154"/>
      <c r="M393" s="1154"/>
      <c r="N393" s="1154"/>
      <c r="O393" s="1154"/>
      <c r="P393" s="1154"/>
      <c r="Q393" s="1154"/>
      <c r="R393" s="1154"/>
      <c r="S393" s="1154"/>
      <c r="T393" s="1154"/>
      <c r="U393" s="1154"/>
      <c r="V393" s="1154"/>
      <c r="W393" s="1154"/>
      <c r="X393" s="1154"/>
      <c r="Y393" s="1154"/>
      <c r="Z393" s="1154"/>
    </row>
    <row r="394">
      <c r="A394" s="1154"/>
      <c r="B394" s="1154"/>
      <c r="C394" s="1154"/>
      <c r="D394" s="1154"/>
      <c r="E394" s="1154"/>
      <c r="F394" s="1154"/>
      <c r="G394" s="1154"/>
      <c r="H394" s="1154"/>
      <c r="I394" s="1154"/>
      <c r="J394" s="1154"/>
      <c r="K394" s="1154"/>
      <c r="L394" s="1154"/>
      <c r="M394" s="1154"/>
      <c r="N394" s="1154"/>
      <c r="O394" s="1154"/>
      <c r="P394" s="1154"/>
      <c r="Q394" s="1154"/>
      <c r="R394" s="1154"/>
      <c r="S394" s="1154"/>
      <c r="T394" s="1154"/>
      <c r="U394" s="1154"/>
      <c r="V394" s="1154"/>
      <c r="W394" s="1154"/>
      <c r="X394" s="1154"/>
      <c r="Y394" s="1154"/>
      <c r="Z394" s="1154"/>
    </row>
    <row r="395">
      <c r="A395" s="1154"/>
      <c r="B395" s="1154"/>
      <c r="C395" s="1154"/>
      <c r="D395" s="1154"/>
      <c r="E395" s="1154"/>
      <c r="F395" s="1154"/>
      <c r="G395" s="1154"/>
      <c r="H395" s="1154"/>
      <c r="I395" s="1154"/>
      <c r="J395" s="1154"/>
      <c r="K395" s="1154"/>
      <c r="L395" s="1154"/>
      <c r="M395" s="1154"/>
      <c r="N395" s="1154"/>
      <c r="O395" s="1154"/>
      <c r="P395" s="1154"/>
      <c r="Q395" s="1154"/>
      <c r="R395" s="1154"/>
      <c r="S395" s="1154"/>
      <c r="T395" s="1154"/>
      <c r="U395" s="1154"/>
      <c r="V395" s="1154"/>
      <c r="W395" s="1154"/>
      <c r="X395" s="1154"/>
      <c r="Y395" s="1154"/>
      <c r="Z395" s="1154"/>
    </row>
    <row r="396">
      <c r="A396" s="1154"/>
      <c r="B396" s="1154"/>
      <c r="C396" s="1154"/>
      <c r="D396" s="1154"/>
      <c r="E396" s="1154"/>
      <c r="F396" s="1154"/>
      <c r="G396" s="1154"/>
      <c r="H396" s="1154"/>
      <c r="I396" s="1154"/>
      <c r="J396" s="1154"/>
      <c r="K396" s="1154"/>
      <c r="L396" s="1154"/>
      <c r="M396" s="1154"/>
      <c r="N396" s="1154"/>
      <c r="O396" s="1154"/>
      <c r="P396" s="1154"/>
      <c r="Q396" s="1154"/>
      <c r="R396" s="1154"/>
      <c r="S396" s="1154"/>
      <c r="T396" s="1154"/>
      <c r="U396" s="1154"/>
      <c r="V396" s="1154"/>
      <c r="W396" s="1154"/>
      <c r="X396" s="1154"/>
      <c r="Y396" s="1154"/>
      <c r="Z396" s="1154"/>
    </row>
    <row r="397">
      <c r="A397" s="1154"/>
      <c r="B397" s="1154"/>
      <c r="C397" s="1154"/>
      <c r="D397" s="1154"/>
      <c r="E397" s="1154"/>
      <c r="F397" s="1154"/>
      <c r="G397" s="1154"/>
      <c r="H397" s="1154"/>
      <c r="I397" s="1154"/>
      <c r="J397" s="1154"/>
      <c r="K397" s="1154"/>
      <c r="L397" s="1154"/>
      <c r="M397" s="1154"/>
      <c r="N397" s="1154"/>
      <c r="O397" s="1154"/>
      <c r="P397" s="1154"/>
      <c r="Q397" s="1154"/>
      <c r="R397" s="1154"/>
      <c r="S397" s="1154"/>
      <c r="T397" s="1154"/>
      <c r="U397" s="1154"/>
      <c r="V397" s="1154"/>
      <c r="W397" s="1154"/>
      <c r="X397" s="1154"/>
      <c r="Y397" s="1154"/>
      <c r="Z397" s="1154"/>
    </row>
    <row r="398">
      <c r="A398" s="1154"/>
      <c r="B398" s="1154"/>
      <c r="C398" s="1154"/>
      <c r="D398" s="1154"/>
      <c r="E398" s="1154"/>
      <c r="F398" s="1154"/>
      <c r="G398" s="1154"/>
      <c r="H398" s="1154"/>
      <c r="I398" s="1154"/>
      <c r="J398" s="1154"/>
      <c r="K398" s="1154"/>
      <c r="L398" s="1154"/>
      <c r="M398" s="1154"/>
      <c r="N398" s="1154"/>
      <c r="O398" s="1154"/>
      <c r="P398" s="1154"/>
      <c r="Q398" s="1154"/>
      <c r="R398" s="1154"/>
      <c r="S398" s="1154"/>
      <c r="T398" s="1154"/>
      <c r="U398" s="1154"/>
      <c r="V398" s="1154"/>
      <c r="W398" s="1154"/>
      <c r="X398" s="1154"/>
      <c r="Y398" s="1154"/>
      <c r="Z398" s="1154"/>
    </row>
    <row r="399">
      <c r="A399" s="1154"/>
      <c r="B399" s="1154"/>
      <c r="C399" s="1154"/>
      <c r="D399" s="1154"/>
      <c r="E399" s="1154"/>
      <c r="F399" s="1154"/>
      <c r="G399" s="1154"/>
      <c r="H399" s="1154"/>
      <c r="I399" s="1154"/>
      <c r="J399" s="1154"/>
      <c r="K399" s="1154"/>
      <c r="L399" s="1154"/>
      <c r="M399" s="1154"/>
      <c r="N399" s="1154"/>
      <c r="O399" s="1154"/>
      <c r="P399" s="1154"/>
      <c r="Q399" s="1154"/>
      <c r="R399" s="1154"/>
      <c r="S399" s="1154"/>
      <c r="T399" s="1154"/>
      <c r="U399" s="1154"/>
      <c r="V399" s="1154"/>
      <c r="W399" s="1154"/>
      <c r="X399" s="1154"/>
      <c r="Y399" s="1154"/>
      <c r="Z399" s="1154"/>
    </row>
    <row r="400">
      <c r="A400" s="1154"/>
      <c r="B400" s="1154"/>
      <c r="C400" s="1154"/>
      <c r="D400" s="1154"/>
      <c r="E400" s="1154"/>
      <c r="F400" s="1154"/>
      <c r="G400" s="1154"/>
      <c r="H400" s="1154"/>
      <c r="I400" s="1154"/>
      <c r="J400" s="1154"/>
      <c r="K400" s="1154"/>
      <c r="L400" s="1154"/>
      <c r="M400" s="1154"/>
      <c r="N400" s="1154"/>
      <c r="O400" s="1154"/>
      <c r="P400" s="1154"/>
      <c r="Q400" s="1154"/>
      <c r="R400" s="1154"/>
      <c r="S400" s="1154"/>
      <c r="T400" s="1154"/>
      <c r="U400" s="1154"/>
      <c r="V400" s="1154"/>
      <c r="W400" s="1154"/>
      <c r="X400" s="1154"/>
      <c r="Y400" s="1154"/>
      <c r="Z400" s="1154"/>
    </row>
    <row r="401">
      <c r="A401" s="1154"/>
      <c r="B401" s="1154"/>
      <c r="C401" s="1154"/>
      <c r="D401" s="1154"/>
      <c r="E401" s="1154"/>
      <c r="F401" s="1154"/>
      <c r="G401" s="1154"/>
      <c r="H401" s="1154"/>
      <c r="I401" s="1154"/>
      <c r="J401" s="1154"/>
      <c r="K401" s="1154"/>
      <c r="L401" s="1154"/>
      <c r="M401" s="1154"/>
      <c r="N401" s="1154"/>
      <c r="O401" s="1154"/>
      <c r="P401" s="1154"/>
      <c r="Q401" s="1154"/>
      <c r="R401" s="1154"/>
      <c r="S401" s="1154"/>
      <c r="T401" s="1154"/>
      <c r="U401" s="1154"/>
      <c r="V401" s="1154"/>
      <c r="W401" s="1154"/>
      <c r="X401" s="1154"/>
      <c r="Y401" s="1154"/>
      <c r="Z401" s="1154"/>
    </row>
    <row r="402">
      <c r="A402" s="1154"/>
      <c r="B402" s="1154"/>
      <c r="C402" s="1154"/>
      <c r="D402" s="1154"/>
      <c r="E402" s="1154"/>
      <c r="F402" s="1154"/>
      <c r="G402" s="1154"/>
      <c r="H402" s="1154"/>
      <c r="I402" s="1154"/>
      <c r="J402" s="1154"/>
      <c r="K402" s="1154"/>
      <c r="L402" s="1154"/>
      <c r="M402" s="1154"/>
      <c r="N402" s="1154"/>
      <c r="O402" s="1154"/>
      <c r="P402" s="1154"/>
      <c r="Q402" s="1154"/>
      <c r="R402" s="1154"/>
      <c r="S402" s="1154"/>
      <c r="T402" s="1154"/>
      <c r="U402" s="1154"/>
      <c r="V402" s="1154"/>
      <c r="W402" s="1154"/>
      <c r="X402" s="1154"/>
      <c r="Y402" s="1154"/>
      <c r="Z402" s="1154"/>
    </row>
    <row r="403">
      <c r="A403" s="1154"/>
      <c r="B403" s="1154"/>
      <c r="C403" s="1154"/>
      <c r="D403" s="1154"/>
      <c r="E403" s="1154"/>
      <c r="F403" s="1154"/>
      <c r="G403" s="1154"/>
      <c r="H403" s="1154"/>
      <c r="I403" s="1154"/>
      <c r="J403" s="1154"/>
      <c r="K403" s="1154"/>
      <c r="L403" s="1154"/>
      <c r="M403" s="1154"/>
      <c r="N403" s="1154"/>
      <c r="O403" s="1154"/>
      <c r="P403" s="1154"/>
      <c r="Q403" s="1154"/>
      <c r="R403" s="1154"/>
      <c r="S403" s="1154"/>
      <c r="T403" s="1154"/>
      <c r="U403" s="1154"/>
      <c r="V403" s="1154"/>
      <c r="W403" s="1154"/>
      <c r="X403" s="1154"/>
      <c r="Y403" s="1154"/>
      <c r="Z403" s="1154"/>
    </row>
    <row r="404">
      <c r="A404" s="1154"/>
      <c r="B404" s="1154"/>
      <c r="C404" s="1154"/>
      <c r="D404" s="1154"/>
      <c r="E404" s="1154"/>
      <c r="F404" s="1154"/>
      <c r="G404" s="1154"/>
      <c r="H404" s="1154"/>
      <c r="I404" s="1154"/>
      <c r="J404" s="1154"/>
      <c r="K404" s="1154"/>
      <c r="L404" s="1154"/>
      <c r="M404" s="1154"/>
      <c r="N404" s="1154"/>
      <c r="O404" s="1154"/>
      <c r="P404" s="1154"/>
      <c r="Q404" s="1154"/>
      <c r="R404" s="1154"/>
      <c r="S404" s="1154"/>
      <c r="T404" s="1154"/>
      <c r="U404" s="1154"/>
      <c r="V404" s="1154"/>
      <c r="W404" s="1154"/>
      <c r="X404" s="1154"/>
      <c r="Y404" s="1154"/>
      <c r="Z404" s="1154"/>
    </row>
    <row r="405">
      <c r="A405" s="1154"/>
      <c r="B405" s="1154"/>
      <c r="C405" s="1154"/>
      <c r="D405" s="1154"/>
      <c r="E405" s="1154"/>
      <c r="F405" s="1154"/>
      <c r="G405" s="1154"/>
      <c r="H405" s="1154"/>
      <c r="I405" s="1154"/>
      <c r="J405" s="1154"/>
      <c r="K405" s="1154"/>
      <c r="L405" s="1154"/>
      <c r="M405" s="1154"/>
      <c r="N405" s="1154"/>
      <c r="O405" s="1154"/>
      <c r="P405" s="1154"/>
      <c r="Q405" s="1154"/>
      <c r="R405" s="1154"/>
      <c r="S405" s="1154"/>
      <c r="T405" s="1154"/>
      <c r="U405" s="1154"/>
      <c r="V405" s="1154"/>
      <c r="W405" s="1154"/>
      <c r="X405" s="1154"/>
      <c r="Y405" s="1154"/>
      <c r="Z405" s="1154"/>
    </row>
    <row r="406">
      <c r="A406" s="1154"/>
      <c r="B406" s="1154"/>
      <c r="C406" s="1154"/>
      <c r="D406" s="1154"/>
      <c r="E406" s="1154"/>
      <c r="F406" s="1154"/>
      <c r="G406" s="1154"/>
      <c r="H406" s="1154"/>
      <c r="I406" s="1154"/>
      <c r="J406" s="1154"/>
      <c r="K406" s="1154"/>
      <c r="L406" s="1154"/>
      <c r="M406" s="1154"/>
      <c r="N406" s="1154"/>
      <c r="O406" s="1154"/>
      <c r="P406" s="1154"/>
      <c r="Q406" s="1154"/>
      <c r="R406" s="1154"/>
      <c r="S406" s="1154"/>
      <c r="T406" s="1154"/>
      <c r="U406" s="1154"/>
      <c r="V406" s="1154"/>
      <c r="W406" s="1154"/>
      <c r="X406" s="1154"/>
      <c r="Y406" s="1154"/>
      <c r="Z406" s="1154"/>
    </row>
    <row r="407">
      <c r="A407" s="1154"/>
      <c r="B407" s="1154"/>
      <c r="C407" s="1154"/>
      <c r="D407" s="1154"/>
      <c r="E407" s="1154"/>
      <c r="F407" s="1154"/>
      <c r="G407" s="1154"/>
      <c r="H407" s="1154"/>
      <c r="I407" s="1154"/>
      <c r="J407" s="1154"/>
      <c r="K407" s="1154"/>
      <c r="L407" s="1154"/>
      <c r="M407" s="1154"/>
      <c r="N407" s="1154"/>
      <c r="O407" s="1154"/>
      <c r="P407" s="1154"/>
      <c r="Q407" s="1154"/>
      <c r="R407" s="1154"/>
      <c r="S407" s="1154"/>
      <c r="T407" s="1154"/>
      <c r="U407" s="1154"/>
      <c r="V407" s="1154"/>
      <c r="W407" s="1154"/>
      <c r="X407" s="1154"/>
      <c r="Y407" s="1154"/>
      <c r="Z407" s="1154"/>
    </row>
    <row r="408">
      <c r="A408" s="1154"/>
      <c r="B408" s="1154"/>
      <c r="C408" s="1154"/>
      <c r="D408" s="1154"/>
      <c r="E408" s="1154"/>
      <c r="F408" s="1154"/>
      <c r="G408" s="1154"/>
      <c r="H408" s="1154"/>
      <c r="I408" s="1154"/>
      <c r="J408" s="1154"/>
      <c r="K408" s="1154"/>
      <c r="L408" s="1154"/>
      <c r="M408" s="1154"/>
      <c r="N408" s="1154"/>
      <c r="O408" s="1154"/>
      <c r="P408" s="1154"/>
      <c r="Q408" s="1154"/>
      <c r="R408" s="1154"/>
      <c r="S408" s="1154"/>
      <c r="T408" s="1154"/>
      <c r="U408" s="1154"/>
      <c r="V408" s="1154"/>
      <c r="W408" s="1154"/>
      <c r="X408" s="1154"/>
      <c r="Y408" s="1154"/>
      <c r="Z408" s="1154"/>
    </row>
    <row r="409">
      <c r="A409" s="1154"/>
      <c r="B409" s="1154"/>
      <c r="C409" s="1154"/>
      <c r="D409" s="1154"/>
      <c r="E409" s="1154"/>
      <c r="F409" s="1154"/>
      <c r="G409" s="1154"/>
      <c r="H409" s="1154"/>
      <c r="I409" s="1154"/>
      <c r="J409" s="1154"/>
      <c r="K409" s="1154"/>
      <c r="L409" s="1154"/>
      <c r="M409" s="1154"/>
      <c r="N409" s="1154"/>
      <c r="O409" s="1154"/>
      <c r="P409" s="1154"/>
      <c r="Q409" s="1154"/>
      <c r="R409" s="1154"/>
      <c r="S409" s="1154"/>
      <c r="T409" s="1154"/>
      <c r="U409" s="1154"/>
      <c r="V409" s="1154"/>
      <c r="W409" s="1154"/>
      <c r="X409" s="1154"/>
      <c r="Y409" s="1154"/>
      <c r="Z409" s="1154"/>
    </row>
    <row r="410">
      <c r="A410" s="1154"/>
      <c r="B410" s="1154"/>
      <c r="C410" s="1154"/>
      <c r="D410" s="1154"/>
      <c r="E410" s="1154"/>
      <c r="F410" s="1154"/>
      <c r="G410" s="1154"/>
      <c r="H410" s="1154"/>
      <c r="I410" s="1154"/>
      <c r="J410" s="1154"/>
      <c r="K410" s="1154"/>
      <c r="L410" s="1154"/>
      <c r="M410" s="1154"/>
      <c r="N410" s="1154"/>
      <c r="O410" s="1154"/>
      <c r="P410" s="1154"/>
      <c r="Q410" s="1154"/>
      <c r="R410" s="1154"/>
      <c r="S410" s="1154"/>
      <c r="T410" s="1154"/>
      <c r="U410" s="1154"/>
      <c r="V410" s="1154"/>
      <c r="W410" s="1154"/>
      <c r="X410" s="1154"/>
      <c r="Y410" s="1154"/>
      <c r="Z410" s="1154"/>
    </row>
    <row r="411">
      <c r="A411" s="1154"/>
      <c r="B411" s="1154"/>
      <c r="C411" s="1154"/>
      <c r="D411" s="1154"/>
      <c r="E411" s="1154"/>
      <c r="F411" s="1154"/>
      <c r="G411" s="1154"/>
      <c r="H411" s="1154"/>
      <c r="I411" s="1154"/>
      <c r="J411" s="1154"/>
      <c r="K411" s="1154"/>
      <c r="L411" s="1154"/>
      <c r="M411" s="1154"/>
      <c r="N411" s="1154"/>
      <c r="O411" s="1154"/>
      <c r="P411" s="1154"/>
      <c r="Q411" s="1154"/>
      <c r="R411" s="1154"/>
      <c r="S411" s="1154"/>
      <c r="T411" s="1154"/>
      <c r="U411" s="1154"/>
      <c r="V411" s="1154"/>
      <c r="W411" s="1154"/>
      <c r="X411" s="1154"/>
      <c r="Y411" s="1154"/>
      <c r="Z411" s="1154"/>
    </row>
    <row r="412">
      <c r="A412" s="1154"/>
      <c r="B412" s="1154"/>
      <c r="C412" s="1154"/>
      <c r="D412" s="1154"/>
      <c r="E412" s="1154"/>
      <c r="F412" s="1154"/>
      <c r="G412" s="1154"/>
      <c r="H412" s="1154"/>
      <c r="I412" s="1154"/>
      <c r="J412" s="1154"/>
      <c r="K412" s="1154"/>
      <c r="L412" s="1154"/>
      <c r="M412" s="1154"/>
      <c r="N412" s="1154"/>
      <c r="O412" s="1154"/>
      <c r="P412" s="1154"/>
      <c r="Q412" s="1154"/>
      <c r="R412" s="1154"/>
      <c r="S412" s="1154"/>
      <c r="T412" s="1154"/>
      <c r="U412" s="1154"/>
      <c r="V412" s="1154"/>
      <c r="W412" s="1154"/>
      <c r="X412" s="1154"/>
      <c r="Y412" s="1154"/>
      <c r="Z412" s="1154"/>
    </row>
    <row r="413">
      <c r="A413" s="1154"/>
      <c r="B413" s="1154"/>
      <c r="C413" s="1154"/>
      <c r="D413" s="1154"/>
      <c r="E413" s="1154"/>
      <c r="F413" s="1154"/>
      <c r="G413" s="1154"/>
      <c r="H413" s="1154"/>
      <c r="I413" s="1154"/>
      <c r="J413" s="1154"/>
      <c r="K413" s="1154"/>
      <c r="L413" s="1154"/>
      <c r="M413" s="1154"/>
      <c r="N413" s="1154"/>
      <c r="O413" s="1154"/>
      <c r="P413" s="1154"/>
      <c r="Q413" s="1154"/>
      <c r="R413" s="1154"/>
      <c r="S413" s="1154"/>
      <c r="T413" s="1154"/>
      <c r="U413" s="1154"/>
      <c r="V413" s="1154"/>
      <c r="W413" s="1154"/>
      <c r="X413" s="1154"/>
      <c r="Y413" s="1154"/>
      <c r="Z413" s="1154"/>
    </row>
    <row r="414">
      <c r="A414" s="1154"/>
      <c r="B414" s="1154"/>
      <c r="C414" s="1154"/>
      <c r="D414" s="1154"/>
      <c r="E414" s="1154"/>
      <c r="F414" s="1154"/>
      <c r="G414" s="1154"/>
      <c r="H414" s="1154"/>
      <c r="I414" s="1154"/>
      <c r="J414" s="1154"/>
      <c r="K414" s="1154"/>
      <c r="L414" s="1154"/>
      <c r="M414" s="1154"/>
      <c r="N414" s="1154"/>
      <c r="O414" s="1154"/>
      <c r="P414" s="1154"/>
      <c r="Q414" s="1154"/>
      <c r="R414" s="1154"/>
      <c r="S414" s="1154"/>
      <c r="T414" s="1154"/>
      <c r="U414" s="1154"/>
      <c r="V414" s="1154"/>
      <c r="W414" s="1154"/>
      <c r="X414" s="1154"/>
      <c r="Y414" s="1154"/>
      <c r="Z414" s="1154"/>
    </row>
    <row r="415">
      <c r="A415" s="1154"/>
      <c r="B415" s="1154"/>
      <c r="C415" s="1154"/>
      <c r="D415" s="1154"/>
      <c r="E415" s="1154"/>
      <c r="F415" s="1154"/>
      <c r="G415" s="1154"/>
      <c r="H415" s="1154"/>
      <c r="I415" s="1154"/>
      <c r="J415" s="1154"/>
      <c r="K415" s="1154"/>
      <c r="L415" s="1154"/>
      <c r="M415" s="1154"/>
      <c r="N415" s="1154"/>
      <c r="O415" s="1154"/>
      <c r="P415" s="1154"/>
      <c r="Q415" s="1154"/>
      <c r="R415" s="1154"/>
      <c r="S415" s="1154"/>
      <c r="T415" s="1154"/>
      <c r="U415" s="1154"/>
      <c r="V415" s="1154"/>
      <c r="W415" s="1154"/>
      <c r="X415" s="1154"/>
      <c r="Y415" s="1154"/>
      <c r="Z415" s="1154"/>
    </row>
    <row r="416">
      <c r="A416" s="1154"/>
      <c r="B416" s="1154"/>
      <c r="C416" s="1154"/>
      <c r="D416" s="1154"/>
      <c r="E416" s="1154"/>
      <c r="F416" s="1154"/>
      <c r="G416" s="1154"/>
      <c r="H416" s="1154"/>
      <c r="I416" s="1154"/>
      <c r="J416" s="1154"/>
      <c r="K416" s="1154"/>
      <c r="L416" s="1154"/>
      <c r="M416" s="1154"/>
      <c r="N416" s="1154"/>
      <c r="O416" s="1154"/>
      <c r="P416" s="1154"/>
      <c r="Q416" s="1154"/>
      <c r="R416" s="1154"/>
      <c r="S416" s="1154"/>
      <c r="T416" s="1154"/>
      <c r="U416" s="1154"/>
      <c r="V416" s="1154"/>
      <c r="W416" s="1154"/>
      <c r="X416" s="1154"/>
      <c r="Y416" s="1154"/>
      <c r="Z416" s="1154"/>
    </row>
    <row r="417">
      <c r="A417" s="1154"/>
      <c r="B417" s="1154"/>
      <c r="C417" s="1154"/>
      <c r="D417" s="1154"/>
      <c r="E417" s="1154"/>
      <c r="F417" s="1154"/>
      <c r="G417" s="1154"/>
      <c r="H417" s="1154"/>
      <c r="I417" s="1154"/>
      <c r="J417" s="1154"/>
      <c r="K417" s="1154"/>
      <c r="L417" s="1154"/>
      <c r="M417" s="1154"/>
      <c r="N417" s="1154"/>
      <c r="O417" s="1154"/>
      <c r="P417" s="1154"/>
      <c r="Q417" s="1154"/>
      <c r="R417" s="1154"/>
      <c r="S417" s="1154"/>
      <c r="T417" s="1154"/>
      <c r="U417" s="1154"/>
      <c r="V417" s="1154"/>
      <c r="W417" s="1154"/>
      <c r="X417" s="1154"/>
      <c r="Y417" s="1154"/>
      <c r="Z417" s="1154"/>
    </row>
    <row r="418">
      <c r="A418" s="1154"/>
      <c r="B418" s="1154"/>
      <c r="C418" s="1154"/>
      <c r="D418" s="1154"/>
      <c r="E418" s="1154"/>
      <c r="F418" s="1154"/>
      <c r="G418" s="1154"/>
      <c r="H418" s="1154"/>
      <c r="I418" s="1154"/>
      <c r="J418" s="1154"/>
      <c r="K418" s="1154"/>
      <c r="L418" s="1154"/>
      <c r="M418" s="1154"/>
      <c r="N418" s="1154"/>
      <c r="O418" s="1154"/>
      <c r="P418" s="1154"/>
      <c r="Q418" s="1154"/>
      <c r="R418" s="1154"/>
      <c r="S418" s="1154"/>
      <c r="T418" s="1154"/>
      <c r="U418" s="1154"/>
      <c r="V418" s="1154"/>
      <c r="W418" s="1154"/>
      <c r="X418" s="1154"/>
      <c r="Y418" s="1154"/>
      <c r="Z418" s="1154"/>
    </row>
    <row r="419">
      <c r="A419" s="1154"/>
      <c r="B419" s="1154"/>
      <c r="C419" s="1154"/>
      <c r="D419" s="1154"/>
      <c r="E419" s="1154"/>
      <c r="F419" s="1154"/>
      <c r="G419" s="1154"/>
      <c r="H419" s="1154"/>
      <c r="I419" s="1154"/>
      <c r="J419" s="1154"/>
      <c r="K419" s="1154"/>
      <c r="L419" s="1154"/>
      <c r="M419" s="1154"/>
      <c r="N419" s="1154"/>
      <c r="O419" s="1154"/>
      <c r="P419" s="1154"/>
      <c r="Q419" s="1154"/>
      <c r="R419" s="1154"/>
      <c r="S419" s="1154"/>
      <c r="T419" s="1154"/>
      <c r="U419" s="1154"/>
      <c r="V419" s="1154"/>
      <c r="W419" s="1154"/>
      <c r="X419" s="1154"/>
      <c r="Y419" s="1154"/>
      <c r="Z419" s="1154"/>
    </row>
    <row r="420">
      <c r="A420" s="1154"/>
      <c r="B420" s="1154"/>
      <c r="C420" s="1154"/>
      <c r="D420" s="1154"/>
      <c r="E420" s="1154"/>
      <c r="F420" s="1154"/>
      <c r="G420" s="1154"/>
      <c r="H420" s="1154"/>
      <c r="I420" s="1154"/>
      <c r="J420" s="1154"/>
      <c r="K420" s="1154"/>
      <c r="L420" s="1154"/>
      <c r="M420" s="1154"/>
      <c r="N420" s="1154"/>
      <c r="O420" s="1154"/>
      <c r="P420" s="1154"/>
      <c r="Q420" s="1154"/>
      <c r="R420" s="1154"/>
      <c r="S420" s="1154"/>
      <c r="T420" s="1154"/>
      <c r="U420" s="1154"/>
      <c r="V420" s="1154"/>
      <c r="W420" s="1154"/>
      <c r="X420" s="1154"/>
      <c r="Y420" s="1154"/>
      <c r="Z420" s="1154"/>
    </row>
    <row r="421">
      <c r="A421" s="1154"/>
      <c r="B421" s="1154"/>
      <c r="C421" s="1154"/>
      <c r="D421" s="1154"/>
      <c r="E421" s="1154"/>
      <c r="F421" s="1154"/>
      <c r="G421" s="1154"/>
      <c r="H421" s="1154"/>
      <c r="I421" s="1154"/>
      <c r="J421" s="1154"/>
      <c r="K421" s="1154"/>
      <c r="L421" s="1154"/>
      <c r="M421" s="1154"/>
      <c r="N421" s="1154"/>
      <c r="O421" s="1154"/>
      <c r="P421" s="1154"/>
      <c r="Q421" s="1154"/>
      <c r="R421" s="1154"/>
      <c r="S421" s="1154"/>
      <c r="T421" s="1154"/>
      <c r="U421" s="1154"/>
      <c r="V421" s="1154"/>
      <c r="W421" s="1154"/>
      <c r="X421" s="1154"/>
      <c r="Y421" s="1154"/>
      <c r="Z421" s="1154"/>
    </row>
    <row r="422">
      <c r="A422" s="1154"/>
      <c r="B422" s="1154"/>
      <c r="C422" s="1154"/>
      <c r="D422" s="1154"/>
      <c r="E422" s="1154"/>
      <c r="F422" s="1154"/>
      <c r="G422" s="1154"/>
      <c r="H422" s="1154"/>
      <c r="I422" s="1154"/>
      <c r="J422" s="1154"/>
      <c r="K422" s="1154"/>
      <c r="L422" s="1154"/>
      <c r="M422" s="1154"/>
      <c r="N422" s="1154"/>
      <c r="O422" s="1154"/>
      <c r="P422" s="1154"/>
      <c r="Q422" s="1154"/>
      <c r="R422" s="1154"/>
      <c r="S422" s="1154"/>
      <c r="T422" s="1154"/>
      <c r="U422" s="1154"/>
      <c r="V422" s="1154"/>
      <c r="W422" s="1154"/>
      <c r="X422" s="1154"/>
      <c r="Y422" s="1154"/>
      <c r="Z422" s="1154"/>
    </row>
    <row r="423">
      <c r="A423" s="1154"/>
      <c r="B423" s="1154"/>
      <c r="C423" s="1154"/>
      <c r="D423" s="1154"/>
      <c r="E423" s="1154"/>
      <c r="F423" s="1154"/>
      <c r="G423" s="1154"/>
      <c r="H423" s="1154"/>
      <c r="I423" s="1154"/>
      <c r="J423" s="1154"/>
      <c r="K423" s="1154"/>
      <c r="L423" s="1154"/>
      <c r="M423" s="1154"/>
      <c r="N423" s="1154"/>
      <c r="O423" s="1154"/>
      <c r="P423" s="1154"/>
      <c r="Q423" s="1154"/>
      <c r="R423" s="1154"/>
      <c r="S423" s="1154"/>
      <c r="T423" s="1154"/>
      <c r="U423" s="1154"/>
      <c r="V423" s="1154"/>
      <c r="W423" s="1154"/>
      <c r="X423" s="1154"/>
      <c r="Y423" s="1154"/>
      <c r="Z423" s="1154"/>
    </row>
    <row r="424">
      <c r="A424" s="1154"/>
      <c r="B424" s="1154"/>
      <c r="C424" s="1154"/>
      <c r="D424" s="1154"/>
      <c r="E424" s="1154"/>
      <c r="F424" s="1154"/>
      <c r="G424" s="1154"/>
      <c r="H424" s="1154"/>
      <c r="I424" s="1154"/>
      <c r="J424" s="1154"/>
      <c r="K424" s="1154"/>
      <c r="L424" s="1154"/>
      <c r="M424" s="1154"/>
      <c r="N424" s="1154"/>
      <c r="O424" s="1154"/>
      <c r="P424" s="1154"/>
      <c r="Q424" s="1154"/>
      <c r="R424" s="1154"/>
      <c r="S424" s="1154"/>
      <c r="T424" s="1154"/>
      <c r="U424" s="1154"/>
      <c r="V424" s="1154"/>
      <c r="W424" s="1154"/>
      <c r="X424" s="1154"/>
      <c r="Y424" s="1154"/>
      <c r="Z424" s="1154"/>
    </row>
    <row r="425">
      <c r="A425" s="1154"/>
      <c r="B425" s="1154"/>
      <c r="C425" s="1154"/>
      <c r="D425" s="1154"/>
      <c r="E425" s="1154"/>
      <c r="F425" s="1154"/>
      <c r="G425" s="1154"/>
      <c r="H425" s="1154"/>
      <c r="I425" s="1154"/>
      <c r="J425" s="1154"/>
      <c r="K425" s="1154"/>
      <c r="L425" s="1154"/>
      <c r="M425" s="1154"/>
      <c r="N425" s="1154"/>
      <c r="O425" s="1154"/>
      <c r="P425" s="1154"/>
      <c r="Q425" s="1154"/>
      <c r="R425" s="1154"/>
      <c r="S425" s="1154"/>
      <c r="T425" s="1154"/>
      <c r="U425" s="1154"/>
      <c r="V425" s="1154"/>
      <c r="W425" s="1154"/>
      <c r="X425" s="1154"/>
      <c r="Y425" s="1154"/>
      <c r="Z425" s="1154"/>
    </row>
    <row r="426">
      <c r="A426" s="1154"/>
      <c r="B426" s="1154"/>
      <c r="C426" s="1154"/>
      <c r="D426" s="1154"/>
      <c r="E426" s="1154"/>
      <c r="F426" s="1154"/>
      <c r="G426" s="1154"/>
      <c r="H426" s="1154"/>
      <c r="I426" s="1154"/>
      <c r="J426" s="1154"/>
      <c r="K426" s="1154"/>
      <c r="L426" s="1154"/>
      <c r="M426" s="1154"/>
      <c r="N426" s="1154"/>
      <c r="O426" s="1154"/>
      <c r="P426" s="1154"/>
      <c r="Q426" s="1154"/>
      <c r="R426" s="1154"/>
      <c r="S426" s="1154"/>
      <c r="T426" s="1154"/>
      <c r="U426" s="1154"/>
      <c r="V426" s="1154"/>
      <c r="W426" s="1154"/>
      <c r="X426" s="1154"/>
      <c r="Y426" s="1154"/>
      <c r="Z426" s="1154"/>
    </row>
    <row r="427">
      <c r="A427" s="1154"/>
      <c r="B427" s="1154"/>
      <c r="C427" s="1154"/>
      <c r="D427" s="1154"/>
      <c r="E427" s="1154"/>
      <c r="F427" s="1154"/>
      <c r="G427" s="1154"/>
      <c r="H427" s="1154"/>
      <c r="I427" s="1154"/>
      <c r="J427" s="1154"/>
      <c r="K427" s="1154"/>
      <c r="L427" s="1154"/>
      <c r="M427" s="1154"/>
      <c r="N427" s="1154"/>
      <c r="O427" s="1154"/>
      <c r="P427" s="1154"/>
      <c r="Q427" s="1154"/>
      <c r="R427" s="1154"/>
      <c r="S427" s="1154"/>
      <c r="T427" s="1154"/>
      <c r="U427" s="1154"/>
      <c r="V427" s="1154"/>
      <c r="W427" s="1154"/>
      <c r="X427" s="1154"/>
      <c r="Y427" s="1154"/>
      <c r="Z427" s="1154"/>
    </row>
    <row r="428">
      <c r="A428" s="1154"/>
      <c r="B428" s="1154"/>
      <c r="C428" s="1154"/>
      <c r="D428" s="1154"/>
      <c r="E428" s="1154"/>
      <c r="F428" s="1154"/>
      <c r="G428" s="1154"/>
      <c r="H428" s="1154"/>
      <c r="I428" s="1154"/>
      <c r="J428" s="1154"/>
      <c r="K428" s="1154"/>
      <c r="L428" s="1154"/>
      <c r="M428" s="1154"/>
      <c r="N428" s="1154"/>
      <c r="O428" s="1154"/>
      <c r="P428" s="1154"/>
      <c r="Q428" s="1154"/>
      <c r="R428" s="1154"/>
      <c r="S428" s="1154"/>
      <c r="T428" s="1154"/>
      <c r="U428" s="1154"/>
      <c r="V428" s="1154"/>
      <c r="W428" s="1154"/>
      <c r="X428" s="1154"/>
      <c r="Y428" s="1154"/>
      <c r="Z428" s="1154"/>
    </row>
    <row r="429">
      <c r="A429" s="1154"/>
      <c r="B429" s="1154"/>
      <c r="C429" s="1154"/>
      <c r="D429" s="1154"/>
      <c r="E429" s="1154"/>
      <c r="F429" s="1154"/>
      <c r="G429" s="1154"/>
      <c r="H429" s="1154"/>
      <c r="I429" s="1154"/>
      <c r="J429" s="1154"/>
      <c r="K429" s="1154"/>
      <c r="L429" s="1154"/>
      <c r="M429" s="1154"/>
      <c r="N429" s="1154"/>
      <c r="O429" s="1154"/>
      <c r="P429" s="1154"/>
      <c r="Q429" s="1154"/>
      <c r="R429" s="1154"/>
      <c r="S429" s="1154"/>
      <c r="T429" s="1154"/>
      <c r="U429" s="1154"/>
      <c r="V429" s="1154"/>
      <c r="W429" s="1154"/>
      <c r="X429" s="1154"/>
      <c r="Y429" s="1154"/>
      <c r="Z429" s="1154"/>
    </row>
    <row r="430">
      <c r="A430" s="1154"/>
      <c r="B430" s="1154"/>
      <c r="C430" s="1154"/>
      <c r="D430" s="1154"/>
      <c r="E430" s="1154"/>
      <c r="F430" s="1154"/>
      <c r="G430" s="1154"/>
      <c r="H430" s="1154"/>
      <c r="I430" s="1154"/>
      <c r="J430" s="1154"/>
      <c r="K430" s="1154"/>
      <c r="L430" s="1154"/>
      <c r="M430" s="1154"/>
      <c r="N430" s="1154"/>
      <c r="O430" s="1154"/>
      <c r="P430" s="1154"/>
      <c r="Q430" s="1154"/>
      <c r="R430" s="1154"/>
      <c r="S430" s="1154"/>
      <c r="T430" s="1154"/>
      <c r="U430" s="1154"/>
      <c r="V430" s="1154"/>
      <c r="W430" s="1154"/>
      <c r="X430" s="1154"/>
      <c r="Y430" s="1154"/>
      <c r="Z430" s="1154"/>
    </row>
    <row r="431">
      <c r="A431" s="1154"/>
      <c r="B431" s="1154"/>
      <c r="C431" s="1154"/>
      <c r="D431" s="1154"/>
      <c r="E431" s="1154"/>
      <c r="F431" s="1154"/>
      <c r="G431" s="1154"/>
      <c r="H431" s="1154"/>
      <c r="I431" s="1154"/>
      <c r="J431" s="1154"/>
      <c r="K431" s="1154"/>
      <c r="L431" s="1154"/>
      <c r="M431" s="1154"/>
      <c r="N431" s="1154"/>
      <c r="O431" s="1154"/>
      <c r="P431" s="1154"/>
      <c r="Q431" s="1154"/>
      <c r="R431" s="1154"/>
      <c r="S431" s="1154"/>
      <c r="T431" s="1154"/>
      <c r="U431" s="1154"/>
      <c r="V431" s="1154"/>
      <c r="W431" s="1154"/>
      <c r="X431" s="1154"/>
      <c r="Y431" s="1154"/>
      <c r="Z431" s="1154"/>
    </row>
    <row r="432">
      <c r="A432" s="1154"/>
      <c r="B432" s="1154"/>
      <c r="C432" s="1154"/>
      <c r="D432" s="1154"/>
      <c r="E432" s="1154"/>
      <c r="F432" s="1154"/>
      <c r="G432" s="1154"/>
      <c r="H432" s="1154"/>
      <c r="I432" s="1154"/>
      <c r="J432" s="1154"/>
      <c r="K432" s="1154"/>
      <c r="L432" s="1154"/>
      <c r="M432" s="1154"/>
      <c r="N432" s="1154"/>
      <c r="O432" s="1154"/>
      <c r="P432" s="1154"/>
      <c r="Q432" s="1154"/>
      <c r="R432" s="1154"/>
      <c r="S432" s="1154"/>
      <c r="T432" s="1154"/>
      <c r="U432" s="1154"/>
      <c r="V432" s="1154"/>
      <c r="W432" s="1154"/>
      <c r="X432" s="1154"/>
      <c r="Y432" s="1154"/>
      <c r="Z432" s="1154"/>
    </row>
    <row r="433">
      <c r="A433" s="1154"/>
      <c r="B433" s="1154"/>
      <c r="C433" s="1154"/>
      <c r="D433" s="1154"/>
      <c r="E433" s="1154"/>
      <c r="F433" s="1154"/>
      <c r="G433" s="1154"/>
      <c r="H433" s="1154"/>
      <c r="I433" s="1154"/>
      <c r="J433" s="1154"/>
      <c r="K433" s="1154"/>
      <c r="L433" s="1154"/>
      <c r="M433" s="1154"/>
      <c r="N433" s="1154"/>
      <c r="O433" s="1154"/>
      <c r="P433" s="1154"/>
      <c r="Q433" s="1154"/>
      <c r="R433" s="1154"/>
      <c r="S433" s="1154"/>
      <c r="T433" s="1154"/>
      <c r="U433" s="1154"/>
      <c r="V433" s="1154"/>
      <c r="W433" s="1154"/>
      <c r="X433" s="1154"/>
      <c r="Y433" s="1154"/>
      <c r="Z433" s="1154"/>
    </row>
    <row r="434">
      <c r="A434" s="1154"/>
      <c r="B434" s="1154"/>
      <c r="C434" s="1154"/>
      <c r="D434" s="1154"/>
      <c r="E434" s="1154"/>
      <c r="F434" s="1154"/>
      <c r="G434" s="1154"/>
      <c r="H434" s="1154"/>
      <c r="I434" s="1154"/>
      <c r="J434" s="1154"/>
      <c r="K434" s="1154"/>
      <c r="L434" s="1154"/>
      <c r="M434" s="1154"/>
      <c r="N434" s="1154"/>
      <c r="O434" s="1154"/>
      <c r="P434" s="1154"/>
      <c r="Q434" s="1154"/>
      <c r="R434" s="1154"/>
      <c r="S434" s="1154"/>
      <c r="T434" s="1154"/>
      <c r="U434" s="1154"/>
      <c r="V434" s="1154"/>
      <c r="W434" s="1154"/>
      <c r="X434" s="1154"/>
      <c r="Y434" s="1154"/>
      <c r="Z434" s="1154"/>
    </row>
    <row r="435">
      <c r="A435" s="1154"/>
      <c r="B435" s="1154"/>
      <c r="C435" s="1154"/>
      <c r="D435" s="1154"/>
      <c r="E435" s="1154"/>
      <c r="F435" s="1154"/>
      <c r="G435" s="1154"/>
      <c r="H435" s="1154"/>
      <c r="I435" s="1154"/>
      <c r="J435" s="1154"/>
      <c r="K435" s="1154"/>
      <c r="L435" s="1154"/>
      <c r="M435" s="1154"/>
      <c r="N435" s="1154"/>
      <c r="O435" s="1154"/>
      <c r="P435" s="1154"/>
      <c r="Q435" s="1154"/>
      <c r="R435" s="1154"/>
      <c r="S435" s="1154"/>
      <c r="T435" s="1154"/>
      <c r="U435" s="1154"/>
      <c r="V435" s="1154"/>
      <c r="W435" s="1154"/>
      <c r="X435" s="1154"/>
      <c r="Y435" s="1154"/>
      <c r="Z435" s="1154"/>
    </row>
    <row r="436">
      <c r="A436" s="1154"/>
      <c r="B436" s="1154"/>
      <c r="C436" s="1154"/>
      <c r="D436" s="1154"/>
      <c r="E436" s="1154"/>
      <c r="F436" s="1154"/>
      <c r="G436" s="1154"/>
      <c r="H436" s="1154"/>
      <c r="I436" s="1154"/>
      <c r="J436" s="1154"/>
      <c r="K436" s="1154"/>
      <c r="L436" s="1154"/>
      <c r="M436" s="1154"/>
      <c r="N436" s="1154"/>
      <c r="O436" s="1154"/>
      <c r="P436" s="1154"/>
      <c r="Q436" s="1154"/>
      <c r="R436" s="1154"/>
      <c r="S436" s="1154"/>
      <c r="T436" s="1154"/>
      <c r="U436" s="1154"/>
      <c r="V436" s="1154"/>
      <c r="W436" s="1154"/>
      <c r="X436" s="1154"/>
      <c r="Y436" s="1154"/>
      <c r="Z436" s="1154"/>
    </row>
    <row r="437">
      <c r="A437" s="1154"/>
      <c r="B437" s="1154"/>
      <c r="C437" s="1154"/>
      <c r="D437" s="1154"/>
      <c r="E437" s="1154"/>
      <c r="F437" s="1154"/>
      <c r="G437" s="1154"/>
      <c r="H437" s="1154"/>
      <c r="I437" s="1154"/>
      <c r="J437" s="1154"/>
      <c r="K437" s="1154"/>
      <c r="L437" s="1154"/>
      <c r="M437" s="1154"/>
      <c r="N437" s="1154"/>
      <c r="O437" s="1154"/>
      <c r="P437" s="1154"/>
      <c r="Q437" s="1154"/>
      <c r="R437" s="1154"/>
      <c r="S437" s="1154"/>
      <c r="T437" s="1154"/>
      <c r="U437" s="1154"/>
      <c r="V437" s="1154"/>
      <c r="W437" s="1154"/>
      <c r="X437" s="1154"/>
      <c r="Y437" s="1154"/>
      <c r="Z437" s="1154"/>
    </row>
    <row r="438">
      <c r="A438" s="1154"/>
      <c r="B438" s="1154"/>
      <c r="C438" s="1154"/>
      <c r="D438" s="1154"/>
      <c r="E438" s="1154"/>
      <c r="F438" s="1154"/>
      <c r="G438" s="1154"/>
      <c r="H438" s="1154"/>
      <c r="I438" s="1154"/>
      <c r="J438" s="1154"/>
      <c r="K438" s="1154"/>
      <c r="L438" s="1154"/>
      <c r="M438" s="1154"/>
      <c r="N438" s="1154"/>
      <c r="O438" s="1154"/>
      <c r="P438" s="1154"/>
      <c r="Q438" s="1154"/>
      <c r="R438" s="1154"/>
      <c r="S438" s="1154"/>
      <c r="T438" s="1154"/>
      <c r="U438" s="1154"/>
      <c r="V438" s="1154"/>
      <c r="W438" s="1154"/>
      <c r="X438" s="1154"/>
      <c r="Y438" s="1154"/>
      <c r="Z438" s="1154"/>
    </row>
    <row r="439">
      <c r="A439" s="1154"/>
      <c r="B439" s="1154"/>
      <c r="C439" s="1154"/>
      <c r="D439" s="1154"/>
      <c r="E439" s="1154"/>
      <c r="F439" s="1154"/>
      <c r="G439" s="1154"/>
      <c r="H439" s="1154"/>
      <c r="I439" s="1154"/>
      <c r="J439" s="1154"/>
      <c r="K439" s="1154"/>
      <c r="L439" s="1154"/>
      <c r="M439" s="1154"/>
      <c r="N439" s="1154"/>
      <c r="O439" s="1154"/>
      <c r="P439" s="1154"/>
      <c r="Q439" s="1154"/>
      <c r="R439" s="1154"/>
      <c r="S439" s="1154"/>
      <c r="T439" s="1154"/>
      <c r="U439" s="1154"/>
      <c r="V439" s="1154"/>
      <c r="W439" s="1154"/>
      <c r="X439" s="1154"/>
      <c r="Y439" s="1154"/>
      <c r="Z439" s="1154"/>
    </row>
    <row r="440">
      <c r="A440" s="1154"/>
      <c r="B440" s="1154"/>
      <c r="C440" s="1154"/>
      <c r="D440" s="1154"/>
      <c r="E440" s="1154"/>
      <c r="F440" s="1154"/>
      <c r="G440" s="1154"/>
      <c r="H440" s="1154"/>
      <c r="I440" s="1154"/>
      <c r="J440" s="1154"/>
      <c r="K440" s="1154"/>
      <c r="L440" s="1154"/>
      <c r="M440" s="1154"/>
      <c r="N440" s="1154"/>
      <c r="O440" s="1154"/>
      <c r="P440" s="1154"/>
      <c r="Q440" s="1154"/>
      <c r="R440" s="1154"/>
      <c r="S440" s="1154"/>
      <c r="T440" s="1154"/>
      <c r="U440" s="1154"/>
      <c r="V440" s="1154"/>
      <c r="W440" s="1154"/>
      <c r="X440" s="1154"/>
      <c r="Y440" s="1154"/>
      <c r="Z440" s="1154"/>
    </row>
    <row r="441">
      <c r="A441" s="1154"/>
      <c r="B441" s="1154"/>
      <c r="C441" s="1154"/>
      <c r="D441" s="1154"/>
      <c r="E441" s="1154"/>
      <c r="F441" s="1154"/>
      <c r="G441" s="1154"/>
      <c r="H441" s="1154"/>
      <c r="I441" s="1154"/>
      <c r="J441" s="1154"/>
      <c r="K441" s="1154"/>
      <c r="L441" s="1154"/>
      <c r="M441" s="1154"/>
      <c r="N441" s="1154"/>
      <c r="O441" s="1154"/>
      <c r="P441" s="1154"/>
      <c r="Q441" s="1154"/>
      <c r="R441" s="1154"/>
      <c r="S441" s="1154"/>
      <c r="T441" s="1154"/>
      <c r="U441" s="1154"/>
      <c r="V441" s="1154"/>
      <c r="W441" s="1154"/>
      <c r="X441" s="1154"/>
      <c r="Y441" s="1154"/>
      <c r="Z441" s="1154"/>
    </row>
    <row r="442">
      <c r="A442" s="1154"/>
      <c r="B442" s="1154"/>
      <c r="C442" s="1154"/>
      <c r="D442" s="1154"/>
      <c r="E442" s="1154"/>
      <c r="F442" s="1154"/>
      <c r="G442" s="1154"/>
      <c r="H442" s="1154"/>
      <c r="I442" s="1154"/>
      <c r="J442" s="1154"/>
      <c r="K442" s="1154"/>
      <c r="L442" s="1154"/>
      <c r="M442" s="1154"/>
      <c r="N442" s="1154"/>
      <c r="O442" s="1154"/>
      <c r="P442" s="1154"/>
      <c r="Q442" s="1154"/>
      <c r="R442" s="1154"/>
      <c r="S442" s="1154"/>
      <c r="T442" s="1154"/>
      <c r="U442" s="1154"/>
      <c r="V442" s="1154"/>
      <c r="W442" s="1154"/>
      <c r="X442" s="1154"/>
      <c r="Y442" s="1154"/>
      <c r="Z442" s="1154"/>
    </row>
    <row r="443">
      <c r="A443" s="1154"/>
      <c r="B443" s="1154"/>
      <c r="C443" s="1154"/>
      <c r="D443" s="1154"/>
      <c r="E443" s="1154"/>
      <c r="F443" s="1154"/>
      <c r="G443" s="1154"/>
      <c r="H443" s="1154"/>
      <c r="I443" s="1154"/>
      <c r="J443" s="1154"/>
      <c r="K443" s="1154"/>
      <c r="L443" s="1154"/>
      <c r="M443" s="1154"/>
      <c r="N443" s="1154"/>
      <c r="O443" s="1154"/>
      <c r="P443" s="1154"/>
      <c r="Q443" s="1154"/>
      <c r="R443" s="1154"/>
      <c r="S443" s="1154"/>
      <c r="T443" s="1154"/>
      <c r="U443" s="1154"/>
      <c r="V443" s="1154"/>
      <c r="W443" s="1154"/>
      <c r="X443" s="1154"/>
      <c r="Y443" s="1154"/>
      <c r="Z443" s="1154"/>
    </row>
    <row r="444">
      <c r="A444" s="1154"/>
      <c r="B444" s="1154"/>
      <c r="C444" s="1154"/>
      <c r="D444" s="1154"/>
      <c r="E444" s="1154"/>
      <c r="F444" s="1154"/>
      <c r="G444" s="1154"/>
      <c r="H444" s="1154"/>
      <c r="I444" s="1154"/>
      <c r="J444" s="1154"/>
      <c r="K444" s="1154"/>
      <c r="L444" s="1154"/>
      <c r="M444" s="1154"/>
      <c r="N444" s="1154"/>
      <c r="O444" s="1154"/>
      <c r="P444" s="1154"/>
      <c r="Q444" s="1154"/>
      <c r="R444" s="1154"/>
      <c r="S444" s="1154"/>
      <c r="T444" s="1154"/>
      <c r="U444" s="1154"/>
      <c r="V444" s="1154"/>
      <c r="W444" s="1154"/>
      <c r="X444" s="1154"/>
      <c r="Y444" s="1154"/>
      <c r="Z444" s="1154"/>
    </row>
    <row r="445">
      <c r="A445" s="1154"/>
      <c r="B445" s="1154"/>
      <c r="C445" s="1154"/>
      <c r="D445" s="1154"/>
      <c r="E445" s="1154"/>
      <c r="F445" s="1154"/>
      <c r="G445" s="1154"/>
      <c r="H445" s="1154"/>
      <c r="I445" s="1154"/>
      <c r="J445" s="1154"/>
      <c r="K445" s="1154"/>
      <c r="L445" s="1154"/>
      <c r="M445" s="1154"/>
      <c r="N445" s="1154"/>
      <c r="O445" s="1154"/>
      <c r="P445" s="1154"/>
      <c r="Q445" s="1154"/>
      <c r="R445" s="1154"/>
      <c r="S445" s="1154"/>
      <c r="T445" s="1154"/>
      <c r="U445" s="1154"/>
      <c r="V445" s="1154"/>
      <c r="W445" s="1154"/>
      <c r="X445" s="1154"/>
      <c r="Y445" s="1154"/>
      <c r="Z445" s="1154"/>
    </row>
    <row r="446">
      <c r="A446" s="1154"/>
      <c r="B446" s="1154"/>
      <c r="C446" s="1154"/>
      <c r="D446" s="1154"/>
      <c r="E446" s="1154"/>
      <c r="F446" s="1154"/>
      <c r="G446" s="1154"/>
      <c r="H446" s="1154"/>
      <c r="I446" s="1154"/>
      <c r="J446" s="1154"/>
      <c r="K446" s="1154"/>
      <c r="L446" s="1154"/>
      <c r="M446" s="1154"/>
      <c r="N446" s="1154"/>
      <c r="O446" s="1154"/>
      <c r="P446" s="1154"/>
      <c r="Q446" s="1154"/>
      <c r="R446" s="1154"/>
      <c r="S446" s="1154"/>
      <c r="T446" s="1154"/>
      <c r="U446" s="1154"/>
      <c r="V446" s="1154"/>
      <c r="W446" s="1154"/>
      <c r="X446" s="1154"/>
      <c r="Y446" s="1154"/>
      <c r="Z446" s="1154"/>
    </row>
    <row r="447">
      <c r="A447" s="1154"/>
      <c r="B447" s="1154"/>
      <c r="C447" s="1154"/>
      <c r="D447" s="1154"/>
      <c r="E447" s="1154"/>
      <c r="F447" s="1154"/>
      <c r="G447" s="1154"/>
      <c r="H447" s="1154"/>
      <c r="I447" s="1154"/>
      <c r="J447" s="1154"/>
      <c r="K447" s="1154"/>
      <c r="L447" s="1154"/>
      <c r="M447" s="1154"/>
      <c r="N447" s="1154"/>
      <c r="O447" s="1154"/>
      <c r="P447" s="1154"/>
      <c r="Q447" s="1154"/>
      <c r="R447" s="1154"/>
      <c r="S447" s="1154"/>
      <c r="T447" s="1154"/>
      <c r="U447" s="1154"/>
      <c r="V447" s="1154"/>
      <c r="W447" s="1154"/>
      <c r="X447" s="1154"/>
      <c r="Y447" s="1154"/>
      <c r="Z447" s="1154"/>
    </row>
    <row r="448">
      <c r="A448" s="1154"/>
      <c r="B448" s="1154"/>
      <c r="C448" s="1154"/>
      <c r="D448" s="1154"/>
      <c r="E448" s="1154"/>
      <c r="F448" s="1154"/>
      <c r="G448" s="1154"/>
      <c r="H448" s="1154"/>
      <c r="I448" s="1154"/>
      <c r="J448" s="1154"/>
      <c r="K448" s="1154"/>
      <c r="L448" s="1154"/>
      <c r="M448" s="1154"/>
      <c r="N448" s="1154"/>
      <c r="O448" s="1154"/>
      <c r="P448" s="1154"/>
      <c r="Q448" s="1154"/>
      <c r="R448" s="1154"/>
      <c r="S448" s="1154"/>
      <c r="T448" s="1154"/>
      <c r="U448" s="1154"/>
      <c r="V448" s="1154"/>
      <c r="W448" s="1154"/>
      <c r="X448" s="1154"/>
      <c r="Y448" s="1154"/>
      <c r="Z448" s="1154"/>
    </row>
    <row r="449">
      <c r="A449" s="1154"/>
      <c r="B449" s="1154"/>
      <c r="C449" s="1154"/>
      <c r="D449" s="1154"/>
      <c r="E449" s="1154"/>
      <c r="F449" s="1154"/>
      <c r="G449" s="1154"/>
      <c r="H449" s="1154"/>
      <c r="I449" s="1154"/>
      <c r="J449" s="1154"/>
      <c r="K449" s="1154"/>
      <c r="L449" s="1154"/>
      <c r="M449" s="1154"/>
      <c r="N449" s="1154"/>
      <c r="O449" s="1154"/>
      <c r="P449" s="1154"/>
      <c r="Q449" s="1154"/>
      <c r="R449" s="1154"/>
      <c r="S449" s="1154"/>
      <c r="T449" s="1154"/>
      <c r="U449" s="1154"/>
      <c r="V449" s="1154"/>
      <c r="W449" s="1154"/>
      <c r="X449" s="1154"/>
      <c r="Y449" s="1154"/>
      <c r="Z449" s="1154"/>
    </row>
    <row r="450">
      <c r="A450" s="1154"/>
      <c r="B450" s="1154"/>
      <c r="C450" s="1154"/>
      <c r="D450" s="1154"/>
      <c r="E450" s="1154"/>
      <c r="F450" s="1154"/>
      <c r="G450" s="1154"/>
      <c r="H450" s="1154"/>
      <c r="I450" s="1154"/>
      <c r="J450" s="1154"/>
      <c r="K450" s="1154"/>
      <c r="L450" s="1154"/>
      <c r="M450" s="1154"/>
      <c r="N450" s="1154"/>
      <c r="O450" s="1154"/>
      <c r="P450" s="1154"/>
      <c r="Q450" s="1154"/>
      <c r="R450" s="1154"/>
      <c r="S450" s="1154"/>
      <c r="T450" s="1154"/>
      <c r="U450" s="1154"/>
      <c r="V450" s="1154"/>
      <c r="W450" s="1154"/>
      <c r="X450" s="1154"/>
      <c r="Y450" s="1154"/>
      <c r="Z450" s="1154"/>
    </row>
    <row r="451">
      <c r="A451" s="1154"/>
      <c r="B451" s="1154"/>
      <c r="C451" s="1154"/>
      <c r="D451" s="1154"/>
      <c r="E451" s="1154"/>
      <c r="F451" s="1154"/>
      <c r="G451" s="1154"/>
      <c r="H451" s="1154"/>
      <c r="I451" s="1154"/>
      <c r="J451" s="1154"/>
      <c r="K451" s="1154"/>
      <c r="L451" s="1154"/>
      <c r="M451" s="1154"/>
      <c r="N451" s="1154"/>
      <c r="O451" s="1154"/>
      <c r="P451" s="1154"/>
      <c r="Q451" s="1154"/>
      <c r="R451" s="1154"/>
      <c r="S451" s="1154"/>
      <c r="T451" s="1154"/>
      <c r="U451" s="1154"/>
      <c r="V451" s="1154"/>
      <c r="W451" s="1154"/>
      <c r="X451" s="1154"/>
      <c r="Y451" s="1154"/>
      <c r="Z451" s="1154"/>
    </row>
    <row r="452">
      <c r="A452" s="1154"/>
      <c r="B452" s="1154"/>
      <c r="C452" s="1154"/>
      <c r="D452" s="1154"/>
      <c r="E452" s="1154"/>
      <c r="F452" s="1154"/>
      <c r="G452" s="1154"/>
      <c r="H452" s="1154"/>
      <c r="I452" s="1154"/>
      <c r="J452" s="1154"/>
      <c r="K452" s="1154"/>
      <c r="L452" s="1154"/>
      <c r="M452" s="1154"/>
      <c r="N452" s="1154"/>
      <c r="O452" s="1154"/>
      <c r="P452" s="1154"/>
      <c r="Q452" s="1154"/>
      <c r="R452" s="1154"/>
      <c r="S452" s="1154"/>
      <c r="T452" s="1154"/>
      <c r="U452" s="1154"/>
      <c r="V452" s="1154"/>
      <c r="W452" s="1154"/>
      <c r="X452" s="1154"/>
      <c r="Y452" s="1154"/>
      <c r="Z452" s="1154"/>
    </row>
    <row r="453">
      <c r="A453" s="1154"/>
      <c r="B453" s="1154"/>
      <c r="C453" s="1154"/>
      <c r="D453" s="1154"/>
      <c r="E453" s="1154"/>
      <c r="F453" s="1154"/>
      <c r="G453" s="1154"/>
      <c r="H453" s="1154"/>
      <c r="I453" s="1154"/>
      <c r="J453" s="1154"/>
      <c r="K453" s="1154"/>
      <c r="L453" s="1154"/>
      <c r="M453" s="1154"/>
      <c r="N453" s="1154"/>
      <c r="O453" s="1154"/>
      <c r="P453" s="1154"/>
      <c r="Q453" s="1154"/>
      <c r="R453" s="1154"/>
      <c r="S453" s="1154"/>
      <c r="T453" s="1154"/>
      <c r="U453" s="1154"/>
      <c r="V453" s="1154"/>
      <c r="W453" s="1154"/>
      <c r="X453" s="1154"/>
      <c r="Y453" s="1154"/>
      <c r="Z453" s="1154"/>
    </row>
    <row r="454">
      <c r="A454" s="1154"/>
      <c r="B454" s="1154"/>
      <c r="C454" s="1154"/>
      <c r="D454" s="1154"/>
      <c r="E454" s="1154"/>
      <c r="F454" s="1154"/>
      <c r="G454" s="1154"/>
      <c r="H454" s="1154"/>
      <c r="I454" s="1154"/>
      <c r="J454" s="1154"/>
      <c r="K454" s="1154"/>
      <c r="L454" s="1154"/>
      <c r="M454" s="1154"/>
      <c r="N454" s="1154"/>
      <c r="O454" s="1154"/>
      <c r="P454" s="1154"/>
      <c r="Q454" s="1154"/>
      <c r="R454" s="1154"/>
      <c r="S454" s="1154"/>
      <c r="T454" s="1154"/>
      <c r="U454" s="1154"/>
      <c r="V454" s="1154"/>
      <c r="W454" s="1154"/>
      <c r="X454" s="1154"/>
      <c r="Y454" s="1154"/>
      <c r="Z454" s="1154"/>
    </row>
    <row r="455">
      <c r="A455" s="1154"/>
      <c r="B455" s="1154"/>
      <c r="C455" s="1154"/>
      <c r="D455" s="1154"/>
      <c r="E455" s="1154"/>
      <c r="F455" s="1154"/>
      <c r="G455" s="1154"/>
      <c r="H455" s="1154"/>
      <c r="I455" s="1154"/>
      <c r="J455" s="1154"/>
      <c r="K455" s="1154"/>
      <c r="L455" s="1154"/>
      <c r="M455" s="1154"/>
      <c r="N455" s="1154"/>
      <c r="O455" s="1154"/>
      <c r="P455" s="1154"/>
      <c r="Q455" s="1154"/>
      <c r="R455" s="1154"/>
      <c r="S455" s="1154"/>
      <c r="T455" s="1154"/>
      <c r="U455" s="1154"/>
      <c r="V455" s="1154"/>
      <c r="W455" s="1154"/>
      <c r="X455" s="1154"/>
      <c r="Y455" s="1154"/>
      <c r="Z455" s="1154"/>
    </row>
    <row r="456">
      <c r="A456" s="1154"/>
      <c r="B456" s="1154"/>
      <c r="C456" s="1154"/>
      <c r="D456" s="1154"/>
      <c r="E456" s="1154"/>
      <c r="F456" s="1154"/>
      <c r="G456" s="1154"/>
      <c r="H456" s="1154"/>
      <c r="I456" s="1154"/>
      <c r="J456" s="1154"/>
      <c r="K456" s="1154"/>
      <c r="L456" s="1154"/>
      <c r="M456" s="1154"/>
      <c r="N456" s="1154"/>
      <c r="O456" s="1154"/>
      <c r="P456" s="1154"/>
      <c r="Q456" s="1154"/>
      <c r="R456" s="1154"/>
      <c r="S456" s="1154"/>
      <c r="T456" s="1154"/>
      <c r="U456" s="1154"/>
      <c r="V456" s="1154"/>
      <c r="W456" s="1154"/>
      <c r="X456" s="1154"/>
      <c r="Y456" s="1154"/>
      <c r="Z456" s="1154"/>
    </row>
    <row r="457">
      <c r="A457" s="1154"/>
      <c r="B457" s="1154"/>
      <c r="C457" s="1154"/>
      <c r="D457" s="1154"/>
      <c r="E457" s="1154"/>
      <c r="F457" s="1154"/>
      <c r="G457" s="1154"/>
      <c r="H457" s="1154"/>
      <c r="I457" s="1154"/>
      <c r="J457" s="1154"/>
      <c r="K457" s="1154"/>
      <c r="L457" s="1154"/>
      <c r="M457" s="1154"/>
      <c r="N457" s="1154"/>
      <c r="O457" s="1154"/>
      <c r="P457" s="1154"/>
      <c r="Q457" s="1154"/>
      <c r="R457" s="1154"/>
      <c r="S457" s="1154"/>
      <c r="T457" s="1154"/>
      <c r="U457" s="1154"/>
      <c r="V457" s="1154"/>
      <c r="W457" s="1154"/>
      <c r="X457" s="1154"/>
      <c r="Y457" s="1154"/>
      <c r="Z457" s="1154"/>
    </row>
    <row r="458">
      <c r="A458" s="1154"/>
      <c r="B458" s="1154"/>
      <c r="C458" s="1154"/>
      <c r="D458" s="1154"/>
      <c r="E458" s="1154"/>
      <c r="F458" s="1154"/>
      <c r="G458" s="1154"/>
      <c r="H458" s="1154"/>
      <c r="I458" s="1154"/>
      <c r="J458" s="1154"/>
      <c r="K458" s="1154"/>
      <c r="L458" s="1154"/>
      <c r="M458" s="1154"/>
      <c r="N458" s="1154"/>
      <c r="O458" s="1154"/>
      <c r="P458" s="1154"/>
      <c r="Q458" s="1154"/>
      <c r="R458" s="1154"/>
      <c r="S458" s="1154"/>
      <c r="T458" s="1154"/>
      <c r="U458" s="1154"/>
      <c r="V458" s="1154"/>
      <c r="W458" s="1154"/>
      <c r="X458" s="1154"/>
      <c r="Y458" s="1154"/>
      <c r="Z458" s="1154"/>
    </row>
    <row r="459">
      <c r="A459" s="1154"/>
      <c r="B459" s="1154"/>
      <c r="C459" s="1154"/>
      <c r="D459" s="1154"/>
      <c r="E459" s="1154"/>
      <c r="F459" s="1154"/>
      <c r="G459" s="1154"/>
      <c r="H459" s="1154"/>
      <c r="I459" s="1154"/>
      <c r="J459" s="1154"/>
      <c r="K459" s="1154"/>
      <c r="L459" s="1154"/>
      <c r="M459" s="1154"/>
      <c r="N459" s="1154"/>
      <c r="O459" s="1154"/>
      <c r="P459" s="1154"/>
      <c r="Q459" s="1154"/>
      <c r="R459" s="1154"/>
      <c r="S459" s="1154"/>
      <c r="T459" s="1154"/>
      <c r="U459" s="1154"/>
      <c r="V459" s="1154"/>
      <c r="W459" s="1154"/>
      <c r="X459" s="1154"/>
      <c r="Y459" s="1154"/>
      <c r="Z459" s="1154"/>
    </row>
    <row r="460">
      <c r="A460" s="1154"/>
      <c r="B460" s="1154"/>
      <c r="C460" s="1154"/>
      <c r="D460" s="1154"/>
      <c r="E460" s="1154"/>
      <c r="F460" s="1154"/>
      <c r="G460" s="1154"/>
      <c r="H460" s="1154"/>
      <c r="I460" s="1154"/>
      <c r="J460" s="1154"/>
      <c r="K460" s="1154"/>
      <c r="L460" s="1154"/>
      <c r="M460" s="1154"/>
      <c r="N460" s="1154"/>
      <c r="O460" s="1154"/>
      <c r="P460" s="1154"/>
      <c r="Q460" s="1154"/>
      <c r="R460" s="1154"/>
      <c r="S460" s="1154"/>
      <c r="T460" s="1154"/>
      <c r="U460" s="1154"/>
      <c r="V460" s="1154"/>
      <c r="W460" s="1154"/>
      <c r="X460" s="1154"/>
      <c r="Y460" s="1154"/>
      <c r="Z460" s="1154"/>
    </row>
    <row r="461">
      <c r="A461" s="1154"/>
      <c r="B461" s="1154"/>
      <c r="C461" s="1154"/>
      <c r="D461" s="1154"/>
      <c r="E461" s="1154"/>
      <c r="F461" s="1154"/>
      <c r="G461" s="1154"/>
      <c r="H461" s="1154"/>
      <c r="I461" s="1154"/>
      <c r="J461" s="1154"/>
      <c r="K461" s="1154"/>
      <c r="L461" s="1154"/>
      <c r="M461" s="1154"/>
      <c r="N461" s="1154"/>
      <c r="O461" s="1154"/>
      <c r="P461" s="1154"/>
      <c r="Q461" s="1154"/>
      <c r="R461" s="1154"/>
      <c r="S461" s="1154"/>
      <c r="T461" s="1154"/>
      <c r="U461" s="1154"/>
      <c r="V461" s="1154"/>
      <c r="W461" s="1154"/>
      <c r="X461" s="1154"/>
      <c r="Y461" s="1154"/>
      <c r="Z461" s="1154"/>
    </row>
    <row r="462">
      <c r="A462" s="1154"/>
      <c r="B462" s="1154"/>
      <c r="C462" s="1154"/>
      <c r="D462" s="1154"/>
      <c r="E462" s="1154"/>
      <c r="F462" s="1154"/>
      <c r="G462" s="1154"/>
      <c r="H462" s="1154"/>
      <c r="I462" s="1154"/>
      <c r="J462" s="1154"/>
      <c r="K462" s="1154"/>
      <c r="L462" s="1154"/>
      <c r="M462" s="1154"/>
      <c r="N462" s="1154"/>
      <c r="O462" s="1154"/>
      <c r="P462" s="1154"/>
      <c r="Q462" s="1154"/>
      <c r="R462" s="1154"/>
      <c r="S462" s="1154"/>
      <c r="T462" s="1154"/>
      <c r="U462" s="1154"/>
      <c r="V462" s="1154"/>
      <c r="W462" s="1154"/>
      <c r="X462" s="1154"/>
      <c r="Y462" s="1154"/>
      <c r="Z462" s="1154"/>
    </row>
    <row r="463">
      <c r="A463" s="1154"/>
      <c r="B463" s="1154"/>
      <c r="C463" s="1154"/>
      <c r="D463" s="1154"/>
      <c r="E463" s="1154"/>
      <c r="F463" s="1154"/>
      <c r="G463" s="1154"/>
      <c r="H463" s="1154"/>
      <c r="I463" s="1154"/>
      <c r="J463" s="1154"/>
      <c r="K463" s="1154"/>
      <c r="L463" s="1154"/>
      <c r="M463" s="1154"/>
      <c r="N463" s="1154"/>
      <c r="O463" s="1154"/>
      <c r="P463" s="1154"/>
      <c r="Q463" s="1154"/>
      <c r="R463" s="1154"/>
      <c r="S463" s="1154"/>
      <c r="T463" s="1154"/>
      <c r="U463" s="1154"/>
      <c r="V463" s="1154"/>
      <c r="W463" s="1154"/>
      <c r="X463" s="1154"/>
      <c r="Y463" s="1154"/>
      <c r="Z463" s="1154"/>
    </row>
    <row r="464">
      <c r="A464" s="1154"/>
      <c r="B464" s="1154"/>
      <c r="C464" s="1154"/>
      <c r="D464" s="1154"/>
      <c r="E464" s="1154"/>
      <c r="F464" s="1154"/>
      <c r="G464" s="1154"/>
      <c r="H464" s="1154"/>
      <c r="I464" s="1154"/>
      <c r="J464" s="1154"/>
      <c r="K464" s="1154"/>
      <c r="L464" s="1154"/>
      <c r="M464" s="1154"/>
      <c r="N464" s="1154"/>
      <c r="O464" s="1154"/>
      <c r="P464" s="1154"/>
      <c r="Q464" s="1154"/>
      <c r="R464" s="1154"/>
      <c r="S464" s="1154"/>
      <c r="T464" s="1154"/>
      <c r="U464" s="1154"/>
      <c r="V464" s="1154"/>
      <c r="W464" s="1154"/>
      <c r="X464" s="1154"/>
      <c r="Y464" s="1154"/>
      <c r="Z464" s="1154"/>
    </row>
    <row r="465">
      <c r="A465" s="1154"/>
      <c r="B465" s="1154"/>
      <c r="C465" s="1154"/>
      <c r="D465" s="1154"/>
      <c r="E465" s="1154"/>
      <c r="F465" s="1154"/>
      <c r="G465" s="1154"/>
      <c r="H465" s="1154"/>
      <c r="I465" s="1154"/>
      <c r="J465" s="1154"/>
      <c r="K465" s="1154"/>
      <c r="L465" s="1154"/>
      <c r="M465" s="1154"/>
      <c r="N465" s="1154"/>
      <c r="O465" s="1154"/>
      <c r="P465" s="1154"/>
      <c r="Q465" s="1154"/>
      <c r="R465" s="1154"/>
      <c r="S465" s="1154"/>
      <c r="T465" s="1154"/>
      <c r="U465" s="1154"/>
      <c r="V465" s="1154"/>
      <c r="W465" s="1154"/>
      <c r="X465" s="1154"/>
      <c r="Y465" s="1154"/>
      <c r="Z465" s="1154"/>
    </row>
    <row r="466">
      <c r="A466" s="1154"/>
      <c r="B466" s="1154"/>
      <c r="C466" s="1154"/>
      <c r="D466" s="1154"/>
      <c r="E466" s="1154"/>
      <c r="F466" s="1154"/>
      <c r="G466" s="1154"/>
      <c r="H466" s="1154"/>
      <c r="I466" s="1154"/>
      <c r="J466" s="1154"/>
      <c r="K466" s="1154"/>
      <c r="L466" s="1154"/>
      <c r="M466" s="1154"/>
      <c r="N466" s="1154"/>
      <c r="O466" s="1154"/>
      <c r="P466" s="1154"/>
      <c r="Q466" s="1154"/>
      <c r="R466" s="1154"/>
      <c r="S466" s="1154"/>
      <c r="T466" s="1154"/>
      <c r="U466" s="1154"/>
      <c r="V466" s="1154"/>
      <c r="W466" s="1154"/>
      <c r="X466" s="1154"/>
      <c r="Y466" s="1154"/>
      <c r="Z466" s="1154"/>
    </row>
    <row r="467">
      <c r="A467" s="1154"/>
      <c r="B467" s="1154"/>
      <c r="C467" s="1154"/>
      <c r="D467" s="1154"/>
      <c r="E467" s="1154"/>
      <c r="F467" s="1154"/>
      <c r="G467" s="1154"/>
      <c r="H467" s="1154"/>
      <c r="I467" s="1154"/>
      <c r="J467" s="1154"/>
      <c r="K467" s="1154"/>
      <c r="L467" s="1154"/>
      <c r="M467" s="1154"/>
      <c r="N467" s="1154"/>
      <c r="O467" s="1154"/>
      <c r="P467" s="1154"/>
      <c r="Q467" s="1154"/>
      <c r="R467" s="1154"/>
      <c r="S467" s="1154"/>
      <c r="T467" s="1154"/>
      <c r="U467" s="1154"/>
      <c r="V467" s="1154"/>
      <c r="W467" s="1154"/>
      <c r="X467" s="1154"/>
      <c r="Y467" s="1154"/>
      <c r="Z467" s="1154"/>
    </row>
    <row r="468">
      <c r="A468" s="1154"/>
      <c r="B468" s="1154"/>
      <c r="C468" s="1154"/>
      <c r="D468" s="1154"/>
      <c r="E468" s="1154"/>
      <c r="F468" s="1154"/>
      <c r="G468" s="1154"/>
      <c r="H468" s="1154"/>
      <c r="I468" s="1154"/>
      <c r="J468" s="1154"/>
      <c r="K468" s="1154"/>
      <c r="L468" s="1154"/>
      <c r="M468" s="1154"/>
      <c r="N468" s="1154"/>
      <c r="O468" s="1154"/>
      <c r="P468" s="1154"/>
      <c r="Q468" s="1154"/>
      <c r="R468" s="1154"/>
      <c r="S468" s="1154"/>
      <c r="T468" s="1154"/>
      <c r="U468" s="1154"/>
      <c r="V468" s="1154"/>
      <c r="W468" s="1154"/>
      <c r="X468" s="1154"/>
      <c r="Y468" s="1154"/>
      <c r="Z468" s="1154"/>
    </row>
    <row r="469">
      <c r="A469" s="1154"/>
      <c r="B469" s="1154"/>
      <c r="C469" s="1154"/>
      <c r="D469" s="1154"/>
      <c r="E469" s="1154"/>
      <c r="F469" s="1154"/>
      <c r="G469" s="1154"/>
      <c r="H469" s="1154"/>
      <c r="I469" s="1154"/>
      <c r="J469" s="1154"/>
      <c r="K469" s="1154"/>
      <c r="L469" s="1154"/>
      <c r="M469" s="1154"/>
      <c r="N469" s="1154"/>
      <c r="O469" s="1154"/>
      <c r="P469" s="1154"/>
      <c r="Q469" s="1154"/>
      <c r="R469" s="1154"/>
      <c r="S469" s="1154"/>
      <c r="T469" s="1154"/>
      <c r="U469" s="1154"/>
      <c r="V469" s="1154"/>
      <c r="W469" s="1154"/>
      <c r="X469" s="1154"/>
      <c r="Y469" s="1154"/>
      <c r="Z469" s="1154"/>
    </row>
    <row r="470">
      <c r="A470" s="1154"/>
      <c r="B470" s="1154"/>
      <c r="C470" s="1154"/>
      <c r="D470" s="1154"/>
      <c r="E470" s="1154"/>
      <c r="F470" s="1154"/>
      <c r="G470" s="1154"/>
      <c r="H470" s="1154"/>
      <c r="I470" s="1154"/>
      <c r="J470" s="1154"/>
      <c r="K470" s="1154"/>
      <c r="L470" s="1154"/>
      <c r="M470" s="1154"/>
      <c r="N470" s="1154"/>
      <c r="O470" s="1154"/>
      <c r="P470" s="1154"/>
      <c r="Q470" s="1154"/>
      <c r="R470" s="1154"/>
      <c r="S470" s="1154"/>
      <c r="T470" s="1154"/>
      <c r="U470" s="1154"/>
      <c r="V470" s="1154"/>
      <c r="W470" s="1154"/>
      <c r="X470" s="1154"/>
      <c r="Y470" s="1154"/>
      <c r="Z470" s="1154"/>
    </row>
    <row r="471">
      <c r="A471" s="1154"/>
      <c r="B471" s="1154"/>
      <c r="C471" s="1154"/>
      <c r="D471" s="1154"/>
      <c r="E471" s="1154"/>
      <c r="F471" s="1154"/>
      <c r="G471" s="1154"/>
      <c r="H471" s="1154"/>
      <c r="I471" s="1154"/>
      <c r="J471" s="1154"/>
      <c r="K471" s="1154"/>
      <c r="L471" s="1154"/>
      <c r="M471" s="1154"/>
      <c r="N471" s="1154"/>
      <c r="O471" s="1154"/>
      <c r="P471" s="1154"/>
      <c r="Q471" s="1154"/>
      <c r="R471" s="1154"/>
      <c r="S471" s="1154"/>
      <c r="T471" s="1154"/>
      <c r="U471" s="1154"/>
      <c r="V471" s="1154"/>
      <c r="W471" s="1154"/>
      <c r="X471" s="1154"/>
      <c r="Y471" s="1154"/>
      <c r="Z471" s="1154"/>
    </row>
    <row r="472">
      <c r="A472" s="1154"/>
      <c r="B472" s="1154"/>
      <c r="C472" s="1154"/>
      <c r="D472" s="1154"/>
      <c r="E472" s="1154"/>
      <c r="F472" s="1154"/>
      <c r="G472" s="1154"/>
      <c r="H472" s="1154"/>
      <c r="I472" s="1154"/>
      <c r="J472" s="1154"/>
      <c r="K472" s="1154"/>
      <c r="L472" s="1154"/>
      <c r="M472" s="1154"/>
      <c r="N472" s="1154"/>
      <c r="O472" s="1154"/>
      <c r="P472" s="1154"/>
      <c r="Q472" s="1154"/>
      <c r="R472" s="1154"/>
      <c r="S472" s="1154"/>
      <c r="T472" s="1154"/>
      <c r="U472" s="1154"/>
      <c r="V472" s="1154"/>
      <c r="W472" s="1154"/>
      <c r="X472" s="1154"/>
      <c r="Y472" s="1154"/>
      <c r="Z472" s="1154"/>
    </row>
    <row r="473">
      <c r="A473" s="1154"/>
      <c r="B473" s="1154"/>
      <c r="C473" s="1154"/>
      <c r="D473" s="1154"/>
      <c r="E473" s="1154"/>
      <c r="F473" s="1154"/>
      <c r="G473" s="1154"/>
      <c r="H473" s="1154"/>
      <c r="I473" s="1154"/>
      <c r="J473" s="1154"/>
      <c r="K473" s="1154"/>
      <c r="L473" s="1154"/>
      <c r="M473" s="1154"/>
      <c r="N473" s="1154"/>
      <c r="O473" s="1154"/>
      <c r="P473" s="1154"/>
      <c r="Q473" s="1154"/>
      <c r="R473" s="1154"/>
      <c r="S473" s="1154"/>
      <c r="T473" s="1154"/>
      <c r="U473" s="1154"/>
      <c r="V473" s="1154"/>
      <c r="W473" s="1154"/>
      <c r="X473" s="1154"/>
      <c r="Y473" s="1154"/>
      <c r="Z473" s="1154"/>
    </row>
    <row r="474">
      <c r="A474" s="1154"/>
      <c r="B474" s="1154"/>
      <c r="C474" s="1154"/>
      <c r="D474" s="1154"/>
      <c r="E474" s="1154"/>
      <c r="F474" s="1154"/>
      <c r="G474" s="1154"/>
      <c r="H474" s="1154"/>
      <c r="I474" s="1154"/>
      <c r="J474" s="1154"/>
      <c r="K474" s="1154"/>
      <c r="L474" s="1154"/>
      <c r="M474" s="1154"/>
      <c r="N474" s="1154"/>
      <c r="O474" s="1154"/>
      <c r="P474" s="1154"/>
      <c r="Q474" s="1154"/>
      <c r="R474" s="1154"/>
      <c r="S474" s="1154"/>
      <c r="T474" s="1154"/>
      <c r="U474" s="1154"/>
      <c r="V474" s="1154"/>
      <c r="W474" s="1154"/>
      <c r="X474" s="1154"/>
      <c r="Y474" s="1154"/>
      <c r="Z474" s="1154"/>
    </row>
    <row r="475">
      <c r="A475" s="1154"/>
      <c r="B475" s="1154"/>
      <c r="C475" s="1154"/>
      <c r="D475" s="1154"/>
      <c r="E475" s="1154"/>
      <c r="F475" s="1154"/>
      <c r="G475" s="1154"/>
      <c r="H475" s="1154"/>
      <c r="I475" s="1154"/>
      <c r="J475" s="1154"/>
      <c r="K475" s="1154"/>
      <c r="L475" s="1154"/>
      <c r="M475" s="1154"/>
      <c r="N475" s="1154"/>
      <c r="O475" s="1154"/>
      <c r="P475" s="1154"/>
      <c r="Q475" s="1154"/>
      <c r="R475" s="1154"/>
      <c r="S475" s="1154"/>
      <c r="T475" s="1154"/>
      <c r="U475" s="1154"/>
      <c r="V475" s="1154"/>
      <c r="W475" s="1154"/>
      <c r="X475" s="1154"/>
      <c r="Y475" s="1154"/>
      <c r="Z475" s="1154"/>
    </row>
    <row r="476">
      <c r="A476" s="1154"/>
      <c r="B476" s="1154"/>
      <c r="C476" s="1154"/>
      <c r="D476" s="1154"/>
      <c r="E476" s="1154"/>
      <c r="F476" s="1154"/>
      <c r="G476" s="1154"/>
      <c r="H476" s="1154"/>
      <c r="I476" s="1154"/>
      <c r="J476" s="1154"/>
      <c r="K476" s="1154"/>
      <c r="L476" s="1154"/>
      <c r="M476" s="1154"/>
      <c r="N476" s="1154"/>
      <c r="O476" s="1154"/>
      <c r="P476" s="1154"/>
      <c r="Q476" s="1154"/>
      <c r="R476" s="1154"/>
      <c r="S476" s="1154"/>
      <c r="T476" s="1154"/>
      <c r="U476" s="1154"/>
      <c r="V476" s="1154"/>
      <c r="W476" s="1154"/>
      <c r="X476" s="1154"/>
      <c r="Y476" s="1154"/>
      <c r="Z476" s="1154"/>
    </row>
    <row r="477">
      <c r="A477" s="1154"/>
      <c r="B477" s="1154"/>
      <c r="C477" s="1154"/>
      <c r="D477" s="1154"/>
      <c r="E477" s="1154"/>
      <c r="F477" s="1154"/>
      <c r="G477" s="1154"/>
      <c r="H477" s="1154"/>
      <c r="I477" s="1154"/>
      <c r="J477" s="1154"/>
      <c r="K477" s="1154"/>
      <c r="L477" s="1154"/>
      <c r="M477" s="1154"/>
      <c r="N477" s="1154"/>
      <c r="O477" s="1154"/>
      <c r="P477" s="1154"/>
      <c r="Q477" s="1154"/>
      <c r="R477" s="1154"/>
      <c r="S477" s="1154"/>
      <c r="T477" s="1154"/>
      <c r="U477" s="1154"/>
      <c r="V477" s="1154"/>
      <c r="W477" s="1154"/>
      <c r="X477" s="1154"/>
      <c r="Y477" s="1154"/>
      <c r="Z477" s="1154"/>
    </row>
    <row r="478">
      <c r="A478" s="1154"/>
      <c r="B478" s="1154"/>
      <c r="C478" s="1154"/>
      <c r="D478" s="1154"/>
      <c r="E478" s="1154"/>
      <c r="F478" s="1154"/>
      <c r="G478" s="1154"/>
      <c r="H478" s="1154"/>
      <c r="I478" s="1154"/>
      <c r="J478" s="1154"/>
      <c r="K478" s="1154"/>
      <c r="L478" s="1154"/>
      <c r="M478" s="1154"/>
      <c r="N478" s="1154"/>
      <c r="O478" s="1154"/>
      <c r="P478" s="1154"/>
      <c r="Q478" s="1154"/>
      <c r="R478" s="1154"/>
      <c r="S478" s="1154"/>
      <c r="T478" s="1154"/>
      <c r="U478" s="1154"/>
      <c r="V478" s="1154"/>
      <c r="W478" s="1154"/>
      <c r="X478" s="1154"/>
      <c r="Y478" s="1154"/>
      <c r="Z478" s="1154"/>
    </row>
    <row r="479">
      <c r="A479" s="1154"/>
      <c r="B479" s="1154"/>
      <c r="C479" s="1154"/>
      <c r="D479" s="1154"/>
      <c r="E479" s="1154"/>
      <c r="F479" s="1154"/>
      <c r="G479" s="1154"/>
      <c r="H479" s="1154"/>
      <c r="I479" s="1154"/>
      <c r="J479" s="1154"/>
      <c r="K479" s="1154"/>
      <c r="L479" s="1154"/>
      <c r="M479" s="1154"/>
      <c r="N479" s="1154"/>
      <c r="O479" s="1154"/>
      <c r="P479" s="1154"/>
      <c r="Q479" s="1154"/>
      <c r="R479" s="1154"/>
      <c r="S479" s="1154"/>
      <c r="T479" s="1154"/>
      <c r="U479" s="1154"/>
      <c r="V479" s="1154"/>
      <c r="W479" s="1154"/>
      <c r="X479" s="1154"/>
      <c r="Y479" s="1154"/>
      <c r="Z479" s="1154"/>
    </row>
    <row r="480">
      <c r="A480" s="1154"/>
      <c r="B480" s="1154"/>
      <c r="C480" s="1154"/>
      <c r="D480" s="1154"/>
      <c r="E480" s="1154"/>
      <c r="F480" s="1154"/>
      <c r="G480" s="1154"/>
      <c r="H480" s="1154"/>
      <c r="I480" s="1154"/>
      <c r="J480" s="1154"/>
      <c r="K480" s="1154"/>
      <c r="L480" s="1154"/>
      <c r="M480" s="1154"/>
      <c r="N480" s="1154"/>
      <c r="O480" s="1154"/>
      <c r="P480" s="1154"/>
      <c r="Q480" s="1154"/>
      <c r="R480" s="1154"/>
      <c r="S480" s="1154"/>
      <c r="T480" s="1154"/>
      <c r="U480" s="1154"/>
      <c r="V480" s="1154"/>
      <c r="W480" s="1154"/>
      <c r="X480" s="1154"/>
      <c r="Y480" s="1154"/>
      <c r="Z480" s="1154"/>
    </row>
    <row r="481">
      <c r="A481" s="1154"/>
      <c r="B481" s="1154"/>
      <c r="C481" s="1154"/>
      <c r="D481" s="1154"/>
      <c r="E481" s="1154"/>
      <c r="F481" s="1154"/>
      <c r="G481" s="1154"/>
      <c r="H481" s="1154"/>
      <c r="I481" s="1154"/>
      <c r="J481" s="1154"/>
      <c r="K481" s="1154"/>
      <c r="L481" s="1154"/>
      <c r="M481" s="1154"/>
      <c r="N481" s="1154"/>
      <c r="O481" s="1154"/>
      <c r="P481" s="1154"/>
      <c r="Q481" s="1154"/>
      <c r="R481" s="1154"/>
      <c r="S481" s="1154"/>
      <c r="T481" s="1154"/>
      <c r="U481" s="1154"/>
      <c r="V481" s="1154"/>
      <c r="W481" s="1154"/>
      <c r="X481" s="1154"/>
      <c r="Y481" s="1154"/>
      <c r="Z481" s="1154"/>
    </row>
    <row r="482">
      <c r="A482" s="1154"/>
      <c r="B482" s="1154"/>
      <c r="C482" s="1154"/>
      <c r="D482" s="1154"/>
      <c r="E482" s="1154"/>
      <c r="F482" s="1154"/>
      <c r="G482" s="1154"/>
      <c r="H482" s="1154"/>
      <c r="I482" s="1154"/>
      <c r="J482" s="1154"/>
      <c r="K482" s="1154"/>
      <c r="L482" s="1154"/>
      <c r="M482" s="1154"/>
      <c r="N482" s="1154"/>
      <c r="O482" s="1154"/>
      <c r="P482" s="1154"/>
      <c r="Q482" s="1154"/>
      <c r="R482" s="1154"/>
      <c r="S482" s="1154"/>
      <c r="T482" s="1154"/>
      <c r="U482" s="1154"/>
      <c r="V482" s="1154"/>
      <c r="W482" s="1154"/>
      <c r="X482" s="1154"/>
      <c r="Y482" s="1154"/>
      <c r="Z482" s="1154"/>
    </row>
    <row r="483">
      <c r="A483" s="1154"/>
      <c r="B483" s="1154"/>
      <c r="C483" s="1154"/>
      <c r="D483" s="1154"/>
      <c r="E483" s="1154"/>
      <c r="F483" s="1154"/>
      <c r="G483" s="1154"/>
      <c r="H483" s="1154"/>
      <c r="I483" s="1154"/>
      <c r="J483" s="1154"/>
      <c r="K483" s="1154"/>
      <c r="L483" s="1154"/>
      <c r="M483" s="1154"/>
      <c r="N483" s="1154"/>
      <c r="O483" s="1154"/>
      <c r="P483" s="1154"/>
      <c r="Q483" s="1154"/>
      <c r="R483" s="1154"/>
      <c r="S483" s="1154"/>
      <c r="T483" s="1154"/>
      <c r="U483" s="1154"/>
      <c r="V483" s="1154"/>
      <c r="W483" s="1154"/>
      <c r="X483" s="1154"/>
      <c r="Y483" s="1154"/>
      <c r="Z483" s="1154"/>
    </row>
    <row r="484">
      <c r="A484" s="1154"/>
      <c r="B484" s="1154"/>
      <c r="C484" s="1154"/>
      <c r="D484" s="1154"/>
      <c r="E484" s="1154"/>
      <c r="F484" s="1154"/>
      <c r="G484" s="1154"/>
      <c r="H484" s="1154"/>
      <c r="I484" s="1154"/>
      <c r="J484" s="1154"/>
      <c r="K484" s="1154"/>
      <c r="L484" s="1154"/>
      <c r="M484" s="1154"/>
      <c r="N484" s="1154"/>
      <c r="O484" s="1154"/>
      <c r="P484" s="1154"/>
      <c r="Q484" s="1154"/>
      <c r="R484" s="1154"/>
      <c r="S484" s="1154"/>
      <c r="T484" s="1154"/>
      <c r="U484" s="1154"/>
      <c r="V484" s="1154"/>
      <c r="W484" s="1154"/>
      <c r="X484" s="1154"/>
      <c r="Y484" s="1154"/>
      <c r="Z484" s="1154"/>
    </row>
    <row r="485">
      <c r="A485" s="1154"/>
      <c r="B485" s="1154"/>
      <c r="C485" s="1154"/>
      <c r="D485" s="1154"/>
      <c r="E485" s="1154"/>
      <c r="F485" s="1154"/>
      <c r="G485" s="1154"/>
      <c r="H485" s="1154"/>
      <c r="I485" s="1154"/>
      <c r="J485" s="1154"/>
      <c r="K485" s="1154"/>
      <c r="L485" s="1154"/>
      <c r="M485" s="1154"/>
      <c r="N485" s="1154"/>
      <c r="O485" s="1154"/>
      <c r="P485" s="1154"/>
      <c r="Q485" s="1154"/>
      <c r="R485" s="1154"/>
      <c r="S485" s="1154"/>
      <c r="T485" s="1154"/>
      <c r="U485" s="1154"/>
      <c r="V485" s="1154"/>
      <c r="W485" s="1154"/>
      <c r="X485" s="1154"/>
      <c r="Y485" s="1154"/>
      <c r="Z485" s="1154"/>
    </row>
    <row r="486">
      <c r="A486" s="1154"/>
      <c r="B486" s="1154"/>
      <c r="C486" s="1154"/>
      <c r="D486" s="1154"/>
      <c r="E486" s="1154"/>
      <c r="F486" s="1154"/>
      <c r="G486" s="1154"/>
      <c r="H486" s="1154"/>
      <c r="I486" s="1154"/>
      <c r="J486" s="1154"/>
      <c r="K486" s="1154"/>
      <c r="L486" s="1154"/>
      <c r="M486" s="1154"/>
      <c r="N486" s="1154"/>
      <c r="O486" s="1154"/>
      <c r="P486" s="1154"/>
      <c r="Q486" s="1154"/>
      <c r="R486" s="1154"/>
      <c r="S486" s="1154"/>
      <c r="T486" s="1154"/>
      <c r="U486" s="1154"/>
      <c r="V486" s="1154"/>
      <c r="W486" s="1154"/>
      <c r="X486" s="1154"/>
      <c r="Y486" s="1154"/>
      <c r="Z486" s="1154"/>
    </row>
    <row r="487">
      <c r="A487" s="1154"/>
      <c r="B487" s="1154"/>
      <c r="C487" s="1154"/>
      <c r="D487" s="1154"/>
      <c r="E487" s="1154"/>
      <c r="F487" s="1154"/>
      <c r="G487" s="1154"/>
      <c r="H487" s="1154"/>
      <c r="I487" s="1154"/>
      <c r="J487" s="1154"/>
      <c r="K487" s="1154"/>
      <c r="L487" s="1154"/>
      <c r="M487" s="1154"/>
      <c r="N487" s="1154"/>
      <c r="O487" s="1154"/>
      <c r="P487" s="1154"/>
      <c r="Q487" s="1154"/>
      <c r="R487" s="1154"/>
      <c r="S487" s="1154"/>
      <c r="T487" s="1154"/>
      <c r="U487" s="1154"/>
      <c r="V487" s="1154"/>
      <c r="W487" s="1154"/>
      <c r="X487" s="1154"/>
      <c r="Y487" s="1154"/>
      <c r="Z487" s="1154"/>
    </row>
    <row r="488">
      <c r="A488" s="1154"/>
      <c r="B488" s="1154"/>
      <c r="C488" s="1154"/>
      <c r="D488" s="1154"/>
      <c r="E488" s="1154"/>
      <c r="F488" s="1154"/>
      <c r="G488" s="1154"/>
      <c r="H488" s="1154"/>
      <c r="I488" s="1154"/>
      <c r="J488" s="1154"/>
      <c r="K488" s="1154"/>
      <c r="L488" s="1154"/>
      <c r="M488" s="1154"/>
      <c r="N488" s="1154"/>
      <c r="O488" s="1154"/>
      <c r="P488" s="1154"/>
      <c r="Q488" s="1154"/>
      <c r="R488" s="1154"/>
      <c r="S488" s="1154"/>
      <c r="T488" s="1154"/>
      <c r="U488" s="1154"/>
      <c r="V488" s="1154"/>
      <c r="W488" s="1154"/>
      <c r="X488" s="1154"/>
      <c r="Y488" s="1154"/>
      <c r="Z488" s="1154"/>
    </row>
    <row r="489">
      <c r="A489" s="1154"/>
      <c r="B489" s="1154"/>
      <c r="C489" s="1154"/>
      <c r="D489" s="1154"/>
      <c r="E489" s="1154"/>
      <c r="F489" s="1154"/>
      <c r="G489" s="1154"/>
      <c r="H489" s="1154"/>
      <c r="I489" s="1154"/>
      <c r="J489" s="1154"/>
      <c r="K489" s="1154"/>
      <c r="L489" s="1154"/>
      <c r="M489" s="1154"/>
      <c r="N489" s="1154"/>
      <c r="O489" s="1154"/>
      <c r="P489" s="1154"/>
      <c r="Q489" s="1154"/>
      <c r="R489" s="1154"/>
      <c r="S489" s="1154"/>
      <c r="T489" s="1154"/>
      <c r="U489" s="1154"/>
      <c r="V489" s="1154"/>
      <c r="W489" s="1154"/>
      <c r="X489" s="1154"/>
      <c r="Y489" s="1154"/>
      <c r="Z489" s="1154"/>
    </row>
    <row r="490">
      <c r="A490" s="1154"/>
      <c r="B490" s="1154"/>
      <c r="C490" s="1154"/>
      <c r="D490" s="1154"/>
      <c r="E490" s="1154"/>
      <c r="F490" s="1154"/>
      <c r="G490" s="1154"/>
      <c r="H490" s="1154"/>
      <c r="I490" s="1154"/>
      <c r="J490" s="1154"/>
      <c r="K490" s="1154"/>
      <c r="L490" s="1154"/>
      <c r="M490" s="1154"/>
      <c r="N490" s="1154"/>
      <c r="O490" s="1154"/>
      <c r="P490" s="1154"/>
      <c r="Q490" s="1154"/>
      <c r="R490" s="1154"/>
      <c r="S490" s="1154"/>
      <c r="T490" s="1154"/>
      <c r="U490" s="1154"/>
      <c r="V490" s="1154"/>
      <c r="W490" s="1154"/>
      <c r="X490" s="1154"/>
      <c r="Y490" s="1154"/>
      <c r="Z490" s="1154"/>
    </row>
    <row r="491">
      <c r="A491" s="1154"/>
      <c r="B491" s="1154"/>
      <c r="C491" s="1154"/>
      <c r="D491" s="1154"/>
      <c r="E491" s="1154"/>
      <c r="F491" s="1154"/>
      <c r="G491" s="1154"/>
      <c r="H491" s="1154"/>
      <c r="I491" s="1154"/>
      <c r="J491" s="1154"/>
      <c r="K491" s="1154"/>
      <c r="L491" s="1154"/>
      <c r="M491" s="1154"/>
      <c r="N491" s="1154"/>
      <c r="O491" s="1154"/>
      <c r="P491" s="1154"/>
      <c r="Q491" s="1154"/>
      <c r="R491" s="1154"/>
      <c r="S491" s="1154"/>
      <c r="T491" s="1154"/>
      <c r="U491" s="1154"/>
      <c r="V491" s="1154"/>
      <c r="W491" s="1154"/>
      <c r="X491" s="1154"/>
      <c r="Y491" s="1154"/>
      <c r="Z491" s="1154"/>
    </row>
    <row r="492">
      <c r="A492" s="1154"/>
      <c r="B492" s="1154"/>
      <c r="C492" s="1154"/>
      <c r="D492" s="1154"/>
      <c r="E492" s="1154"/>
      <c r="F492" s="1154"/>
      <c r="G492" s="1154"/>
      <c r="H492" s="1154"/>
      <c r="I492" s="1154"/>
      <c r="J492" s="1154"/>
      <c r="K492" s="1154"/>
      <c r="L492" s="1154"/>
      <c r="M492" s="1154"/>
      <c r="N492" s="1154"/>
      <c r="O492" s="1154"/>
      <c r="P492" s="1154"/>
      <c r="Q492" s="1154"/>
      <c r="R492" s="1154"/>
      <c r="S492" s="1154"/>
      <c r="T492" s="1154"/>
      <c r="U492" s="1154"/>
      <c r="V492" s="1154"/>
      <c r="W492" s="1154"/>
      <c r="X492" s="1154"/>
      <c r="Y492" s="1154"/>
      <c r="Z492" s="1154"/>
    </row>
    <row r="493">
      <c r="A493" s="1154"/>
      <c r="B493" s="1154"/>
      <c r="C493" s="1154"/>
      <c r="D493" s="1154"/>
      <c r="E493" s="1154"/>
      <c r="F493" s="1154"/>
      <c r="G493" s="1154"/>
      <c r="H493" s="1154"/>
      <c r="I493" s="1154"/>
      <c r="J493" s="1154"/>
      <c r="K493" s="1154"/>
      <c r="L493" s="1154"/>
      <c r="M493" s="1154"/>
      <c r="N493" s="1154"/>
      <c r="O493" s="1154"/>
      <c r="P493" s="1154"/>
      <c r="Q493" s="1154"/>
      <c r="R493" s="1154"/>
      <c r="S493" s="1154"/>
      <c r="T493" s="1154"/>
      <c r="U493" s="1154"/>
      <c r="V493" s="1154"/>
      <c r="W493" s="1154"/>
      <c r="X493" s="1154"/>
      <c r="Y493" s="1154"/>
      <c r="Z493" s="1154"/>
    </row>
    <row r="494">
      <c r="A494" s="1154"/>
      <c r="B494" s="1154"/>
      <c r="C494" s="1154"/>
      <c r="D494" s="1154"/>
      <c r="E494" s="1154"/>
      <c r="F494" s="1154"/>
      <c r="G494" s="1154"/>
      <c r="H494" s="1154"/>
      <c r="I494" s="1154"/>
      <c r="J494" s="1154"/>
      <c r="K494" s="1154"/>
      <c r="L494" s="1154"/>
      <c r="M494" s="1154"/>
      <c r="N494" s="1154"/>
      <c r="O494" s="1154"/>
      <c r="P494" s="1154"/>
      <c r="Q494" s="1154"/>
      <c r="R494" s="1154"/>
      <c r="S494" s="1154"/>
      <c r="T494" s="1154"/>
      <c r="U494" s="1154"/>
      <c r="V494" s="1154"/>
      <c r="W494" s="1154"/>
      <c r="X494" s="1154"/>
      <c r="Y494" s="1154"/>
      <c r="Z494" s="1154"/>
    </row>
    <row r="495">
      <c r="A495" s="1154"/>
      <c r="B495" s="1154"/>
      <c r="C495" s="1154"/>
      <c r="D495" s="1154"/>
      <c r="E495" s="1154"/>
      <c r="F495" s="1154"/>
      <c r="G495" s="1154"/>
      <c r="H495" s="1154"/>
      <c r="I495" s="1154"/>
      <c r="J495" s="1154"/>
      <c r="K495" s="1154"/>
      <c r="L495" s="1154"/>
      <c r="M495" s="1154"/>
      <c r="N495" s="1154"/>
      <c r="O495" s="1154"/>
      <c r="P495" s="1154"/>
      <c r="Q495" s="1154"/>
      <c r="R495" s="1154"/>
      <c r="S495" s="1154"/>
      <c r="T495" s="1154"/>
      <c r="U495" s="1154"/>
      <c r="V495" s="1154"/>
      <c r="W495" s="1154"/>
      <c r="X495" s="1154"/>
      <c r="Y495" s="1154"/>
      <c r="Z495" s="1154"/>
    </row>
    <row r="496">
      <c r="A496" s="1154"/>
      <c r="B496" s="1154"/>
      <c r="C496" s="1154"/>
      <c r="D496" s="1154"/>
      <c r="E496" s="1154"/>
      <c r="F496" s="1154"/>
      <c r="G496" s="1154"/>
      <c r="H496" s="1154"/>
      <c r="I496" s="1154"/>
      <c r="J496" s="1154"/>
      <c r="K496" s="1154"/>
      <c r="L496" s="1154"/>
      <c r="M496" s="1154"/>
      <c r="N496" s="1154"/>
      <c r="O496" s="1154"/>
      <c r="P496" s="1154"/>
      <c r="Q496" s="1154"/>
      <c r="R496" s="1154"/>
      <c r="S496" s="1154"/>
      <c r="T496" s="1154"/>
      <c r="U496" s="1154"/>
      <c r="V496" s="1154"/>
      <c r="W496" s="1154"/>
      <c r="X496" s="1154"/>
      <c r="Y496" s="1154"/>
      <c r="Z496" s="1154"/>
    </row>
    <row r="497">
      <c r="A497" s="1154"/>
      <c r="B497" s="1154"/>
      <c r="C497" s="1154"/>
      <c r="D497" s="1154"/>
      <c r="E497" s="1154"/>
      <c r="F497" s="1154"/>
      <c r="G497" s="1154"/>
      <c r="H497" s="1154"/>
      <c r="I497" s="1154"/>
      <c r="J497" s="1154"/>
      <c r="K497" s="1154"/>
      <c r="L497" s="1154"/>
      <c r="M497" s="1154"/>
      <c r="N497" s="1154"/>
      <c r="O497" s="1154"/>
      <c r="P497" s="1154"/>
      <c r="Q497" s="1154"/>
      <c r="R497" s="1154"/>
      <c r="S497" s="1154"/>
      <c r="T497" s="1154"/>
      <c r="U497" s="1154"/>
      <c r="V497" s="1154"/>
      <c r="W497" s="1154"/>
      <c r="X497" s="1154"/>
      <c r="Y497" s="1154"/>
      <c r="Z497" s="1154"/>
    </row>
    <row r="498">
      <c r="A498" s="1154"/>
      <c r="B498" s="1154"/>
      <c r="C498" s="1154"/>
      <c r="D498" s="1154"/>
      <c r="E498" s="1154"/>
      <c r="F498" s="1154"/>
      <c r="G498" s="1154"/>
      <c r="H498" s="1154"/>
      <c r="I498" s="1154"/>
      <c r="J498" s="1154"/>
      <c r="K498" s="1154"/>
      <c r="L498" s="1154"/>
      <c r="M498" s="1154"/>
      <c r="N498" s="1154"/>
      <c r="O498" s="1154"/>
      <c r="P498" s="1154"/>
      <c r="Q498" s="1154"/>
      <c r="R498" s="1154"/>
      <c r="S498" s="1154"/>
      <c r="T498" s="1154"/>
      <c r="U498" s="1154"/>
      <c r="V498" s="1154"/>
      <c r="W498" s="1154"/>
      <c r="X498" s="1154"/>
      <c r="Y498" s="1154"/>
      <c r="Z498" s="1154"/>
    </row>
    <row r="499">
      <c r="A499" s="1154"/>
      <c r="B499" s="1154"/>
      <c r="C499" s="1154"/>
      <c r="D499" s="1154"/>
      <c r="E499" s="1154"/>
      <c r="F499" s="1154"/>
      <c r="G499" s="1154"/>
      <c r="H499" s="1154"/>
      <c r="I499" s="1154"/>
      <c r="J499" s="1154"/>
      <c r="K499" s="1154"/>
      <c r="L499" s="1154"/>
      <c r="M499" s="1154"/>
      <c r="N499" s="1154"/>
      <c r="O499" s="1154"/>
      <c r="P499" s="1154"/>
      <c r="Q499" s="1154"/>
      <c r="R499" s="1154"/>
      <c r="S499" s="1154"/>
      <c r="T499" s="1154"/>
      <c r="U499" s="1154"/>
      <c r="V499" s="1154"/>
      <c r="W499" s="1154"/>
      <c r="X499" s="1154"/>
      <c r="Y499" s="1154"/>
      <c r="Z499" s="1154"/>
    </row>
    <row r="500">
      <c r="A500" s="1154"/>
      <c r="B500" s="1154"/>
      <c r="C500" s="1154"/>
      <c r="D500" s="1154"/>
      <c r="E500" s="1154"/>
      <c r="F500" s="1154"/>
      <c r="G500" s="1154"/>
      <c r="H500" s="1154"/>
      <c r="I500" s="1154"/>
      <c r="J500" s="1154"/>
      <c r="K500" s="1154"/>
      <c r="L500" s="1154"/>
      <c r="M500" s="1154"/>
      <c r="N500" s="1154"/>
      <c r="O500" s="1154"/>
      <c r="P500" s="1154"/>
      <c r="Q500" s="1154"/>
      <c r="R500" s="1154"/>
      <c r="S500" s="1154"/>
      <c r="T500" s="1154"/>
      <c r="U500" s="1154"/>
      <c r="V500" s="1154"/>
      <c r="W500" s="1154"/>
      <c r="X500" s="1154"/>
      <c r="Y500" s="1154"/>
      <c r="Z500" s="1154"/>
    </row>
    <row r="501">
      <c r="A501" s="1154"/>
      <c r="B501" s="1154"/>
      <c r="C501" s="1154"/>
      <c r="D501" s="1154"/>
      <c r="E501" s="1154"/>
      <c r="F501" s="1154"/>
      <c r="G501" s="1154"/>
      <c r="H501" s="1154"/>
      <c r="I501" s="1154"/>
      <c r="J501" s="1154"/>
      <c r="K501" s="1154"/>
      <c r="L501" s="1154"/>
      <c r="M501" s="1154"/>
      <c r="N501" s="1154"/>
      <c r="O501" s="1154"/>
      <c r="P501" s="1154"/>
      <c r="Q501" s="1154"/>
      <c r="R501" s="1154"/>
      <c r="S501" s="1154"/>
      <c r="T501" s="1154"/>
      <c r="U501" s="1154"/>
      <c r="V501" s="1154"/>
      <c r="W501" s="1154"/>
      <c r="X501" s="1154"/>
      <c r="Y501" s="1154"/>
      <c r="Z501" s="1154"/>
    </row>
    <row r="502">
      <c r="A502" s="1154"/>
      <c r="B502" s="1154"/>
      <c r="C502" s="1154"/>
      <c r="D502" s="1154"/>
      <c r="E502" s="1154"/>
      <c r="F502" s="1154"/>
      <c r="G502" s="1154"/>
      <c r="H502" s="1154"/>
      <c r="I502" s="1154"/>
      <c r="J502" s="1154"/>
      <c r="K502" s="1154"/>
      <c r="L502" s="1154"/>
      <c r="M502" s="1154"/>
      <c r="N502" s="1154"/>
      <c r="O502" s="1154"/>
      <c r="P502" s="1154"/>
      <c r="Q502" s="1154"/>
      <c r="R502" s="1154"/>
      <c r="S502" s="1154"/>
      <c r="T502" s="1154"/>
      <c r="U502" s="1154"/>
      <c r="V502" s="1154"/>
      <c r="W502" s="1154"/>
      <c r="X502" s="1154"/>
      <c r="Y502" s="1154"/>
      <c r="Z502" s="1154"/>
    </row>
    <row r="503">
      <c r="A503" s="1154"/>
      <c r="B503" s="1154"/>
      <c r="C503" s="1154"/>
      <c r="D503" s="1154"/>
      <c r="E503" s="1154"/>
      <c r="F503" s="1154"/>
      <c r="G503" s="1154"/>
      <c r="H503" s="1154"/>
      <c r="I503" s="1154"/>
      <c r="J503" s="1154"/>
      <c r="K503" s="1154"/>
      <c r="L503" s="1154"/>
      <c r="M503" s="1154"/>
      <c r="N503" s="1154"/>
      <c r="O503" s="1154"/>
      <c r="P503" s="1154"/>
      <c r="Q503" s="1154"/>
      <c r="R503" s="1154"/>
      <c r="S503" s="1154"/>
      <c r="T503" s="1154"/>
      <c r="U503" s="1154"/>
      <c r="V503" s="1154"/>
      <c r="W503" s="1154"/>
      <c r="X503" s="1154"/>
      <c r="Y503" s="1154"/>
      <c r="Z503" s="1154"/>
    </row>
    <row r="504">
      <c r="A504" s="1154"/>
      <c r="B504" s="1154"/>
      <c r="C504" s="1154"/>
      <c r="D504" s="1154"/>
      <c r="E504" s="1154"/>
      <c r="F504" s="1154"/>
      <c r="G504" s="1154"/>
      <c r="H504" s="1154"/>
      <c r="I504" s="1154"/>
      <c r="J504" s="1154"/>
      <c r="K504" s="1154"/>
      <c r="L504" s="1154"/>
      <c r="M504" s="1154"/>
      <c r="N504" s="1154"/>
      <c r="O504" s="1154"/>
      <c r="P504" s="1154"/>
      <c r="Q504" s="1154"/>
      <c r="R504" s="1154"/>
      <c r="S504" s="1154"/>
      <c r="T504" s="1154"/>
      <c r="U504" s="1154"/>
      <c r="V504" s="1154"/>
      <c r="W504" s="1154"/>
      <c r="X504" s="1154"/>
      <c r="Y504" s="1154"/>
      <c r="Z504" s="1154"/>
    </row>
    <row r="505">
      <c r="A505" s="1154"/>
      <c r="B505" s="1154"/>
      <c r="C505" s="1154"/>
      <c r="D505" s="1154"/>
      <c r="E505" s="1154"/>
      <c r="F505" s="1154"/>
      <c r="G505" s="1154"/>
      <c r="H505" s="1154"/>
      <c r="I505" s="1154"/>
      <c r="J505" s="1154"/>
      <c r="K505" s="1154"/>
      <c r="L505" s="1154"/>
      <c r="M505" s="1154"/>
      <c r="N505" s="1154"/>
      <c r="O505" s="1154"/>
      <c r="P505" s="1154"/>
      <c r="Q505" s="1154"/>
      <c r="R505" s="1154"/>
      <c r="S505" s="1154"/>
      <c r="T505" s="1154"/>
      <c r="U505" s="1154"/>
      <c r="V505" s="1154"/>
      <c r="W505" s="1154"/>
      <c r="X505" s="1154"/>
      <c r="Y505" s="1154"/>
      <c r="Z505" s="1154"/>
    </row>
    <row r="506">
      <c r="A506" s="1154"/>
      <c r="B506" s="1154"/>
      <c r="C506" s="1154"/>
      <c r="D506" s="1154"/>
      <c r="E506" s="1154"/>
      <c r="F506" s="1154"/>
      <c r="G506" s="1154"/>
      <c r="H506" s="1154"/>
      <c r="I506" s="1154"/>
      <c r="J506" s="1154"/>
      <c r="K506" s="1154"/>
      <c r="L506" s="1154"/>
      <c r="M506" s="1154"/>
      <c r="N506" s="1154"/>
      <c r="O506" s="1154"/>
      <c r="P506" s="1154"/>
      <c r="Q506" s="1154"/>
      <c r="R506" s="1154"/>
      <c r="S506" s="1154"/>
      <c r="T506" s="1154"/>
      <c r="U506" s="1154"/>
      <c r="V506" s="1154"/>
      <c r="W506" s="1154"/>
      <c r="X506" s="1154"/>
      <c r="Y506" s="1154"/>
      <c r="Z506" s="1154"/>
    </row>
    <row r="507">
      <c r="A507" s="1154"/>
      <c r="B507" s="1154"/>
      <c r="C507" s="1154"/>
      <c r="D507" s="1154"/>
      <c r="E507" s="1154"/>
      <c r="F507" s="1154"/>
      <c r="G507" s="1154"/>
      <c r="H507" s="1154"/>
      <c r="I507" s="1154"/>
      <c r="J507" s="1154"/>
      <c r="K507" s="1154"/>
      <c r="L507" s="1154"/>
      <c r="M507" s="1154"/>
      <c r="N507" s="1154"/>
      <c r="O507" s="1154"/>
      <c r="P507" s="1154"/>
      <c r="Q507" s="1154"/>
      <c r="R507" s="1154"/>
      <c r="S507" s="1154"/>
      <c r="T507" s="1154"/>
      <c r="U507" s="1154"/>
      <c r="V507" s="1154"/>
      <c r="W507" s="1154"/>
      <c r="X507" s="1154"/>
      <c r="Y507" s="1154"/>
      <c r="Z507" s="1154"/>
    </row>
    <row r="508">
      <c r="A508" s="1154"/>
      <c r="B508" s="1154"/>
      <c r="C508" s="1154"/>
      <c r="D508" s="1154"/>
      <c r="E508" s="1154"/>
      <c r="F508" s="1154"/>
      <c r="G508" s="1154"/>
      <c r="H508" s="1154"/>
      <c r="I508" s="1154"/>
      <c r="J508" s="1154"/>
      <c r="K508" s="1154"/>
      <c r="L508" s="1154"/>
      <c r="M508" s="1154"/>
      <c r="N508" s="1154"/>
      <c r="O508" s="1154"/>
      <c r="P508" s="1154"/>
      <c r="Q508" s="1154"/>
      <c r="R508" s="1154"/>
      <c r="S508" s="1154"/>
      <c r="T508" s="1154"/>
      <c r="U508" s="1154"/>
      <c r="V508" s="1154"/>
      <c r="W508" s="1154"/>
      <c r="X508" s="1154"/>
      <c r="Y508" s="1154"/>
      <c r="Z508" s="1154"/>
    </row>
    <row r="509">
      <c r="A509" s="1154"/>
      <c r="B509" s="1154"/>
      <c r="C509" s="1154"/>
      <c r="D509" s="1154"/>
      <c r="E509" s="1154"/>
      <c r="F509" s="1154"/>
      <c r="G509" s="1154"/>
      <c r="H509" s="1154"/>
      <c r="I509" s="1154"/>
      <c r="J509" s="1154"/>
      <c r="K509" s="1154"/>
      <c r="L509" s="1154"/>
      <c r="M509" s="1154"/>
      <c r="N509" s="1154"/>
      <c r="O509" s="1154"/>
      <c r="P509" s="1154"/>
      <c r="Q509" s="1154"/>
      <c r="R509" s="1154"/>
      <c r="S509" s="1154"/>
      <c r="T509" s="1154"/>
      <c r="U509" s="1154"/>
      <c r="V509" s="1154"/>
      <c r="W509" s="1154"/>
      <c r="X509" s="1154"/>
      <c r="Y509" s="1154"/>
      <c r="Z509" s="1154"/>
    </row>
    <row r="510">
      <c r="A510" s="1154"/>
      <c r="B510" s="1154"/>
      <c r="C510" s="1154"/>
      <c r="D510" s="1154"/>
      <c r="E510" s="1154"/>
      <c r="F510" s="1154"/>
      <c r="G510" s="1154"/>
      <c r="H510" s="1154"/>
      <c r="I510" s="1154"/>
      <c r="J510" s="1154"/>
      <c r="K510" s="1154"/>
      <c r="L510" s="1154"/>
      <c r="M510" s="1154"/>
      <c r="N510" s="1154"/>
      <c r="O510" s="1154"/>
      <c r="P510" s="1154"/>
      <c r="Q510" s="1154"/>
      <c r="R510" s="1154"/>
      <c r="S510" s="1154"/>
      <c r="T510" s="1154"/>
      <c r="U510" s="1154"/>
      <c r="V510" s="1154"/>
      <c r="W510" s="1154"/>
      <c r="X510" s="1154"/>
      <c r="Y510" s="1154"/>
      <c r="Z510" s="1154"/>
    </row>
    <row r="511">
      <c r="A511" s="1154"/>
      <c r="B511" s="1154"/>
      <c r="C511" s="1154"/>
      <c r="D511" s="1154"/>
      <c r="E511" s="1154"/>
      <c r="F511" s="1154"/>
      <c r="G511" s="1154"/>
      <c r="H511" s="1154"/>
      <c r="I511" s="1154"/>
      <c r="J511" s="1154"/>
      <c r="K511" s="1154"/>
      <c r="L511" s="1154"/>
      <c r="M511" s="1154"/>
      <c r="N511" s="1154"/>
      <c r="O511" s="1154"/>
      <c r="P511" s="1154"/>
      <c r="Q511" s="1154"/>
      <c r="R511" s="1154"/>
      <c r="S511" s="1154"/>
      <c r="T511" s="1154"/>
      <c r="U511" s="1154"/>
      <c r="V511" s="1154"/>
      <c r="W511" s="1154"/>
      <c r="X511" s="1154"/>
      <c r="Y511" s="1154"/>
      <c r="Z511" s="1154"/>
    </row>
    <row r="512">
      <c r="A512" s="1154"/>
      <c r="B512" s="1154"/>
      <c r="C512" s="1154"/>
      <c r="D512" s="1154"/>
      <c r="E512" s="1154"/>
      <c r="F512" s="1154"/>
      <c r="G512" s="1154"/>
      <c r="H512" s="1154"/>
      <c r="I512" s="1154"/>
      <c r="J512" s="1154"/>
      <c r="K512" s="1154"/>
      <c r="L512" s="1154"/>
      <c r="M512" s="1154"/>
      <c r="N512" s="1154"/>
      <c r="O512" s="1154"/>
      <c r="P512" s="1154"/>
      <c r="Q512" s="1154"/>
      <c r="R512" s="1154"/>
      <c r="S512" s="1154"/>
      <c r="T512" s="1154"/>
      <c r="U512" s="1154"/>
      <c r="V512" s="1154"/>
      <c r="W512" s="1154"/>
      <c r="X512" s="1154"/>
      <c r="Y512" s="1154"/>
      <c r="Z512" s="1154"/>
    </row>
    <row r="513">
      <c r="A513" s="1154"/>
      <c r="B513" s="1154"/>
      <c r="C513" s="1154"/>
      <c r="D513" s="1154"/>
      <c r="E513" s="1154"/>
      <c r="F513" s="1154"/>
      <c r="G513" s="1154"/>
      <c r="H513" s="1154"/>
      <c r="I513" s="1154"/>
      <c r="J513" s="1154"/>
      <c r="K513" s="1154"/>
      <c r="L513" s="1154"/>
      <c r="M513" s="1154"/>
      <c r="N513" s="1154"/>
      <c r="O513" s="1154"/>
      <c r="P513" s="1154"/>
      <c r="Q513" s="1154"/>
      <c r="R513" s="1154"/>
      <c r="S513" s="1154"/>
      <c r="T513" s="1154"/>
      <c r="U513" s="1154"/>
      <c r="V513" s="1154"/>
      <c r="W513" s="1154"/>
      <c r="X513" s="1154"/>
      <c r="Y513" s="1154"/>
      <c r="Z513" s="1154"/>
    </row>
    <row r="514">
      <c r="A514" s="1154"/>
      <c r="B514" s="1154"/>
      <c r="C514" s="1154"/>
      <c r="D514" s="1154"/>
      <c r="E514" s="1154"/>
      <c r="F514" s="1154"/>
      <c r="G514" s="1154"/>
      <c r="H514" s="1154"/>
      <c r="I514" s="1154"/>
      <c r="J514" s="1154"/>
      <c r="K514" s="1154"/>
      <c r="L514" s="1154"/>
      <c r="M514" s="1154"/>
      <c r="N514" s="1154"/>
      <c r="O514" s="1154"/>
      <c r="P514" s="1154"/>
      <c r="Q514" s="1154"/>
      <c r="R514" s="1154"/>
      <c r="S514" s="1154"/>
      <c r="T514" s="1154"/>
      <c r="U514" s="1154"/>
      <c r="V514" s="1154"/>
      <c r="W514" s="1154"/>
      <c r="X514" s="1154"/>
      <c r="Y514" s="1154"/>
      <c r="Z514" s="1154"/>
    </row>
    <row r="515">
      <c r="A515" s="1154"/>
      <c r="B515" s="1154"/>
      <c r="C515" s="1154"/>
      <c r="D515" s="1154"/>
      <c r="E515" s="1154"/>
      <c r="F515" s="1154"/>
      <c r="G515" s="1154"/>
      <c r="H515" s="1154"/>
      <c r="I515" s="1154"/>
      <c r="J515" s="1154"/>
      <c r="K515" s="1154"/>
      <c r="L515" s="1154"/>
      <c r="M515" s="1154"/>
      <c r="N515" s="1154"/>
      <c r="O515" s="1154"/>
      <c r="P515" s="1154"/>
      <c r="Q515" s="1154"/>
      <c r="R515" s="1154"/>
      <c r="S515" s="1154"/>
      <c r="T515" s="1154"/>
      <c r="U515" s="1154"/>
      <c r="V515" s="1154"/>
      <c r="W515" s="1154"/>
      <c r="X515" s="1154"/>
      <c r="Y515" s="1154"/>
      <c r="Z515" s="1154"/>
    </row>
    <row r="516">
      <c r="A516" s="1154"/>
      <c r="B516" s="1154"/>
      <c r="C516" s="1154"/>
      <c r="D516" s="1154"/>
      <c r="E516" s="1154"/>
      <c r="F516" s="1154"/>
      <c r="G516" s="1154"/>
      <c r="H516" s="1154"/>
      <c r="I516" s="1154"/>
      <c r="J516" s="1154"/>
      <c r="K516" s="1154"/>
      <c r="L516" s="1154"/>
      <c r="M516" s="1154"/>
      <c r="N516" s="1154"/>
      <c r="O516" s="1154"/>
      <c r="P516" s="1154"/>
      <c r="Q516" s="1154"/>
      <c r="R516" s="1154"/>
      <c r="S516" s="1154"/>
      <c r="T516" s="1154"/>
      <c r="U516" s="1154"/>
      <c r="V516" s="1154"/>
      <c r="W516" s="1154"/>
      <c r="X516" s="1154"/>
      <c r="Y516" s="1154"/>
      <c r="Z516" s="1154"/>
    </row>
    <row r="517">
      <c r="A517" s="1154"/>
      <c r="B517" s="1154"/>
      <c r="C517" s="1154"/>
      <c r="D517" s="1154"/>
      <c r="E517" s="1154"/>
      <c r="F517" s="1154"/>
      <c r="G517" s="1154"/>
      <c r="H517" s="1154"/>
      <c r="I517" s="1154"/>
      <c r="J517" s="1154"/>
      <c r="K517" s="1154"/>
      <c r="L517" s="1154"/>
      <c r="M517" s="1154"/>
      <c r="N517" s="1154"/>
      <c r="O517" s="1154"/>
      <c r="P517" s="1154"/>
      <c r="Q517" s="1154"/>
      <c r="R517" s="1154"/>
      <c r="S517" s="1154"/>
      <c r="T517" s="1154"/>
      <c r="U517" s="1154"/>
      <c r="V517" s="1154"/>
      <c r="W517" s="1154"/>
      <c r="X517" s="1154"/>
      <c r="Y517" s="1154"/>
      <c r="Z517" s="1154"/>
    </row>
    <row r="518">
      <c r="A518" s="1154"/>
      <c r="B518" s="1154"/>
      <c r="C518" s="1154"/>
      <c r="D518" s="1154"/>
      <c r="E518" s="1154"/>
      <c r="F518" s="1154"/>
      <c r="G518" s="1154"/>
      <c r="H518" s="1154"/>
      <c r="I518" s="1154"/>
      <c r="J518" s="1154"/>
      <c r="K518" s="1154"/>
      <c r="L518" s="1154"/>
      <c r="M518" s="1154"/>
      <c r="N518" s="1154"/>
      <c r="O518" s="1154"/>
      <c r="P518" s="1154"/>
      <c r="Q518" s="1154"/>
      <c r="R518" s="1154"/>
      <c r="S518" s="1154"/>
      <c r="T518" s="1154"/>
      <c r="U518" s="1154"/>
      <c r="V518" s="1154"/>
      <c r="W518" s="1154"/>
      <c r="X518" s="1154"/>
      <c r="Y518" s="1154"/>
      <c r="Z518" s="1154"/>
    </row>
    <row r="519">
      <c r="A519" s="1154"/>
      <c r="B519" s="1154"/>
      <c r="C519" s="1154"/>
      <c r="D519" s="1154"/>
      <c r="E519" s="1154"/>
      <c r="F519" s="1154"/>
      <c r="G519" s="1154"/>
      <c r="H519" s="1154"/>
      <c r="I519" s="1154"/>
      <c r="J519" s="1154"/>
      <c r="K519" s="1154"/>
      <c r="L519" s="1154"/>
      <c r="M519" s="1154"/>
      <c r="N519" s="1154"/>
      <c r="O519" s="1154"/>
      <c r="P519" s="1154"/>
      <c r="Q519" s="1154"/>
      <c r="R519" s="1154"/>
      <c r="S519" s="1154"/>
      <c r="T519" s="1154"/>
      <c r="U519" s="1154"/>
      <c r="V519" s="1154"/>
      <c r="W519" s="1154"/>
      <c r="X519" s="1154"/>
      <c r="Y519" s="1154"/>
      <c r="Z519" s="1154"/>
    </row>
    <row r="520">
      <c r="A520" s="1154"/>
      <c r="B520" s="1154"/>
      <c r="C520" s="1154"/>
      <c r="D520" s="1154"/>
      <c r="E520" s="1154"/>
      <c r="F520" s="1154"/>
      <c r="G520" s="1154"/>
      <c r="H520" s="1154"/>
      <c r="I520" s="1154"/>
      <c r="J520" s="1154"/>
      <c r="K520" s="1154"/>
      <c r="L520" s="1154"/>
      <c r="M520" s="1154"/>
      <c r="N520" s="1154"/>
      <c r="O520" s="1154"/>
      <c r="P520" s="1154"/>
      <c r="Q520" s="1154"/>
      <c r="R520" s="1154"/>
      <c r="S520" s="1154"/>
      <c r="T520" s="1154"/>
      <c r="U520" s="1154"/>
      <c r="V520" s="1154"/>
      <c r="W520" s="1154"/>
      <c r="X520" s="1154"/>
      <c r="Y520" s="1154"/>
      <c r="Z520" s="1154"/>
    </row>
    <row r="521">
      <c r="A521" s="1154"/>
      <c r="B521" s="1154"/>
      <c r="C521" s="1154"/>
      <c r="D521" s="1154"/>
      <c r="E521" s="1154"/>
      <c r="F521" s="1154"/>
      <c r="G521" s="1154"/>
      <c r="H521" s="1154"/>
      <c r="I521" s="1154"/>
      <c r="J521" s="1154"/>
      <c r="K521" s="1154"/>
      <c r="L521" s="1154"/>
      <c r="M521" s="1154"/>
      <c r="N521" s="1154"/>
      <c r="O521" s="1154"/>
      <c r="P521" s="1154"/>
      <c r="Q521" s="1154"/>
      <c r="R521" s="1154"/>
      <c r="S521" s="1154"/>
      <c r="T521" s="1154"/>
      <c r="U521" s="1154"/>
      <c r="V521" s="1154"/>
      <c r="W521" s="1154"/>
      <c r="X521" s="1154"/>
      <c r="Y521" s="1154"/>
      <c r="Z521" s="1154"/>
    </row>
    <row r="522">
      <c r="A522" s="1154"/>
      <c r="B522" s="1154"/>
      <c r="C522" s="1154"/>
      <c r="D522" s="1154"/>
      <c r="E522" s="1154"/>
      <c r="F522" s="1154"/>
      <c r="G522" s="1154"/>
      <c r="H522" s="1154"/>
      <c r="I522" s="1154"/>
      <c r="J522" s="1154"/>
      <c r="K522" s="1154"/>
      <c r="L522" s="1154"/>
      <c r="M522" s="1154"/>
      <c r="N522" s="1154"/>
      <c r="O522" s="1154"/>
      <c r="P522" s="1154"/>
      <c r="Q522" s="1154"/>
      <c r="R522" s="1154"/>
      <c r="S522" s="1154"/>
      <c r="T522" s="1154"/>
      <c r="U522" s="1154"/>
      <c r="V522" s="1154"/>
      <c r="W522" s="1154"/>
      <c r="X522" s="1154"/>
      <c r="Y522" s="1154"/>
      <c r="Z522" s="1154"/>
    </row>
    <row r="523">
      <c r="A523" s="1154"/>
      <c r="B523" s="1154"/>
      <c r="C523" s="1154"/>
      <c r="D523" s="1154"/>
      <c r="E523" s="1154"/>
      <c r="F523" s="1154"/>
      <c r="G523" s="1154"/>
      <c r="H523" s="1154"/>
      <c r="I523" s="1154"/>
      <c r="J523" s="1154"/>
      <c r="K523" s="1154"/>
      <c r="L523" s="1154"/>
      <c r="M523" s="1154"/>
      <c r="N523" s="1154"/>
      <c r="O523" s="1154"/>
      <c r="P523" s="1154"/>
      <c r="Q523" s="1154"/>
      <c r="R523" s="1154"/>
      <c r="S523" s="1154"/>
      <c r="T523" s="1154"/>
      <c r="U523" s="1154"/>
      <c r="V523" s="1154"/>
      <c r="W523" s="1154"/>
      <c r="X523" s="1154"/>
      <c r="Y523" s="1154"/>
      <c r="Z523" s="1154"/>
    </row>
    <row r="524">
      <c r="A524" s="1154"/>
      <c r="B524" s="1154"/>
      <c r="C524" s="1154"/>
      <c r="D524" s="1154"/>
      <c r="E524" s="1154"/>
      <c r="F524" s="1154"/>
      <c r="G524" s="1154"/>
      <c r="H524" s="1154"/>
      <c r="I524" s="1154"/>
      <c r="J524" s="1154"/>
      <c r="K524" s="1154"/>
      <c r="L524" s="1154"/>
      <c r="M524" s="1154"/>
      <c r="N524" s="1154"/>
      <c r="O524" s="1154"/>
      <c r="P524" s="1154"/>
      <c r="Q524" s="1154"/>
      <c r="R524" s="1154"/>
      <c r="S524" s="1154"/>
      <c r="T524" s="1154"/>
      <c r="U524" s="1154"/>
      <c r="V524" s="1154"/>
      <c r="W524" s="1154"/>
      <c r="X524" s="1154"/>
      <c r="Y524" s="1154"/>
      <c r="Z524" s="1154"/>
    </row>
    <row r="525">
      <c r="A525" s="1154"/>
      <c r="B525" s="1154"/>
      <c r="C525" s="1154"/>
      <c r="D525" s="1154"/>
      <c r="E525" s="1154"/>
      <c r="F525" s="1154"/>
      <c r="G525" s="1154"/>
      <c r="H525" s="1154"/>
      <c r="I525" s="1154"/>
      <c r="J525" s="1154"/>
      <c r="K525" s="1154"/>
      <c r="L525" s="1154"/>
      <c r="M525" s="1154"/>
      <c r="N525" s="1154"/>
      <c r="O525" s="1154"/>
      <c r="P525" s="1154"/>
      <c r="Q525" s="1154"/>
      <c r="R525" s="1154"/>
      <c r="S525" s="1154"/>
      <c r="T525" s="1154"/>
      <c r="U525" s="1154"/>
      <c r="V525" s="1154"/>
      <c r="W525" s="1154"/>
      <c r="X525" s="1154"/>
      <c r="Y525" s="1154"/>
      <c r="Z525" s="1154"/>
    </row>
    <row r="526">
      <c r="A526" s="1154"/>
      <c r="B526" s="1154"/>
      <c r="C526" s="1154"/>
      <c r="D526" s="1154"/>
      <c r="E526" s="1154"/>
      <c r="F526" s="1154"/>
      <c r="G526" s="1154"/>
      <c r="H526" s="1154"/>
      <c r="I526" s="1154"/>
      <c r="J526" s="1154"/>
      <c r="K526" s="1154"/>
      <c r="L526" s="1154"/>
      <c r="M526" s="1154"/>
      <c r="N526" s="1154"/>
      <c r="O526" s="1154"/>
      <c r="P526" s="1154"/>
      <c r="Q526" s="1154"/>
      <c r="R526" s="1154"/>
      <c r="S526" s="1154"/>
      <c r="T526" s="1154"/>
      <c r="U526" s="1154"/>
      <c r="V526" s="1154"/>
      <c r="W526" s="1154"/>
      <c r="X526" s="1154"/>
      <c r="Y526" s="1154"/>
      <c r="Z526" s="1154"/>
    </row>
    <row r="527">
      <c r="A527" s="1154"/>
      <c r="B527" s="1154"/>
      <c r="C527" s="1154"/>
      <c r="D527" s="1154"/>
      <c r="E527" s="1154"/>
      <c r="F527" s="1154"/>
      <c r="G527" s="1154"/>
      <c r="H527" s="1154"/>
      <c r="I527" s="1154"/>
      <c r="J527" s="1154"/>
      <c r="K527" s="1154"/>
      <c r="L527" s="1154"/>
      <c r="M527" s="1154"/>
      <c r="N527" s="1154"/>
      <c r="O527" s="1154"/>
      <c r="P527" s="1154"/>
      <c r="Q527" s="1154"/>
      <c r="R527" s="1154"/>
      <c r="S527" s="1154"/>
      <c r="T527" s="1154"/>
      <c r="U527" s="1154"/>
      <c r="V527" s="1154"/>
      <c r="W527" s="1154"/>
      <c r="X527" s="1154"/>
      <c r="Y527" s="1154"/>
      <c r="Z527" s="1154"/>
    </row>
    <row r="528">
      <c r="A528" s="1154"/>
      <c r="B528" s="1154"/>
      <c r="C528" s="1154"/>
      <c r="D528" s="1154"/>
      <c r="E528" s="1154"/>
      <c r="F528" s="1154"/>
      <c r="G528" s="1154"/>
      <c r="H528" s="1154"/>
      <c r="I528" s="1154"/>
      <c r="J528" s="1154"/>
      <c r="K528" s="1154"/>
      <c r="L528" s="1154"/>
      <c r="M528" s="1154"/>
      <c r="N528" s="1154"/>
      <c r="O528" s="1154"/>
      <c r="P528" s="1154"/>
      <c r="Q528" s="1154"/>
      <c r="R528" s="1154"/>
      <c r="S528" s="1154"/>
      <c r="T528" s="1154"/>
      <c r="U528" s="1154"/>
      <c r="V528" s="1154"/>
      <c r="W528" s="1154"/>
      <c r="X528" s="1154"/>
      <c r="Y528" s="1154"/>
      <c r="Z528" s="1154"/>
    </row>
    <row r="529">
      <c r="A529" s="1154"/>
      <c r="B529" s="1154"/>
      <c r="C529" s="1154"/>
      <c r="D529" s="1154"/>
      <c r="E529" s="1154"/>
      <c r="F529" s="1154"/>
      <c r="G529" s="1154"/>
      <c r="H529" s="1154"/>
      <c r="I529" s="1154"/>
      <c r="J529" s="1154"/>
      <c r="K529" s="1154"/>
      <c r="L529" s="1154"/>
      <c r="M529" s="1154"/>
      <c r="N529" s="1154"/>
      <c r="O529" s="1154"/>
      <c r="P529" s="1154"/>
      <c r="Q529" s="1154"/>
      <c r="R529" s="1154"/>
      <c r="S529" s="1154"/>
      <c r="T529" s="1154"/>
      <c r="U529" s="1154"/>
      <c r="V529" s="1154"/>
      <c r="W529" s="1154"/>
      <c r="X529" s="1154"/>
      <c r="Y529" s="1154"/>
      <c r="Z529" s="1154"/>
    </row>
    <row r="530">
      <c r="A530" s="1154"/>
      <c r="B530" s="1154"/>
      <c r="C530" s="1154"/>
      <c r="D530" s="1154"/>
      <c r="E530" s="1154"/>
      <c r="F530" s="1154"/>
      <c r="G530" s="1154"/>
      <c r="H530" s="1154"/>
      <c r="I530" s="1154"/>
      <c r="J530" s="1154"/>
      <c r="K530" s="1154"/>
      <c r="L530" s="1154"/>
      <c r="M530" s="1154"/>
      <c r="N530" s="1154"/>
      <c r="O530" s="1154"/>
      <c r="P530" s="1154"/>
      <c r="Q530" s="1154"/>
      <c r="R530" s="1154"/>
      <c r="S530" s="1154"/>
      <c r="T530" s="1154"/>
      <c r="U530" s="1154"/>
      <c r="V530" s="1154"/>
      <c r="W530" s="1154"/>
      <c r="X530" s="1154"/>
      <c r="Y530" s="1154"/>
      <c r="Z530" s="1154"/>
    </row>
    <row r="531">
      <c r="A531" s="1154"/>
      <c r="B531" s="1154"/>
      <c r="C531" s="1154"/>
      <c r="D531" s="1154"/>
      <c r="E531" s="1154"/>
      <c r="F531" s="1154"/>
      <c r="G531" s="1154"/>
      <c r="H531" s="1154"/>
      <c r="I531" s="1154"/>
      <c r="J531" s="1154"/>
      <c r="K531" s="1154"/>
      <c r="L531" s="1154"/>
      <c r="M531" s="1154"/>
      <c r="N531" s="1154"/>
      <c r="O531" s="1154"/>
      <c r="P531" s="1154"/>
      <c r="Q531" s="1154"/>
      <c r="R531" s="1154"/>
      <c r="S531" s="1154"/>
      <c r="T531" s="1154"/>
      <c r="U531" s="1154"/>
      <c r="V531" s="1154"/>
      <c r="W531" s="1154"/>
      <c r="X531" s="1154"/>
      <c r="Y531" s="1154"/>
      <c r="Z531" s="1154"/>
    </row>
    <row r="532">
      <c r="A532" s="1154"/>
      <c r="B532" s="1154"/>
      <c r="C532" s="1154"/>
      <c r="D532" s="1154"/>
      <c r="E532" s="1154"/>
      <c r="F532" s="1154"/>
      <c r="G532" s="1154"/>
      <c r="H532" s="1154"/>
      <c r="I532" s="1154"/>
      <c r="J532" s="1154"/>
      <c r="K532" s="1154"/>
      <c r="L532" s="1154"/>
      <c r="M532" s="1154"/>
      <c r="N532" s="1154"/>
      <c r="O532" s="1154"/>
      <c r="P532" s="1154"/>
      <c r="Q532" s="1154"/>
      <c r="R532" s="1154"/>
      <c r="S532" s="1154"/>
      <c r="T532" s="1154"/>
      <c r="U532" s="1154"/>
      <c r="V532" s="1154"/>
      <c r="W532" s="1154"/>
      <c r="X532" s="1154"/>
      <c r="Y532" s="1154"/>
      <c r="Z532" s="1154"/>
    </row>
    <row r="533">
      <c r="A533" s="1154"/>
      <c r="B533" s="1154"/>
      <c r="C533" s="1154"/>
      <c r="D533" s="1154"/>
      <c r="E533" s="1154"/>
      <c r="F533" s="1154"/>
      <c r="G533" s="1154"/>
      <c r="H533" s="1154"/>
      <c r="I533" s="1154"/>
      <c r="J533" s="1154"/>
      <c r="K533" s="1154"/>
      <c r="L533" s="1154"/>
      <c r="M533" s="1154"/>
      <c r="N533" s="1154"/>
      <c r="O533" s="1154"/>
      <c r="P533" s="1154"/>
      <c r="Q533" s="1154"/>
      <c r="R533" s="1154"/>
      <c r="S533" s="1154"/>
      <c r="T533" s="1154"/>
      <c r="U533" s="1154"/>
      <c r="V533" s="1154"/>
      <c r="W533" s="1154"/>
      <c r="X533" s="1154"/>
      <c r="Y533" s="1154"/>
      <c r="Z533" s="1154"/>
    </row>
    <row r="534">
      <c r="A534" s="1154"/>
      <c r="B534" s="1154"/>
      <c r="C534" s="1154"/>
      <c r="D534" s="1154"/>
      <c r="E534" s="1154"/>
      <c r="F534" s="1154"/>
      <c r="G534" s="1154"/>
      <c r="H534" s="1154"/>
      <c r="I534" s="1154"/>
      <c r="J534" s="1154"/>
      <c r="K534" s="1154"/>
      <c r="L534" s="1154"/>
      <c r="M534" s="1154"/>
      <c r="N534" s="1154"/>
      <c r="O534" s="1154"/>
      <c r="P534" s="1154"/>
      <c r="Q534" s="1154"/>
      <c r="R534" s="1154"/>
      <c r="S534" s="1154"/>
      <c r="T534" s="1154"/>
      <c r="U534" s="1154"/>
      <c r="V534" s="1154"/>
      <c r="W534" s="1154"/>
      <c r="X534" s="1154"/>
      <c r="Y534" s="1154"/>
      <c r="Z534" s="1154"/>
    </row>
    <row r="535">
      <c r="A535" s="1154"/>
      <c r="B535" s="1154"/>
      <c r="C535" s="1154"/>
      <c r="D535" s="1154"/>
      <c r="E535" s="1154"/>
      <c r="F535" s="1154"/>
      <c r="G535" s="1154"/>
      <c r="H535" s="1154"/>
      <c r="I535" s="1154"/>
      <c r="J535" s="1154"/>
      <c r="K535" s="1154"/>
      <c r="L535" s="1154"/>
      <c r="M535" s="1154"/>
      <c r="N535" s="1154"/>
      <c r="O535" s="1154"/>
      <c r="P535" s="1154"/>
      <c r="Q535" s="1154"/>
      <c r="R535" s="1154"/>
      <c r="S535" s="1154"/>
      <c r="T535" s="1154"/>
      <c r="U535" s="1154"/>
      <c r="V535" s="1154"/>
      <c r="W535" s="1154"/>
      <c r="X535" s="1154"/>
      <c r="Y535" s="1154"/>
      <c r="Z535" s="1154"/>
    </row>
    <row r="536">
      <c r="A536" s="1154"/>
      <c r="B536" s="1154"/>
      <c r="C536" s="1154"/>
      <c r="D536" s="1154"/>
      <c r="E536" s="1154"/>
      <c r="F536" s="1154"/>
      <c r="G536" s="1154"/>
      <c r="H536" s="1154"/>
      <c r="I536" s="1154"/>
      <c r="J536" s="1154"/>
      <c r="K536" s="1154"/>
      <c r="L536" s="1154"/>
      <c r="M536" s="1154"/>
      <c r="N536" s="1154"/>
      <c r="O536" s="1154"/>
      <c r="P536" s="1154"/>
      <c r="Q536" s="1154"/>
      <c r="R536" s="1154"/>
      <c r="S536" s="1154"/>
      <c r="T536" s="1154"/>
      <c r="U536" s="1154"/>
      <c r="V536" s="1154"/>
      <c r="W536" s="1154"/>
      <c r="X536" s="1154"/>
      <c r="Y536" s="1154"/>
      <c r="Z536" s="1154"/>
    </row>
    <row r="537">
      <c r="A537" s="1154"/>
      <c r="B537" s="1154"/>
      <c r="C537" s="1154"/>
      <c r="D537" s="1154"/>
      <c r="E537" s="1154"/>
      <c r="F537" s="1154"/>
      <c r="G537" s="1154"/>
      <c r="H537" s="1154"/>
      <c r="I537" s="1154"/>
      <c r="J537" s="1154"/>
      <c r="K537" s="1154"/>
      <c r="L537" s="1154"/>
      <c r="M537" s="1154"/>
      <c r="N537" s="1154"/>
      <c r="O537" s="1154"/>
      <c r="P537" s="1154"/>
      <c r="Q537" s="1154"/>
      <c r="R537" s="1154"/>
      <c r="S537" s="1154"/>
      <c r="T537" s="1154"/>
      <c r="U537" s="1154"/>
      <c r="V537" s="1154"/>
      <c r="W537" s="1154"/>
      <c r="X537" s="1154"/>
      <c r="Y537" s="1154"/>
      <c r="Z537" s="1154"/>
    </row>
    <row r="538">
      <c r="A538" s="1154"/>
      <c r="B538" s="1154"/>
      <c r="C538" s="1154"/>
      <c r="D538" s="1154"/>
      <c r="E538" s="1154"/>
      <c r="F538" s="1154"/>
      <c r="G538" s="1154"/>
      <c r="H538" s="1154"/>
      <c r="I538" s="1154"/>
      <c r="J538" s="1154"/>
      <c r="K538" s="1154"/>
      <c r="L538" s="1154"/>
      <c r="M538" s="1154"/>
      <c r="N538" s="1154"/>
      <c r="O538" s="1154"/>
      <c r="P538" s="1154"/>
      <c r="Q538" s="1154"/>
      <c r="R538" s="1154"/>
      <c r="S538" s="1154"/>
      <c r="T538" s="1154"/>
      <c r="U538" s="1154"/>
      <c r="V538" s="1154"/>
      <c r="W538" s="1154"/>
      <c r="X538" s="1154"/>
      <c r="Y538" s="1154"/>
      <c r="Z538" s="1154"/>
    </row>
    <row r="539">
      <c r="A539" s="1154"/>
      <c r="B539" s="1154"/>
      <c r="C539" s="1154"/>
      <c r="D539" s="1154"/>
      <c r="E539" s="1154"/>
      <c r="F539" s="1154"/>
      <c r="G539" s="1154"/>
      <c r="H539" s="1154"/>
      <c r="I539" s="1154"/>
      <c r="J539" s="1154"/>
      <c r="K539" s="1154"/>
      <c r="L539" s="1154"/>
      <c r="M539" s="1154"/>
      <c r="N539" s="1154"/>
      <c r="O539" s="1154"/>
      <c r="P539" s="1154"/>
      <c r="Q539" s="1154"/>
      <c r="R539" s="1154"/>
      <c r="S539" s="1154"/>
      <c r="T539" s="1154"/>
      <c r="U539" s="1154"/>
      <c r="V539" s="1154"/>
      <c r="W539" s="1154"/>
      <c r="X539" s="1154"/>
      <c r="Y539" s="1154"/>
      <c r="Z539" s="1154"/>
    </row>
    <row r="540">
      <c r="A540" s="1154"/>
      <c r="B540" s="1154"/>
      <c r="C540" s="1154"/>
      <c r="D540" s="1154"/>
      <c r="E540" s="1154"/>
      <c r="F540" s="1154"/>
      <c r="G540" s="1154"/>
      <c r="H540" s="1154"/>
      <c r="I540" s="1154"/>
      <c r="J540" s="1154"/>
      <c r="K540" s="1154"/>
      <c r="L540" s="1154"/>
      <c r="M540" s="1154"/>
      <c r="N540" s="1154"/>
      <c r="O540" s="1154"/>
      <c r="P540" s="1154"/>
      <c r="Q540" s="1154"/>
      <c r="R540" s="1154"/>
      <c r="S540" s="1154"/>
      <c r="T540" s="1154"/>
      <c r="U540" s="1154"/>
      <c r="V540" s="1154"/>
      <c r="W540" s="1154"/>
      <c r="X540" s="1154"/>
      <c r="Y540" s="1154"/>
      <c r="Z540" s="1154"/>
    </row>
    <row r="541">
      <c r="A541" s="1154"/>
      <c r="B541" s="1154"/>
      <c r="C541" s="1154"/>
      <c r="D541" s="1154"/>
      <c r="E541" s="1154"/>
      <c r="F541" s="1154"/>
      <c r="G541" s="1154"/>
      <c r="H541" s="1154"/>
      <c r="I541" s="1154"/>
      <c r="J541" s="1154"/>
      <c r="K541" s="1154"/>
      <c r="L541" s="1154"/>
      <c r="M541" s="1154"/>
      <c r="N541" s="1154"/>
      <c r="O541" s="1154"/>
      <c r="P541" s="1154"/>
      <c r="Q541" s="1154"/>
      <c r="R541" s="1154"/>
      <c r="S541" s="1154"/>
      <c r="T541" s="1154"/>
      <c r="U541" s="1154"/>
      <c r="V541" s="1154"/>
      <c r="W541" s="1154"/>
      <c r="X541" s="1154"/>
      <c r="Y541" s="1154"/>
      <c r="Z541" s="1154"/>
    </row>
    <row r="542">
      <c r="A542" s="1154"/>
      <c r="B542" s="1154"/>
      <c r="C542" s="1154"/>
      <c r="D542" s="1154"/>
      <c r="E542" s="1154"/>
      <c r="F542" s="1154"/>
      <c r="G542" s="1154"/>
      <c r="H542" s="1154"/>
      <c r="I542" s="1154"/>
      <c r="J542" s="1154"/>
      <c r="K542" s="1154"/>
      <c r="L542" s="1154"/>
      <c r="M542" s="1154"/>
      <c r="N542" s="1154"/>
      <c r="O542" s="1154"/>
      <c r="P542" s="1154"/>
      <c r="Q542" s="1154"/>
      <c r="R542" s="1154"/>
      <c r="S542" s="1154"/>
      <c r="T542" s="1154"/>
      <c r="U542" s="1154"/>
      <c r="V542" s="1154"/>
      <c r="W542" s="1154"/>
      <c r="X542" s="1154"/>
      <c r="Y542" s="1154"/>
      <c r="Z542" s="1154"/>
    </row>
    <row r="543">
      <c r="A543" s="1154"/>
      <c r="B543" s="1154"/>
      <c r="C543" s="1154"/>
      <c r="D543" s="1154"/>
      <c r="E543" s="1154"/>
      <c r="F543" s="1154"/>
      <c r="G543" s="1154"/>
      <c r="H543" s="1154"/>
      <c r="I543" s="1154"/>
      <c r="J543" s="1154"/>
      <c r="K543" s="1154"/>
      <c r="L543" s="1154"/>
      <c r="M543" s="1154"/>
      <c r="N543" s="1154"/>
      <c r="O543" s="1154"/>
      <c r="P543" s="1154"/>
      <c r="Q543" s="1154"/>
      <c r="R543" s="1154"/>
      <c r="S543" s="1154"/>
      <c r="T543" s="1154"/>
      <c r="U543" s="1154"/>
      <c r="V543" s="1154"/>
      <c r="W543" s="1154"/>
      <c r="X543" s="1154"/>
      <c r="Y543" s="1154"/>
      <c r="Z543" s="1154"/>
    </row>
    <row r="544">
      <c r="A544" s="1154"/>
      <c r="B544" s="1154"/>
      <c r="C544" s="1154"/>
      <c r="D544" s="1154"/>
      <c r="E544" s="1154"/>
      <c r="F544" s="1154"/>
      <c r="G544" s="1154"/>
      <c r="H544" s="1154"/>
      <c r="I544" s="1154"/>
      <c r="J544" s="1154"/>
      <c r="K544" s="1154"/>
      <c r="L544" s="1154"/>
      <c r="M544" s="1154"/>
      <c r="N544" s="1154"/>
      <c r="O544" s="1154"/>
      <c r="P544" s="1154"/>
      <c r="Q544" s="1154"/>
      <c r="R544" s="1154"/>
      <c r="S544" s="1154"/>
      <c r="T544" s="1154"/>
      <c r="U544" s="1154"/>
      <c r="V544" s="1154"/>
      <c r="W544" s="1154"/>
      <c r="X544" s="1154"/>
      <c r="Y544" s="1154"/>
      <c r="Z544" s="1154"/>
    </row>
    <row r="545">
      <c r="A545" s="1154"/>
      <c r="B545" s="1154"/>
      <c r="C545" s="1154"/>
      <c r="D545" s="1154"/>
      <c r="E545" s="1154"/>
      <c r="F545" s="1154"/>
      <c r="G545" s="1154"/>
      <c r="H545" s="1154"/>
      <c r="I545" s="1154"/>
      <c r="J545" s="1154"/>
      <c r="K545" s="1154"/>
      <c r="L545" s="1154"/>
      <c r="M545" s="1154"/>
      <c r="N545" s="1154"/>
      <c r="O545" s="1154"/>
      <c r="P545" s="1154"/>
      <c r="Q545" s="1154"/>
      <c r="R545" s="1154"/>
      <c r="S545" s="1154"/>
      <c r="T545" s="1154"/>
      <c r="U545" s="1154"/>
      <c r="V545" s="1154"/>
      <c r="W545" s="1154"/>
      <c r="X545" s="1154"/>
      <c r="Y545" s="1154"/>
      <c r="Z545" s="1154"/>
    </row>
    <row r="546">
      <c r="A546" s="1154"/>
      <c r="B546" s="1154"/>
      <c r="C546" s="1154"/>
      <c r="D546" s="1154"/>
      <c r="E546" s="1154"/>
      <c r="F546" s="1154"/>
      <c r="G546" s="1154"/>
      <c r="H546" s="1154"/>
      <c r="I546" s="1154"/>
      <c r="J546" s="1154"/>
      <c r="K546" s="1154"/>
      <c r="L546" s="1154"/>
      <c r="M546" s="1154"/>
      <c r="N546" s="1154"/>
      <c r="O546" s="1154"/>
      <c r="P546" s="1154"/>
      <c r="Q546" s="1154"/>
      <c r="R546" s="1154"/>
      <c r="S546" s="1154"/>
      <c r="T546" s="1154"/>
      <c r="U546" s="1154"/>
      <c r="V546" s="1154"/>
      <c r="W546" s="1154"/>
      <c r="X546" s="1154"/>
      <c r="Y546" s="1154"/>
      <c r="Z546" s="1154"/>
    </row>
    <row r="547">
      <c r="A547" s="1154"/>
      <c r="B547" s="1154"/>
      <c r="C547" s="1154"/>
      <c r="D547" s="1154"/>
      <c r="E547" s="1154"/>
      <c r="F547" s="1154"/>
      <c r="G547" s="1154"/>
      <c r="H547" s="1154"/>
      <c r="I547" s="1154"/>
      <c r="J547" s="1154"/>
      <c r="K547" s="1154"/>
      <c r="L547" s="1154"/>
      <c r="M547" s="1154"/>
      <c r="N547" s="1154"/>
      <c r="O547" s="1154"/>
      <c r="P547" s="1154"/>
      <c r="Q547" s="1154"/>
      <c r="R547" s="1154"/>
      <c r="S547" s="1154"/>
      <c r="T547" s="1154"/>
      <c r="U547" s="1154"/>
      <c r="V547" s="1154"/>
      <c r="W547" s="1154"/>
      <c r="X547" s="1154"/>
      <c r="Y547" s="1154"/>
      <c r="Z547" s="1154"/>
    </row>
    <row r="548">
      <c r="A548" s="1154"/>
      <c r="B548" s="1154"/>
      <c r="C548" s="1154"/>
      <c r="D548" s="1154"/>
      <c r="E548" s="1154"/>
      <c r="F548" s="1154"/>
      <c r="G548" s="1154"/>
      <c r="H548" s="1154"/>
      <c r="I548" s="1154"/>
      <c r="J548" s="1154"/>
      <c r="K548" s="1154"/>
      <c r="L548" s="1154"/>
      <c r="M548" s="1154"/>
      <c r="N548" s="1154"/>
      <c r="O548" s="1154"/>
      <c r="P548" s="1154"/>
      <c r="Q548" s="1154"/>
      <c r="R548" s="1154"/>
      <c r="S548" s="1154"/>
      <c r="T548" s="1154"/>
      <c r="U548" s="1154"/>
      <c r="V548" s="1154"/>
      <c r="W548" s="1154"/>
      <c r="X548" s="1154"/>
      <c r="Y548" s="1154"/>
      <c r="Z548" s="1154"/>
    </row>
    <row r="549">
      <c r="A549" s="1154"/>
      <c r="B549" s="1154"/>
      <c r="C549" s="1154"/>
      <c r="D549" s="1154"/>
      <c r="E549" s="1154"/>
      <c r="F549" s="1154"/>
      <c r="G549" s="1154"/>
      <c r="H549" s="1154"/>
      <c r="I549" s="1154"/>
      <c r="J549" s="1154"/>
      <c r="K549" s="1154"/>
      <c r="L549" s="1154"/>
      <c r="M549" s="1154"/>
      <c r="N549" s="1154"/>
      <c r="O549" s="1154"/>
      <c r="P549" s="1154"/>
      <c r="Q549" s="1154"/>
      <c r="R549" s="1154"/>
      <c r="S549" s="1154"/>
      <c r="T549" s="1154"/>
      <c r="U549" s="1154"/>
      <c r="V549" s="1154"/>
      <c r="W549" s="1154"/>
      <c r="X549" s="1154"/>
      <c r="Y549" s="1154"/>
      <c r="Z549" s="1154"/>
    </row>
    <row r="550">
      <c r="A550" s="1154"/>
      <c r="B550" s="1154"/>
      <c r="C550" s="1154"/>
      <c r="D550" s="1154"/>
      <c r="E550" s="1154"/>
      <c r="F550" s="1154"/>
      <c r="G550" s="1154"/>
      <c r="H550" s="1154"/>
      <c r="I550" s="1154"/>
      <c r="J550" s="1154"/>
      <c r="K550" s="1154"/>
      <c r="L550" s="1154"/>
      <c r="M550" s="1154"/>
      <c r="N550" s="1154"/>
      <c r="O550" s="1154"/>
      <c r="P550" s="1154"/>
      <c r="Q550" s="1154"/>
      <c r="R550" s="1154"/>
      <c r="S550" s="1154"/>
      <c r="T550" s="1154"/>
      <c r="U550" s="1154"/>
      <c r="V550" s="1154"/>
      <c r="W550" s="1154"/>
      <c r="X550" s="1154"/>
      <c r="Y550" s="1154"/>
      <c r="Z550" s="1154"/>
    </row>
    <row r="551">
      <c r="A551" s="1154"/>
      <c r="B551" s="1154"/>
      <c r="C551" s="1154"/>
      <c r="D551" s="1154"/>
      <c r="E551" s="1154"/>
      <c r="F551" s="1154"/>
      <c r="G551" s="1154"/>
      <c r="H551" s="1154"/>
      <c r="I551" s="1154"/>
      <c r="J551" s="1154"/>
      <c r="K551" s="1154"/>
      <c r="L551" s="1154"/>
      <c r="M551" s="1154"/>
      <c r="N551" s="1154"/>
      <c r="O551" s="1154"/>
      <c r="P551" s="1154"/>
      <c r="Q551" s="1154"/>
      <c r="R551" s="1154"/>
      <c r="S551" s="1154"/>
      <c r="T551" s="1154"/>
      <c r="U551" s="1154"/>
      <c r="V551" s="1154"/>
      <c r="W551" s="1154"/>
      <c r="X551" s="1154"/>
      <c r="Y551" s="1154"/>
      <c r="Z551" s="1154"/>
    </row>
    <row r="552">
      <c r="A552" s="1154"/>
      <c r="B552" s="1154"/>
      <c r="C552" s="1154"/>
      <c r="D552" s="1154"/>
      <c r="E552" s="1154"/>
      <c r="F552" s="1154"/>
      <c r="G552" s="1154"/>
      <c r="H552" s="1154"/>
      <c r="I552" s="1154"/>
      <c r="J552" s="1154"/>
      <c r="K552" s="1154"/>
      <c r="L552" s="1154"/>
      <c r="M552" s="1154"/>
      <c r="N552" s="1154"/>
      <c r="O552" s="1154"/>
      <c r="P552" s="1154"/>
      <c r="Q552" s="1154"/>
      <c r="R552" s="1154"/>
      <c r="S552" s="1154"/>
      <c r="T552" s="1154"/>
      <c r="U552" s="1154"/>
      <c r="V552" s="1154"/>
      <c r="W552" s="1154"/>
      <c r="X552" s="1154"/>
      <c r="Y552" s="1154"/>
      <c r="Z552" s="1154"/>
    </row>
    <row r="553">
      <c r="A553" s="1154"/>
      <c r="B553" s="1154"/>
      <c r="C553" s="1154"/>
      <c r="D553" s="1154"/>
      <c r="E553" s="1154"/>
      <c r="F553" s="1154"/>
      <c r="G553" s="1154"/>
      <c r="H553" s="1154"/>
      <c r="I553" s="1154"/>
      <c r="J553" s="1154"/>
      <c r="K553" s="1154"/>
      <c r="L553" s="1154"/>
      <c r="M553" s="1154"/>
      <c r="N553" s="1154"/>
      <c r="O553" s="1154"/>
      <c r="P553" s="1154"/>
      <c r="Q553" s="1154"/>
      <c r="R553" s="1154"/>
      <c r="S553" s="1154"/>
      <c r="T553" s="1154"/>
      <c r="U553" s="1154"/>
      <c r="V553" s="1154"/>
      <c r="W553" s="1154"/>
      <c r="X553" s="1154"/>
      <c r="Y553" s="1154"/>
      <c r="Z553" s="1154"/>
    </row>
    <row r="554">
      <c r="A554" s="1154"/>
      <c r="B554" s="1154"/>
      <c r="C554" s="1154"/>
      <c r="D554" s="1154"/>
      <c r="E554" s="1154"/>
      <c r="F554" s="1154"/>
      <c r="G554" s="1154"/>
      <c r="H554" s="1154"/>
      <c r="I554" s="1154"/>
      <c r="J554" s="1154"/>
      <c r="K554" s="1154"/>
      <c r="L554" s="1154"/>
      <c r="M554" s="1154"/>
      <c r="N554" s="1154"/>
      <c r="O554" s="1154"/>
      <c r="P554" s="1154"/>
      <c r="Q554" s="1154"/>
      <c r="R554" s="1154"/>
      <c r="S554" s="1154"/>
      <c r="T554" s="1154"/>
      <c r="U554" s="1154"/>
      <c r="V554" s="1154"/>
      <c r="W554" s="1154"/>
      <c r="X554" s="1154"/>
      <c r="Y554" s="1154"/>
      <c r="Z554" s="1154"/>
    </row>
    <row r="555">
      <c r="A555" s="1154"/>
      <c r="B555" s="1154"/>
      <c r="C555" s="1154"/>
      <c r="D555" s="1154"/>
      <c r="E555" s="1154"/>
      <c r="F555" s="1154"/>
      <c r="G555" s="1154"/>
      <c r="H555" s="1154"/>
      <c r="I555" s="1154"/>
      <c r="J555" s="1154"/>
      <c r="K555" s="1154"/>
      <c r="L555" s="1154"/>
      <c r="M555" s="1154"/>
      <c r="N555" s="1154"/>
      <c r="O555" s="1154"/>
      <c r="P555" s="1154"/>
      <c r="Q555" s="1154"/>
      <c r="R555" s="1154"/>
      <c r="S555" s="1154"/>
      <c r="T555" s="1154"/>
      <c r="U555" s="1154"/>
      <c r="V555" s="1154"/>
      <c r="W555" s="1154"/>
      <c r="X555" s="1154"/>
      <c r="Y555" s="1154"/>
      <c r="Z555" s="1154"/>
    </row>
    <row r="556">
      <c r="A556" s="1154"/>
      <c r="B556" s="1154"/>
      <c r="C556" s="1154"/>
      <c r="D556" s="1154"/>
      <c r="E556" s="1154"/>
      <c r="F556" s="1154"/>
      <c r="G556" s="1154"/>
      <c r="H556" s="1154"/>
      <c r="I556" s="1154"/>
      <c r="J556" s="1154"/>
      <c r="K556" s="1154"/>
      <c r="L556" s="1154"/>
      <c r="M556" s="1154"/>
      <c r="N556" s="1154"/>
      <c r="O556" s="1154"/>
      <c r="P556" s="1154"/>
      <c r="Q556" s="1154"/>
      <c r="R556" s="1154"/>
      <c r="S556" s="1154"/>
      <c r="T556" s="1154"/>
      <c r="U556" s="1154"/>
      <c r="V556" s="1154"/>
      <c r="W556" s="1154"/>
      <c r="X556" s="1154"/>
      <c r="Y556" s="1154"/>
      <c r="Z556" s="1154"/>
    </row>
    <row r="557">
      <c r="A557" s="1154"/>
      <c r="B557" s="1154"/>
      <c r="C557" s="1154"/>
      <c r="D557" s="1154"/>
      <c r="E557" s="1154"/>
      <c r="F557" s="1154"/>
      <c r="G557" s="1154"/>
      <c r="H557" s="1154"/>
      <c r="I557" s="1154"/>
      <c r="J557" s="1154"/>
      <c r="K557" s="1154"/>
      <c r="L557" s="1154"/>
      <c r="M557" s="1154"/>
      <c r="N557" s="1154"/>
      <c r="O557" s="1154"/>
      <c r="P557" s="1154"/>
      <c r="Q557" s="1154"/>
      <c r="R557" s="1154"/>
      <c r="S557" s="1154"/>
      <c r="T557" s="1154"/>
      <c r="U557" s="1154"/>
      <c r="V557" s="1154"/>
      <c r="W557" s="1154"/>
      <c r="X557" s="1154"/>
      <c r="Y557" s="1154"/>
      <c r="Z557" s="1154"/>
    </row>
    <row r="558">
      <c r="A558" s="1154"/>
      <c r="B558" s="1154"/>
      <c r="C558" s="1154"/>
      <c r="D558" s="1154"/>
      <c r="E558" s="1154"/>
      <c r="F558" s="1154"/>
      <c r="G558" s="1154"/>
      <c r="H558" s="1154"/>
      <c r="I558" s="1154"/>
      <c r="J558" s="1154"/>
      <c r="K558" s="1154"/>
      <c r="L558" s="1154"/>
      <c r="M558" s="1154"/>
      <c r="N558" s="1154"/>
      <c r="O558" s="1154"/>
      <c r="P558" s="1154"/>
      <c r="Q558" s="1154"/>
      <c r="R558" s="1154"/>
      <c r="S558" s="1154"/>
      <c r="T558" s="1154"/>
      <c r="U558" s="1154"/>
      <c r="V558" s="1154"/>
      <c r="W558" s="1154"/>
      <c r="X558" s="1154"/>
      <c r="Y558" s="1154"/>
      <c r="Z558" s="1154"/>
    </row>
    <row r="559">
      <c r="A559" s="1154"/>
      <c r="B559" s="1154"/>
      <c r="C559" s="1154"/>
      <c r="D559" s="1154"/>
      <c r="E559" s="1154"/>
      <c r="F559" s="1154"/>
      <c r="G559" s="1154"/>
      <c r="H559" s="1154"/>
      <c r="I559" s="1154"/>
      <c r="J559" s="1154"/>
      <c r="K559" s="1154"/>
      <c r="L559" s="1154"/>
      <c r="M559" s="1154"/>
      <c r="N559" s="1154"/>
      <c r="O559" s="1154"/>
      <c r="P559" s="1154"/>
      <c r="Q559" s="1154"/>
      <c r="R559" s="1154"/>
      <c r="S559" s="1154"/>
      <c r="T559" s="1154"/>
      <c r="U559" s="1154"/>
      <c r="V559" s="1154"/>
      <c r="W559" s="1154"/>
      <c r="X559" s="1154"/>
      <c r="Y559" s="1154"/>
      <c r="Z559" s="1154"/>
    </row>
    <row r="560">
      <c r="A560" s="1154"/>
      <c r="B560" s="1154"/>
      <c r="C560" s="1154"/>
      <c r="D560" s="1154"/>
      <c r="E560" s="1154"/>
      <c r="F560" s="1154"/>
      <c r="G560" s="1154"/>
      <c r="H560" s="1154"/>
      <c r="I560" s="1154"/>
      <c r="J560" s="1154"/>
      <c r="K560" s="1154"/>
      <c r="L560" s="1154"/>
      <c r="M560" s="1154"/>
      <c r="N560" s="1154"/>
      <c r="O560" s="1154"/>
      <c r="P560" s="1154"/>
      <c r="Q560" s="1154"/>
      <c r="R560" s="1154"/>
      <c r="S560" s="1154"/>
      <c r="T560" s="1154"/>
      <c r="U560" s="1154"/>
      <c r="V560" s="1154"/>
      <c r="W560" s="1154"/>
      <c r="X560" s="1154"/>
      <c r="Y560" s="1154"/>
      <c r="Z560" s="1154"/>
    </row>
    <row r="561">
      <c r="A561" s="1154"/>
      <c r="B561" s="1154"/>
      <c r="C561" s="1154"/>
      <c r="D561" s="1154"/>
      <c r="E561" s="1154"/>
      <c r="F561" s="1154"/>
      <c r="G561" s="1154"/>
      <c r="H561" s="1154"/>
      <c r="I561" s="1154"/>
      <c r="J561" s="1154"/>
      <c r="K561" s="1154"/>
      <c r="L561" s="1154"/>
      <c r="M561" s="1154"/>
      <c r="N561" s="1154"/>
      <c r="O561" s="1154"/>
      <c r="P561" s="1154"/>
      <c r="Q561" s="1154"/>
      <c r="R561" s="1154"/>
      <c r="S561" s="1154"/>
      <c r="T561" s="1154"/>
      <c r="U561" s="1154"/>
      <c r="V561" s="1154"/>
      <c r="W561" s="1154"/>
      <c r="X561" s="1154"/>
      <c r="Y561" s="1154"/>
      <c r="Z561" s="1154"/>
    </row>
    <row r="562">
      <c r="A562" s="1154"/>
      <c r="B562" s="1154"/>
      <c r="C562" s="1154"/>
      <c r="D562" s="1154"/>
      <c r="E562" s="1154"/>
      <c r="F562" s="1154"/>
      <c r="G562" s="1154"/>
      <c r="H562" s="1154"/>
      <c r="I562" s="1154"/>
      <c r="J562" s="1154"/>
      <c r="K562" s="1154"/>
      <c r="L562" s="1154"/>
      <c r="M562" s="1154"/>
      <c r="N562" s="1154"/>
      <c r="O562" s="1154"/>
      <c r="P562" s="1154"/>
      <c r="Q562" s="1154"/>
      <c r="R562" s="1154"/>
      <c r="S562" s="1154"/>
      <c r="T562" s="1154"/>
      <c r="U562" s="1154"/>
      <c r="V562" s="1154"/>
      <c r="W562" s="1154"/>
      <c r="X562" s="1154"/>
      <c r="Y562" s="1154"/>
      <c r="Z562" s="1154"/>
    </row>
    <row r="563">
      <c r="A563" s="1154"/>
      <c r="B563" s="1154"/>
      <c r="C563" s="1154"/>
      <c r="D563" s="1154"/>
      <c r="E563" s="1154"/>
      <c r="F563" s="1154"/>
      <c r="G563" s="1154"/>
      <c r="H563" s="1154"/>
      <c r="I563" s="1154"/>
      <c r="J563" s="1154"/>
      <c r="K563" s="1154"/>
      <c r="L563" s="1154"/>
      <c r="M563" s="1154"/>
      <c r="N563" s="1154"/>
      <c r="O563" s="1154"/>
      <c r="P563" s="1154"/>
      <c r="Q563" s="1154"/>
      <c r="R563" s="1154"/>
      <c r="S563" s="1154"/>
      <c r="T563" s="1154"/>
      <c r="U563" s="1154"/>
      <c r="V563" s="1154"/>
      <c r="W563" s="1154"/>
      <c r="X563" s="1154"/>
      <c r="Y563" s="1154"/>
      <c r="Z563" s="1154"/>
    </row>
    <row r="564">
      <c r="A564" s="1154"/>
      <c r="B564" s="1154"/>
      <c r="C564" s="1154"/>
      <c r="D564" s="1154"/>
      <c r="E564" s="1154"/>
      <c r="F564" s="1154"/>
      <c r="G564" s="1154"/>
      <c r="H564" s="1154"/>
      <c r="I564" s="1154"/>
      <c r="J564" s="1154"/>
      <c r="K564" s="1154"/>
      <c r="L564" s="1154"/>
      <c r="M564" s="1154"/>
      <c r="N564" s="1154"/>
      <c r="O564" s="1154"/>
      <c r="P564" s="1154"/>
      <c r="Q564" s="1154"/>
      <c r="R564" s="1154"/>
      <c r="S564" s="1154"/>
      <c r="T564" s="1154"/>
      <c r="U564" s="1154"/>
      <c r="V564" s="1154"/>
      <c r="W564" s="1154"/>
      <c r="X564" s="1154"/>
      <c r="Y564" s="1154"/>
      <c r="Z564" s="1154"/>
    </row>
    <row r="565">
      <c r="A565" s="1154"/>
      <c r="B565" s="1154"/>
      <c r="C565" s="1154"/>
      <c r="D565" s="1154"/>
      <c r="E565" s="1154"/>
      <c r="F565" s="1154"/>
      <c r="G565" s="1154"/>
      <c r="H565" s="1154"/>
      <c r="I565" s="1154"/>
      <c r="J565" s="1154"/>
      <c r="K565" s="1154"/>
      <c r="L565" s="1154"/>
      <c r="M565" s="1154"/>
      <c r="N565" s="1154"/>
      <c r="O565" s="1154"/>
      <c r="P565" s="1154"/>
      <c r="Q565" s="1154"/>
      <c r="R565" s="1154"/>
      <c r="S565" s="1154"/>
      <c r="T565" s="1154"/>
      <c r="U565" s="1154"/>
      <c r="V565" s="1154"/>
      <c r="W565" s="1154"/>
      <c r="X565" s="1154"/>
      <c r="Y565" s="1154"/>
      <c r="Z565" s="1154"/>
    </row>
    <row r="566">
      <c r="A566" s="1154"/>
      <c r="B566" s="1154"/>
      <c r="C566" s="1154"/>
      <c r="D566" s="1154"/>
      <c r="E566" s="1154"/>
      <c r="F566" s="1154"/>
      <c r="G566" s="1154"/>
      <c r="H566" s="1154"/>
      <c r="I566" s="1154"/>
      <c r="J566" s="1154"/>
      <c r="K566" s="1154"/>
      <c r="L566" s="1154"/>
      <c r="M566" s="1154"/>
      <c r="N566" s="1154"/>
      <c r="O566" s="1154"/>
      <c r="P566" s="1154"/>
      <c r="Q566" s="1154"/>
      <c r="R566" s="1154"/>
      <c r="S566" s="1154"/>
      <c r="T566" s="1154"/>
      <c r="U566" s="1154"/>
      <c r="V566" s="1154"/>
      <c r="W566" s="1154"/>
      <c r="X566" s="1154"/>
      <c r="Y566" s="1154"/>
      <c r="Z566" s="1154"/>
    </row>
    <row r="567">
      <c r="A567" s="1154"/>
      <c r="B567" s="1154"/>
      <c r="C567" s="1154"/>
      <c r="D567" s="1154"/>
      <c r="E567" s="1154"/>
      <c r="F567" s="1154"/>
      <c r="G567" s="1154"/>
      <c r="H567" s="1154"/>
      <c r="I567" s="1154"/>
      <c r="J567" s="1154"/>
      <c r="K567" s="1154"/>
      <c r="L567" s="1154"/>
      <c r="M567" s="1154"/>
      <c r="N567" s="1154"/>
      <c r="O567" s="1154"/>
      <c r="P567" s="1154"/>
      <c r="Q567" s="1154"/>
      <c r="R567" s="1154"/>
      <c r="S567" s="1154"/>
      <c r="T567" s="1154"/>
      <c r="U567" s="1154"/>
      <c r="V567" s="1154"/>
      <c r="W567" s="1154"/>
      <c r="X567" s="1154"/>
      <c r="Y567" s="1154"/>
      <c r="Z567" s="1154"/>
    </row>
    <row r="568">
      <c r="A568" s="1154"/>
      <c r="B568" s="1154"/>
      <c r="C568" s="1154"/>
      <c r="D568" s="1154"/>
      <c r="E568" s="1154"/>
      <c r="F568" s="1154"/>
      <c r="G568" s="1154"/>
      <c r="H568" s="1154"/>
      <c r="I568" s="1154"/>
      <c r="J568" s="1154"/>
      <c r="K568" s="1154"/>
      <c r="L568" s="1154"/>
      <c r="M568" s="1154"/>
      <c r="N568" s="1154"/>
      <c r="O568" s="1154"/>
      <c r="P568" s="1154"/>
      <c r="Q568" s="1154"/>
      <c r="R568" s="1154"/>
      <c r="S568" s="1154"/>
      <c r="T568" s="1154"/>
      <c r="U568" s="1154"/>
      <c r="V568" s="1154"/>
      <c r="W568" s="1154"/>
      <c r="X568" s="1154"/>
      <c r="Y568" s="1154"/>
      <c r="Z568" s="1154"/>
    </row>
    <row r="569">
      <c r="A569" s="1154"/>
      <c r="B569" s="1154"/>
      <c r="C569" s="1154"/>
      <c r="D569" s="1154"/>
      <c r="E569" s="1154"/>
      <c r="F569" s="1154"/>
      <c r="G569" s="1154"/>
      <c r="H569" s="1154"/>
      <c r="I569" s="1154"/>
      <c r="J569" s="1154"/>
      <c r="K569" s="1154"/>
      <c r="L569" s="1154"/>
      <c r="M569" s="1154"/>
      <c r="N569" s="1154"/>
      <c r="O569" s="1154"/>
      <c r="P569" s="1154"/>
      <c r="Q569" s="1154"/>
      <c r="R569" s="1154"/>
      <c r="S569" s="1154"/>
      <c r="T569" s="1154"/>
      <c r="U569" s="1154"/>
      <c r="V569" s="1154"/>
      <c r="W569" s="1154"/>
      <c r="X569" s="1154"/>
      <c r="Y569" s="1154"/>
      <c r="Z569" s="1154"/>
    </row>
    <row r="570">
      <c r="A570" s="1154"/>
      <c r="B570" s="1154"/>
      <c r="C570" s="1154"/>
      <c r="D570" s="1154"/>
      <c r="E570" s="1154"/>
      <c r="F570" s="1154"/>
      <c r="G570" s="1154"/>
      <c r="H570" s="1154"/>
      <c r="I570" s="1154"/>
      <c r="J570" s="1154"/>
      <c r="K570" s="1154"/>
      <c r="L570" s="1154"/>
      <c r="M570" s="1154"/>
      <c r="N570" s="1154"/>
      <c r="O570" s="1154"/>
      <c r="P570" s="1154"/>
      <c r="Q570" s="1154"/>
      <c r="R570" s="1154"/>
      <c r="S570" s="1154"/>
      <c r="T570" s="1154"/>
      <c r="U570" s="1154"/>
      <c r="V570" s="1154"/>
      <c r="W570" s="1154"/>
      <c r="X570" s="1154"/>
      <c r="Y570" s="1154"/>
      <c r="Z570" s="1154"/>
    </row>
    <row r="571">
      <c r="A571" s="1154"/>
      <c r="B571" s="1154"/>
      <c r="C571" s="1154"/>
      <c r="D571" s="1154"/>
      <c r="E571" s="1154"/>
      <c r="F571" s="1154"/>
      <c r="G571" s="1154"/>
      <c r="H571" s="1154"/>
      <c r="I571" s="1154"/>
      <c r="J571" s="1154"/>
      <c r="K571" s="1154"/>
      <c r="L571" s="1154"/>
      <c r="M571" s="1154"/>
      <c r="N571" s="1154"/>
      <c r="O571" s="1154"/>
      <c r="P571" s="1154"/>
      <c r="Q571" s="1154"/>
      <c r="R571" s="1154"/>
      <c r="S571" s="1154"/>
      <c r="T571" s="1154"/>
      <c r="U571" s="1154"/>
      <c r="V571" s="1154"/>
      <c r="W571" s="1154"/>
      <c r="X571" s="1154"/>
      <c r="Y571" s="1154"/>
      <c r="Z571" s="1154"/>
    </row>
    <row r="572">
      <c r="A572" s="1154"/>
      <c r="B572" s="1154"/>
      <c r="C572" s="1154"/>
      <c r="D572" s="1154"/>
      <c r="E572" s="1154"/>
      <c r="F572" s="1154"/>
      <c r="G572" s="1154"/>
      <c r="H572" s="1154"/>
      <c r="I572" s="1154"/>
      <c r="J572" s="1154"/>
      <c r="K572" s="1154"/>
      <c r="L572" s="1154"/>
      <c r="M572" s="1154"/>
      <c r="N572" s="1154"/>
      <c r="O572" s="1154"/>
      <c r="P572" s="1154"/>
      <c r="Q572" s="1154"/>
      <c r="R572" s="1154"/>
      <c r="S572" s="1154"/>
      <c r="T572" s="1154"/>
      <c r="U572" s="1154"/>
      <c r="V572" s="1154"/>
      <c r="W572" s="1154"/>
      <c r="X572" s="1154"/>
      <c r="Y572" s="1154"/>
      <c r="Z572" s="1154"/>
    </row>
    <row r="573">
      <c r="A573" s="1154"/>
      <c r="B573" s="1154"/>
      <c r="C573" s="1154"/>
      <c r="D573" s="1154"/>
      <c r="E573" s="1154"/>
      <c r="F573" s="1154"/>
      <c r="G573" s="1154"/>
      <c r="H573" s="1154"/>
      <c r="I573" s="1154"/>
      <c r="J573" s="1154"/>
      <c r="K573" s="1154"/>
      <c r="L573" s="1154"/>
      <c r="M573" s="1154"/>
      <c r="N573" s="1154"/>
      <c r="O573" s="1154"/>
      <c r="P573" s="1154"/>
      <c r="Q573" s="1154"/>
      <c r="R573" s="1154"/>
      <c r="S573" s="1154"/>
      <c r="T573" s="1154"/>
      <c r="U573" s="1154"/>
      <c r="V573" s="1154"/>
      <c r="W573" s="1154"/>
      <c r="X573" s="1154"/>
      <c r="Y573" s="1154"/>
      <c r="Z573" s="1154"/>
    </row>
    <row r="574">
      <c r="A574" s="1154"/>
      <c r="B574" s="1154"/>
      <c r="C574" s="1154"/>
      <c r="D574" s="1154"/>
      <c r="E574" s="1154"/>
      <c r="F574" s="1154"/>
      <c r="G574" s="1154"/>
      <c r="H574" s="1154"/>
      <c r="I574" s="1154"/>
      <c r="J574" s="1154"/>
      <c r="K574" s="1154"/>
      <c r="L574" s="1154"/>
      <c r="M574" s="1154"/>
      <c r="N574" s="1154"/>
      <c r="O574" s="1154"/>
      <c r="P574" s="1154"/>
      <c r="Q574" s="1154"/>
      <c r="R574" s="1154"/>
      <c r="S574" s="1154"/>
      <c r="T574" s="1154"/>
      <c r="U574" s="1154"/>
      <c r="V574" s="1154"/>
      <c r="W574" s="1154"/>
      <c r="X574" s="1154"/>
      <c r="Y574" s="1154"/>
      <c r="Z574" s="1154"/>
    </row>
    <row r="575">
      <c r="A575" s="1154"/>
      <c r="B575" s="1154"/>
      <c r="C575" s="1154"/>
      <c r="D575" s="1154"/>
      <c r="E575" s="1154"/>
      <c r="F575" s="1154"/>
      <c r="G575" s="1154"/>
      <c r="H575" s="1154"/>
      <c r="I575" s="1154"/>
      <c r="J575" s="1154"/>
      <c r="K575" s="1154"/>
      <c r="L575" s="1154"/>
      <c r="M575" s="1154"/>
      <c r="N575" s="1154"/>
      <c r="O575" s="1154"/>
      <c r="P575" s="1154"/>
      <c r="Q575" s="1154"/>
      <c r="R575" s="1154"/>
      <c r="S575" s="1154"/>
      <c r="T575" s="1154"/>
      <c r="U575" s="1154"/>
      <c r="V575" s="1154"/>
      <c r="W575" s="1154"/>
      <c r="X575" s="1154"/>
      <c r="Y575" s="1154"/>
      <c r="Z575" s="1154"/>
    </row>
    <row r="576">
      <c r="A576" s="1154"/>
      <c r="B576" s="1154"/>
      <c r="C576" s="1154"/>
      <c r="D576" s="1154"/>
      <c r="E576" s="1154"/>
      <c r="F576" s="1154"/>
      <c r="G576" s="1154"/>
      <c r="H576" s="1154"/>
      <c r="I576" s="1154"/>
      <c r="J576" s="1154"/>
      <c r="K576" s="1154"/>
      <c r="L576" s="1154"/>
      <c r="M576" s="1154"/>
      <c r="N576" s="1154"/>
      <c r="O576" s="1154"/>
      <c r="P576" s="1154"/>
      <c r="Q576" s="1154"/>
      <c r="R576" s="1154"/>
      <c r="S576" s="1154"/>
      <c r="T576" s="1154"/>
      <c r="U576" s="1154"/>
      <c r="V576" s="1154"/>
      <c r="W576" s="1154"/>
      <c r="X576" s="1154"/>
      <c r="Y576" s="1154"/>
      <c r="Z576" s="1154"/>
    </row>
    <row r="577">
      <c r="A577" s="1154"/>
      <c r="B577" s="1154"/>
      <c r="C577" s="1154"/>
      <c r="D577" s="1154"/>
      <c r="E577" s="1154"/>
      <c r="F577" s="1154"/>
      <c r="G577" s="1154"/>
      <c r="H577" s="1154"/>
      <c r="I577" s="1154"/>
      <c r="J577" s="1154"/>
      <c r="K577" s="1154"/>
      <c r="L577" s="1154"/>
      <c r="M577" s="1154"/>
      <c r="N577" s="1154"/>
      <c r="O577" s="1154"/>
      <c r="P577" s="1154"/>
      <c r="Q577" s="1154"/>
      <c r="R577" s="1154"/>
      <c r="S577" s="1154"/>
      <c r="T577" s="1154"/>
      <c r="U577" s="1154"/>
      <c r="V577" s="1154"/>
      <c r="W577" s="1154"/>
      <c r="X577" s="1154"/>
      <c r="Y577" s="1154"/>
      <c r="Z577" s="1154"/>
    </row>
    <row r="578">
      <c r="A578" s="1154"/>
      <c r="B578" s="1154"/>
      <c r="C578" s="1154"/>
      <c r="D578" s="1154"/>
      <c r="E578" s="1154"/>
      <c r="F578" s="1154"/>
      <c r="G578" s="1154"/>
      <c r="H578" s="1154"/>
      <c r="I578" s="1154"/>
      <c r="J578" s="1154"/>
      <c r="K578" s="1154"/>
      <c r="L578" s="1154"/>
      <c r="M578" s="1154"/>
      <c r="N578" s="1154"/>
      <c r="O578" s="1154"/>
      <c r="P578" s="1154"/>
      <c r="Q578" s="1154"/>
      <c r="R578" s="1154"/>
      <c r="S578" s="1154"/>
      <c r="T578" s="1154"/>
      <c r="U578" s="1154"/>
      <c r="V578" s="1154"/>
      <c r="W578" s="1154"/>
      <c r="X578" s="1154"/>
      <c r="Y578" s="1154"/>
      <c r="Z578" s="1154"/>
    </row>
    <row r="579">
      <c r="A579" s="1154"/>
      <c r="B579" s="1154"/>
      <c r="C579" s="1154"/>
      <c r="D579" s="1154"/>
      <c r="E579" s="1154"/>
      <c r="F579" s="1154"/>
      <c r="G579" s="1154"/>
      <c r="H579" s="1154"/>
      <c r="I579" s="1154"/>
      <c r="J579" s="1154"/>
      <c r="K579" s="1154"/>
      <c r="L579" s="1154"/>
      <c r="M579" s="1154"/>
      <c r="N579" s="1154"/>
      <c r="O579" s="1154"/>
      <c r="P579" s="1154"/>
      <c r="Q579" s="1154"/>
      <c r="R579" s="1154"/>
      <c r="S579" s="1154"/>
      <c r="T579" s="1154"/>
      <c r="U579" s="1154"/>
      <c r="V579" s="1154"/>
      <c r="W579" s="1154"/>
      <c r="X579" s="1154"/>
      <c r="Y579" s="1154"/>
      <c r="Z579" s="1154"/>
    </row>
    <row r="580">
      <c r="A580" s="1154"/>
      <c r="B580" s="1154"/>
      <c r="C580" s="1154"/>
      <c r="D580" s="1154"/>
      <c r="E580" s="1154"/>
      <c r="F580" s="1154"/>
      <c r="G580" s="1154"/>
      <c r="H580" s="1154"/>
      <c r="I580" s="1154"/>
      <c r="J580" s="1154"/>
      <c r="K580" s="1154"/>
      <c r="L580" s="1154"/>
      <c r="M580" s="1154"/>
      <c r="N580" s="1154"/>
      <c r="O580" s="1154"/>
      <c r="P580" s="1154"/>
      <c r="Q580" s="1154"/>
      <c r="R580" s="1154"/>
      <c r="S580" s="1154"/>
      <c r="T580" s="1154"/>
      <c r="U580" s="1154"/>
      <c r="V580" s="1154"/>
      <c r="W580" s="1154"/>
      <c r="X580" s="1154"/>
      <c r="Y580" s="1154"/>
      <c r="Z580" s="1154"/>
    </row>
    <row r="581">
      <c r="A581" s="1154"/>
      <c r="B581" s="1154"/>
      <c r="C581" s="1154"/>
      <c r="D581" s="1154"/>
      <c r="E581" s="1154"/>
      <c r="F581" s="1154"/>
      <c r="G581" s="1154"/>
      <c r="H581" s="1154"/>
      <c r="I581" s="1154"/>
      <c r="J581" s="1154"/>
      <c r="K581" s="1154"/>
      <c r="L581" s="1154"/>
      <c r="M581" s="1154"/>
      <c r="N581" s="1154"/>
      <c r="O581" s="1154"/>
      <c r="P581" s="1154"/>
      <c r="Q581" s="1154"/>
      <c r="R581" s="1154"/>
      <c r="S581" s="1154"/>
      <c r="T581" s="1154"/>
      <c r="U581" s="1154"/>
      <c r="V581" s="1154"/>
      <c r="W581" s="1154"/>
      <c r="X581" s="1154"/>
      <c r="Y581" s="1154"/>
      <c r="Z581" s="1154"/>
    </row>
    <row r="582">
      <c r="A582" s="1154"/>
      <c r="B582" s="1154"/>
      <c r="C582" s="1154"/>
      <c r="D582" s="1154"/>
      <c r="E582" s="1154"/>
      <c r="F582" s="1154"/>
      <c r="G582" s="1154"/>
      <c r="H582" s="1154"/>
      <c r="I582" s="1154"/>
      <c r="J582" s="1154"/>
      <c r="K582" s="1154"/>
      <c r="L582" s="1154"/>
      <c r="M582" s="1154"/>
      <c r="N582" s="1154"/>
      <c r="O582" s="1154"/>
      <c r="P582" s="1154"/>
      <c r="Q582" s="1154"/>
      <c r="R582" s="1154"/>
      <c r="S582" s="1154"/>
      <c r="T582" s="1154"/>
      <c r="U582" s="1154"/>
      <c r="V582" s="1154"/>
      <c r="W582" s="1154"/>
      <c r="X582" s="1154"/>
      <c r="Y582" s="1154"/>
      <c r="Z582" s="1154"/>
    </row>
    <row r="583">
      <c r="A583" s="1154"/>
      <c r="B583" s="1154"/>
      <c r="C583" s="1154"/>
      <c r="D583" s="1154"/>
      <c r="E583" s="1154"/>
      <c r="F583" s="1154"/>
      <c r="G583" s="1154"/>
      <c r="H583" s="1154"/>
      <c r="I583" s="1154"/>
      <c r="J583" s="1154"/>
      <c r="K583" s="1154"/>
      <c r="L583" s="1154"/>
      <c r="M583" s="1154"/>
      <c r="N583" s="1154"/>
      <c r="O583" s="1154"/>
      <c r="P583" s="1154"/>
      <c r="Q583" s="1154"/>
      <c r="R583" s="1154"/>
      <c r="S583" s="1154"/>
      <c r="T583" s="1154"/>
      <c r="U583" s="1154"/>
      <c r="V583" s="1154"/>
      <c r="W583" s="1154"/>
      <c r="X583" s="1154"/>
      <c r="Y583" s="1154"/>
      <c r="Z583" s="1154"/>
    </row>
    <row r="584">
      <c r="A584" s="1154"/>
      <c r="B584" s="1154"/>
      <c r="C584" s="1154"/>
      <c r="D584" s="1154"/>
      <c r="E584" s="1154"/>
      <c r="F584" s="1154"/>
      <c r="G584" s="1154"/>
      <c r="H584" s="1154"/>
      <c r="I584" s="1154"/>
      <c r="J584" s="1154"/>
      <c r="K584" s="1154"/>
      <c r="L584" s="1154"/>
      <c r="M584" s="1154"/>
      <c r="N584" s="1154"/>
      <c r="O584" s="1154"/>
      <c r="P584" s="1154"/>
      <c r="Q584" s="1154"/>
      <c r="R584" s="1154"/>
      <c r="S584" s="1154"/>
      <c r="T584" s="1154"/>
      <c r="U584" s="1154"/>
      <c r="V584" s="1154"/>
      <c r="W584" s="1154"/>
      <c r="X584" s="1154"/>
      <c r="Y584" s="1154"/>
      <c r="Z584" s="1154"/>
    </row>
    <row r="585">
      <c r="A585" s="1154"/>
      <c r="B585" s="1154"/>
      <c r="C585" s="1154"/>
      <c r="D585" s="1154"/>
      <c r="E585" s="1154"/>
      <c r="F585" s="1154"/>
      <c r="G585" s="1154"/>
      <c r="H585" s="1154"/>
      <c r="I585" s="1154"/>
      <c r="J585" s="1154"/>
      <c r="K585" s="1154"/>
      <c r="L585" s="1154"/>
      <c r="M585" s="1154"/>
      <c r="N585" s="1154"/>
      <c r="O585" s="1154"/>
      <c r="P585" s="1154"/>
      <c r="Q585" s="1154"/>
      <c r="R585" s="1154"/>
      <c r="S585" s="1154"/>
      <c r="T585" s="1154"/>
      <c r="U585" s="1154"/>
      <c r="V585" s="1154"/>
      <c r="W585" s="1154"/>
      <c r="X585" s="1154"/>
      <c r="Y585" s="1154"/>
      <c r="Z585" s="1154"/>
    </row>
    <row r="586">
      <c r="A586" s="1154"/>
      <c r="B586" s="1154"/>
      <c r="C586" s="1154"/>
      <c r="D586" s="1154"/>
      <c r="E586" s="1154"/>
      <c r="F586" s="1154"/>
      <c r="G586" s="1154"/>
      <c r="H586" s="1154"/>
      <c r="I586" s="1154"/>
      <c r="J586" s="1154"/>
      <c r="K586" s="1154"/>
      <c r="L586" s="1154"/>
      <c r="M586" s="1154"/>
      <c r="N586" s="1154"/>
      <c r="O586" s="1154"/>
      <c r="P586" s="1154"/>
      <c r="Q586" s="1154"/>
      <c r="R586" s="1154"/>
      <c r="S586" s="1154"/>
      <c r="T586" s="1154"/>
      <c r="U586" s="1154"/>
      <c r="V586" s="1154"/>
      <c r="W586" s="1154"/>
      <c r="X586" s="1154"/>
      <c r="Y586" s="1154"/>
      <c r="Z586" s="1154"/>
    </row>
    <row r="587">
      <c r="A587" s="1154"/>
      <c r="B587" s="1154"/>
      <c r="C587" s="1154"/>
      <c r="D587" s="1154"/>
      <c r="E587" s="1154"/>
      <c r="F587" s="1154"/>
      <c r="G587" s="1154"/>
      <c r="H587" s="1154"/>
      <c r="I587" s="1154"/>
      <c r="J587" s="1154"/>
      <c r="K587" s="1154"/>
      <c r="L587" s="1154"/>
      <c r="M587" s="1154"/>
      <c r="N587" s="1154"/>
      <c r="O587" s="1154"/>
      <c r="P587" s="1154"/>
      <c r="Q587" s="1154"/>
      <c r="R587" s="1154"/>
      <c r="S587" s="1154"/>
      <c r="T587" s="1154"/>
      <c r="U587" s="1154"/>
      <c r="V587" s="1154"/>
      <c r="W587" s="1154"/>
      <c r="X587" s="1154"/>
      <c r="Y587" s="1154"/>
      <c r="Z587" s="1154"/>
    </row>
    <row r="588">
      <c r="A588" s="1154"/>
      <c r="B588" s="1154"/>
      <c r="C588" s="1154"/>
      <c r="D588" s="1154"/>
      <c r="E588" s="1154"/>
      <c r="F588" s="1154"/>
      <c r="G588" s="1154"/>
      <c r="H588" s="1154"/>
      <c r="I588" s="1154"/>
      <c r="J588" s="1154"/>
      <c r="K588" s="1154"/>
      <c r="L588" s="1154"/>
      <c r="M588" s="1154"/>
      <c r="N588" s="1154"/>
      <c r="O588" s="1154"/>
      <c r="P588" s="1154"/>
      <c r="Q588" s="1154"/>
      <c r="R588" s="1154"/>
      <c r="S588" s="1154"/>
      <c r="T588" s="1154"/>
      <c r="U588" s="1154"/>
      <c r="V588" s="1154"/>
      <c r="W588" s="1154"/>
      <c r="X588" s="1154"/>
      <c r="Y588" s="1154"/>
      <c r="Z588" s="1154"/>
    </row>
    <row r="589">
      <c r="A589" s="1154"/>
      <c r="B589" s="1154"/>
      <c r="C589" s="1154"/>
      <c r="D589" s="1154"/>
      <c r="E589" s="1154"/>
      <c r="F589" s="1154"/>
      <c r="G589" s="1154"/>
      <c r="H589" s="1154"/>
      <c r="I589" s="1154"/>
      <c r="J589" s="1154"/>
      <c r="K589" s="1154"/>
      <c r="L589" s="1154"/>
      <c r="M589" s="1154"/>
      <c r="N589" s="1154"/>
      <c r="O589" s="1154"/>
      <c r="P589" s="1154"/>
      <c r="Q589" s="1154"/>
      <c r="R589" s="1154"/>
      <c r="S589" s="1154"/>
      <c r="T589" s="1154"/>
      <c r="U589" s="1154"/>
      <c r="V589" s="1154"/>
      <c r="W589" s="1154"/>
      <c r="X589" s="1154"/>
      <c r="Y589" s="1154"/>
      <c r="Z589" s="1154"/>
    </row>
    <row r="590">
      <c r="A590" s="1154"/>
      <c r="B590" s="1154"/>
      <c r="C590" s="1154"/>
      <c r="D590" s="1154"/>
      <c r="E590" s="1154"/>
      <c r="F590" s="1154"/>
      <c r="G590" s="1154"/>
      <c r="H590" s="1154"/>
      <c r="I590" s="1154"/>
      <c r="J590" s="1154"/>
      <c r="K590" s="1154"/>
      <c r="L590" s="1154"/>
      <c r="M590" s="1154"/>
      <c r="N590" s="1154"/>
      <c r="O590" s="1154"/>
      <c r="P590" s="1154"/>
      <c r="Q590" s="1154"/>
      <c r="R590" s="1154"/>
      <c r="S590" s="1154"/>
      <c r="T590" s="1154"/>
      <c r="U590" s="1154"/>
      <c r="V590" s="1154"/>
      <c r="W590" s="1154"/>
      <c r="X590" s="1154"/>
      <c r="Y590" s="1154"/>
      <c r="Z590" s="1154"/>
    </row>
    <row r="591">
      <c r="A591" s="1154"/>
      <c r="B591" s="1154"/>
      <c r="C591" s="1154"/>
      <c r="D591" s="1154"/>
      <c r="E591" s="1154"/>
      <c r="F591" s="1154"/>
      <c r="G591" s="1154"/>
      <c r="H591" s="1154"/>
      <c r="I591" s="1154"/>
      <c r="J591" s="1154"/>
      <c r="K591" s="1154"/>
      <c r="L591" s="1154"/>
      <c r="M591" s="1154"/>
      <c r="N591" s="1154"/>
      <c r="O591" s="1154"/>
      <c r="P591" s="1154"/>
      <c r="Q591" s="1154"/>
      <c r="R591" s="1154"/>
      <c r="S591" s="1154"/>
      <c r="T591" s="1154"/>
      <c r="U591" s="1154"/>
      <c r="V591" s="1154"/>
      <c r="W591" s="1154"/>
      <c r="X591" s="1154"/>
      <c r="Y591" s="1154"/>
      <c r="Z591" s="1154"/>
    </row>
    <row r="592">
      <c r="A592" s="1154"/>
      <c r="B592" s="1154"/>
      <c r="C592" s="1154"/>
      <c r="D592" s="1154"/>
      <c r="E592" s="1154"/>
      <c r="F592" s="1154"/>
      <c r="G592" s="1154"/>
      <c r="H592" s="1154"/>
      <c r="I592" s="1154"/>
      <c r="J592" s="1154"/>
      <c r="K592" s="1154"/>
      <c r="L592" s="1154"/>
      <c r="M592" s="1154"/>
      <c r="N592" s="1154"/>
      <c r="O592" s="1154"/>
      <c r="P592" s="1154"/>
      <c r="Q592" s="1154"/>
      <c r="R592" s="1154"/>
      <c r="S592" s="1154"/>
      <c r="T592" s="1154"/>
      <c r="U592" s="1154"/>
      <c r="V592" s="1154"/>
      <c r="W592" s="1154"/>
      <c r="X592" s="1154"/>
      <c r="Y592" s="1154"/>
      <c r="Z592" s="1154"/>
    </row>
    <row r="593">
      <c r="A593" s="1154"/>
      <c r="B593" s="1154"/>
      <c r="C593" s="1154"/>
      <c r="D593" s="1154"/>
      <c r="E593" s="1154"/>
      <c r="F593" s="1154"/>
      <c r="G593" s="1154"/>
      <c r="H593" s="1154"/>
      <c r="I593" s="1154"/>
      <c r="J593" s="1154"/>
      <c r="K593" s="1154"/>
      <c r="L593" s="1154"/>
      <c r="M593" s="1154"/>
      <c r="N593" s="1154"/>
      <c r="O593" s="1154"/>
      <c r="P593" s="1154"/>
      <c r="Q593" s="1154"/>
      <c r="R593" s="1154"/>
      <c r="S593" s="1154"/>
      <c r="T593" s="1154"/>
      <c r="U593" s="1154"/>
      <c r="V593" s="1154"/>
      <c r="W593" s="1154"/>
      <c r="X593" s="1154"/>
      <c r="Y593" s="1154"/>
      <c r="Z593" s="1154"/>
    </row>
    <row r="594">
      <c r="A594" s="1154"/>
      <c r="B594" s="1154"/>
      <c r="C594" s="1154"/>
      <c r="D594" s="1154"/>
      <c r="E594" s="1154"/>
      <c r="F594" s="1154"/>
      <c r="G594" s="1154"/>
      <c r="H594" s="1154"/>
      <c r="I594" s="1154"/>
      <c r="J594" s="1154"/>
      <c r="K594" s="1154"/>
      <c r="L594" s="1154"/>
      <c r="M594" s="1154"/>
      <c r="N594" s="1154"/>
      <c r="O594" s="1154"/>
      <c r="P594" s="1154"/>
      <c r="Q594" s="1154"/>
      <c r="R594" s="1154"/>
      <c r="S594" s="1154"/>
      <c r="T594" s="1154"/>
      <c r="U594" s="1154"/>
      <c r="V594" s="1154"/>
      <c r="W594" s="1154"/>
      <c r="X594" s="1154"/>
      <c r="Y594" s="1154"/>
      <c r="Z594" s="1154"/>
    </row>
    <row r="595">
      <c r="A595" s="1154"/>
      <c r="B595" s="1154"/>
      <c r="C595" s="1154"/>
      <c r="D595" s="1154"/>
      <c r="E595" s="1154"/>
      <c r="F595" s="1154"/>
      <c r="G595" s="1154"/>
      <c r="H595" s="1154"/>
      <c r="I595" s="1154"/>
      <c r="J595" s="1154"/>
      <c r="K595" s="1154"/>
      <c r="L595" s="1154"/>
      <c r="M595" s="1154"/>
      <c r="N595" s="1154"/>
      <c r="O595" s="1154"/>
      <c r="P595" s="1154"/>
      <c r="Q595" s="1154"/>
      <c r="R595" s="1154"/>
      <c r="S595" s="1154"/>
      <c r="T595" s="1154"/>
      <c r="U595" s="1154"/>
      <c r="V595" s="1154"/>
      <c r="W595" s="1154"/>
      <c r="X595" s="1154"/>
      <c r="Y595" s="1154"/>
      <c r="Z595" s="1154"/>
    </row>
    <row r="596">
      <c r="A596" s="1154"/>
      <c r="B596" s="1154"/>
      <c r="C596" s="1154"/>
      <c r="D596" s="1154"/>
      <c r="E596" s="1154"/>
      <c r="F596" s="1154"/>
      <c r="G596" s="1154"/>
      <c r="H596" s="1154"/>
      <c r="I596" s="1154"/>
      <c r="J596" s="1154"/>
      <c r="K596" s="1154"/>
      <c r="L596" s="1154"/>
      <c r="M596" s="1154"/>
      <c r="N596" s="1154"/>
      <c r="O596" s="1154"/>
      <c r="P596" s="1154"/>
      <c r="Q596" s="1154"/>
      <c r="R596" s="1154"/>
      <c r="S596" s="1154"/>
      <c r="T596" s="1154"/>
      <c r="U596" s="1154"/>
      <c r="V596" s="1154"/>
      <c r="W596" s="1154"/>
      <c r="X596" s="1154"/>
      <c r="Y596" s="1154"/>
      <c r="Z596" s="1154"/>
    </row>
    <row r="597">
      <c r="A597" s="1154"/>
      <c r="B597" s="1154"/>
      <c r="C597" s="1154"/>
      <c r="D597" s="1154"/>
      <c r="E597" s="1154"/>
      <c r="F597" s="1154"/>
      <c r="G597" s="1154"/>
      <c r="H597" s="1154"/>
      <c r="I597" s="1154"/>
      <c r="J597" s="1154"/>
      <c r="K597" s="1154"/>
      <c r="L597" s="1154"/>
      <c r="M597" s="1154"/>
      <c r="N597" s="1154"/>
      <c r="O597" s="1154"/>
      <c r="P597" s="1154"/>
      <c r="Q597" s="1154"/>
      <c r="R597" s="1154"/>
      <c r="S597" s="1154"/>
      <c r="T597" s="1154"/>
      <c r="U597" s="1154"/>
      <c r="V597" s="1154"/>
      <c r="W597" s="1154"/>
      <c r="X597" s="1154"/>
      <c r="Y597" s="1154"/>
      <c r="Z597" s="1154"/>
    </row>
    <row r="598">
      <c r="A598" s="1154"/>
      <c r="B598" s="1154"/>
      <c r="C598" s="1154"/>
      <c r="D598" s="1154"/>
      <c r="E598" s="1154"/>
      <c r="F598" s="1154"/>
      <c r="G598" s="1154"/>
      <c r="H598" s="1154"/>
      <c r="I598" s="1154"/>
      <c r="J598" s="1154"/>
      <c r="K598" s="1154"/>
      <c r="L598" s="1154"/>
      <c r="M598" s="1154"/>
      <c r="N598" s="1154"/>
      <c r="O598" s="1154"/>
      <c r="P598" s="1154"/>
      <c r="Q598" s="1154"/>
      <c r="R598" s="1154"/>
      <c r="S598" s="1154"/>
      <c r="T598" s="1154"/>
      <c r="U598" s="1154"/>
      <c r="V598" s="1154"/>
      <c r="W598" s="1154"/>
      <c r="X598" s="1154"/>
      <c r="Y598" s="1154"/>
      <c r="Z598" s="1154"/>
    </row>
    <row r="599">
      <c r="A599" s="1154"/>
      <c r="B599" s="1154"/>
      <c r="C599" s="1154"/>
      <c r="D599" s="1154"/>
      <c r="E599" s="1154"/>
      <c r="F599" s="1154"/>
      <c r="G599" s="1154"/>
      <c r="H599" s="1154"/>
      <c r="I599" s="1154"/>
      <c r="J599" s="1154"/>
      <c r="K599" s="1154"/>
      <c r="L599" s="1154"/>
      <c r="M599" s="1154"/>
      <c r="N599" s="1154"/>
      <c r="O599" s="1154"/>
      <c r="P599" s="1154"/>
      <c r="Q599" s="1154"/>
      <c r="R599" s="1154"/>
      <c r="S599" s="1154"/>
      <c r="T599" s="1154"/>
      <c r="U599" s="1154"/>
      <c r="V599" s="1154"/>
      <c r="W599" s="1154"/>
      <c r="X599" s="1154"/>
      <c r="Y599" s="1154"/>
      <c r="Z599" s="1154"/>
    </row>
    <row r="600">
      <c r="A600" s="1154"/>
      <c r="B600" s="1154"/>
      <c r="C600" s="1154"/>
      <c r="D600" s="1154"/>
      <c r="E600" s="1154"/>
      <c r="F600" s="1154"/>
      <c r="G600" s="1154"/>
      <c r="H600" s="1154"/>
      <c r="I600" s="1154"/>
      <c r="J600" s="1154"/>
      <c r="K600" s="1154"/>
      <c r="L600" s="1154"/>
      <c r="M600" s="1154"/>
      <c r="N600" s="1154"/>
      <c r="O600" s="1154"/>
      <c r="P600" s="1154"/>
      <c r="Q600" s="1154"/>
      <c r="R600" s="1154"/>
      <c r="S600" s="1154"/>
      <c r="T600" s="1154"/>
      <c r="U600" s="1154"/>
      <c r="V600" s="1154"/>
      <c r="W600" s="1154"/>
      <c r="X600" s="1154"/>
      <c r="Y600" s="1154"/>
      <c r="Z600" s="1154"/>
    </row>
    <row r="601">
      <c r="A601" s="1154"/>
      <c r="B601" s="1154"/>
      <c r="C601" s="1154"/>
      <c r="D601" s="1154"/>
      <c r="E601" s="1154"/>
      <c r="F601" s="1154"/>
      <c r="G601" s="1154"/>
      <c r="H601" s="1154"/>
      <c r="I601" s="1154"/>
      <c r="J601" s="1154"/>
      <c r="K601" s="1154"/>
      <c r="L601" s="1154"/>
      <c r="M601" s="1154"/>
      <c r="N601" s="1154"/>
      <c r="O601" s="1154"/>
      <c r="P601" s="1154"/>
      <c r="Q601" s="1154"/>
      <c r="R601" s="1154"/>
      <c r="S601" s="1154"/>
      <c r="T601" s="1154"/>
      <c r="U601" s="1154"/>
      <c r="V601" s="1154"/>
      <c r="W601" s="1154"/>
      <c r="X601" s="1154"/>
      <c r="Y601" s="1154"/>
      <c r="Z601" s="1154"/>
    </row>
    <row r="602">
      <c r="A602" s="1154"/>
      <c r="B602" s="1154"/>
      <c r="C602" s="1154"/>
      <c r="D602" s="1154"/>
      <c r="E602" s="1154"/>
      <c r="F602" s="1154"/>
      <c r="G602" s="1154"/>
      <c r="H602" s="1154"/>
      <c r="I602" s="1154"/>
      <c r="J602" s="1154"/>
      <c r="K602" s="1154"/>
      <c r="L602" s="1154"/>
      <c r="M602" s="1154"/>
      <c r="N602" s="1154"/>
      <c r="O602" s="1154"/>
      <c r="P602" s="1154"/>
      <c r="Q602" s="1154"/>
      <c r="R602" s="1154"/>
      <c r="S602" s="1154"/>
      <c r="T602" s="1154"/>
      <c r="U602" s="1154"/>
      <c r="V602" s="1154"/>
      <c r="W602" s="1154"/>
      <c r="X602" s="1154"/>
      <c r="Y602" s="1154"/>
      <c r="Z602" s="1154"/>
    </row>
    <row r="603">
      <c r="A603" s="1154"/>
      <c r="B603" s="1154"/>
      <c r="C603" s="1154"/>
      <c r="D603" s="1154"/>
      <c r="E603" s="1154"/>
      <c r="F603" s="1154"/>
      <c r="G603" s="1154"/>
      <c r="H603" s="1154"/>
      <c r="I603" s="1154"/>
      <c r="J603" s="1154"/>
      <c r="K603" s="1154"/>
      <c r="L603" s="1154"/>
      <c r="M603" s="1154"/>
      <c r="N603" s="1154"/>
      <c r="O603" s="1154"/>
      <c r="P603" s="1154"/>
      <c r="Q603" s="1154"/>
      <c r="R603" s="1154"/>
      <c r="S603" s="1154"/>
      <c r="T603" s="1154"/>
      <c r="U603" s="1154"/>
      <c r="V603" s="1154"/>
      <c r="W603" s="1154"/>
      <c r="X603" s="1154"/>
      <c r="Y603" s="1154"/>
      <c r="Z603" s="1154"/>
    </row>
    <row r="604">
      <c r="A604" s="1154"/>
      <c r="B604" s="1154"/>
      <c r="C604" s="1154"/>
      <c r="D604" s="1154"/>
      <c r="E604" s="1154"/>
      <c r="F604" s="1154"/>
      <c r="G604" s="1154"/>
      <c r="H604" s="1154"/>
      <c r="I604" s="1154"/>
      <c r="J604" s="1154"/>
      <c r="K604" s="1154"/>
      <c r="L604" s="1154"/>
      <c r="M604" s="1154"/>
      <c r="N604" s="1154"/>
      <c r="O604" s="1154"/>
      <c r="P604" s="1154"/>
      <c r="Q604" s="1154"/>
      <c r="R604" s="1154"/>
      <c r="S604" s="1154"/>
      <c r="T604" s="1154"/>
      <c r="U604" s="1154"/>
      <c r="V604" s="1154"/>
      <c r="W604" s="1154"/>
      <c r="X604" s="1154"/>
      <c r="Y604" s="1154"/>
      <c r="Z604" s="1154"/>
    </row>
    <row r="605">
      <c r="A605" s="1154"/>
      <c r="B605" s="1154"/>
      <c r="C605" s="1154"/>
      <c r="D605" s="1154"/>
      <c r="E605" s="1154"/>
      <c r="F605" s="1154"/>
      <c r="G605" s="1154"/>
      <c r="H605" s="1154"/>
      <c r="I605" s="1154"/>
      <c r="J605" s="1154"/>
      <c r="K605" s="1154"/>
      <c r="L605" s="1154"/>
      <c r="M605" s="1154"/>
      <c r="N605" s="1154"/>
      <c r="O605" s="1154"/>
      <c r="P605" s="1154"/>
      <c r="Q605" s="1154"/>
      <c r="R605" s="1154"/>
      <c r="S605" s="1154"/>
      <c r="T605" s="1154"/>
      <c r="U605" s="1154"/>
      <c r="V605" s="1154"/>
      <c r="W605" s="1154"/>
      <c r="X605" s="1154"/>
      <c r="Y605" s="1154"/>
      <c r="Z605" s="1154"/>
    </row>
    <row r="606">
      <c r="A606" s="1154"/>
      <c r="B606" s="1154"/>
      <c r="C606" s="1154"/>
      <c r="D606" s="1154"/>
      <c r="E606" s="1154"/>
      <c r="F606" s="1154"/>
      <c r="G606" s="1154"/>
      <c r="H606" s="1154"/>
      <c r="I606" s="1154"/>
      <c r="J606" s="1154"/>
      <c r="K606" s="1154"/>
      <c r="L606" s="1154"/>
      <c r="M606" s="1154"/>
      <c r="N606" s="1154"/>
      <c r="O606" s="1154"/>
      <c r="P606" s="1154"/>
      <c r="Q606" s="1154"/>
      <c r="R606" s="1154"/>
      <c r="S606" s="1154"/>
      <c r="T606" s="1154"/>
      <c r="U606" s="1154"/>
      <c r="V606" s="1154"/>
      <c r="W606" s="1154"/>
      <c r="X606" s="1154"/>
      <c r="Y606" s="1154"/>
      <c r="Z606" s="1154"/>
    </row>
    <row r="607">
      <c r="A607" s="1154"/>
      <c r="B607" s="1154"/>
      <c r="C607" s="1154"/>
      <c r="D607" s="1154"/>
      <c r="E607" s="1154"/>
      <c r="F607" s="1154"/>
      <c r="G607" s="1154"/>
      <c r="H607" s="1154"/>
      <c r="I607" s="1154"/>
      <c r="J607" s="1154"/>
      <c r="K607" s="1154"/>
      <c r="L607" s="1154"/>
      <c r="M607" s="1154"/>
      <c r="N607" s="1154"/>
      <c r="O607" s="1154"/>
      <c r="P607" s="1154"/>
      <c r="Q607" s="1154"/>
      <c r="R607" s="1154"/>
      <c r="S607" s="1154"/>
      <c r="T607" s="1154"/>
      <c r="U607" s="1154"/>
      <c r="V607" s="1154"/>
      <c r="W607" s="1154"/>
      <c r="X607" s="1154"/>
      <c r="Y607" s="1154"/>
      <c r="Z607" s="1154"/>
    </row>
    <row r="608">
      <c r="A608" s="1154"/>
      <c r="B608" s="1154"/>
      <c r="C608" s="1154"/>
      <c r="D608" s="1154"/>
      <c r="E608" s="1154"/>
      <c r="F608" s="1154"/>
      <c r="G608" s="1154"/>
      <c r="H608" s="1154"/>
      <c r="I608" s="1154"/>
      <c r="J608" s="1154"/>
      <c r="K608" s="1154"/>
      <c r="L608" s="1154"/>
      <c r="M608" s="1154"/>
      <c r="N608" s="1154"/>
      <c r="O608" s="1154"/>
      <c r="P608" s="1154"/>
      <c r="Q608" s="1154"/>
      <c r="R608" s="1154"/>
      <c r="S608" s="1154"/>
      <c r="T608" s="1154"/>
      <c r="U608" s="1154"/>
      <c r="V608" s="1154"/>
      <c r="W608" s="1154"/>
      <c r="X608" s="1154"/>
      <c r="Y608" s="1154"/>
      <c r="Z608" s="1154"/>
    </row>
    <row r="609">
      <c r="A609" s="1154"/>
      <c r="B609" s="1154"/>
      <c r="C609" s="1154"/>
      <c r="D609" s="1154"/>
      <c r="E609" s="1154"/>
      <c r="F609" s="1154"/>
      <c r="G609" s="1154"/>
      <c r="H609" s="1154"/>
      <c r="I609" s="1154"/>
      <c r="J609" s="1154"/>
      <c r="K609" s="1154"/>
      <c r="L609" s="1154"/>
      <c r="M609" s="1154"/>
      <c r="N609" s="1154"/>
      <c r="O609" s="1154"/>
      <c r="P609" s="1154"/>
      <c r="Q609" s="1154"/>
      <c r="R609" s="1154"/>
      <c r="S609" s="1154"/>
      <c r="T609" s="1154"/>
      <c r="U609" s="1154"/>
      <c r="V609" s="1154"/>
      <c r="W609" s="1154"/>
      <c r="X609" s="1154"/>
      <c r="Y609" s="1154"/>
      <c r="Z609" s="1154"/>
    </row>
    <row r="610">
      <c r="A610" s="1154"/>
      <c r="B610" s="1154"/>
      <c r="C610" s="1154"/>
      <c r="D610" s="1154"/>
      <c r="E610" s="1154"/>
      <c r="F610" s="1154"/>
      <c r="G610" s="1154"/>
      <c r="H610" s="1154"/>
      <c r="I610" s="1154"/>
      <c r="J610" s="1154"/>
      <c r="K610" s="1154"/>
      <c r="L610" s="1154"/>
      <c r="M610" s="1154"/>
      <c r="N610" s="1154"/>
      <c r="O610" s="1154"/>
      <c r="P610" s="1154"/>
      <c r="Q610" s="1154"/>
      <c r="R610" s="1154"/>
      <c r="S610" s="1154"/>
      <c r="T610" s="1154"/>
      <c r="U610" s="1154"/>
      <c r="V610" s="1154"/>
      <c r="W610" s="1154"/>
      <c r="X610" s="1154"/>
      <c r="Y610" s="1154"/>
      <c r="Z610" s="1154"/>
    </row>
    <row r="611">
      <c r="A611" s="1154"/>
      <c r="B611" s="1154"/>
      <c r="C611" s="1154"/>
      <c r="D611" s="1154"/>
      <c r="E611" s="1154"/>
      <c r="F611" s="1154"/>
      <c r="G611" s="1154"/>
      <c r="H611" s="1154"/>
      <c r="I611" s="1154"/>
      <c r="J611" s="1154"/>
      <c r="K611" s="1154"/>
      <c r="L611" s="1154"/>
      <c r="M611" s="1154"/>
      <c r="N611" s="1154"/>
      <c r="O611" s="1154"/>
      <c r="P611" s="1154"/>
      <c r="Q611" s="1154"/>
      <c r="R611" s="1154"/>
      <c r="S611" s="1154"/>
      <c r="T611" s="1154"/>
      <c r="U611" s="1154"/>
      <c r="V611" s="1154"/>
      <c r="W611" s="1154"/>
      <c r="X611" s="1154"/>
      <c r="Y611" s="1154"/>
      <c r="Z611" s="1154"/>
    </row>
    <row r="612">
      <c r="A612" s="1154"/>
      <c r="B612" s="1154"/>
      <c r="C612" s="1154"/>
      <c r="D612" s="1154"/>
      <c r="E612" s="1154"/>
      <c r="F612" s="1154"/>
      <c r="G612" s="1154"/>
      <c r="H612" s="1154"/>
      <c r="I612" s="1154"/>
      <c r="J612" s="1154"/>
      <c r="K612" s="1154"/>
      <c r="L612" s="1154"/>
      <c r="M612" s="1154"/>
      <c r="N612" s="1154"/>
      <c r="O612" s="1154"/>
      <c r="P612" s="1154"/>
      <c r="Q612" s="1154"/>
      <c r="R612" s="1154"/>
      <c r="S612" s="1154"/>
      <c r="T612" s="1154"/>
      <c r="U612" s="1154"/>
      <c r="V612" s="1154"/>
      <c r="W612" s="1154"/>
      <c r="X612" s="1154"/>
      <c r="Y612" s="1154"/>
      <c r="Z612" s="1154"/>
    </row>
    <row r="613">
      <c r="A613" s="1154"/>
      <c r="B613" s="1154"/>
      <c r="C613" s="1154"/>
      <c r="D613" s="1154"/>
      <c r="E613" s="1154"/>
      <c r="F613" s="1154"/>
      <c r="G613" s="1154"/>
      <c r="H613" s="1154"/>
      <c r="I613" s="1154"/>
      <c r="J613" s="1154"/>
      <c r="K613" s="1154"/>
      <c r="L613" s="1154"/>
      <c r="M613" s="1154"/>
      <c r="N613" s="1154"/>
      <c r="O613" s="1154"/>
      <c r="P613" s="1154"/>
      <c r="Q613" s="1154"/>
      <c r="R613" s="1154"/>
      <c r="S613" s="1154"/>
      <c r="T613" s="1154"/>
      <c r="U613" s="1154"/>
      <c r="V613" s="1154"/>
      <c r="W613" s="1154"/>
      <c r="X613" s="1154"/>
      <c r="Y613" s="1154"/>
      <c r="Z613" s="1154"/>
    </row>
    <row r="614">
      <c r="A614" s="1154"/>
      <c r="B614" s="1154"/>
      <c r="C614" s="1154"/>
      <c r="D614" s="1154"/>
      <c r="E614" s="1154"/>
      <c r="F614" s="1154"/>
      <c r="G614" s="1154"/>
      <c r="H614" s="1154"/>
      <c r="I614" s="1154"/>
      <c r="J614" s="1154"/>
      <c r="K614" s="1154"/>
      <c r="L614" s="1154"/>
      <c r="M614" s="1154"/>
      <c r="N614" s="1154"/>
      <c r="O614" s="1154"/>
      <c r="P614" s="1154"/>
      <c r="Q614" s="1154"/>
      <c r="R614" s="1154"/>
      <c r="S614" s="1154"/>
      <c r="T614" s="1154"/>
      <c r="U614" s="1154"/>
      <c r="V614" s="1154"/>
      <c r="W614" s="1154"/>
      <c r="X614" s="1154"/>
      <c r="Y614" s="1154"/>
      <c r="Z614" s="1154"/>
    </row>
    <row r="615">
      <c r="A615" s="1154"/>
      <c r="B615" s="1154"/>
      <c r="C615" s="1154"/>
      <c r="D615" s="1154"/>
      <c r="E615" s="1154"/>
      <c r="F615" s="1154"/>
      <c r="G615" s="1154"/>
      <c r="H615" s="1154"/>
      <c r="I615" s="1154"/>
      <c r="J615" s="1154"/>
      <c r="K615" s="1154"/>
      <c r="L615" s="1154"/>
      <c r="M615" s="1154"/>
      <c r="N615" s="1154"/>
      <c r="O615" s="1154"/>
      <c r="P615" s="1154"/>
      <c r="Q615" s="1154"/>
      <c r="R615" s="1154"/>
      <c r="S615" s="1154"/>
      <c r="T615" s="1154"/>
      <c r="U615" s="1154"/>
      <c r="V615" s="1154"/>
      <c r="W615" s="1154"/>
      <c r="X615" s="1154"/>
      <c r="Y615" s="1154"/>
      <c r="Z615" s="1154"/>
    </row>
    <row r="616">
      <c r="A616" s="1154"/>
      <c r="B616" s="1154"/>
      <c r="C616" s="1154"/>
      <c r="D616" s="1154"/>
      <c r="E616" s="1154"/>
      <c r="F616" s="1154"/>
      <c r="G616" s="1154"/>
      <c r="H616" s="1154"/>
      <c r="I616" s="1154"/>
      <c r="J616" s="1154"/>
      <c r="K616" s="1154"/>
      <c r="L616" s="1154"/>
      <c r="M616" s="1154"/>
      <c r="N616" s="1154"/>
      <c r="O616" s="1154"/>
      <c r="P616" s="1154"/>
      <c r="Q616" s="1154"/>
      <c r="R616" s="1154"/>
      <c r="S616" s="1154"/>
      <c r="T616" s="1154"/>
      <c r="U616" s="1154"/>
      <c r="V616" s="1154"/>
      <c r="W616" s="1154"/>
      <c r="X616" s="1154"/>
      <c r="Y616" s="1154"/>
      <c r="Z616" s="1154"/>
    </row>
    <row r="617">
      <c r="A617" s="1154"/>
      <c r="B617" s="1154"/>
      <c r="C617" s="1154"/>
      <c r="D617" s="1154"/>
      <c r="E617" s="1154"/>
      <c r="F617" s="1154"/>
      <c r="G617" s="1154"/>
      <c r="H617" s="1154"/>
      <c r="I617" s="1154"/>
      <c r="J617" s="1154"/>
      <c r="K617" s="1154"/>
      <c r="L617" s="1154"/>
      <c r="M617" s="1154"/>
      <c r="N617" s="1154"/>
      <c r="O617" s="1154"/>
      <c r="P617" s="1154"/>
      <c r="Q617" s="1154"/>
      <c r="R617" s="1154"/>
      <c r="S617" s="1154"/>
      <c r="T617" s="1154"/>
      <c r="U617" s="1154"/>
      <c r="V617" s="1154"/>
      <c r="W617" s="1154"/>
      <c r="X617" s="1154"/>
      <c r="Y617" s="1154"/>
      <c r="Z617" s="1154"/>
    </row>
    <row r="618">
      <c r="A618" s="1154"/>
      <c r="B618" s="1154"/>
      <c r="C618" s="1154"/>
      <c r="D618" s="1154"/>
      <c r="E618" s="1154"/>
      <c r="F618" s="1154"/>
      <c r="G618" s="1154"/>
      <c r="H618" s="1154"/>
      <c r="I618" s="1154"/>
      <c r="J618" s="1154"/>
      <c r="K618" s="1154"/>
      <c r="L618" s="1154"/>
      <c r="M618" s="1154"/>
      <c r="N618" s="1154"/>
      <c r="O618" s="1154"/>
      <c r="P618" s="1154"/>
      <c r="Q618" s="1154"/>
      <c r="R618" s="1154"/>
      <c r="S618" s="1154"/>
      <c r="T618" s="1154"/>
      <c r="U618" s="1154"/>
      <c r="V618" s="1154"/>
      <c r="W618" s="1154"/>
      <c r="X618" s="1154"/>
      <c r="Y618" s="1154"/>
      <c r="Z618" s="1154"/>
    </row>
    <row r="619">
      <c r="A619" s="1154"/>
      <c r="B619" s="1154"/>
      <c r="C619" s="1154"/>
      <c r="D619" s="1154"/>
      <c r="E619" s="1154"/>
      <c r="F619" s="1154"/>
      <c r="G619" s="1154"/>
      <c r="H619" s="1154"/>
      <c r="I619" s="1154"/>
      <c r="J619" s="1154"/>
      <c r="K619" s="1154"/>
      <c r="L619" s="1154"/>
      <c r="M619" s="1154"/>
      <c r="N619" s="1154"/>
      <c r="O619" s="1154"/>
      <c r="P619" s="1154"/>
      <c r="Q619" s="1154"/>
      <c r="R619" s="1154"/>
      <c r="S619" s="1154"/>
      <c r="T619" s="1154"/>
      <c r="U619" s="1154"/>
      <c r="V619" s="1154"/>
      <c r="W619" s="1154"/>
      <c r="X619" s="1154"/>
      <c r="Y619" s="1154"/>
      <c r="Z619" s="1154"/>
    </row>
    <row r="620">
      <c r="A620" s="1154"/>
      <c r="B620" s="1154"/>
      <c r="C620" s="1154"/>
      <c r="D620" s="1154"/>
      <c r="E620" s="1154"/>
      <c r="F620" s="1154"/>
      <c r="G620" s="1154"/>
      <c r="H620" s="1154"/>
      <c r="I620" s="1154"/>
      <c r="J620" s="1154"/>
      <c r="K620" s="1154"/>
      <c r="L620" s="1154"/>
      <c r="M620" s="1154"/>
      <c r="N620" s="1154"/>
      <c r="O620" s="1154"/>
      <c r="P620" s="1154"/>
      <c r="Q620" s="1154"/>
      <c r="R620" s="1154"/>
      <c r="S620" s="1154"/>
      <c r="T620" s="1154"/>
      <c r="U620" s="1154"/>
      <c r="V620" s="1154"/>
      <c r="W620" s="1154"/>
      <c r="X620" s="1154"/>
      <c r="Y620" s="1154"/>
      <c r="Z620" s="1154"/>
    </row>
    <row r="621">
      <c r="A621" s="1154"/>
      <c r="B621" s="1154"/>
      <c r="C621" s="1154"/>
      <c r="D621" s="1154"/>
      <c r="E621" s="1154"/>
      <c r="F621" s="1154"/>
      <c r="G621" s="1154"/>
      <c r="H621" s="1154"/>
      <c r="I621" s="1154"/>
      <c r="J621" s="1154"/>
      <c r="K621" s="1154"/>
      <c r="L621" s="1154"/>
      <c r="M621" s="1154"/>
      <c r="N621" s="1154"/>
      <c r="O621" s="1154"/>
      <c r="P621" s="1154"/>
      <c r="Q621" s="1154"/>
      <c r="R621" s="1154"/>
      <c r="S621" s="1154"/>
      <c r="T621" s="1154"/>
      <c r="U621" s="1154"/>
      <c r="V621" s="1154"/>
      <c r="W621" s="1154"/>
      <c r="X621" s="1154"/>
      <c r="Y621" s="1154"/>
      <c r="Z621" s="1154"/>
    </row>
    <row r="622">
      <c r="A622" s="1154"/>
      <c r="B622" s="1154"/>
      <c r="C622" s="1154"/>
      <c r="D622" s="1154"/>
      <c r="E622" s="1154"/>
      <c r="F622" s="1154"/>
      <c r="G622" s="1154"/>
      <c r="H622" s="1154"/>
      <c r="I622" s="1154"/>
      <c r="J622" s="1154"/>
      <c r="K622" s="1154"/>
      <c r="L622" s="1154"/>
      <c r="M622" s="1154"/>
      <c r="N622" s="1154"/>
      <c r="O622" s="1154"/>
      <c r="P622" s="1154"/>
      <c r="Q622" s="1154"/>
      <c r="R622" s="1154"/>
      <c r="S622" s="1154"/>
      <c r="T622" s="1154"/>
      <c r="U622" s="1154"/>
      <c r="V622" s="1154"/>
      <c r="W622" s="1154"/>
      <c r="X622" s="1154"/>
      <c r="Y622" s="1154"/>
      <c r="Z622" s="1154"/>
    </row>
    <row r="623">
      <c r="A623" s="1154"/>
      <c r="B623" s="1154"/>
      <c r="C623" s="1154"/>
      <c r="D623" s="1154"/>
      <c r="E623" s="1154"/>
      <c r="F623" s="1154"/>
      <c r="G623" s="1154"/>
      <c r="H623" s="1154"/>
      <c r="I623" s="1154"/>
      <c r="J623" s="1154"/>
      <c r="K623" s="1154"/>
      <c r="L623" s="1154"/>
      <c r="M623" s="1154"/>
      <c r="N623" s="1154"/>
      <c r="O623" s="1154"/>
      <c r="P623" s="1154"/>
      <c r="Q623" s="1154"/>
      <c r="R623" s="1154"/>
      <c r="S623" s="1154"/>
      <c r="T623" s="1154"/>
      <c r="U623" s="1154"/>
      <c r="V623" s="1154"/>
      <c r="W623" s="1154"/>
      <c r="X623" s="1154"/>
      <c r="Y623" s="1154"/>
      <c r="Z623" s="1154"/>
    </row>
    <row r="624">
      <c r="A624" s="1154"/>
      <c r="B624" s="1154"/>
      <c r="C624" s="1154"/>
      <c r="D624" s="1154"/>
      <c r="E624" s="1154"/>
      <c r="F624" s="1154"/>
      <c r="G624" s="1154"/>
      <c r="H624" s="1154"/>
      <c r="I624" s="1154"/>
      <c r="J624" s="1154"/>
      <c r="K624" s="1154"/>
      <c r="L624" s="1154"/>
      <c r="M624" s="1154"/>
      <c r="N624" s="1154"/>
      <c r="O624" s="1154"/>
      <c r="P624" s="1154"/>
      <c r="Q624" s="1154"/>
      <c r="R624" s="1154"/>
      <c r="S624" s="1154"/>
      <c r="T624" s="1154"/>
      <c r="U624" s="1154"/>
      <c r="V624" s="1154"/>
      <c r="W624" s="1154"/>
      <c r="X624" s="1154"/>
      <c r="Y624" s="1154"/>
      <c r="Z624" s="1154"/>
    </row>
    <row r="625">
      <c r="A625" s="1154"/>
      <c r="B625" s="1154"/>
      <c r="C625" s="1154"/>
      <c r="D625" s="1154"/>
      <c r="E625" s="1154"/>
      <c r="F625" s="1154"/>
      <c r="G625" s="1154"/>
      <c r="H625" s="1154"/>
      <c r="I625" s="1154"/>
      <c r="J625" s="1154"/>
      <c r="K625" s="1154"/>
      <c r="L625" s="1154"/>
      <c r="M625" s="1154"/>
      <c r="N625" s="1154"/>
      <c r="O625" s="1154"/>
      <c r="P625" s="1154"/>
      <c r="Q625" s="1154"/>
      <c r="R625" s="1154"/>
      <c r="S625" s="1154"/>
      <c r="T625" s="1154"/>
      <c r="U625" s="1154"/>
      <c r="V625" s="1154"/>
      <c r="W625" s="1154"/>
      <c r="X625" s="1154"/>
      <c r="Y625" s="1154"/>
      <c r="Z625" s="1154"/>
    </row>
    <row r="626">
      <c r="A626" s="1154"/>
      <c r="B626" s="1154"/>
      <c r="C626" s="1154"/>
      <c r="D626" s="1154"/>
      <c r="E626" s="1154"/>
      <c r="F626" s="1154"/>
      <c r="G626" s="1154"/>
      <c r="H626" s="1154"/>
      <c r="I626" s="1154"/>
      <c r="J626" s="1154"/>
      <c r="K626" s="1154"/>
      <c r="L626" s="1154"/>
      <c r="M626" s="1154"/>
      <c r="N626" s="1154"/>
      <c r="O626" s="1154"/>
      <c r="P626" s="1154"/>
      <c r="Q626" s="1154"/>
      <c r="R626" s="1154"/>
      <c r="S626" s="1154"/>
      <c r="T626" s="1154"/>
      <c r="U626" s="1154"/>
      <c r="V626" s="1154"/>
      <c r="W626" s="1154"/>
      <c r="X626" s="1154"/>
      <c r="Y626" s="1154"/>
      <c r="Z626" s="1154"/>
    </row>
    <row r="627">
      <c r="A627" s="1154"/>
      <c r="B627" s="1154"/>
      <c r="C627" s="1154"/>
      <c r="D627" s="1154"/>
      <c r="E627" s="1154"/>
      <c r="F627" s="1154"/>
      <c r="G627" s="1154"/>
      <c r="H627" s="1154"/>
      <c r="I627" s="1154"/>
      <c r="J627" s="1154"/>
      <c r="K627" s="1154"/>
      <c r="L627" s="1154"/>
      <c r="M627" s="1154"/>
      <c r="N627" s="1154"/>
      <c r="O627" s="1154"/>
      <c r="P627" s="1154"/>
      <c r="Q627" s="1154"/>
      <c r="R627" s="1154"/>
      <c r="S627" s="1154"/>
      <c r="T627" s="1154"/>
      <c r="U627" s="1154"/>
      <c r="V627" s="1154"/>
      <c r="W627" s="1154"/>
      <c r="X627" s="1154"/>
      <c r="Y627" s="1154"/>
      <c r="Z627" s="1154"/>
    </row>
    <row r="628">
      <c r="A628" s="1154"/>
      <c r="B628" s="1154"/>
      <c r="C628" s="1154"/>
      <c r="D628" s="1154"/>
      <c r="E628" s="1154"/>
      <c r="F628" s="1154"/>
      <c r="G628" s="1154"/>
      <c r="H628" s="1154"/>
      <c r="I628" s="1154"/>
      <c r="J628" s="1154"/>
      <c r="K628" s="1154"/>
      <c r="L628" s="1154"/>
      <c r="M628" s="1154"/>
      <c r="N628" s="1154"/>
      <c r="O628" s="1154"/>
      <c r="P628" s="1154"/>
      <c r="Q628" s="1154"/>
      <c r="R628" s="1154"/>
      <c r="S628" s="1154"/>
      <c r="T628" s="1154"/>
      <c r="U628" s="1154"/>
      <c r="V628" s="1154"/>
      <c r="W628" s="1154"/>
      <c r="X628" s="1154"/>
      <c r="Y628" s="1154"/>
      <c r="Z628" s="1154"/>
    </row>
    <row r="629">
      <c r="A629" s="1154"/>
      <c r="B629" s="1154"/>
      <c r="C629" s="1154"/>
      <c r="D629" s="1154"/>
      <c r="E629" s="1154"/>
      <c r="F629" s="1154"/>
      <c r="G629" s="1154"/>
      <c r="H629" s="1154"/>
      <c r="I629" s="1154"/>
      <c r="J629" s="1154"/>
      <c r="K629" s="1154"/>
      <c r="L629" s="1154"/>
      <c r="M629" s="1154"/>
      <c r="N629" s="1154"/>
      <c r="O629" s="1154"/>
      <c r="P629" s="1154"/>
      <c r="Q629" s="1154"/>
      <c r="R629" s="1154"/>
      <c r="S629" s="1154"/>
      <c r="T629" s="1154"/>
      <c r="U629" s="1154"/>
      <c r="V629" s="1154"/>
      <c r="W629" s="1154"/>
      <c r="X629" s="1154"/>
      <c r="Y629" s="1154"/>
      <c r="Z629" s="1154"/>
    </row>
    <row r="630">
      <c r="A630" s="1154"/>
      <c r="B630" s="1154"/>
      <c r="C630" s="1154"/>
      <c r="D630" s="1154"/>
      <c r="E630" s="1154"/>
      <c r="F630" s="1154"/>
      <c r="G630" s="1154"/>
      <c r="H630" s="1154"/>
      <c r="I630" s="1154"/>
      <c r="J630" s="1154"/>
      <c r="K630" s="1154"/>
      <c r="L630" s="1154"/>
      <c r="M630" s="1154"/>
      <c r="N630" s="1154"/>
      <c r="O630" s="1154"/>
      <c r="P630" s="1154"/>
      <c r="Q630" s="1154"/>
      <c r="R630" s="1154"/>
      <c r="S630" s="1154"/>
      <c r="T630" s="1154"/>
      <c r="U630" s="1154"/>
      <c r="V630" s="1154"/>
      <c r="W630" s="1154"/>
      <c r="X630" s="1154"/>
      <c r="Y630" s="1154"/>
      <c r="Z630" s="1154"/>
    </row>
    <row r="631">
      <c r="A631" s="1154"/>
      <c r="B631" s="1154"/>
      <c r="C631" s="1154"/>
      <c r="D631" s="1154"/>
      <c r="E631" s="1154"/>
      <c r="F631" s="1154"/>
      <c r="G631" s="1154"/>
      <c r="H631" s="1154"/>
      <c r="I631" s="1154"/>
      <c r="J631" s="1154"/>
      <c r="K631" s="1154"/>
      <c r="L631" s="1154"/>
      <c r="M631" s="1154"/>
      <c r="N631" s="1154"/>
      <c r="O631" s="1154"/>
      <c r="P631" s="1154"/>
      <c r="Q631" s="1154"/>
      <c r="R631" s="1154"/>
      <c r="S631" s="1154"/>
      <c r="T631" s="1154"/>
      <c r="U631" s="1154"/>
      <c r="V631" s="1154"/>
      <c r="W631" s="1154"/>
      <c r="X631" s="1154"/>
      <c r="Y631" s="1154"/>
      <c r="Z631" s="1154"/>
    </row>
    <row r="632">
      <c r="A632" s="1154"/>
      <c r="B632" s="1154"/>
      <c r="C632" s="1154"/>
      <c r="D632" s="1154"/>
      <c r="E632" s="1154"/>
      <c r="F632" s="1154"/>
      <c r="G632" s="1154"/>
      <c r="H632" s="1154"/>
      <c r="I632" s="1154"/>
      <c r="J632" s="1154"/>
      <c r="K632" s="1154"/>
      <c r="L632" s="1154"/>
      <c r="M632" s="1154"/>
      <c r="N632" s="1154"/>
      <c r="O632" s="1154"/>
      <c r="P632" s="1154"/>
      <c r="Q632" s="1154"/>
      <c r="R632" s="1154"/>
      <c r="S632" s="1154"/>
      <c r="T632" s="1154"/>
      <c r="U632" s="1154"/>
      <c r="V632" s="1154"/>
      <c r="W632" s="1154"/>
      <c r="X632" s="1154"/>
      <c r="Y632" s="1154"/>
      <c r="Z632" s="1154"/>
    </row>
    <row r="633">
      <c r="A633" s="1154"/>
      <c r="B633" s="1154"/>
      <c r="C633" s="1154"/>
      <c r="D633" s="1154"/>
      <c r="E633" s="1154"/>
      <c r="F633" s="1154"/>
      <c r="G633" s="1154"/>
      <c r="H633" s="1154"/>
      <c r="I633" s="1154"/>
      <c r="J633" s="1154"/>
      <c r="K633" s="1154"/>
      <c r="L633" s="1154"/>
      <c r="M633" s="1154"/>
      <c r="N633" s="1154"/>
      <c r="O633" s="1154"/>
      <c r="P633" s="1154"/>
      <c r="Q633" s="1154"/>
      <c r="R633" s="1154"/>
      <c r="S633" s="1154"/>
      <c r="T633" s="1154"/>
      <c r="U633" s="1154"/>
      <c r="V633" s="1154"/>
      <c r="W633" s="1154"/>
      <c r="X633" s="1154"/>
      <c r="Y633" s="1154"/>
      <c r="Z633" s="1154"/>
    </row>
    <row r="634">
      <c r="A634" s="1154"/>
      <c r="B634" s="1154"/>
      <c r="C634" s="1154"/>
      <c r="D634" s="1154"/>
      <c r="E634" s="1154"/>
      <c r="F634" s="1154"/>
      <c r="G634" s="1154"/>
      <c r="H634" s="1154"/>
      <c r="I634" s="1154"/>
      <c r="J634" s="1154"/>
      <c r="K634" s="1154"/>
      <c r="L634" s="1154"/>
      <c r="M634" s="1154"/>
      <c r="N634" s="1154"/>
      <c r="O634" s="1154"/>
      <c r="P634" s="1154"/>
      <c r="Q634" s="1154"/>
      <c r="R634" s="1154"/>
      <c r="S634" s="1154"/>
      <c r="T634" s="1154"/>
      <c r="U634" s="1154"/>
      <c r="V634" s="1154"/>
      <c r="W634" s="1154"/>
      <c r="X634" s="1154"/>
      <c r="Y634" s="1154"/>
      <c r="Z634" s="1154"/>
    </row>
    <row r="635">
      <c r="A635" s="1154"/>
      <c r="B635" s="1154"/>
      <c r="C635" s="1154"/>
      <c r="D635" s="1154"/>
      <c r="E635" s="1154"/>
      <c r="F635" s="1154"/>
      <c r="G635" s="1154"/>
      <c r="H635" s="1154"/>
      <c r="I635" s="1154"/>
      <c r="J635" s="1154"/>
      <c r="K635" s="1154"/>
      <c r="L635" s="1154"/>
      <c r="M635" s="1154"/>
      <c r="N635" s="1154"/>
      <c r="O635" s="1154"/>
      <c r="P635" s="1154"/>
      <c r="Q635" s="1154"/>
      <c r="R635" s="1154"/>
      <c r="S635" s="1154"/>
      <c r="T635" s="1154"/>
      <c r="U635" s="1154"/>
      <c r="V635" s="1154"/>
      <c r="W635" s="1154"/>
      <c r="X635" s="1154"/>
      <c r="Y635" s="1154"/>
      <c r="Z635" s="1154"/>
    </row>
    <row r="636">
      <c r="A636" s="1154"/>
      <c r="B636" s="1154"/>
      <c r="C636" s="1154"/>
      <c r="D636" s="1154"/>
      <c r="E636" s="1154"/>
      <c r="F636" s="1154"/>
      <c r="G636" s="1154"/>
      <c r="H636" s="1154"/>
      <c r="I636" s="1154"/>
      <c r="J636" s="1154"/>
      <c r="K636" s="1154"/>
      <c r="L636" s="1154"/>
      <c r="M636" s="1154"/>
      <c r="N636" s="1154"/>
      <c r="O636" s="1154"/>
      <c r="P636" s="1154"/>
      <c r="Q636" s="1154"/>
      <c r="R636" s="1154"/>
      <c r="S636" s="1154"/>
      <c r="T636" s="1154"/>
      <c r="U636" s="1154"/>
      <c r="V636" s="1154"/>
      <c r="W636" s="1154"/>
      <c r="X636" s="1154"/>
      <c r="Y636" s="1154"/>
      <c r="Z636" s="1154"/>
    </row>
    <row r="637">
      <c r="A637" s="1154"/>
      <c r="B637" s="1154"/>
      <c r="C637" s="1154"/>
      <c r="D637" s="1154"/>
      <c r="E637" s="1154"/>
      <c r="F637" s="1154"/>
      <c r="G637" s="1154"/>
      <c r="H637" s="1154"/>
      <c r="I637" s="1154"/>
      <c r="J637" s="1154"/>
      <c r="K637" s="1154"/>
      <c r="L637" s="1154"/>
      <c r="M637" s="1154"/>
      <c r="N637" s="1154"/>
      <c r="O637" s="1154"/>
      <c r="P637" s="1154"/>
      <c r="Q637" s="1154"/>
      <c r="R637" s="1154"/>
      <c r="S637" s="1154"/>
      <c r="T637" s="1154"/>
      <c r="U637" s="1154"/>
      <c r="V637" s="1154"/>
      <c r="W637" s="1154"/>
      <c r="X637" s="1154"/>
      <c r="Y637" s="1154"/>
      <c r="Z637" s="1154"/>
    </row>
    <row r="638">
      <c r="A638" s="1154"/>
      <c r="B638" s="1154"/>
      <c r="C638" s="1154"/>
      <c r="D638" s="1154"/>
      <c r="E638" s="1154"/>
      <c r="F638" s="1154"/>
      <c r="G638" s="1154"/>
      <c r="H638" s="1154"/>
      <c r="I638" s="1154"/>
      <c r="J638" s="1154"/>
      <c r="K638" s="1154"/>
      <c r="L638" s="1154"/>
      <c r="M638" s="1154"/>
      <c r="N638" s="1154"/>
      <c r="O638" s="1154"/>
      <c r="P638" s="1154"/>
      <c r="Q638" s="1154"/>
      <c r="R638" s="1154"/>
      <c r="S638" s="1154"/>
      <c r="T638" s="1154"/>
      <c r="U638" s="1154"/>
      <c r="V638" s="1154"/>
      <c r="W638" s="1154"/>
      <c r="X638" s="1154"/>
      <c r="Y638" s="1154"/>
      <c r="Z638" s="1154"/>
    </row>
    <row r="639">
      <c r="A639" s="1154"/>
      <c r="B639" s="1154"/>
      <c r="C639" s="1154"/>
      <c r="D639" s="1154"/>
      <c r="E639" s="1154"/>
      <c r="F639" s="1154"/>
      <c r="G639" s="1154"/>
      <c r="H639" s="1154"/>
      <c r="I639" s="1154"/>
      <c r="J639" s="1154"/>
      <c r="K639" s="1154"/>
      <c r="L639" s="1154"/>
      <c r="M639" s="1154"/>
      <c r="N639" s="1154"/>
      <c r="O639" s="1154"/>
      <c r="P639" s="1154"/>
      <c r="Q639" s="1154"/>
      <c r="R639" s="1154"/>
      <c r="S639" s="1154"/>
      <c r="T639" s="1154"/>
      <c r="U639" s="1154"/>
      <c r="V639" s="1154"/>
      <c r="W639" s="1154"/>
      <c r="X639" s="1154"/>
      <c r="Y639" s="1154"/>
      <c r="Z639" s="1154"/>
    </row>
    <row r="640">
      <c r="A640" s="1154"/>
      <c r="B640" s="1154"/>
      <c r="C640" s="1154"/>
      <c r="D640" s="1154"/>
      <c r="E640" s="1154"/>
      <c r="F640" s="1154"/>
      <c r="G640" s="1154"/>
      <c r="H640" s="1154"/>
      <c r="I640" s="1154"/>
      <c r="J640" s="1154"/>
      <c r="K640" s="1154"/>
      <c r="L640" s="1154"/>
      <c r="M640" s="1154"/>
      <c r="N640" s="1154"/>
      <c r="O640" s="1154"/>
      <c r="P640" s="1154"/>
      <c r="Q640" s="1154"/>
      <c r="R640" s="1154"/>
      <c r="S640" s="1154"/>
      <c r="T640" s="1154"/>
      <c r="U640" s="1154"/>
      <c r="V640" s="1154"/>
      <c r="W640" s="1154"/>
      <c r="X640" s="1154"/>
      <c r="Y640" s="1154"/>
      <c r="Z640" s="1154"/>
    </row>
    <row r="641">
      <c r="A641" s="1154"/>
      <c r="B641" s="1154"/>
      <c r="C641" s="1154"/>
      <c r="D641" s="1154"/>
      <c r="E641" s="1154"/>
      <c r="F641" s="1154"/>
      <c r="G641" s="1154"/>
      <c r="H641" s="1154"/>
      <c r="I641" s="1154"/>
      <c r="J641" s="1154"/>
      <c r="K641" s="1154"/>
      <c r="L641" s="1154"/>
      <c r="M641" s="1154"/>
      <c r="N641" s="1154"/>
      <c r="O641" s="1154"/>
      <c r="P641" s="1154"/>
      <c r="Q641" s="1154"/>
      <c r="R641" s="1154"/>
      <c r="S641" s="1154"/>
      <c r="T641" s="1154"/>
      <c r="U641" s="1154"/>
      <c r="V641" s="1154"/>
      <c r="W641" s="1154"/>
      <c r="X641" s="1154"/>
      <c r="Y641" s="1154"/>
      <c r="Z641" s="1154"/>
    </row>
    <row r="642">
      <c r="A642" s="1154"/>
      <c r="B642" s="1154"/>
      <c r="C642" s="1154"/>
      <c r="D642" s="1154"/>
      <c r="E642" s="1154"/>
      <c r="F642" s="1154"/>
      <c r="G642" s="1154"/>
      <c r="H642" s="1154"/>
      <c r="I642" s="1154"/>
      <c r="J642" s="1154"/>
      <c r="K642" s="1154"/>
      <c r="L642" s="1154"/>
      <c r="M642" s="1154"/>
      <c r="N642" s="1154"/>
      <c r="O642" s="1154"/>
      <c r="P642" s="1154"/>
      <c r="Q642" s="1154"/>
      <c r="R642" s="1154"/>
      <c r="S642" s="1154"/>
      <c r="T642" s="1154"/>
      <c r="U642" s="1154"/>
      <c r="V642" s="1154"/>
      <c r="W642" s="1154"/>
      <c r="X642" s="1154"/>
      <c r="Y642" s="1154"/>
      <c r="Z642" s="1154"/>
    </row>
    <row r="643">
      <c r="A643" s="1154"/>
      <c r="B643" s="1154"/>
      <c r="C643" s="1154"/>
      <c r="D643" s="1154"/>
      <c r="E643" s="1154"/>
      <c r="F643" s="1154"/>
      <c r="G643" s="1154"/>
      <c r="H643" s="1154"/>
      <c r="I643" s="1154"/>
      <c r="J643" s="1154"/>
      <c r="K643" s="1154"/>
      <c r="L643" s="1154"/>
      <c r="M643" s="1154"/>
      <c r="N643" s="1154"/>
      <c r="O643" s="1154"/>
      <c r="P643" s="1154"/>
      <c r="Q643" s="1154"/>
      <c r="R643" s="1154"/>
      <c r="S643" s="1154"/>
      <c r="T643" s="1154"/>
      <c r="U643" s="1154"/>
      <c r="V643" s="1154"/>
      <c r="W643" s="1154"/>
      <c r="X643" s="1154"/>
      <c r="Y643" s="1154"/>
      <c r="Z643" s="1154"/>
    </row>
    <row r="644">
      <c r="A644" s="1154"/>
      <c r="B644" s="1154"/>
      <c r="C644" s="1154"/>
      <c r="D644" s="1154"/>
      <c r="E644" s="1154"/>
      <c r="F644" s="1154"/>
      <c r="G644" s="1154"/>
      <c r="H644" s="1154"/>
      <c r="I644" s="1154"/>
      <c r="J644" s="1154"/>
      <c r="K644" s="1154"/>
      <c r="L644" s="1154"/>
      <c r="M644" s="1154"/>
      <c r="N644" s="1154"/>
      <c r="O644" s="1154"/>
      <c r="P644" s="1154"/>
      <c r="Q644" s="1154"/>
      <c r="R644" s="1154"/>
      <c r="S644" s="1154"/>
      <c r="T644" s="1154"/>
      <c r="U644" s="1154"/>
      <c r="V644" s="1154"/>
      <c r="W644" s="1154"/>
      <c r="X644" s="1154"/>
      <c r="Y644" s="1154"/>
      <c r="Z644" s="1154"/>
    </row>
    <row r="645">
      <c r="A645" s="1154"/>
      <c r="B645" s="1154"/>
      <c r="C645" s="1154"/>
      <c r="D645" s="1154"/>
      <c r="E645" s="1154"/>
      <c r="F645" s="1154"/>
      <c r="G645" s="1154"/>
      <c r="H645" s="1154"/>
      <c r="I645" s="1154"/>
      <c r="J645" s="1154"/>
      <c r="K645" s="1154"/>
      <c r="L645" s="1154"/>
      <c r="M645" s="1154"/>
      <c r="N645" s="1154"/>
      <c r="O645" s="1154"/>
      <c r="P645" s="1154"/>
      <c r="Q645" s="1154"/>
      <c r="R645" s="1154"/>
      <c r="S645" s="1154"/>
      <c r="T645" s="1154"/>
      <c r="U645" s="1154"/>
      <c r="V645" s="1154"/>
      <c r="W645" s="1154"/>
      <c r="X645" s="1154"/>
      <c r="Y645" s="1154"/>
      <c r="Z645" s="1154"/>
    </row>
    <row r="646">
      <c r="A646" s="1154"/>
      <c r="B646" s="1154"/>
      <c r="C646" s="1154"/>
      <c r="D646" s="1154"/>
      <c r="E646" s="1154"/>
      <c r="F646" s="1154"/>
      <c r="G646" s="1154"/>
      <c r="H646" s="1154"/>
      <c r="I646" s="1154"/>
      <c r="J646" s="1154"/>
      <c r="K646" s="1154"/>
      <c r="L646" s="1154"/>
      <c r="M646" s="1154"/>
      <c r="N646" s="1154"/>
      <c r="O646" s="1154"/>
      <c r="P646" s="1154"/>
      <c r="Q646" s="1154"/>
      <c r="R646" s="1154"/>
      <c r="S646" s="1154"/>
      <c r="T646" s="1154"/>
      <c r="U646" s="1154"/>
      <c r="V646" s="1154"/>
      <c r="W646" s="1154"/>
      <c r="X646" s="1154"/>
      <c r="Y646" s="1154"/>
      <c r="Z646" s="1154"/>
    </row>
    <row r="647">
      <c r="A647" s="1154"/>
      <c r="B647" s="1154"/>
      <c r="C647" s="1154"/>
      <c r="D647" s="1154"/>
      <c r="E647" s="1154"/>
      <c r="F647" s="1154"/>
      <c r="G647" s="1154"/>
      <c r="H647" s="1154"/>
      <c r="I647" s="1154"/>
      <c r="J647" s="1154"/>
      <c r="K647" s="1154"/>
      <c r="L647" s="1154"/>
      <c r="M647" s="1154"/>
      <c r="N647" s="1154"/>
      <c r="O647" s="1154"/>
      <c r="P647" s="1154"/>
      <c r="Q647" s="1154"/>
      <c r="R647" s="1154"/>
      <c r="S647" s="1154"/>
      <c r="T647" s="1154"/>
      <c r="U647" s="1154"/>
      <c r="V647" s="1154"/>
      <c r="W647" s="1154"/>
      <c r="X647" s="1154"/>
      <c r="Y647" s="1154"/>
      <c r="Z647" s="1154"/>
    </row>
    <row r="648">
      <c r="A648" s="1154"/>
      <c r="B648" s="1154"/>
      <c r="C648" s="1154"/>
      <c r="D648" s="1154"/>
      <c r="E648" s="1154"/>
      <c r="F648" s="1154"/>
      <c r="G648" s="1154"/>
      <c r="H648" s="1154"/>
      <c r="I648" s="1154"/>
      <c r="J648" s="1154"/>
      <c r="K648" s="1154"/>
      <c r="L648" s="1154"/>
      <c r="M648" s="1154"/>
      <c r="N648" s="1154"/>
      <c r="O648" s="1154"/>
      <c r="P648" s="1154"/>
      <c r="Q648" s="1154"/>
      <c r="R648" s="1154"/>
      <c r="S648" s="1154"/>
      <c r="T648" s="1154"/>
      <c r="U648" s="1154"/>
      <c r="V648" s="1154"/>
      <c r="W648" s="1154"/>
      <c r="X648" s="1154"/>
      <c r="Y648" s="1154"/>
      <c r="Z648" s="1154"/>
    </row>
    <row r="649">
      <c r="A649" s="1154"/>
      <c r="B649" s="1154"/>
      <c r="C649" s="1154"/>
      <c r="D649" s="1154"/>
      <c r="E649" s="1154"/>
      <c r="F649" s="1154"/>
      <c r="G649" s="1154"/>
      <c r="H649" s="1154"/>
      <c r="I649" s="1154"/>
      <c r="J649" s="1154"/>
      <c r="K649" s="1154"/>
      <c r="L649" s="1154"/>
      <c r="M649" s="1154"/>
      <c r="N649" s="1154"/>
      <c r="O649" s="1154"/>
      <c r="P649" s="1154"/>
      <c r="Q649" s="1154"/>
      <c r="R649" s="1154"/>
      <c r="S649" s="1154"/>
      <c r="T649" s="1154"/>
      <c r="U649" s="1154"/>
      <c r="V649" s="1154"/>
      <c r="W649" s="1154"/>
      <c r="X649" s="1154"/>
      <c r="Y649" s="1154"/>
      <c r="Z649" s="1154"/>
    </row>
    <row r="650">
      <c r="A650" s="1154"/>
      <c r="B650" s="1154"/>
      <c r="C650" s="1154"/>
      <c r="D650" s="1154"/>
      <c r="E650" s="1154"/>
      <c r="F650" s="1154"/>
      <c r="G650" s="1154"/>
      <c r="H650" s="1154"/>
      <c r="I650" s="1154"/>
      <c r="J650" s="1154"/>
      <c r="K650" s="1154"/>
      <c r="L650" s="1154"/>
      <c r="M650" s="1154"/>
      <c r="N650" s="1154"/>
      <c r="O650" s="1154"/>
      <c r="P650" s="1154"/>
      <c r="Q650" s="1154"/>
      <c r="R650" s="1154"/>
      <c r="S650" s="1154"/>
      <c r="T650" s="1154"/>
      <c r="U650" s="1154"/>
      <c r="V650" s="1154"/>
      <c r="W650" s="1154"/>
      <c r="X650" s="1154"/>
      <c r="Y650" s="1154"/>
      <c r="Z650" s="1154"/>
    </row>
    <row r="651">
      <c r="A651" s="1154"/>
      <c r="B651" s="1154"/>
      <c r="C651" s="1154"/>
      <c r="D651" s="1154"/>
      <c r="E651" s="1154"/>
      <c r="F651" s="1154"/>
      <c r="G651" s="1154"/>
      <c r="H651" s="1154"/>
      <c r="I651" s="1154"/>
      <c r="J651" s="1154"/>
      <c r="K651" s="1154"/>
      <c r="L651" s="1154"/>
      <c r="M651" s="1154"/>
      <c r="N651" s="1154"/>
      <c r="O651" s="1154"/>
      <c r="P651" s="1154"/>
      <c r="Q651" s="1154"/>
      <c r="R651" s="1154"/>
      <c r="S651" s="1154"/>
      <c r="T651" s="1154"/>
      <c r="U651" s="1154"/>
      <c r="V651" s="1154"/>
      <c r="W651" s="1154"/>
      <c r="X651" s="1154"/>
      <c r="Y651" s="1154"/>
      <c r="Z651" s="1154"/>
    </row>
    <row r="652">
      <c r="A652" s="1154"/>
      <c r="B652" s="1154"/>
      <c r="C652" s="1154"/>
      <c r="D652" s="1154"/>
      <c r="E652" s="1154"/>
      <c r="F652" s="1154"/>
      <c r="G652" s="1154"/>
      <c r="H652" s="1154"/>
      <c r="I652" s="1154"/>
      <c r="J652" s="1154"/>
      <c r="K652" s="1154"/>
      <c r="L652" s="1154"/>
      <c r="M652" s="1154"/>
      <c r="N652" s="1154"/>
      <c r="O652" s="1154"/>
      <c r="P652" s="1154"/>
      <c r="Q652" s="1154"/>
      <c r="R652" s="1154"/>
      <c r="S652" s="1154"/>
      <c r="T652" s="1154"/>
      <c r="U652" s="1154"/>
      <c r="V652" s="1154"/>
      <c r="W652" s="1154"/>
      <c r="X652" s="1154"/>
      <c r="Y652" s="1154"/>
      <c r="Z652" s="1154"/>
    </row>
    <row r="653">
      <c r="A653" s="1154"/>
      <c r="B653" s="1154"/>
      <c r="C653" s="1154"/>
      <c r="D653" s="1154"/>
      <c r="E653" s="1154"/>
      <c r="F653" s="1154"/>
      <c r="G653" s="1154"/>
      <c r="H653" s="1154"/>
      <c r="I653" s="1154"/>
      <c r="J653" s="1154"/>
      <c r="K653" s="1154"/>
      <c r="L653" s="1154"/>
      <c r="M653" s="1154"/>
      <c r="N653" s="1154"/>
      <c r="O653" s="1154"/>
      <c r="P653" s="1154"/>
      <c r="Q653" s="1154"/>
      <c r="R653" s="1154"/>
      <c r="S653" s="1154"/>
      <c r="T653" s="1154"/>
      <c r="U653" s="1154"/>
      <c r="V653" s="1154"/>
      <c r="W653" s="1154"/>
      <c r="X653" s="1154"/>
      <c r="Y653" s="1154"/>
      <c r="Z653" s="1154"/>
    </row>
    <row r="654">
      <c r="A654" s="1154"/>
      <c r="B654" s="1154"/>
      <c r="C654" s="1154"/>
      <c r="D654" s="1154"/>
      <c r="E654" s="1154"/>
      <c r="F654" s="1154"/>
      <c r="G654" s="1154"/>
      <c r="H654" s="1154"/>
      <c r="I654" s="1154"/>
      <c r="J654" s="1154"/>
      <c r="K654" s="1154"/>
      <c r="L654" s="1154"/>
      <c r="M654" s="1154"/>
      <c r="N654" s="1154"/>
      <c r="O654" s="1154"/>
      <c r="P654" s="1154"/>
      <c r="Q654" s="1154"/>
      <c r="R654" s="1154"/>
      <c r="S654" s="1154"/>
      <c r="T654" s="1154"/>
      <c r="U654" s="1154"/>
      <c r="V654" s="1154"/>
      <c r="W654" s="1154"/>
      <c r="X654" s="1154"/>
      <c r="Y654" s="1154"/>
      <c r="Z654" s="1154"/>
    </row>
    <row r="655">
      <c r="A655" s="1154"/>
      <c r="B655" s="1154"/>
      <c r="C655" s="1154"/>
      <c r="D655" s="1154"/>
      <c r="E655" s="1154"/>
      <c r="F655" s="1154"/>
      <c r="G655" s="1154"/>
      <c r="H655" s="1154"/>
      <c r="I655" s="1154"/>
      <c r="J655" s="1154"/>
      <c r="K655" s="1154"/>
      <c r="L655" s="1154"/>
      <c r="M655" s="1154"/>
      <c r="N655" s="1154"/>
      <c r="O655" s="1154"/>
      <c r="P655" s="1154"/>
      <c r="Q655" s="1154"/>
      <c r="R655" s="1154"/>
      <c r="S655" s="1154"/>
      <c r="T655" s="1154"/>
      <c r="U655" s="1154"/>
      <c r="V655" s="1154"/>
      <c r="W655" s="1154"/>
      <c r="X655" s="1154"/>
      <c r="Y655" s="1154"/>
      <c r="Z655" s="1154"/>
    </row>
    <row r="656">
      <c r="A656" s="1154"/>
      <c r="B656" s="1154"/>
      <c r="C656" s="1154"/>
      <c r="D656" s="1154"/>
      <c r="E656" s="1154"/>
      <c r="F656" s="1154"/>
      <c r="G656" s="1154"/>
      <c r="H656" s="1154"/>
      <c r="I656" s="1154"/>
      <c r="J656" s="1154"/>
      <c r="K656" s="1154"/>
      <c r="L656" s="1154"/>
      <c r="M656" s="1154"/>
      <c r="N656" s="1154"/>
      <c r="O656" s="1154"/>
      <c r="P656" s="1154"/>
      <c r="Q656" s="1154"/>
      <c r="R656" s="1154"/>
      <c r="S656" s="1154"/>
      <c r="T656" s="1154"/>
      <c r="U656" s="1154"/>
      <c r="V656" s="1154"/>
      <c r="W656" s="1154"/>
      <c r="X656" s="1154"/>
      <c r="Y656" s="1154"/>
      <c r="Z656" s="1154"/>
    </row>
    <row r="657">
      <c r="A657" s="1154"/>
      <c r="B657" s="1154"/>
      <c r="C657" s="1154"/>
      <c r="D657" s="1154"/>
      <c r="E657" s="1154"/>
      <c r="F657" s="1154"/>
      <c r="G657" s="1154"/>
      <c r="H657" s="1154"/>
      <c r="I657" s="1154"/>
      <c r="J657" s="1154"/>
      <c r="K657" s="1154"/>
      <c r="L657" s="1154"/>
      <c r="M657" s="1154"/>
      <c r="N657" s="1154"/>
      <c r="O657" s="1154"/>
      <c r="P657" s="1154"/>
      <c r="Q657" s="1154"/>
      <c r="R657" s="1154"/>
      <c r="S657" s="1154"/>
      <c r="T657" s="1154"/>
      <c r="U657" s="1154"/>
      <c r="V657" s="1154"/>
      <c r="W657" s="1154"/>
      <c r="X657" s="1154"/>
      <c r="Y657" s="1154"/>
      <c r="Z657" s="1154"/>
    </row>
    <row r="658">
      <c r="A658" s="1154"/>
      <c r="B658" s="1154"/>
      <c r="C658" s="1154"/>
      <c r="D658" s="1154"/>
      <c r="E658" s="1154"/>
      <c r="F658" s="1154"/>
      <c r="G658" s="1154"/>
      <c r="H658" s="1154"/>
      <c r="I658" s="1154"/>
      <c r="J658" s="1154"/>
      <c r="K658" s="1154"/>
      <c r="L658" s="1154"/>
      <c r="M658" s="1154"/>
      <c r="N658" s="1154"/>
      <c r="O658" s="1154"/>
      <c r="P658" s="1154"/>
      <c r="Q658" s="1154"/>
      <c r="R658" s="1154"/>
      <c r="S658" s="1154"/>
      <c r="T658" s="1154"/>
      <c r="U658" s="1154"/>
      <c r="V658" s="1154"/>
      <c r="W658" s="1154"/>
      <c r="X658" s="1154"/>
      <c r="Y658" s="1154"/>
      <c r="Z658" s="1154"/>
    </row>
    <row r="659">
      <c r="A659" s="1154"/>
      <c r="B659" s="1154"/>
      <c r="C659" s="1154"/>
      <c r="D659" s="1154"/>
      <c r="E659" s="1154"/>
      <c r="F659" s="1154"/>
      <c r="G659" s="1154"/>
      <c r="H659" s="1154"/>
      <c r="I659" s="1154"/>
      <c r="J659" s="1154"/>
      <c r="K659" s="1154"/>
      <c r="L659" s="1154"/>
      <c r="M659" s="1154"/>
      <c r="N659" s="1154"/>
      <c r="O659" s="1154"/>
      <c r="P659" s="1154"/>
      <c r="Q659" s="1154"/>
      <c r="R659" s="1154"/>
      <c r="S659" s="1154"/>
      <c r="T659" s="1154"/>
      <c r="U659" s="1154"/>
      <c r="V659" s="1154"/>
      <c r="W659" s="1154"/>
      <c r="X659" s="1154"/>
      <c r="Y659" s="1154"/>
      <c r="Z659" s="1154"/>
    </row>
    <row r="660">
      <c r="A660" s="1154"/>
      <c r="B660" s="1154"/>
      <c r="C660" s="1154"/>
      <c r="D660" s="1154"/>
      <c r="E660" s="1154"/>
      <c r="F660" s="1154"/>
      <c r="G660" s="1154"/>
      <c r="H660" s="1154"/>
      <c r="I660" s="1154"/>
      <c r="J660" s="1154"/>
      <c r="K660" s="1154"/>
      <c r="L660" s="1154"/>
      <c r="M660" s="1154"/>
      <c r="N660" s="1154"/>
      <c r="O660" s="1154"/>
      <c r="P660" s="1154"/>
      <c r="Q660" s="1154"/>
      <c r="R660" s="1154"/>
      <c r="S660" s="1154"/>
      <c r="T660" s="1154"/>
      <c r="U660" s="1154"/>
      <c r="V660" s="1154"/>
      <c r="W660" s="1154"/>
      <c r="X660" s="1154"/>
      <c r="Y660" s="1154"/>
      <c r="Z660" s="1154"/>
    </row>
    <row r="661">
      <c r="A661" s="1154"/>
      <c r="B661" s="1154"/>
      <c r="C661" s="1154"/>
      <c r="D661" s="1154"/>
      <c r="E661" s="1154"/>
      <c r="F661" s="1154"/>
      <c r="G661" s="1154"/>
      <c r="H661" s="1154"/>
      <c r="I661" s="1154"/>
      <c r="J661" s="1154"/>
      <c r="K661" s="1154"/>
      <c r="L661" s="1154"/>
      <c r="M661" s="1154"/>
      <c r="N661" s="1154"/>
      <c r="O661" s="1154"/>
      <c r="P661" s="1154"/>
      <c r="Q661" s="1154"/>
      <c r="R661" s="1154"/>
      <c r="S661" s="1154"/>
      <c r="T661" s="1154"/>
      <c r="U661" s="1154"/>
      <c r="V661" s="1154"/>
      <c r="W661" s="1154"/>
      <c r="X661" s="1154"/>
      <c r="Y661" s="1154"/>
      <c r="Z661" s="1154"/>
    </row>
    <row r="662">
      <c r="A662" s="1154"/>
      <c r="B662" s="1154"/>
      <c r="C662" s="1154"/>
      <c r="D662" s="1154"/>
      <c r="E662" s="1154"/>
      <c r="F662" s="1154"/>
      <c r="G662" s="1154"/>
      <c r="H662" s="1154"/>
      <c r="I662" s="1154"/>
      <c r="J662" s="1154"/>
      <c r="K662" s="1154"/>
      <c r="L662" s="1154"/>
      <c r="M662" s="1154"/>
      <c r="N662" s="1154"/>
      <c r="O662" s="1154"/>
      <c r="P662" s="1154"/>
      <c r="Q662" s="1154"/>
      <c r="R662" s="1154"/>
      <c r="S662" s="1154"/>
      <c r="T662" s="1154"/>
      <c r="U662" s="1154"/>
      <c r="V662" s="1154"/>
      <c r="W662" s="1154"/>
      <c r="X662" s="1154"/>
      <c r="Y662" s="1154"/>
      <c r="Z662" s="1154"/>
    </row>
    <row r="663">
      <c r="A663" s="1154"/>
      <c r="B663" s="1154"/>
      <c r="C663" s="1154"/>
      <c r="D663" s="1154"/>
      <c r="E663" s="1154"/>
      <c r="F663" s="1154"/>
      <c r="G663" s="1154"/>
      <c r="H663" s="1154"/>
      <c r="I663" s="1154"/>
      <c r="J663" s="1154"/>
      <c r="K663" s="1154"/>
      <c r="L663" s="1154"/>
      <c r="M663" s="1154"/>
      <c r="N663" s="1154"/>
      <c r="O663" s="1154"/>
      <c r="P663" s="1154"/>
      <c r="Q663" s="1154"/>
      <c r="R663" s="1154"/>
      <c r="S663" s="1154"/>
      <c r="T663" s="1154"/>
      <c r="U663" s="1154"/>
      <c r="V663" s="1154"/>
      <c r="W663" s="1154"/>
      <c r="X663" s="1154"/>
      <c r="Y663" s="1154"/>
      <c r="Z663" s="1154"/>
    </row>
    <row r="664">
      <c r="A664" s="1154"/>
      <c r="B664" s="1154"/>
      <c r="C664" s="1154"/>
      <c r="D664" s="1154"/>
      <c r="E664" s="1154"/>
      <c r="F664" s="1154"/>
      <c r="G664" s="1154"/>
      <c r="H664" s="1154"/>
      <c r="I664" s="1154"/>
      <c r="J664" s="1154"/>
      <c r="K664" s="1154"/>
      <c r="L664" s="1154"/>
      <c r="M664" s="1154"/>
      <c r="N664" s="1154"/>
      <c r="O664" s="1154"/>
      <c r="P664" s="1154"/>
      <c r="Q664" s="1154"/>
      <c r="R664" s="1154"/>
      <c r="S664" s="1154"/>
      <c r="T664" s="1154"/>
      <c r="U664" s="1154"/>
      <c r="V664" s="1154"/>
      <c r="W664" s="1154"/>
      <c r="X664" s="1154"/>
      <c r="Y664" s="1154"/>
      <c r="Z664" s="1154"/>
    </row>
    <row r="665">
      <c r="A665" s="1154"/>
      <c r="B665" s="1154"/>
      <c r="C665" s="1154"/>
      <c r="D665" s="1154"/>
      <c r="E665" s="1154"/>
      <c r="F665" s="1154"/>
      <c r="G665" s="1154"/>
      <c r="H665" s="1154"/>
      <c r="I665" s="1154"/>
      <c r="J665" s="1154"/>
      <c r="K665" s="1154"/>
      <c r="L665" s="1154"/>
      <c r="M665" s="1154"/>
      <c r="N665" s="1154"/>
      <c r="O665" s="1154"/>
      <c r="P665" s="1154"/>
      <c r="Q665" s="1154"/>
      <c r="R665" s="1154"/>
      <c r="S665" s="1154"/>
      <c r="T665" s="1154"/>
      <c r="U665" s="1154"/>
      <c r="V665" s="1154"/>
      <c r="W665" s="1154"/>
      <c r="X665" s="1154"/>
      <c r="Y665" s="1154"/>
      <c r="Z665" s="1154"/>
    </row>
    <row r="666">
      <c r="A666" s="1154"/>
      <c r="B666" s="1154"/>
      <c r="C666" s="1154"/>
      <c r="D666" s="1154"/>
      <c r="E666" s="1154"/>
      <c r="F666" s="1154"/>
      <c r="G666" s="1154"/>
      <c r="H666" s="1154"/>
      <c r="I666" s="1154"/>
      <c r="J666" s="1154"/>
      <c r="K666" s="1154"/>
      <c r="L666" s="1154"/>
      <c r="M666" s="1154"/>
      <c r="N666" s="1154"/>
      <c r="O666" s="1154"/>
      <c r="P666" s="1154"/>
      <c r="Q666" s="1154"/>
      <c r="R666" s="1154"/>
      <c r="S666" s="1154"/>
      <c r="T666" s="1154"/>
      <c r="U666" s="1154"/>
      <c r="V666" s="1154"/>
      <c r="W666" s="1154"/>
      <c r="X666" s="1154"/>
      <c r="Y666" s="1154"/>
      <c r="Z666" s="1154"/>
    </row>
    <row r="667">
      <c r="A667" s="1154"/>
      <c r="B667" s="1154"/>
      <c r="C667" s="1154"/>
      <c r="D667" s="1154"/>
      <c r="E667" s="1154"/>
      <c r="F667" s="1154"/>
      <c r="G667" s="1154"/>
      <c r="H667" s="1154"/>
      <c r="I667" s="1154"/>
      <c r="J667" s="1154"/>
      <c r="K667" s="1154"/>
      <c r="L667" s="1154"/>
      <c r="M667" s="1154"/>
      <c r="N667" s="1154"/>
      <c r="O667" s="1154"/>
      <c r="P667" s="1154"/>
      <c r="Q667" s="1154"/>
      <c r="R667" s="1154"/>
      <c r="S667" s="1154"/>
      <c r="T667" s="1154"/>
      <c r="U667" s="1154"/>
      <c r="V667" s="1154"/>
      <c r="W667" s="1154"/>
      <c r="X667" s="1154"/>
      <c r="Y667" s="1154"/>
      <c r="Z667" s="1154"/>
    </row>
    <row r="668">
      <c r="A668" s="1154"/>
      <c r="B668" s="1154"/>
      <c r="C668" s="1154"/>
      <c r="D668" s="1154"/>
      <c r="E668" s="1154"/>
      <c r="F668" s="1154"/>
      <c r="G668" s="1154"/>
      <c r="H668" s="1154"/>
      <c r="I668" s="1154"/>
      <c r="J668" s="1154"/>
      <c r="K668" s="1154"/>
      <c r="L668" s="1154"/>
      <c r="M668" s="1154"/>
      <c r="N668" s="1154"/>
      <c r="O668" s="1154"/>
      <c r="P668" s="1154"/>
      <c r="Q668" s="1154"/>
      <c r="R668" s="1154"/>
      <c r="S668" s="1154"/>
      <c r="T668" s="1154"/>
      <c r="U668" s="1154"/>
      <c r="V668" s="1154"/>
      <c r="W668" s="1154"/>
      <c r="X668" s="1154"/>
      <c r="Y668" s="1154"/>
      <c r="Z668" s="1154"/>
    </row>
    <row r="669">
      <c r="A669" s="1154"/>
      <c r="B669" s="1154"/>
      <c r="C669" s="1154"/>
      <c r="D669" s="1154"/>
      <c r="E669" s="1154"/>
      <c r="F669" s="1154"/>
      <c r="G669" s="1154"/>
      <c r="H669" s="1154"/>
      <c r="I669" s="1154"/>
      <c r="J669" s="1154"/>
      <c r="K669" s="1154"/>
      <c r="L669" s="1154"/>
      <c r="M669" s="1154"/>
      <c r="N669" s="1154"/>
      <c r="O669" s="1154"/>
      <c r="P669" s="1154"/>
      <c r="Q669" s="1154"/>
      <c r="R669" s="1154"/>
      <c r="S669" s="1154"/>
      <c r="T669" s="1154"/>
      <c r="U669" s="1154"/>
      <c r="V669" s="1154"/>
      <c r="W669" s="1154"/>
      <c r="X669" s="1154"/>
      <c r="Y669" s="1154"/>
      <c r="Z669" s="1154"/>
    </row>
    <row r="670">
      <c r="A670" s="1154"/>
      <c r="B670" s="1154"/>
      <c r="C670" s="1154"/>
      <c r="D670" s="1154"/>
      <c r="E670" s="1154"/>
      <c r="F670" s="1154"/>
      <c r="G670" s="1154"/>
      <c r="H670" s="1154"/>
      <c r="I670" s="1154"/>
      <c r="J670" s="1154"/>
      <c r="K670" s="1154"/>
      <c r="L670" s="1154"/>
      <c r="M670" s="1154"/>
      <c r="N670" s="1154"/>
      <c r="O670" s="1154"/>
      <c r="P670" s="1154"/>
      <c r="Q670" s="1154"/>
      <c r="R670" s="1154"/>
      <c r="S670" s="1154"/>
      <c r="T670" s="1154"/>
      <c r="U670" s="1154"/>
      <c r="V670" s="1154"/>
      <c r="W670" s="1154"/>
      <c r="X670" s="1154"/>
      <c r="Y670" s="1154"/>
      <c r="Z670" s="1154"/>
    </row>
    <row r="671">
      <c r="A671" s="1154"/>
      <c r="B671" s="1154"/>
      <c r="C671" s="1154"/>
      <c r="D671" s="1154"/>
      <c r="E671" s="1154"/>
      <c r="F671" s="1154"/>
      <c r="G671" s="1154"/>
      <c r="H671" s="1154"/>
      <c r="I671" s="1154"/>
      <c r="J671" s="1154"/>
      <c r="K671" s="1154"/>
      <c r="L671" s="1154"/>
      <c r="M671" s="1154"/>
      <c r="N671" s="1154"/>
      <c r="O671" s="1154"/>
      <c r="P671" s="1154"/>
      <c r="Q671" s="1154"/>
      <c r="R671" s="1154"/>
      <c r="S671" s="1154"/>
      <c r="T671" s="1154"/>
      <c r="U671" s="1154"/>
      <c r="V671" s="1154"/>
      <c r="W671" s="1154"/>
      <c r="X671" s="1154"/>
      <c r="Y671" s="1154"/>
      <c r="Z671" s="1154"/>
    </row>
    <row r="672">
      <c r="A672" s="1154"/>
      <c r="B672" s="1154"/>
      <c r="C672" s="1154"/>
      <c r="D672" s="1154"/>
      <c r="E672" s="1154"/>
      <c r="F672" s="1154"/>
      <c r="G672" s="1154"/>
      <c r="H672" s="1154"/>
      <c r="I672" s="1154"/>
      <c r="J672" s="1154"/>
      <c r="K672" s="1154"/>
      <c r="L672" s="1154"/>
      <c r="M672" s="1154"/>
      <c r="N672" s="1154"/>
      <c r="O672" s="1154"/>
      <c r="P672" s="1154"/>
      <c r="Q672" s="1154"/>
      <c r="R672" s="1154"/>
      <c r="S672" s="1154"/>
      <c r="T672" s="1154"/>
      <c r="U672" s="1154"/>
      <c r="V672" s="1154"/>
      <c r="W672" s="1154"/>
      <c r="X672" s="1154"/>
      <c r="Y672" s="1154"/>
      <c r="Z672" s="1154"/>
    </row>
    <row r="673">
      <c r="A673" s="1154"/>
      <c r="B673" s="1154"/>
      <c r="C673" s="1154"/>
      <c r="D673" s="1154"/>
      <c r="E673" s="1154"/>
      <c r="F673" s="1154"/>
      <c r="G673" s="1154"/>
      <c r="H673" s="1154"/>
      <c r="I673" s="1154"/>
      <c r="J673" s="1154"/>
      <c r="K673" s="1154"/>
      <c r="L673" s="1154"/>
      <c r="M673" s="1154"/>
      <c r="N673" s="1154"/>
      <c r="O673" s="1154"/>
      <c r="P673" s="1154"/>
      <c r="Q673" s="1154"/>
      <c r="R673" s="1154"/>
      <c r="S673" s="1154"/>
      <c r="T673" s="1154"/>
      <c r="U673" s="1154"/>
      <c r="V673" s="1154"/>
      <c r="W673" s="1154"/>
      <c r="X673" s="1154"/>
      <c r="Y673" s="1154"/>
      <c r="Z673" s="1154"/>
    </row>
    <row r="674">
      <c r="A674" s="1154"/>
      <c r="B674" s="1154"/>
      <c r="C674" s="1154"/>
      <c r="D674" s="1154"/>
      <c r="E674" s="1154"/>
      <c r="F674" s="1154"/>
      <c r="G674" s="1154"/>
      <c r="H674" s="1154"/>
      <c r="I674" s="1154"/>
      <c r="J674" s="1154"/>
      <c r="K674" s="1154"/>
      <c r="L674" s="1154"/>
      <c r="M674" s="1154"/>
      <c r="N674" s="1154"/>
      <c r="O674" s="1154"/>
      <c r="P674" s="1154"/>
      <c r="Q674" s="1154"/>
      <c r="R674" s="1154"/>
      <c r="S674" s="1154"/>
      <c r="T674" s="1154"/>
      <c r="U674" s="1154"/>
      <c r="V674" s="1154"/>
      <c r="W674" s="1154"/>
      <c r="X674" s="1154"/>
      <c r="Y674" s="1154"/>
      <c r="Z674" s="1154"/>
    </row>
    <row r="675">
      <c r="A675" s="1154"/>
      <c r="B675" s="1154"/>
      <c r="C675" s="1154"/>
      <c r="D675" s="1154"/>
      <c r="E675" s="1154"/>
      <c r="F675" s="1154"/>
      <c r="G675" s="1154"/>
      <c r="H675" s="1154"/>
      <c r="I675" s="1154"/>
      <c r="J675" s="1154"/>
      <c r="K675" s="1154"/>
      <c r="L675" s="1154"/>
      <c r="M675" s="1154"/>
      <c r="N675" s="1154"/>
      <c r="O675" s="1154"/>
      <c r="P675" s="1154"/>
      <c r="Q675" s="1154"/>
      <c r="R675" s="1154"/>
      <c r="S675" s="1154"/>
      <c r="T675" s="1154"/>
      <c r="U675" s="1154"/>
      <c r="V675" s="1154"/>
      <c r="W675" s="1154"/>
      <c r="X675" s="1154"/>
      <c r="Y675" s="1154"/>
      <c r="Z675" s="1154"/>
    </row>
    <row r="676">
      <c r="A676" s="1154"/>
      <c r="B676" s="1154"/>
      <c r="C676" s="1154"/>
      <c r="D676" s="1154"/>
      <c r="E676" s="1154"/>
      <c r="F676" s="1154"/>
      <c r="G676" s="1154"/>
      <c r="H676" s="1154"/>
      <c r="I676" s="1154"/>
      <c r="J676" s="1154"/>
      <c r="K676" s="1154"/>
      <c r="L676" s="1154"/>
      <c r="M676" s="1154"/>
      <c r="N676" s="1154"/>
      <c r="O676" s="1154"/>
      <c r="P676" s="1154"/>
      <c r="Q676" s="1154"/>
      <c r="R676" s="1154"/>
      <c r="S676" s="1154"/>
      <c r="T676" s="1154"/>
      <c r="U676" s="1154"/>
      <c r="V676" s="1154"/>
      <c r="W676" s="1154"/>
      <c r="X676" s="1154"/>
      <c r="Y676" s="1154"/>
      <c r="Z676" s="1154"/>
    </row>
    <row r="677">
      <c r="A677" s="1154"/>
      <c r="B677" s="1154"/>
      <c r="C677" s="1154"/>
      <c r="D677" s="1154"/>
      <c r="E677" s="1154"/>
      <c r="F677" s="1154"/>
      <c r="G677" s="1154"/>
      <c r="H677" s="1154"/>
      <c r="I677" s="1154"/>
      <c r="J677" s="1154"/>
      <c r="K677" s="1154"/>
      <c r="L677" s="1154"/>
      <c r="M677" s="1154"/>
      <c r="N677" s="1154"/>
      <c r="O677" s="1154"/>
      <c r="P677" s="1154"/>
      <c r="Q677" s="1154"/>
      <c r="R677" s="1154"/>
      <c r="S677" s="1154"/>
      <c r="T677" s="1154"/>
      <c r="U677" s="1154"/>
      <c r="V677" s="1154"/>
      <c r="W677" s="1154"/>
      <c r="X677" s="1154"/>
      <c r="Y677" s="1154"/>
      <c r="Z677" s="1154"/>
    </row>
    <row r="678">
      <c r="A678" s="1154"/>
      <c r="B678" s="1154"/>
      <c r="C678" s="1154"/>
      <c r="D678" s="1154"/>
      <c r="E678" s="1154"/>
      <c r="F678" s="1154"/>
      <c r="G678" s="1154"/>
      <c r="H678" s="1154"/>
      <c r="I678" s="1154"/>
      <c r="J678" s="1154"/>
      <c r="K678" s="1154"/>
      <c r="L678" s="1154"/>
      <c r="M678" s="1154"/>
      <c r="N678" s="1154"/>
      <c r="O678" s="1154"/>
      <c r="P678" s="1154"/>
      <c r="Q678" s="1154"/>
      <c r="R678" s="1154"/>
      <c r="S678" s="1154"/>
      <c r="T678" s="1154"/>
      <c r="U678" s="1154"/>
      <c r="V678" s="1154"/>
      <c r="W678" s="1154"/>
      <c r="X678" s="1154"/>
      <c r="Y678" s="1154"/>
      <c r="Z678" s="1154"/>
    </row>
    <row r="679">
      <c r="A679" s="1154"/>
      <c r="B679" s="1154"/>
      <c r="C679" s="1154"/>
      <c r="D679" s="1154"/>
      <c r="E679" s="1154"/>
      <c r="F679" s="1154"/>
      <c r="G679" s="1154"/>
      <c r="H679" s="1154"/>
      <c r="I679" s="1154"/>
      <c r="J679" s="1154"/>
      <c r="K679" s="1154"/>
      <c r="L679" s="1154"/>
      <c r="M679" s="1154"/>
      <c r="N679" s="1154"/>
      <c r="O679" s="1154"/>
      <c r="P679" s="1154"/>
      <c r="Q679" s="1154"/>
      <c r="R679" s="1154"/>
      <c r="S679" s="1154"/>
      <c r="T679" s="1154"/>
      <c r="U679" s="1154"/>
      <c r="V679" s="1154"/>
      <c r="W679" s="1154"/>
      <c r="X679" s="1154"/>
      <c r="Y679" s="1154"/>
      <c r="Z679" s="1154"/>
    </row>
    <row r="680">
      <c r="A680" s="1154"/>
      <c r="B680" s="1154"/>
      <c r="C680" s="1154"/>
      <c r="D680" s="1154"/>
      <c r="E680" s="1154"/>
      <c r="F680" s="1154"/>
      <c r="G680" s="1154"/>
      <c r="H680" s="1154"/>
      <c r="I680" s="1154"/>
      <c r="J680" s="1154"/>
      <c r="K680" s="1154"/>
      <c r="L680" s="1154"/>
      <c r="M680" s="1154"/>
      <c r="N680" s="1154"/>
      <c r="O680" s="1154"/>
      <c r="P680" s="1154"/>
      <c r="Q680" s="1154"/>
      <c r="R680" s="1154"/>
      <c r="S680" s="1154"/>
      <c r="T680" s="1154"/>
      <c r="U680" s="1154"/>
      <c r="V680" s="1154"/>
      <c r="W680" s="1154"/>
      <c r="X680" s="1154"/>
      <c r="Y680" s="1154"/>
      <c r="Z680" s="1154"/>
    </row>
    <row r="681">
      <c r="A681" s="1154"/>
      <c r="B681" s="1154"/>
      <c r="C681" s="1154"/>
      <c r="D681" s="1154"/>
      <c r="E681" s="1154"/>
      <c r="F681" s="1154"/>
      <c r="G681" s="1154"/>
      <c r="H681" s="1154"/>
      <c r="I681" s="1154"/>
      <c r="J681" s="1154"/>
      <c r="K681" s="1154"/>
      <c r="L681" s="1154"/>
      <c r="M681" s="1154"/>
      <c r="N681" s="1154"/>
      <c r="O681" s="1154"/>
      <c r="P681" s="1154"/>
      <c r="Q681" s="1154"/>
      <c r="R681" s="1154"/>
      <c r="S681" s="1154"/>
      <c r="T681" s="1154"/>
      <c r="U681" s="1154"/>
      <c r="V681" s="1154"/>
      <c r="W681" s="1154"/>
      <c r="X681" s="1154"/>
      <c r="Y681" s="1154"/>
      <c r="Z681" s="1154"/>
    </row>
    <row r="682">
      <c r="A682" s="1154"/>
      <c r="B682" s="1154"/>
      <c r="C682" s="1154"/>
      <c r="D682" s="1154"/>
      <c r="E682" s="1154"/>
      <c r="F682" s="1154"/>
      <c r="G682" s="1154"/>
      <c r="H682" s="1154"/>
      <c r="I682" s="1154"/>
      <c r="J682" s="1154"/>
      <c r="K682" s="1154"/>
      <c r="L682" s="1154"/>
      <c r="M682" s="1154"/>
      <c r="N682" s="1154"/>
      <c r="O682" s="1154"/>
      <c r="P682" s="1154"/>
      <c r="Q682" s="1154"/>
      <c r="R682" s="1154"/>
      <c r="S682" s="1154"/>
      <c r="T682" s="1154"/>
      <c r="U682" s="1154"/>
      <c r="V682" s="1154"/>
      <c r="W682" s="1154"/>
      <c r="X682" s="1154"/>
      <c r="Y682" s="1154"/>
      <c r="Z682" s="1154"/>
    </row>
    <row r="683">
      <c r="A683" s="1154"/>
      <c r="B683" s="1154"/>
      <c r="C683" s="1154"/>
      <c r="D683" s="1154"/>
      <c r="E683" s="1154"/>
      <c r="F683" s="1154"/>
      <c r="G683" s="1154"/>
      <c r="H683" s="1154"/>
      <c r="I683" s="1154"/>
      <c r="J683" s="1154"/>
      <c r="K683" s="1154"/>
      <c r="L683" s="1154"/>
      <c r="M683" s="1154"/>
      <c r="N683" s="1154"/>
      <c r="O683" s="1154"/>
      <c r="P683" s="1154"/>
      <c r="Q683" s="1154"/>
      <c r="R683" s="1154"/>
      <c r="S683" s="1154"/>
      <c r="T683" s="1154"/>
      <c r="U683" s="1154"/>
      <c r="V683" s="1154"/>
      <c r="W683" s="1154"/>
      <c r="X683" s="1154"/>
      <c r="Y683" s="1154"/>
      <c r="Z683" s="1154"/>
    </row>
    <row r="684">
      <c r="A684" s="1154"/>
      <c r="B684" s="1154"/>
      <c r="C684" s="1154"/>
      <c r="D684" s="1154"/>
      <c r="E684" s="1154"/>
      <c r="F684" s="1154"/>
      <c r="G684" s="1154"/>
      <c r="H684" s="1154"/>
      <c r="I684" s="1154"/>
      <c r="J684" s="1154"/>
      <c r="K684" s="1154"/>
      <c r="L684" s="1154"/>
      <c r="M684" s="1154"/>
      <c r="N684" s="1154"/>
      <c r="O684" s="1154"/>
      <c r="P684" s="1154"/>
      <c r="Q684" s="1154"/>
      <c r="R684" s="1154"/>
      <c r="S684" s="1154"/>
      <c r="T684" s="1154"/>
      <c r="U684" s="1154"/>
      <c r="V684" s="1154"/>
      <c r="W684" s="1154"/>
      <c r="X684" s="1154"/>
      <c r="Y684" s="1154"/>
      <c r="Z684" s="1154"/>
    </row>
    <row r="685">
      <c r="A685" s="1154"/>
      <c r="B685" s="1154"/>
      <c r="C685" s="1154"/>
      <c r="D685" s="1154"/>
      <c r="E685" s="1154"/>
      <c r="F685" s="1154"/>
      <c r="G685" s="1154"/>
      <c r="H685" s="1154"/>
      <c r="I685" s="1154"/>
      <c r="J685" s="1154"/>
      <c r="K685" s="1154"/>
      <c r="L685" s="1154"/>
      <c r="M685" s="1154"/>
      <c r="N685" s="1154"/>
      <c r="O685" s="1154"/>
      <c r="P685" s="1154"/>
      <c r="Q685" s="1154"/>
      <c r="R685" s="1154"/>
      <c r="S685" s="1154"/>
      <c r="T685" s="1154"/>
      <c r="U685" s="1154"/>
      <c r="V685" s="1154"/>
      <c r="W685" s="1154"/>
      <c r="X685" s="1154"/>
      <c r="Y685" s="1154"/>
      <c r="Z685" s="1154"/>
    </row>
    <row r="686">
      <c r="A686" s="1154"/>
      <c r="B686" s="1154"/>
      <c r="C686" s="1154"/>
      <c r="D686" s="1154"/>
      <c r="E686" s="1154"/>
      <c r="F686" s="1154"/>
      <c r="G686" s="1154"/>
      <c r="H686" s="1154"/>
      <c r="I686" s="1154"/>
      <c r="J686" s="1154"/>
      <c r="K686" s="1154"/>
      <c r="L686" s="1154"/>
      <c r="M686" s="1154"/>
      <c r="N686" s="1154"/>
      <c r="O686" s="1154"/>
      <c r="P686" s="1154"/>
      <c r="Q686" s="1154"/>
      <c r="R686" s="1154"/>
      <c r="S686" s="1154"/>
      <c r="T686" s="1154"/>
      <c r="U686" s="1154"/>
      <c r="V686" s="1154"/>
      <c r="W686" s="1154"/>
      <c r="X686" s="1154"/>
      <c r="Y686" s="1154"/>
      <c r="Z686" s="1154"/>
    </row>
    <row r="687">
      <c r="A687" s="1154"/>
      <c r="B687" s="1154"/>
      <c r="C687" s="1154"/>
      <c r="D687" s="1154"/>
      <c r="E687" s="1154"/>
      <c r="F687" s="1154"/>
      <c r="G687" s="1154"/>
      <c r="H687" s="1154"/>
      <c r="I687" s="1154"/>
      <c r="J687" s="1154"/>
      <c r="K687" s="1154"/>
      <c r="L687" s="1154"/>
      <c r="M687" s="1154"/>
      <c r="N687" s="1154"/>
      <c r="O687" s="1154"/>
      <c r="P687" s="1154"/>
      <c r="Q687" s="1154"/>
      <c r="R687" s="1154"/>
      <c r="S687" s="1154"/>
      <c r="T687" s="1154"/>
      <c r="U687" s="1154"/>
      <c r="V687" s="1154"/>
      <c r="W687" s="1154"/>
      <c r="X687" s="1154"/>
      <c r="Y687" s="1154"/>
      <c r="Z687" s="1154"/>
    </row>
    <row r="688">
      <c r="A688" s="1154"/>
      <c r="B688" s="1154"/>
      <c r="C688" s="1154"/>
      <c r="D688" s="1154"/>
      <c r="E688" s="1154"/>
      <c r="F688" s="1154"/>
      <c r="G688" s="1154"/>
      <c r="H688" s="1154"/>
      <c r="I688" s="1154"/>
      <c r="J688" s="1154"/>
      <c r="K688" s="1154"/>
      <c r="L688" s="1154"/>
      <c r="M688" s="1154"/>
      <c r="N688" s="1154"/>
      <c r="O688" s="1154"/>
      <c r="P688" s="1154"/>
      <c r="Q688" s="1154"/>
      <c r="R688" s="1154"/>
      <c r="S688" s="1154"/>
      <c r="T688" s="1154"/>
      <c r="U688" s="1154"/>
      <c r="V688" s="1154"/>
      <c r="W688" s="1154"/>
      <c r="X688" s="1154"/>
      <c r="Y688" s="1154"/>
      <c r="Z688" s="1154"/>
    </row>
    <row r="689">
      <c r="A689" s="1154"/>
      <c r="B689" s="1154"/>
      <c r="C689" s="1154"/>
      <c r="D689" s="1154"/>
      <c r="E689" s="1154"/>
      <c r="F689" s="1154"/>
      <c r="G689" s="1154"/>
      <c r="H689" s="1154"/>
      <c r="I689" s="1154"/>
      <c r="J689" s="1154"/>
      <c r="K689" s="1154"/>
      <c r="L689" s="1154"/>
      <c r="M689" s="1154"/>
      <c r="N689" s="1154"/>
      <c r="O689" s="1154"/>
      <c r="P689" s="1154"/>
      <c r="Q689" s="1154"/>
      <c r="R689" s="1154"/>
      <c r="S689" s="1154"/>
      <c r="T689" s="1154"/>
      <c r="U689" s="1154"/>
      <c r="V689" s="1154"/>
      <c r="W689" s="1154"/>
      <c r="X689" s="1154"/>
      <c r="Y689" s="1154"/>
      <c r="Z689" s="1154"/>
    </row>
    <row r="690">
      <c r="A690" s="1154"/>
      <c r="B690" s="1154"/>
      <c r="C690" s="1154"/>
      <c r="D690" s="1154"/>
      <c r="E690" s="1154"/>
      <c r="F690" s="1154"/>
      <c r="G690" s="1154"/>
      <c r="H690" s="1154"/>
      <c r="I690" s="1154"/>
      <c r="J690" s="1154"/>
      <c r="K690" s="1154"/>
      <c r="L690" s="1154"/>
      <c r="M690" s="1154"/>
      <c r="N690" s="1154"/>
      <c r="O690" s="1154"/>
      <c r="P690" s="1154"/>
      <c r="Q690" s="1154"/>
      <c r="R690" s="1154"/>
      <c r="S690" s="1154"/>
      <c r="T690" s="1154"/>
      <c r="U690" s="1154"/>
      <c r="V690" s="1154"/>
      <c r="W690" s="1154"/>
      <c r="X690" s="1154"/>
      <c r="Y690" s="1154"/>
      <c r="Z690" s="1154"/>
    </row>
    <row r="691">
      <c r="A691" s="1154"/>
      <c r="B691" s="1154"/>
      <c r="C691" s="1154"/>
      <c r="D691" s="1154"/>
      <c r="E691" s="1154"/>
      <c r="F691" s="1154"/>
      <c r="G691" s="1154"/>
      <c r="H691" s="1154"/>
      <c r="I691" s="1154"/>
      <c r="J691" s="1154"/>
      <c r="K691" s="1154"/>
      <c r="L691" s="1154"/>
      <c r="M691" s="1154"/>
      <c r="N691" s="1154"/>
      <c r="O691" s="1154"/>
      <c r="P691" s="1154"/>
      <c r="Q691" s="1154"/>
      <c r="R691" s="1154"/>
      <c r="S691" s="1154"/>
      <c r="T691" s="1154"/>
      <c r="U691" s="1154"/>
      <c r="V691" s="1154"/>
      <c r="W691" s="1154"/>
      <c r="X691" s="1154"/>
      <c r="Y691" s="1154"/>
      <c r="Z691" s="1154"/>
    </row>
    <row r="692">
      <c r="A692" s="1154"/>
      <c r="B692" s="1154"/>
      <c r="C692" s="1154"/>
      <c r="D692" s="1154"/>
      <c r="E692" s="1154"/>
      <c r="F692" s="1154"/>
      <c r="G692" s="1154"/>
      <c r="H692" s="1154"/>
      <c r="I692" s="1154"/>
      <c r="J692" s="1154"/>
      <c r="K692" s="1154"/>
      <c r="L692" s="1154"/>
      <c r="M692" s="1154"/>
      <c r="N692" s="1154"/>
      <c r="O692" s="1154"/>
      <c r="P692" s="1154"/>
      <c r="Q692" s="1154"/>
      <c r="R692" s="1154"/>
      <c r="S692" s="1154"/>
      <c r="T692" s="1154"/>
      <c r="U692" s="1154"/>
      <c r="V692" s="1154"/>
      <c r="W692" s="1154"/>
      <c r="X692" s="1154"/>
      <c r="Y692" s="1154"/>
      <c r="Z692" s="1154"/>
    </row>
    <row r="693">
      <c r="A693" s="1154"/>
      <c r="B693" s="1154"/>
      <c r="C693" s="1154"/>
      <c r="D693" s="1154"/>
      <c r="E693" s="1154"/>
      <c r="F693" s="1154"/>
      <c r="G693" s="1154"/>
      <c r="H693" s="1154"/>
      <c r="I693" s="1154"/>
      <c r="J693" s="1154"/>
      <c r="K693" s="1154"/>
      <c r="L693" s="1154"/>
      <c r="M693" s="1154"/>
      <c r="N693" s="1154"/>
      <c r="O693" s="1154"/>
      <c r="P693" s="1154"/>
      <c r="Q693" s="1154"/>
      <c r="R693" s="1154"/>
      <c r="S693" s="1154"/>
      <c r="T693" s="1154"/>
      <c r="U693" s="1154"/>
      <c r="V693" s="1154"/>
      <c r="W693" s="1154"/>
      <c r="X693" s="1154"/>
      <c r="Y693" s="1154"/>
      <c r="Z693" s="1154"/>
    </row>
    <row r="694">
      <c r="A694" s="1154"/>
      <c r="B694" s="1154"/>
      <c r="C694" s="1154"/>
      <c r="D694" s="1154"/>
      <c r="E694" s="1154"/>
      <c r="F694" s="1154"/>
      <c r="G694" s="1154"/>
      <c r="H694" s="1154"/>
      <c r="I694" s="1154"/>
      <c r="J694" s="1154"/>
      <c r="K694" s="1154"/>
      <c r="L694" s="1154"/>
      <c r="M694" s="1154"/>
      <c r="N694" s="1154"/>
      <c r="O694" s="1154"/>
      <c r="P694" s="1154"/>
      <c r="Q694" s="1154"/>
      <c r="R694" s="1154"/>
      <c r="S694" s="1154"/>
      <c r="T694" s="1154"/>
      <c r="U694" s="1154"/>
      <c r="V694" s="1154"/>
      <c r="W694" s="1154"/>
      <c r="X694" s="1154"/>
      <c r="Y694" s="1154"/>
      <c r="Z694" s="1154"/>
    </row>
    <row r="695">
      <c r="A695" s="1154"/>
      <c r="B695" s="1154"/>
      <c r="C695" s="1154"/>
      <c r="D695" s="1154"/>
      <c r="E695" s="1154"/>
      <c r="F695" s="1154"/>
      <c r="G695" s="1154"/>
      <c r="H695" s="1154"/>
      <c r="I695" s="1154"/>
      <c r="J695" s="1154"/>
      <c r="K695" s="1154"/>
      <c r="L695" s="1154"/>
      <c r="M695" s="1154"/>
      <c r="N695" s="1154"/>
      <c r="O695" s="1154"/>
      <c r="P695" s="1154"/>
      <c r="Q695" s="1154"/>
      <c r="R695" s="1154"/>
      <c r="S695" s="1154"/>
      <c r="T695" s="1154"/>
      <c r="U695" s="1154"/>
      <c r="V695" s="1154"/>
      <c r="W695" s="1154"/>
      <c r="X695" s="1154"/>
      <c r="Y695" s="1154"/>
      <c r="Z695" s="1154"/>
    </row>
    <row r="696">
      <c r="A696" s="1154"/>
      <c r="B696" s="1154"/>
      <c r="C696" s="1154"/>
      <c r="D696" s="1154"/>
      <c r="E696" s="1154"/>
      <c r="F696" s="1154"/>
      <c r="G696" s="1154"/>
      <c r="H696" s="1154"/>
      <c r="I696" s="1154"/>
      <c r="J696" s="1154"/>
      <c r="K696" s="1154"/>
      <c r="L696" s="1154"/>
      <c r="M696" s="1154"/>
      <c r="N696" s="1154"/>
      <c r="O696" s="1154"/>
      <c r="P696" s="1154"/>
      <c r="Q696" s="1154"/>
      <c r="R696" s="1154"/>
      <c r="S696" s="1154"/>
      <c r="T696" s="1154"/>
      <c r="U696" s="1154"/>
      <c r="V696" s="1154"/>
      <c r="W696" s="1154"/>
      <c r="X696" s="1154"/>
      <c r="Y696" s="1154"/>
      <c r="Z696" s="1154"/>
    </row>
    <row r="697">
      <c r="A697" s="1154"/>
      <c r="B697" s="1154"/>
      <c r="C697" s="1154"/>
      <c r="D697" s="1154"/>
      <c r="E697" s="1154"/>
      <c r="F697" s="1154"/>
      <c r="G697" s="1154"/>
      <c r="H697" s="1154"/>
      <c r="I697" s="1154"/>
      <c r="J697" s="1154"/>
      <c r="K697" s="1154"/>
      <c r="L697" s="1154"/>
      <c r="M697" s="1154"/>
      <c r="N697" s="1154"/>
      <c r="O697" s="1154"/>
      <c r="P697" s="1154"/>
      <c r="Q697" s="1154"/>
      <c r="R697" s="1154"/>
      <c r="S697" s="1154"/>
      <c r="T697" s="1154"/>
      <c r="U697" s="1154"/>
      <c r="V697" s="1154"/>
      <c r="W697" s="1154"/>
      <c r="X697" s="1154"/>
      <c r="Y697" s="1154"/>
      <c r="Z697" s="1154"/>
    </row>
    <row r="698">
      <c r="A698" s="1154"/>
      <c r="B698" s="1154"/>
      <c r="C698" s="1154"/>
      <c r="D698" s="1154"/>
      <c r="E698" s="1154"/>
      <c r="F698" s="1154"/>
      <c r="G698" s="1154"/>
      <c r="H698" s="1154"/>
      <c r="I698" s="1154"/>
      <c r="J698" s="1154"/>
      <c r="K698" s="1154"/>
      <c r="L698" s="1154"/>
      <c r="M698" s="1154"/>
      <c r="N698" s="1154"/>
      <c r="O698" s="1154"/>
      <c r="P698" s="1154"/>
      <c r="Q698" s="1154"/>
      <c r="R698" s="1154"/>
      <c r="S698" s="1154"/>
      <c r="T698" s="1154"/>
      <c r="U698" s="1154"/>
      <c r="V698" s="1154"/>
      <c r="W698" s="1154"/>
      <c r="X698" s="1154"/>
      <c r="Y698" s="1154"/>
      <c r="Z698" s="1154"/>
    </row>
    <row r="699">
      <c r="A699" s="1154"/>
      <c r="B699" s="1154"/>
      <c r="C699" s="1154"/>
      <c r="D699" s="1154"/>
      <c r="E699" s="1154"/>
      <c r="F699" s="1154"/>
      <c r="G699" s="1154"/>
      <c r="H699" s="1154"/>
      <c r="I699" s="1154"/>
      <c r="J699" s="1154"/>
      <c r="K699" s="1154"/>
      <c r="L699" s="1154"/>
      <c r="M699" s="1154"/>
      <c r="N699" s="1154"/>
      <c r="O699" s="1154"/>
      <c r="P699" s="1154"/>
      <c r="Q699" s="1154"/>
      <c r="R699" s="1154"/>
      <c r="S699" s="1154"/>
      <c r="T699" s="1154"/>
      <c r="U699" s="1154"/>
      <c r="V699" s="1154"/>
      <c r="W699" s="1154"/>
      <c r="X699" s="1154"/>
      <c r="Y699" s="1154"/>
      <c r="Z699" s="1154"/>
    </row>
    <row r="700">
      <c r="A700" s="1154"/>
      <c r="B700" s="1154"/>
      <c r="C700" s="1154"/>
      <c r="D700" s="1154"/>
      <c r="E700" s="1154"/>
      <c r="F700" s="1154"/>
      <c r="G700" s="1154"/>
      <c r="H700" s="1154"/>
      <c r="I700" s="1154"/>
      <c r="J700" s="1154"/>
      <c r="K700" s="1154"/>
      <c r="L700" s="1154"/>
      <c r="M700" s="1154"/>
      <c r="N700" s="1154"/>
      <c r="O700" s="1154"/>
      <c r="P700" s="1154"/>
      <c r="Q700" s="1154"/>
      <c r="R700" s="1154"/>
      <c r="S700" s="1154"/>
      <c r="T700" s="1154"/>
      <c r="U700" s="1154"/>
      <c r="V700" s="1154"/>
      <c r="W700" s="1154"/>
      <c r="X700" s="1154"/>
      <c r="Y700" s="1154"/>
      <c r="Z700" s="1154"/>
    </row>
    <row r="701">
      <c r="A701" s="1154"/>
      <c r="B701" s="1154"/>
      <c r="C701" s="1154"/>
      <c r="D701" s="1154"/>
      <c r="E701" s="1154"/>
      <c r="F701" s="1154"/>
      <c r="G701" s="1154"/>
      <c r="H701" s="1154"/>
      <c r="I701" s="1154"/>
      <c r="J701" s="1154"/>
      <c r="K701" s="1154"/>
      <c r="L701" s="1154"/>
      <c r="M701" s="1154"/>
      <c r="N701" s="1154"/>
      <c r="O701" s="1154"/>
      <c r="P701" s="1154"/>
      <c r="Q701" s="1154"/>
      <c r="R701" s="1154"/>
      <c r="S701" s="1154"/>
      <c r="T701" s="1154"/>
      <c r="U701" s="1154"/>
      <c r="V701" s="1154"/>
      <c r="W701" s="1154"/>
      <c r="X701" s="1154"/>
      <c r="Y701" s="1154"/>
      <c r="Z701" s="1154"/>
    </row>
    <row r="702">
      <c r="A702" s="1154"/>
      <c r="B702" s="1154"/>
      <c r="C702" s="1154"/>
      <c r="D702" s="1154"/>
      <c r="E702" s="1154"/>
      <c r="F702" s="1154"/>
      <c r="G702" s="1154"/>
      <c r="H702" s="1154"/>
      <c r="I702" s="1154"/>
      <c r="J702" s="1154"/>
      <c r="K702" s="1154"/>
      <c r="L702" s="1154"/>
      <c r="M702" s="1154"/>
      <c r="N702" s="1154"/>
      <c r="O702" s="1154"/>
      <c r="P702" s="1154"/>
      <c r="Q702" s="1154"/>
      <c r="R702" s="1154"/>
      <c r="S702" s="1154"/>
      <c r="T702" s="1154"/>
      <c r="U702" s="1154"/>
      <c r="V702" s="1154"/>
      <c r="W702" s="1154"/>
      <c r="X702" s="1154"/>
      <c r="Y702" s="1154"/>
      <c r="Z702" s="1154"/>
    </row>
    <row r="703">
      <c r="A703" s="1154"/>
      <c r="B703" s="1154"/>
      <c r="C703" s="1154"/>
      <c r="D703" s="1154"/>
      <c r="E703" s="1154"/>
      <c r="F703" s="1154"/>
      <c r="G703" s="1154"/>
      <c r="H703" s="1154"/>
      <c r="I703" s="1154"/>
      <c r="J703" s="1154"/>
      <c r="K703" s="1154"/>
      <c r="L703" s="1154"/>
      <c r="M703" s="1154"/>
      <c r="N703" s="1154"/>
      <c r="O703" s="1154"/>
      <c r="P703" s="1154"/>
      <c r="Q703" s="1154"/>
      <c r="R703" s="1154"/>
      <c r="S703" s="1154"/>
      <c r="T703" s="1154"/>
      <c r="U703" s="1154"/>
      <c r="V703" s="1154"/>
      <c r="W703" s="1154"/>
      <c r="X703" s="1154"/>
      <c r="Y703" s="1154"/>
      <c r="Z703" s="1154"/>
    </row>
    <row r="704">
      <c r="A704" s="1154"/>
      <c r="B704" s="1154"/>
      <c r="C704" s="1154"/>
      <c r="D704" s="1154"/>
      <c r="E704" s="1154"/>
      <c r="F704" s="1154"/>
      <c r="G704" s="1154"/>
      <c r="H704" s="1154"/>
      <c r="I704" s="1154"/>
      <c r="J704" s="1154"/>
      <c r="K704" s="1154"/>
      <c r="L704" s="1154"/>
      <c r="M704" s="1154"/>
      <c r="N704" s="1154"/>
      <c r="O704" s="1154"/>
      <c r="P704" s="1154"/>
      <c r="Q704" s="1154"/>
      <c r="R704" s="1154"/>
      <c r="S704" s="1154"/>
      <c r="T704" s="1154"/>
      <c r="U704" s="1154"/>
      <c r="V704" s="1154"/>
      <c r="W704" s="1154"/>
      <c r="X704" s="1154"/>
      <c r="Y704" s="1154"/>
      <c r="Z704" s="1154"/>
    </row>
    <row r="705">
      <c r="A705" s="1154"/>
      <c r="B705" s="1154"/>
      <c r="C705" s="1154"/>
      <c r="D705" s="1154"/>
      <c r="E705" s="1154"/>
      <c r="F705" s="1154"/>
      <c r="G705" s="1154"/>
      <c r="H705" s="1154"/>
      <c r="I705" s="1154"/>
      <c r="J705" s="1154"/>
      <c r="K705" s="1154"/>
      <c r="L705" s="1154"/>
      <c r="M705" s="1154"/>
      <c r="N705" s="1154"/>
      <c r="O705" s="1154"/>
      <c r="P705" s="1154"/>
      <c r="Q705" s="1154"/>
      <c r="R705" s="1154"/>
      <c r="S705" s="1154"/>
      <c r="T705" s="1154"/>
      <c r="U705" s="1154"/>
      <c r="V705" s="1154"/>
      <c r="W705" s="1154"/>
      <c r="X705" s="1154"/>
      <c r="Y705" s="1154"/>
      <c r="Z705" s="1154"/>
    </row>
    <row r="706">
      <c r="A706" s="1154"/>
      <c r="B706" s="1154"/>
      <c r="C706" s="1154"/>
      <c r="D706" s="1154"/>
      <c r="E706" s="1154"/>
      <c r="F706" s="1154"/>
      <c r="G706" s="1154"/>
      <c r="H706" s="1154"/>
      <c r="I706" s="1154"/>
      <c r="J706" s="1154"/>
      <c r="K706" s="1154"/>
      <c r="L706" s="1154"/>
      <c r="M706" s="1154"/>
      <c r="N706" s="1154"/>
      <c r="O706" s="1154"/>
      <c r="P706" s="1154"/>
      <c r="Q706" s="1154"/>
      <c r="R706" s="1154"/>
      <c r="S706" s="1154"/>
      <c r="T706" s="1154"/>
      <c r="U706" s="1154"/>
      <c r="V706" s="1154"/>
      <c r="W706" s="1154"/>
      <c r="X706" s="1154"/>
      <c r="Y706" s="1154"/>
      <c r="Z706" s="1154"/>
    </row>
    <row r="707">
      <c r="A707" s="1154"/>
      <c r="B707" s="1154"/>
      <c r="C707" s="1154"/>
      <c r="D707" s="1154"/>
      <c r="E707" s="1154"/>
      <c r="F707" s="1154"/>
      <c r="G707" s="1154"/>
      <c r="H707" s="1154"/>
      <c r="I707" s="1154"/>
      <c r="J707" s="1154"/>
      <c r="K707" s="1154"/>
      <c r="L707" s="1154"/>
      <c r="M707" s="1154"/>
      <c r="N707" s="1154"/>
      <c r="O707" s="1154"/>
      <c r="P707" s="1154"/>
      <c r="Q707" s="1154"/>
      <c r="R707" s="1154"/>
      <c r="S707" s="1154"/>
      <c r="T707" s="1154"/>
      <c r="U707" s="1154"/>
      <c r="V707" s="1154"/>
      <c r="W707" s="1154"/>
      <c r="X707" s="1154"/>
      <c r="Y707" s="1154"/>
      <c r="Z707" s="1154"/>
    </row>
    <row r="708">
      <c r="A708" s="1154"/>
      <c r="B708" s="1154"/>
      <c r="C708" s="1154"/>
      <c r="D708" s="1154"/>
      <c r="E708" s="1154"/>
      <c r="F708" s="1154"/>
      <c r="G708" s="1154"/>
      <c r="H708" s="1154"/>
      <c r="I708" s="1154"/>
      <c r="J708" s="1154"/>
      <c r="K708" s="1154"/>
      <c r="L708" s="1154"/>
      <c r="M708" s="1154"/>
      <c r="N708" s="1154"/>
      <c r="O708" s="1154"/>
      <c r="P708" s="1154"/>
      <c r="Q708" s="1154"/>
      <c r="R708" s="1154"/>
      <c r="S708" s="1154"/>
      <c r="T708" s="1154"/>
      <c r="U708" s="1154"/>
      <c r="V708" s="1154"/>
      <c r="W708" s="1154"/>
      <c r="X708" s="1154"/>
      <c r="Y708" s="1154"/>
      <c r="Z708" s="1154"/>
    </row>
    <row r="709">
      <c r="A709" s="1154"/>
      <c r="B709" s="1154"/>
      <c r="C709" s="1154"/>
      <c r="D709" s="1154"/>
      <c r="E709" s="1154"/>
      <c r="F709" s="1154"/>
      <c r="G709" s="1154"/>
      <c r="H709" s="1154"/>
      <c r="I709" s="1154"/>
      <c r="J709" s="1154"/>
      <c r="K709" s="1154"/>
      <c r="L709" s="1154"/>
      <c r="M709" s="1154"/>
      <c r="N709" s="1154"/>
      <c r="O709" s="1154"/>
      <c r="P709" s="1154"/>
      <c r="Q709" s="1154"/>
      <c r="R709" s="1154"/>
      <c r="S709" s="1154"/>
      <c r="T709" s="1154"/>
      <c r="U709" s="1154"/>
      <c r="V709" s="1154"/>
      <c r="W709" s="1154"/>
      <c r="X709" s="1154"/>
      <c r="Y709" s="1154"/>
      <c r="Z709" s="1154"/>
    </row>
    <row r="710">
      <c r="A710" s="1154"/>
      <c r="B710" s="1154"/>
      <c r="C710" s="1154"/>
      <c r="D710" s="1154"/>
      <c r="E710" s="1154"/>
      <c r="F710" s="1154"/>
      <c r="G710" s="1154"/>
      <c r="H710" s="1154"/>
      <c r="I710" s="1154"/>
      <c r="J710" s="1154"/>
      <c r="K710" s="1154"/>
      <c r="L710" s="1154"/>
      <c r="M710" s="1154"/>
      <c r="N710" s="1154"/>
      <c r="O710" s="1154"/>
      <c r="P710" s="1154"/>
      <c r="Q710" s="1154"/>
      <c r="R710" s="1154"/>
      <c r="S710" s="1154"/>
      <c r="T710" s="1154"/>
      <c r="U710" s="1154"/>
      <c r="V710" s="1154"/>
      <c r="W710" s="1154"/>
      <c r="X710" s="1154"/>
      <c r="Y710" s="1154"/>
      <c r="Z710" s="1154"/>
    </row>
    <row r="711">
      <c r="A711" s="1154"/>
      <c r="B711" s="1154"/>
      <c r="C711" s="1154"/>
      <c r="D711" s="1154"/>
      <c r="E711" s="1154"/>
      <c r="F711" s="1154"/>
      <c r="G711" s="1154"/>
      <c r="H711" s="1154"/>
      <c r="I711" s="1154"/>
      <c r="J711" s="1154"/>
      <c r="K711" s="1154"/>
      <c r="L711" s="1154"/>
      <c r="M711" s="1154"/>
      <c r="N711" s="1154"/>
      <c r="O711" s="1154"/>
      <c r="P711" s="1154"/>
      <c r="Q711" s="1154"/>
      <c r="R711" s="1154"/>
      <c r="S711" s="1154"/>
      <c r="T711" s="1154"/>
      <c r="U711" s="1154"/>
      <c r="V711" s="1154"/>
      <c r="W711" s="1154"/>
      <c r="X711" s="1154"/>
      <c r="Y711" s="1154"/>
      <c r="Z711" s="1154"/>
    </row>
    <row r="712">
      <c r="A712" s="1154"/>
      <c r="B712" s="1154"/>
      <c r="C712" s="1154"/>
      <c r="D712" s="1154"/>
      <c r="E712" s="1154"/>
      <c r="F712" s="1154"/>
      <c r="G712" s="1154"/>
      <c r="H712" s="1154"/>
      <c r="I712" s="1154"/>
      <c r="J712" s="1154"/>
      <c r="K712" s="1154"/>
      <c r="L712" s="1154"/>
      <c r="M712" s="1154"/>
      <c r="N712" s="1154"/>
      <c r="O712" s="1154"/>
      <c r="P712" s="1154"/>
      <c r="Q712" s="1154"/>
      <c r="R712" s="1154"/>
      <c r="S712" s="1154"/>
      <c r="T712" s="1154"/>
      <c r="U712" s="1154"/>
      <c r="V712" s="1154"/>
      <c r="W712" s="1154"/>
      <c r="X712" s="1154"/>
      <c r="Y712" s="1154"/>
      <c r="Z712" s="1154"/>
    </row>
    <row r="713">
      <c r="A713" s="1154"/>
      <c r="B713" s="1154"/>
      <c r="C713" s="1154"/>
      <c r="D713" s="1154"/>
      <c r="E713" s="1154"/>
      <c r="F713" s="1154"/>
      <c r="G713" s="1154"/>
      <c r="H713" s="1154"/>
      <c r="I713" s="1154"/>
      <c r="J713" s="1154"/>
      <c r="K713" s="1154"/>
      <c r="L713" s="1154"/>
      <c r="M713" s="1154"/>
      <c r="N713" s="1154"/>
      <c r="O713" s="1154"/>
      <c r="P713" s="1154"/>
      <c r="Q713" s="1154"/>
      <c r="R713" s="1154"/>
      <c r="S713" s="1154"/>
      <c r="T713" s="1154"/>
      <c r="U713" s="1154"/>
      <c r="V713" s="1154"/>
      <c r="W713" s="1154"/>
      <c r="X713" s="1154"/>
      <c r="Y713" s="1154"/>
      <c r="Z713" s="1154"/>
    </row>
    <row r="714">
      <c r="A714" s="1154"/>
      <c r="B714" s="1154"/>
      <c r="C714" s="1154"/>
      <c r="D714" s="1154"/>
      <c r="E714" s="1154"/>
      <c r="F714" s="1154"/>
      <c r="G714" s="1154"/>
      <c r="H714" s="1154"/>
      <c r="I714" s="1154"/>
      <c r="J714" s="1154"/>
      <c r="K714" s="1154"/>
      <c r="L714" s="1154"/>
      <c r="M714" s="1154"/>
      <c r="N714" s="1154"/>
      <c r="O714" s="1154"/>
      <c r="P714" s="1154"/>
      <c r="Q714" s="1154"/>
      <c r="R714" s="1154"/>
      <c r="S714" s="1154"/>
      <c r="T714" s="1154"/>
      <c r="U714" s="1154"/>
      <c r="V714" s="1154"/>
      <c r="W714" s="1154"/>
      <c r="X714" s="1154"/>
      <c r="Y714" s="1154"/>
      <c r="Z714" s="1154"/>
    </row>
    <row r="715">
      <c r="A715" s="1154"/>
      <c r="B715" s="1154"/>
      <c r="C715" s="1154"/>
      <c r="D715" s="1154"/>
      <c r="E715" s="1154"/>
      <c r="F715" s="1154"/>
      <c r="G715" s="1154"/>
      <c r="H715" s="1154"/>
      <c r="I715" s="1154"/>
      <c r="J715" s="1154"/>
      <c r="K715" s="1154"/>
      <c r="L715" s="1154"/>
      <c r="M715" s="1154"/>
      <c r="N715" s="1154"/>
      <c r="O715" s="1154"/>
      <c r="P715" s="1154"/>
      <c r="Q715" s="1154"/>
      <c r="R715" s="1154"/>
      <c r="S715" s="1154"/>
      <c r="T715" s="1154"/>
      <c r="U715" s="1154"/>
      <c r="V715" s="1154"/>
      <c r="W715" s="1154"/>
      <c r="X715" s="1154"/>
      <c r="Y715" s="1154"/>
      <c r="Z715" s="1154"/>
    </row>
    <row r="716">
      <c r="A716" s="1154"/>
      <c r="B716" s="1154"/>
      <c r="C716" s="1154"/>
      <c r="D716" s="1154"/>
      <c r="E716" s="1154"/>
      <c r="F716" s="1154"/>
      <c r="G716" s="1154"/>
      <c r="H716" s="1154"/>
      <c r="I716" s="1154"/>
      <c r="J716" s="1154"/>
      <c r="K716" s="1154"/>
      <c r="L716" s="1154"/>
      <c r="M716" s="1154"/>
      <c r="N716" s="1154"/>
      <c r="O716" s="1154"/>
      <c r="P716" s="1154"/>
      <c r="Q716" s="1154"/>
      <c r="R716" s="1154"/>
      <c r="S716" s="1154"/>
      <c r="T716" s="1154"/>
      <c r="U716" s="1154"/>
      <c r="V716" s="1154"/>
      <c r="W716" s="1154"/>
      <c r="X716" s="1154"/>
      <c r="Y716" s="1154"/>
      <c r="Z716" s="1154"/>
    </row>
    <row r="717">
      <c r="A717" s="1154"/>
      <c r="B717" s="1154"/>
      <c r="C717" s="1154"/>
      <c r="D717" s="1154"/>
      <c r="E717" s="1154"/>
      <c r="F717" s="1154"/>
      <c r="G717" s="1154"/>
      <c r="H717" s="1154"/>
      <c r="I717" s="1154"/>
      <c r="J717" s="1154"/>
      <c r="K717" s="1154"/>
      <c r="L717" s="1154"/>
      <c r="M717" s="1154"/>
      <c r="N717" s="1154"/>
      <c r="O717" s="1154"/>
      <c r="P717" s="1154"/>
      <c r="Q717" s="1154"/>
      <c r="R717" s="1154"/>
      <c r="S717" s="1154"/>
      <c r="T717" s="1154"/>
      <c r="U717" s="1154"/>
      <c r="V717" s="1154"/>
      <c r="W717" s="1154"/>
      <c r="X717" s="1154"/>
      <c r="Y717" s="1154"/>
      <c r="Z717" s="1154"/>
    </row>
    <row r="718">
      <c r="A718" s="1154"/>
      <c r="B718" s="1154"/>
      <c r="C718" s="1154"/>
      <c r="D718" s="1154"/>
      <c r="E718" s="1154"/>
      <c r="F718" s="1154"/>
      <c r="G718" s="1154"/>
      <c r="H718" s="1154"/>
      <c r="I718" s="1154"/>
      <c r="J718" s="1154"/>
      <c r="K718" s="1154"/>
      <c r="L718" s="1154"/>
      <c r="M718" s="1154"/>
      <c r="N718" s="1154"/>
      <c r="O718" s="1154"/>
      <c r="P718" s="1154"/>
      <c r="Q718" s="1154"/>
      <c r="R718" s="1154"/>
      <c r="S718" s="1154"/>
      <c r="T718" s="1154"/>
      <c r="U718" s="1154"/>
      <c r="V718" s="1154"/>
      <c r="W718" s="1154"/>
      <c r="X718" s="1154"/>
      <c r="Y718" s="1154"/>
      <c r="Z718" s="1154"/>
    </row>
    <row r="719">
      <c r="A719" s="1154"/>
      <c r="B719" s="1154"/>
      <c r="C719" s="1154"/>
      <c r="D719" s="1154"/>
      <c r="E719" s="1154"/>
      <c r="F719" s="1154"/>
      <c r="G719" s="1154"/>
      <c r="H719" s="1154"/>
      <c r="I719" s="1154"/>
      <c r="J719" s="1154"/>
      <c r="K719" s="1154"/>
      <c r="L719" s="1154"/>
      <c r="M719" s="1154"/>
      <c r="N719" s="1154"/>
      <c r="O719" s="1154"/>
      <c r="P719" s="1154"/>
      <c r="Q719" s="1154"/>
      <c r="R719" s="1154"/>
      <c r="S719" s="1154"/>
      <c r="T719" s="1154"/>
      <c r="U719" s="1154"/>
      <c r="V719" s="1154"/>
      <c r="W719" s="1154"/>
      <c r="X719" s="1154"/>
      <c r="Y719" s="1154"/>
      <c r="Z719" s="1154"/>
    </row>
    <row r="720">
      <c r="A720" s="1154"/>
      <c r="B720" s="1154"/>
      <c r="C720" s="1154"/>
      <c r="D720" s="1154"/>
      <c r="E720" s="1154"/>
      <c r="F720" s="1154"/>
      <c r="G720" s="1154"/>
      <c r="H720" s="1154"/>
      <c r="I720" s="1154"/>
      <c r="J720" s="1154"/>
      <c r="K720" s="1154"/>
      <c r="L720" s="1154"/>
      <c r="M720" s="1154"/>
      <c r="N720" s="1154"/>
      <c r="O720" s="1154"/>
      <c r="P720" s="1154"/>
      <c r="Q720" s="1154"/>
      <c r="R720" s="1154"/>
      <c r="S720" s="1154"/>
      <c r="T720" s="1154"/>
      <c r="U720" s="1154"/>
      <c r="V720" s="1154"/>
      <c r="W720" s="1154"/>
      <c r="X720" s="1154"/>
      <c r="Y720" s="1154"/>
      <c r="Z720" s="1154"/>
    </row>
    <row r="721">
      <c r="A721" s="1154"/>
      <c r="B721" s="1154"/>
      <c r="C721" s="1154"/>
      <c r="D721" s="1154"/>
      <c r="E721" s="1154"/>
      <c r="F721" s="1154"/>
      <c r="G721" s="1154"/>
      <c r="H721" s="1154"/>
      <c r="I721" s="1154"/>
      <c r="J721" s="1154"/>
      <c r="K721" s="1154"/>
      <c r="L721" s="1154"/>
      <c r="M721" s="1154"/>
      <c r="N721" s="1154"/>
      <c r="O721" s="1154"/>
      <c r="P721" s="1154"/>
      <c r="Q721" s="1154"/>
      <c r="R721" s="1154"/>
      <c r="S721" s="1154"/>
      <c r="T721" s="1154"/>
      <c r="U721" s="1154"/>
      <c r="V721" s="1154"/>
      <c r="W721" s="1154"/>
      <c r="X721" s="1154"/>
      <c r="Y721" s="1154"/>
      <c r="Z721" s="1154"/>
    </row>
    <row r="722">
      <c r="A722" s="1154"/>
      <c r="B722" s="1154"/>
      <c r="C722" s="1154"/>
      <c r="D722" s="1154"/>
      <c r="E722" s="1154"/>
      <c r="F722" s="1154"/>
      <c r="G722" s="1154"/>
      <c r="H722" s="1154"/>
      <c r="I722" s="1154"/>
      <c r="J722" s="1154"/>
      <c r="K722" s="1154"/>
      <c r="L722" s="1154"/>
      <c r="M722" s="1154"/>
      <c r="N722" s="1154"/>
      <c r="O722" s="1154"/>
      <c r="P722" s="1154"/>
      <c r="Q722" s="1154"/>
      <c r="R722" s="1154"/>
      <c r="S722" s="1154"/>
      <c r="T722" s="1154"/>
      <c r="U722" s="1154"/>
      <c r="V722" s="1154"/>
      <c r="W722" s="1154"/>
      <c r="X722" s="1154"/>
      <c r="Y722" s="1154"/>
      <c r="Z722" s="1154"/>
    </row>
    <row r="723">
      <c r="A723" s="1154"/>
      <c r="B723" s="1154"/>
      <c r="C723" s="1154"/>
      <c r="D723" s="1154"/>
      <c r="E723" s="1154"/>
      <c r="F723" s="1154"/>
      <c r="G723" s="1154"/>
      <c r="H723" s="1154"/>
      <c r="I723" s="1154"/>
      <c r="J723" s="1154"/>
      <c r="K723" s="1154"/>
      <c r="L723" s="1154"/>
      <c r="M723" s="1154"/>
      <c r="N723" s="1154"/>
      <c r="O723" s="1154"/>
      <c r="P723" s="1154"/>
      <c r="Q723" s="1154"/>
      <c r="R723" s="1154"/>
      <c r="S723" s="1154"/>
      <c r="T723" s="1154"/>
      <c r="U723" s="1154"/>
      <c r="V723" s="1154"/>
      <c r="W723" s="1154"/>
      <c r="X723" s="1154"/>
      <c r="Y723" s="1154"/>
      <c r="Z723" s="1154"/>
    </row>
    <row r="724">
      <c r="A724" s="1154"/>
      <c r="B724" s="1154"/>
      <c r="C724" s="1154"/>
      <c r="D724" s="1154"/>
      <c r="E724" s="1154"/>
      <c r="F724" s="1154"/>
      <c r="G724" s="1154"/>
      <c r="H724" s="1154"/>
      <c r="I724" s="1154"/>
      <c r="J724" s="1154"/>
      <c r="K724" s="1154"/>
      <c r="L724" s="1154"/>
      <c r="M724" s="1154"/>
      <c r="N724" s="1154"/>
      <c r="O724" s="1154"/>
      <c r="P724" s="1154"/>
      <c r="Q724" s="1154"/>
      <c r="R724" s="1154"/>
      <c r="S724" s="1154"/>
      <c r="T724" s="1154"/>
      <c r="U724" s="1154"/>
      <c r="V724" s="1154"/>
      <c r="W724" s="1154"/>
      <c r="X724" s="1154"/>
      <c r="Y724" s="1154"/>
      <c r="Z724" s="1154"/>
    </row>
    <row r="725">
      <c r="A725" s="1154"/>
      <c r="B725" s="1154"/>
      <c r="C725" s="1154"/>
      <c r="D725" s="1154"/>
      <c r="E725" s="1154"/>
      <c r="F725" s="1154"/>
      <c r="G725" s="1154"/>
      <c r="H725" s="1154"/>
      <c r="I725" s="1154"/>
      <c r="J725" s="1154"/>
      <c r="K725" s="1154"/>
      <c r="L725" s="1154"/>
      <c r="M725" s="1154"/>
      <c r="N725" s="1154"/>
      <c r="O725" s="1154"/>
      <c r="P725" s="1154"/>
      <c r="Q725" s="1154"/>
      <c r="R725" s="1154"/>
      <c r="S725" s="1154"/>
      <c r="T725" s="1154"/>
      <c r="U725" s="1154"/>
      <c r="V725" s="1154"/>
      <c r="W725" s="1154"/>
      <c r="X725" s="1154"/>
      <c r="Y725" s="1154"/>
      <c r="Z725" s="1154"/>
    </row>
    <row r="726">
      <c r="A726" s="1154"/>
      <c r="B726" s="1154"/>
      <c r="C726" s="1154"/>
      <c r="D726" s="1154"/>
      <c r="E726" s="1154"/>
      <c r="F726" s="1154"/>
      <c r="G726" s="1154"/>
      <c r="H726" s="1154"/>
      <c r="I726" s="1154"/>
      <c r="J726" s="1154"/>
      <c r="K726" s="1154"/>
      <c r="L726" s="1154"/>
      <c r="M726" s="1154"/>
      <c r="N726" s="1154"/>
      <c r="O726" s="1154"/>
      <c r="P726" s="1154"/>
      <c r="Q726" s="1154"/>
      <c r="R726" s="1154"/>
      <c r="S726" s="1154"/>
      <c r="T726" s="1154"/>
      <c r="U726" s="1154"/>
      <c r="V726" s="1154"/>
      <c r="W726" s="1154"/>
      <c r="X726" s="1154"/>
      <c r="Y726" s="1154"/>
      <c r="Z726" s="1154"/>
    </row>
    <row r="727">
      <c r="A727" s="1154"/>
      <c r="B727" s="1154"/>
      <c r="C727" s="1154"/>
      <c r="D727" s="1154"/>
      <c r="E727" s="1154"/>
      <c r="F727" s="1154"/>
      <c r="G727" s="1154"/>
      <c r="H727" s="1154"/>
      <c r="I727" s="1154"/>
      <c r="J727" s="1154"/>
      <c r="K727" s="1154"/>
      <c r="L727" s="1154"/>
      <c r="M727" s="1154"/>
      <c r="N727" s="1154"/>
      <c r="O727" s="1154"/>
      <c r="P727" s="1154"/>
      <c r="Q727" s="1154"/>
      <c r="R727" s="1154"/>
      <c r="S727" s="1154"/>
      <c r="T727" s="1154"/>
      <c r="U727" s="1154"/>
      <c r="V727" s="1154"/>
      <c r="W727" s="1154"/>
      <c r="X727" s="1154"/>
      <c r="Y727" s="1154"/>
      <c r="Z727" s="1154"/>
    </row>
    <row r="728">
      <c r="A728" s="1154"/>
      <c r="B728" s="1154"/>
      <c r="C728" s="1154"/>
      <c r="D728" s="1154"/>
      <c r="E728" s="1154"/>
      <c r="F728" s="1154"/>
      <c r="G728" s="1154"/>
      <c r="H728" s="1154"/>
      <c r="I728" s="1154"/>
      <c r="J728" s="1154"/>
      <c r="K728" s="1154"/>
      <c r="L728" s="1154"/>
      <c r="M728" s="1154"/>
      <c r="N728" s="1154"/>
      <c r="O728" s="1154"/>
      <c r="P728" s="1154"/>
      <c r="Q728" s="1154"/>
      <c r="R728" s="1154"/>
      <c r="S728" s="1154"/>
      <c r="T728" s="1154"/>
      <c r="U728" s="1154"/>
      <c r="V728" s="1154"/>
      <c r="W728" s="1154"/>
      <c r="X728" s="1154"/>
      <c r="Y728" s="1154"/>
      <c r="Z728" s="1154"/>
    </row>
    <row r="729">
      <c r="A729" s="1154"/>
      <c r="B729" s="1154"/>
      <c r="C729" s="1154"/>
      <c r="D729" s="1154"/>
      <c r="E729" s="1154"/>
      <c r="F729" s="1154"/>
      <c r="G729" s="1154"/>
      <c r="H729" s="1154"/>
      <c r="I729" s="1154"/>
      <c r="J729" s="1154"/>
      <c r="K729" s="1154"/>
      <c r="L729" s="1154"/>
      <c r="M729" s="1154"/>
      <c r="N729" s="1154"/>
      <c r="O729" s="1154"/>
      <c r="P729" s="1154"/>
      <c r="Q729" s="1154"/>
      <c r="R729" s="1154"/>
      <c r="S729" s="1154"/>
      <c r="T729" s="1154"/>
      <c r="U729" s="1154"/>
      <c r="V729" s="1154"/>
      <c r="W729" s="1154"/>
      <c r="X729" s="1154"/>
      <c r="Y729" s="1154"/>
      <c r="Z729" s="1154"/>
    </row>
    <row r="730">
      <c r="A730" s="1154"/>
      <c r="B730" s="1154"/>
      <c r="C730" s="1154"/>
      <c r="D730" s="1154"/>
      <c r="E730" s="1154"/>
      <c r="F730" s="1154"/>
      <c r="G730" s="1154"/>
      <c r="H730" s="1154"/>
      <c r="I730" s="1154"/>
      <c r="J730" s="1154"/>
      <c r="K730" s="1154"/>
      <c r="L730" s="1154"/>
      <c r="M730" s="1154"/>
      <c r="N730" s="1154"/>
      <c r="O730" s="1154"/>
      <c r="P730" s="1154"/>
      <c r="Q730" s="1154"/>
      <c r="R730" s="1154"/>
      <c r="S730" s="1154"/>
      <c r="T730" s="1154"/>
      <c r="U730" s="1154"/>
      <c r="V730" s="1154"/>
      <c r="W730" s="1154"/>
      <c r="X730" s="1154"/>
      <c r="Y730" s="1154"/>
      <c r="Z730" s="1154"/>
    </row>
    <row r="731">
      <c r="A731" s="1154"/>
      <c r="B731" s="1154"/>
      <c r="C731" s="1154"/>
      <c r="D731" s="1154"/>
      <c r="E731" s="1154"/>
      <c r="F731" s="1154"/>
      <c r="G731" s="1154"/>
      <c r="H731" s="1154"/>
      <c r="I731" s="1154"/>
      <c r="J731" s="1154"/>
      <c r="K731" s="1154"/>
      <c r="L731" s="1154"/>
      <c r="M731" s="1154"/>
      <c r="N731" s="1154"/>
      <c r="O731" s="1154"/>
      <c r="P731" s="1154"/>
      <c r="Q731" s="1154"/>
      <c r="R731" s="1154"/>
      <c r="S731" s="1154"/>
      <c r="T731" s="1154"/>
      <c r="U731" s="1154"/>
      <c r="V731" s="1154"/>
      <c r="W731" s="1154"/>
      <c r="X731" s="1154"/>
      <c r="Y731" s="1154"/>
      <c r="Z731" s="1154"/>
    </row>
    <row r="732">
      <c r="A732" s="1154"/>
      <c r="B732" s="1154"/>
      <c r="C732" s="1154"/>
      <c r="D732" s="1154"/>
      <c r="E732" s="1154"/>
      <c r="F732" s="1154"/>
      <c r="G732" s="1154"/>
      <c r="H732" s="1154"/>
      <c r="I732" s="1154"/>
      <c r="J732" s="1154"/>
      <c r="K732" s="1154"/>
      <c r="L732" s="1154"/>
      <c r="M732" s="1154"/>
      <c r="N732" s="1154"/>
      <c r="O732" s="1154"/>
      <c r="P732" s="1154"/>
      <c r="Q732" s="1154"/>
      <c r="R732" s="1154"/>
      <c r="S732" s="1154"/>
      <c r="T732" s="1154"/>
      <c r="U732" s="1154"/>
      <c r="V732" s="1154"/>
      <c r="W732" s="1154"/>
      <c r="X732" s="1154"/>
      <c r="Y732" s="1154"/>
      <c r="Z732" s="1154"/>
    </row>
    <row r="733">
      <c r="A733" s="1154"/>
      <c r="B733" s="1154"/>
      <c r="C733" s="1154"/>
      <c r="D733" s="1154"/>
      <c r="E733" s="1154"/>
      <c r="F733" s="1154"/>
      <c r="G733" s="1154"/>
      <c r="H733" s="1154"/>
      <c r="I733" s="1154"/>
      <c r="J733" s="1154"/>
      <c r="K733" s="1154"/>
      <c r="L733" s="1154"/>
      <c r="M733" s="1154"/>
      <c r="N733" s="1154"/>
      <c r="O733" s="1154"/>
      <c r="P733" s="1154"/>
      <c r="Q733" s="1154"/>
      <c r="R733" s="1154"/>
      <c r="S733" s="1154"/>
      <c r="T733" s="1154"/>
      <c r="U733" s="1154"/>
      <c r="V733" s="1154"/>
      <c r="W733" s="1154"/>
      <c r="X733" s="1154"/>
      <c r="Y733" s="1154"/>
      <c r="Z733" s="1154"/>
    </row>
    <row r="734">
      <c r="A734" s="1154"/>
      <c r="B734" s="1154"/>
      <c r="C734" s="1154"/>
      <c r="D734" s="1154"/>
      <c r="E734" s="1154"/>
      <c r="F734" s="1154"/>
      <c r="G734" s="1154"/>
      <c r="H734" s="1154"/>
      <c r="I734" s="1154"/>
      <c r="J734" s="1154"/>
      <c r="K734" s="1154"/>
      <c r="L734" s="1154"/>
      <c r="M734" s="1154"/>
      <c r="N734" s="1154"/>
      <c r="O734" s="1154"/>
      <c r="P734" s="1154"/>
      <c r="Q734" s="1154"/>
      <c r="R734" s="1154"/>
      <c r="S734" s="1154"/>
      <c r="T734" s="1154"/>
      <c r="U734" s="1154"/>
      <c r="V734" s="1154"/>
      <c r="W734" s="1154"/>
      <c r="X734" s="1154"/>
      <c r="Y734" s="1154"/>
      <c r="Z734" s="1154"/>
    </row>
    <row r="735">
      <c r="A735" s="1154"/>
      <c r="B735" s="1154"/>
      <c r="C735" s="1154"/>
      <c r="D735" s="1154"/>
      <c r="E735" s="1154"/>
      <c r="F735" s="1154"/>
      <c r="G735" s="1154"/>
      <c r="H735" s="1154"/>
      <c r="I735" s="1154"/>
      <c r="J735" s="1154"/>
      <c r="K735" s="1154"/>
      <c r="L735" s="1154"/>
      <c r="M735" s="1154"/>
      <c r="N735" s="1154"/>
      <c r="O735" s="1154"/>
      <c r="P735" s="1154"/>
      <c r="Q735" s="1154"/>
      <c r="R735" s="1154"/>
      <c r="S735" s="1154"/>
      <c r="T735" s="1154"/>
      <c r="U735" s="1154"/>
      <c r="V735" s="1154"/>
      <c r="W735" s="1154"/>
      <c r="X735" s="1154"/>
      <c r="Y735" s="1154"/>
      <c r="Z735" s="1154"/>
    </row>
    <row r="736">
      <c r="A736" s="1154"/>
      <c r="B736" s="1154"/>
      <c r="C736" s="1154"/>
      <c r="D736" s="1154"/>
      <c r="E736" s="1154"/>
      <c r="F736" s="1154"/>
      <c r="G736" s="1154"/>
      <c r="H736" s="1154"/>
      <c r="I736" s="1154"/>
      <c r="J736" s="1154"/>
      <c r="K736" s="1154"/>
      <c r="L736" s="1154"/>
      <c r="M736" s="1154"/>
      <c r="N736" s="1154"/>
      <c r="O736" s="1154"/>
      <c r="P736" s="1154"/>
      <c r="Q736" s="1154"/>
      <c r="R736" s="1154"/>
      <c r="S736" s="1154"/>
      <c r="T736" s="1154"/>
      <c r="U736" s="1154"/>
      <c r="V736" s="1154"/>
      <c r="W736" s="1154"/>
      <c r="X736" s="1154"/>
      <c r="Y736" s="1154"/>
      <c r="Z736" s="1154"/>
    </row>
    <row r="737">
      <c r="A737" s="1154"/>
      <c r="B737" s="1154"/>
      <c r="C737" s="1154"/>
      <c r="D737" s="1154"/>
      <c r="E737" s="1154"/>
      <c r="F737" s="1154"/>
      <c r="G737" s="1154"/>
      <c r="H737" s="1154"/>
      <c r="I737" s="1154"/>
      <c r="J737" s="1154"/>
      <c r="K737" s="1154"/>
      <c r="L737" s="1154"/>
      <c r="M737" s="1154"/>
      <c r="N737" s="1154"/>
      <c r="O737" s="1154"/>
      <c r="P737" s="1154"/>
      <c r="Q737" s="1154"/>
      <c r="R737" s="1154"/>
      <c r="S737" s="1154"/>
      <c r="T737" s="1154"/>
      <c r="U737" s="1154"/>
      <c r="V737" s="1154"/>
      <c r="W737" s="1154"/>
      <c r="X737" s="1154"/>
      <c r="Y737" s="1154"/>
      <c r="Z737" s="1154"/>
    </row>
    <row r="738">
      <c r="A738" s="1154"/>
      <c r="B738" s="1154"/>
      <c r="C738" s="1154"/>
      <c r="D738" s="1154"/>
      <c r="E738" s="1154"/>
      <c r="F738" s="1154"/>
      <c r="G738" s="1154"/>
      <c r="H738" s="1154"/>
      <c r="I738" s="1154"/>
      <c r="J738" s="1154"/>
      <c r="K738" s="1154"/>
      <c r="L738" s="1154"/>
      <c r="M738" s="1154"/>
      <c r="N738" s="1154"/>
      <c r="O738" s="1154"/>
      <c r="P738" s="1154"/>
      <c r="Q738" s="1154"/>
      <c r="R738" s="1154"/>
      <c r="S738" s="1154"/>
      <c r="T738" s="1154"/>
      <c r="U738" s="1154"/>
      <c r="V738" s="1154"/>
      <c r="W738" s="1154"/>
      <c r="X738" s="1154"/>
      <c r="Y738" s="1154"/>
      <c r="Z738" s="1154"/>
    </row>
    <row r="739">
      <c r="A739" s="1154"/>
      <c r="B739" s="1154"/>
      <c r="C739" s="1154"/>
      <c r="D739" s="1154"/>
      <c r="E739" s="1154"/>
      <c r="F739" s="1154"/>
      <c r="G739" s="1154"/>
      <c r="H739" s="1154"/>
      <c r="I739" s="1154"/>
      <c r="J739" s="1154"/>
      <c r="K739" s="1154"/>
      <c r="L739" s="1154"/>
      <c r="M739" s="1154"/>
      <c r="N739" s="1154"/>
      <c r="O739" s="1154"/>
      <c r="P739" s="1154"/>
      <c r="Q739" s="1154"/>
      <c r="R739" s="1154"/>
      <c r="S739" s="1154"/>
      <c r="T739" s="1154"/>
      <c r="U739" s="1154"/>
      <c r="V739" s="1154"/>
      <c r="W739" s="1154"/>
      <c r="X739" s="1154"/>
      <c r="Y739" s="1154"/>
      <c r="Z739" s="1154"/>
    </row>
    <row r="740">
      <c r="A740" s="1154"/>
      <c r="B740" s="1154"/>
      <c r="C740" s="1154"/>
      <c r="D740" s="1154"/>
      <c r="E740" s="1154"/>
      <c r="F740" s="1154"/>
      <c r="G740" s="1154"/>
      <c r="H740" s="1154"/>
      <c r="I740" s="1154"/>
      <c r="J740" s="1154"/>
      <c r="K740" s="1154"/>
      <c r="L740" s="1154"/>
      <c r="M740" s="1154"/>
      <c r="N740" s="1154"/>
      <c r="O740" s="1154"/>
      <c r="P740" s="1154"/>
      <c r="Q740" s="1154"/>
      <c r="R740" s="1154"/>
      <c r="S740" s="1154"/>
      <c r="T740" s="1154"/>
      <c r="U740" s="1154"/>
      <c r="V740" s="1154"/>
      <c r="W740" s="1154"/>
      <c r="X740" s="1154"/>
      <c r="Y740" s="1154"/>
      <c r="Z740" s="1154"/>
    </row>
    <row r="741">
      <c r="A741" s="1154"/>
      <c r="B741" s="1154"/>
      <c r="C741" s="1154"/>
      <c r="D741" s="1154"/>
      <c r="E741" s="1154"/>
      <c r="F741" s="1154"/>
      <c r="G741" s="1154"/>
      <c r="H741" s="1154"/>
      <c r="I741" s="1154"/>
      <c r="J741" s="1154"/>
      <c r="K741" s="1154"/>
      <c r="L741" s="1154"/>
      <c r="M741" s="1154"/>
      <c r="N741" s="1154"/>
      <c r="O741" s="1154"/>
      <c r="P741" s="1154"/>
      <c r="Q741" s="1154"/>
      <c r="R741" s="1154"/>
      <c r="S741" s="1154"/>
      <c r="T741" s="1154"/>
      <c r="U741" s="1154"/>
      <c r="V741" s="1154"/>
      <c r="W741" s="1154"/>
      <c r="X741" s="1154"/>
      <c r="Y741" s="1154"/>
      <c r="Z741" s="1154"/>
    </row>
    <row r="742">
      <c r="A742" s="1154"/>
      <c r="B742" s="1154"/>
      <c r="C742" s="1154"/>
      <c r="D742" s="1154"/>
      <c r="E742" s="1154"/>
      <c r="F742" s="1154"/>
      <c r="G742" s="1154"/>
      <c r="H742" s="1154"/>
      <c r="I742" s="1154"/>
      <c r="J742" s="1154"/>
      <c r="K742" s="1154"/>
      <c r="L742" s="1154"/>
      <c r="M742" s="1154"/>
      <c r="N742" s="1154"/>
      <c r="O742" s="1154"/>
      <c r="P742" s="1154"/>
      <c r="Q742" s="1154"/>
      <c r="R742" s="1154"/>
      <c r="S742" s="1154"/>
      <c r="T742" s="1154"/>
      <c r="U742" s="1154"/>
      <c r="V742" s="1154"/>
      <c r="W742" s="1154"/>
      <c r="X742" s="1154"/>
      <c r="Y742" s="1154"/>
      <c r="Z742" s="1154"/>
    </row>
    <row r="743">
      <c r="A743" s="1154"/>
      <c r="B743" s="1154"/>
      <c r="C743" s="1154"/>
      <c r="D743" s="1154"/>
      <c r="E743" s="1154"/>
      <c r="F743" s="1154"/>
      <c r="G743" s="1154"/>
      <c r="H743" s="1154"/>
      <c r="I743" s="1154"/>
      <c r="J743" s="1154"/>
      <c r="K743" s="1154"/>
      <c r="L743" s="1154"/>
      <c r="M743" s="1154"/>
      <c r="N743" s="1154"/>
      <c r="O743" s="1154"/>
      <c r="P743" s="1154"/>
      <c r="Q743" s="1154"/>
      <c r="R743" s="1154"/>
      <c r="S743" s="1154"/>
      <c r="T743" s="1154"/>
      <c r="U743" s="1154"/>
      <c r="V743" s="1154"/>
      <c r="W743" s="1154"/>
      <c r="X743" s="1154"/>
      <c r="Y743" s="1154"/>
      <c r="Z743" s="1154"/>
    </row>
    <row r="744">
      <c r="A744" s="1154"/>
      <c r="B744" s="1154"/>
      <c r="C744" s="1154"/>
      <c r="D744" s="1154"/>
      <c r="E744" s="1154"/>
      <c r="F744" s="1154"/>
      <c r="G744" s="1154"/>
      <c r="H744" s="1154"/>
      <c r="I744" s="1154"/>
      <c r="J744" s="1154"/>
      <c r="K744" s="1154"/>
      <c r="L744" s="1154"/>
      <c r="M744" s="1154"/>
      <c r="N744" s="1154"/>
      <c r="O744" s="1154"/>
      <c r="P744" s="1154"/>
      <c r="Q744" s="1154"/>
      <c r="R744" s="1154"/>
      <c r="S744" s="1154"/>
      <c r="T744" s="1154"/>
      <c r="U744" s="1154"/>
      <c r="V744" s="1154"/>
      <c r="W744" s="1154"/>
      <c r="X744" s="1154"/>
      <c r="Y744" s="1154"/>
      <c r="Z744" s="1154"/>
    </row>
    <row r="745">
      <c r="A745" s="1154"/>
      <c r="B745" s="1154"/>
      <c r="C745" s="1154"/>
      <c r="D745" s="1154"/>
      <c r="E745" s="1154"/>
      <c r="F745" s="1154"/>
      <c r="G745" s="1154"/>
      <c r="H745" s="1154"/>
      <c r="I745" s="1154"/>
      <c r="J745" s="1154"/>
      <c r="K745" s="1154"/>
      <c r="L745" s="1154"/>
      <c r="M745" s="1154"/>
      <c r="N745" s="1154"/>
      <c r="O745" s="1154"/>
      <c r="P745" s="1154"/>
      <c r="Q745" s="1154"/>
      <c r="R745" s="1154"/>
      <c r="S745" s="1154"/>
      <c r="T745" s="1154"/>
      <c r="U745" s="1154"/>
      <c r="V745" s="1154"/>
      <c r="W745" s="1154"/>
      <c r="X745" s="1154"/>
      <c r="Y745" s="1154"/>
      <c r="Z745" s="1154"/>
    </row>
    <row r="746">
      <c r="A746" s="1154"/>
      <c r="B746" s="1154"/>
      <c r="C746" s="1154"/>
      <c r="D746" s="1154"/>
      <c r="E746" s="1154"/>
      <c r="F746" s="1154"/>
      <c r="G746" s="1154"/>
      <c r="H746" s="1154"/>
      <c r="I746" s="1154"/>
      <c r="J746" s="1154"/>
      <c r="K746" s="1154"/>
      <c r="L746" s="1154"/>
      <c r="M746" s="1154"/>
      <c r="N746" s="1154"/>
      <c r="O746" s="1154"/>
      <c r="P746" s="1154"/>
      <c r="Q746" s="1154"/>
      <c r="R746" s="1154"/>
      <c r="S746" s="1154"/>
      <c r="T746" s="1154"/>
      <c r="U746" s="1154"/>
      <c r="V746" s="1154"/>
      <c r="W746" s="1154"/>
      <c r="X746" s="1154"/>
      <c r="Y746" s="1154"/>
      <c r="Z746" s="1154"/>
    </row>
    <row r="747">
      <c r="A747" s="1154"/>
      <c r="B747" s="1154"/>
      <c r="C747" s="1154"/>
      <c r="D747" s="1154"/>
      <c r="E747" s="1154"/>
      <c r="F747" s="1154"/>
      <c r="G747" s="1154"/>
      <c r="H747" s="1154"/>
      <c r="I747" s="1154"/>
      <c r="J747" s="1154"/>
      <c r="K747" s="1154"/>
      <c r="L747" s="1154"/>
      <c r="M747" s="1154"/>
      <c r="N747" s="1154"/>
      <c r="O747" s="1154"/>
      <c r="P747" s="1154"/>
      <c r="Q747" s="1154"/>
      <c r="R747" s="1154"/>
      <c r="S747" s="1154"/>
      <c r="T747" s="1154"/>
      <c r="U747" s="1154"/>
      <c r="V747" s="1154"/>
      <c r="W747" s="1154"/>
      <c r="X747" s="1154"/>
      <c r="Y747" s="1154"/>
      <c r="Z747" s="1154"/>
    </row>
    <row r="748">
      <c r="A748" s="1154"/>
      <c r="B748" s="1154"/>
      <c r="C748" s="1154"/>
      <c r="D748" s="1154"/>
      <c r="E748" s="1154"/>
      <c r="F748" s="1154"/>
      <c r="G748" s="1154"/>
      <c r="H748" s="1154"/>
      <c r="I748" s="1154"/>
      <c r="J748" s="1154"/>
      <c r="K748" s="1154"/>
      <c r="L748" s="1154"/>
      <c r="M748" s="1154"/>
      <c r="N748" s="1154"/>
      <c r="O748" s="1154"/>
      <c r="P748" s="1154"/>
      <c r="Q748" s="1154"/>
      <c r="R748" s="1154"/>
      <c r="S748" s="1154"/>
      <c r="T748" s="1154"/>
      <c r="U748" s="1154"/>
      <c r="V748" s="1154"/>
      <c r="W748" s="1154"/>
      <c r="X748" s="1154"/>
      <c r="Y748" s="1154"/>
      <c r="Z748" s="1154"/>
    </row>
    <row r="749">
      <c r="A749" s="1154"/>
      <c r="B749" s="1154"/>
      <c r="C749" s="1154"/>
      <c r="D749" s="1154"/>
      <c r="E749" s="1154"/>
      <c r="F749" s="1154"/>
      <c r="G749" s="1154"/>
      <c r="H749" s="1154"/>
      <c r="I749" s="1154"/>
      <c r="J749" s="1154"/>
      <c r="K749" s="1154"/>
      <c r="L749" s="1154"/>
      <c r="M749" s="1154"/>
      <c r="N749" s="1154"/>
      <c r="O749" s="1154"/>
      <c r="P749" s="1154"/>
      <c r="Q749" s="1154"/>
      <c r="R749" s="1154"/>
      <c r="S749" s="1154"/>
      <c r="T749" s="1154"/>
      <c r="U749" s="1154"/>
      <c r="V749" s="1154"/>
      <c r="W749" s="1154"/>
      <c r="X749" s="1154"/>
      <c r="Y749" s="1154"/>
      <c r="Z749" s="1154"/>
    </row>
    <row r="750">
      <c r="A750" s="1154"/>
      <c r="B750" s="1154"/>
      <c r="C750" s="1154"/>
      <c r="D750" s="1154"/>
      <c r="E750" s="1154"/>
      <c r="F750" s="1154"/>
      <c r="G750" s="1154"/>
      <c r="H750" s="1154"/>
      <c r="I750" s="1154"/>
      <c r="J750" s="1154"/>
      <c r="K750" s="1154"/>
      <c r="L750" s="1154"/>
      <c r="M750" s="1154"/>
      <c r="N750" s="1154"/>
      <c r="O750" s="1154"/>
      <c r="P750" s="1154"/>
      <c r="Q750" s="1154"/>
      <c r="R750" s="1154"/>
      <c r="S750" s="1154"/>
      <c r="T750" s="1154"/>
      <c r="U750" s="1154"/>
      <c r="V750" s="1154"/>
      <c r="W750" s="1154"/>
      <c r="X750" s="1154"/>
      <c r="Y750" s="1154"/>
      <c r="Z750" s="1154"/>
    </row>
    <row r="751">
      <c r="A751" s="1154"/>
      <c r="B751" s="1154"/>
      <c r="C751" s="1154"/>
      <c r="D751" s="1154"/>
      <c r="E751" s="1154"/>
      <c r="F751" s="1154"/>
      <c r="G751" s="1154"/>
      <c r="H751" s="1154"/>
      <c r="I751" s="1154"/>
      <c r="J751" s="1154"/>
      <c r="K751" s="1154"/>
      <c r="L751" s="1154"/>
      <c r="M751" s="1154"/>
      <c r="N751" s="1154"/>
      <c r="O751" s="1154"/>
      <c r="P751" s="1154"/>
      <c r="Q751" s="1154"/>
      <c r="R751" s="1154"/>
      <c r="S751" s="1154"/>
      <c r="T751" s="1154"/>
      <c r="U751" s="1154"/>
      <c r="V751" s="1154"/>
      <c r="W751" s="1154"/>
      <c r="X751" s="1154"/>
      <c r="Y751" s="1154"/>
      <c r="Z751" s="1154"/>
    </row>
    <row r="752">
      <c r="A752" s="1154"/>
      <c r="B752" s="1154"/>
      <c r="C752" s="1154"/>
      <c r="D752" s="1154"/>
      <c r="E752" s="1154"/>
      <c r="F752" s="1154"/>
      <c r="G752" s="1154"/>
      <c r="H752" s="1154"/>
      <c r="I752" s="1154"/>
      <c r="J752" s="1154"/>
      <c r="K752" s="1154"/>
      <c r="L752" s="1154"/>
      <c r="M752" s="1154"/>
      <c r="N752" s="1154"/>
      <c r="O752" s="1154"/>
      <c r="P752" s="1154"/>
      <c r="Q752" s="1154"/>
      <c r="R752" s="1154"/>
      <c r="S752" s="1154"/>
      <c r="T752" s="1154"/>
      <c r="U752" s="1154"/>
      <c r="V752" s="1154"/>
      <c r="W752" s="1154"/>
      <c r="X752" s="1154"/>
      <c r="Y752" s="1154"/>
      <c r="Z752" s="1154"/>
    </row>
    <row r="753">
      <c r="A753" s="1154"/>
      <c r="B753" s="1154"/>
      <c r="C753" s="1154"/>
      <c r="D753" s="1154"/>
      <c r="E753" s="1154"/>
      <c r="F753" s="1154"/>
      <c r="G753" s="1154"/>
      <c r="H753" s="1154"/>
      <c r="I753" s="1154"/>
      <c r="J753" s="1154"/>
      <c r="K753" s="1154"/>
      <c r="L753" s="1154"/>
      <c r="M753" s="1154"/>
      <c r="N753" s="1154"/>
      <c r="O753" s="1154"/>
      <c r="P753" s="1154"/>
      <c r="Q753" s="1154"/>
      <c r="R753" s="1154"/>
      <c r="S753" s="1154"/>
      <c r="T753" s="1154"/>
      <c r="U753" s="1154"/>
      <c r="V753" s="1154"/>
      <c r="W753" s="1154"/>
      <c r="X753" s="1154"/>
      <c r="Y753" s="1154"/>
      <c r="Z753" s="1154"/>
    </row>
    <row r="754">
      <c r="A754" s="1154"/>
      <c r="B754" s="1154"/>
      <c r="C754" s="1154"/>
      <c r="D754" s="1154"/>
      <c r="E754" s="1154"/>
      <c r="F754" s="1154"/>
      <c r="G754" s="1154"/>
      <c r="H754" s="1154"/>
      <c r="I754" s="1154"/>
      <c r="J754" s="1154"/>
      <c r="K754" s="1154"/>
      <c r="L754" s="1154"/>
      <c r="M754" s="1154"/>
      <c r="N754" s="1154"/>
      <c r="O754" s="1154"/>
      <c r="P754" s="1154"/>
      <c r="Q754" s="1154"/>
      <c r="R754" s="1154"/>
      <c r="S754" s="1154"/>
      <c r="T754" s="1154"/>
      <c r="U754" s="1154"/>
      <c r="V754" s="1154"/>
      <c r="W754" s="1154"/>
      <c r="X754" s="1154"/>
      <c r="Y754" s="1154"/>
      <c r="Z754" s="1154"/>
    </row>
    <row r="755">
      <c r="A755" s="1154"/>
      <c r="B755" s="1154"/>
      <c r="C755" s="1154"/>
      <c r="D755" s="1154"/>
      <c r="E755" s="1154"/>
      <c r="F755" s="1154"/>
      <c r="G755" s="1154"/>
      <c r="H755" s="1154"/>
      <c r="I755" s="1154"/>
      <c r="J755" s="1154"/>
      <c r="K755" s="1154"/>
      <c r="L755" s="1154"/>
      <c r="M755" s="1154"/>
      <c r="N755" s="1154"/>
      <c r="O755" s="1154"/>
      <c r="P755" s="1154"/>
      <c r="Q755" s="1154"/>
      <c r="R755" s="1154"/>
      <c r="S755" s="1154"/>
      <c r="T755" s="1154"/>
      <c r="U755" s="1154"/>
      <c r="V755" s="1154"/>
      <c r="W755" s="1154"/>
      <c r="X755" s="1154"/>
      <c r="Y755" s="1154"/>
      <c r="Z755" s="1154"/>
    </row>
    <row r="756">
      <c r="A756" s="1154"/>
      <c r="B756" s="1154"/>
      <c r="C756" s="1154"/>
      <c r="D756" s="1154"/>
      <c r="E756" s="1154"/>
      <c r="F756" s="1154"/>
      <c r="G756" s="1154"/>
      <c r="H756" s="1154"/>
      <c r="I756" s="1154"/>
      <c r="J756" s="1154"/>
      <c r="K756" s="1154"/>
      <c r="L756" s="1154"/>
      <c r="M756" s="1154"/>
      <c r="N756" s="1154"/>
      <c r="O756" s="1154"/>
      <c r="P756" s="1154"/>
      <c r="Q756" s="1154"/>
      <c r="R756" s="1154"/>
      <c r="S756" s="1154"/>
      <c r="T756" s="1154"/>
      <c r="U756" s="1154"/>
      <c r="V756" s="1154"/>
      <c r="W756" s="1154"/>
      <c r="X756" s="1154"/>
      <c r="Y756" s="1154"/>
      <c r="Z756" s="1154"/>
    </row>
    <row r="757">
      <c r="A757" s="1154"/>
      <c r="B757" s="1154"/>
      <c r="C757" s="1154"/>
      <c r="D757" s="1154"/>
      <c r="E757" s="1154"/>
      <c r="F757" s="1154"/>
      <c r="G757" s="1154"/>
      <c r="H757" s="1154"/>
      <c r="I757" s="1154"/>
      <c r="J757" s="1154"/>
      <c r="K757" s="1154"/>
      <c r="L757" s="1154"/>
      <c r="M757" s="1154"/>
      <c r="N757" s="1154"/>
      <c r="O757" s="1154"/>
      <c r="P757" s="1154"/>
      <c r="Q757" s="1154"/>
      <c r="R757" s="1154"/>
      <c r="S757" s="1154"/>
      <c r="T757" s="1154"/>
      <c r="U757" s="1154"/>
      <c r="V757" s="1154"/>
      <c r="W757" s="1154"/>
      <c r="X757" s="1154"/>
      <c r="Y757" s="1154"/>
      <c r="Z757" s="1154"/>
    </row>
    <row r="758">
      <c r="A758" s="1154"/>
      <c r="B758" s="1154"/>
      <c r="C758" s="1154"/>
      <c r="D758" s="1154"/>
      <c r="E758" s="1154"/>
      <c r="F758" s="1154"/>
      <c r="G758" s="1154"/>
      <c r="H758" s="1154"/>
      <c r="I758" s="1154"/>
      <c r="J758" s="1154"/>
      <c r="K758" s="1154"/>
      <c r="L758" s="1154"/>
      <c r="M758" s="1154"/>
      <c r="N758" s="1154"/>
      <c r="O758" s="1154"/>
      <c r="P758" s="1154"/>
      <c r="Q758" s="1154"/>
      <c r="R758" s="1154"/>
      <c r="S758" s="1154"/>
      <c r="T758" s="1154"/>
      <c r="U758" s="1154"/>
      <c r="V758" s="1154"/>
      <c r="W758" s="1154"/>
      <c r="X758" s="1154"/>
      <c r="Y758" s="1154"/>
      <c r="Z758" s="1154"/>
    </row>
    <row r="759">
      <c r="A759" s="1154"/>
      <c r="B759" s="1154"/>
      <c r="C759" s="1154"/>
      <c r="D759" s="1154"/>
      <c r="E759" s="1154"/>
      <c r="F759" s="1154"/>
      <c r="G759" s="1154"/>
      <c r="H759" s="1154"/>
      <c r="I759" s="1154"/>
      <c r="J759" s="1154"/>
      <c r="K759" s="1154"/>
      <c r="L759" s="1154"/>
      <c r="M759" s="1154"/>
      <c r="N759" s="1154"/>
      <c r="O759" s="1154"/>
      <c r="P759" s="1154"/>
      <c r="Q759" s="1154"/>
      <c r="R759" s="1154"/>
      <c r="S759" s="1154"/>
      <c r="T759" s="1154"/>
      <c r="U759" s="1154"/>
      <c r="V759" s="1154"/>
      <c r="W759" s="1154"/>
      <c r="X759" s="1154"/>
      <c r="Y759" s="1154"/>
      <c r="Z759" s="1154"/>
    </row>
    <row r="760">
      <c r="A760" s="1154"/>
      <c r="B760" s="1154"/>
      <c r="C760" s="1154"/>
      <c r="D760" s="1154"/>
      <c r="E760" s="1154"/>
      <c r="F760" s="1154"/>
      <c r="G760" s="1154"/>
      <c r="H760" s="1154"/>
      <c r="I760" s="1154"/>
      <c r="J760" s="1154"/>
      <c r="K760" s="1154"/>
      <c r="L760" s="1154"/>
      <c r="M760" s="1154"/>
      <c r="N760" s="1154"/>
      <c r="O760" s="1154"/>
      <c r="P760" s="1154"/>
      <c r="Q760" s="1154"/>
      <c r="R760" s="1154"/>
      <c r="S760" s="1154"/>
      <c r="T760" s="1154"/>
      <c r="U760" s="1154"/>
      <c r="V760" s="1154"/>
      <c r="W760" s="1154"/>
      <c r="X760" s="1154"/>
      <c r="Y760" s="1154"/>
      <c r="Z760" s="1154"/>
    </row>
    <row r="761">
      <c r="A761" s="1154"/>
      <c r="B761" s="1154"/>
      <c r="C761" s="1154"/>
      <c r="D761" s="1154"/>
      <c r="E761" s="1154"/>
      <c r="F761" s="1154"/>
      <c r="G761" s="1154"/>
      <c r="H761" s="1154"/>
      <c r="I761" s="1154"/>
      <c r="J761" s="1154"/>
      <c r="K761" s="1154"/>
      <c r="L761" s="1154"/>
      <c r="M761" s="1154"/>
      <c r="N761" s="1154"/>
      <c r="O761" s="1154"/>
      <c r="P761" s="1154"/>
      <c r="Q761" s="1154"/>
      <c r="R761" s="1154"/>
      <c r="S761" s="1154"/>
      <c r="T761" s="1154"/>
      <c r="U761" s="1154"/>
      <c r="V761" s="1154"/>
      <c r="W761" s="1154"/>
      <c r="X761" s="1154"/>
      <c r="Y761" s="1154"/>
      <c r="Z761" s="1154"/>
    </row>
    <row r="762">
      <c r="A762" s="1154"/>
      <c r="B762" s="1154"/>
      <c r="C762" s="1154"/>
      <c r="D762" s="1154"/>
      <c r="E762" s="1154"/>
      <c r="F762" s="1154"/>
      <c r="G762" s="1154"/>
      <c r="H762" s="1154"/>
      <c r="I762" s="1154"/>
      <c r="J762" s="1154"/>
      <c r="K762" s="1154"/>
      <c r="L762" s="1154"/>
      <c r="M762" s="1154"/>
      <c r="N762" s="1154"/>
      <c r="O762" s="1154"/>
      <c r="P762" s="1154"/>
      <c r="Q762" s="1154"/>
      <c r="R762" s="1154"/>
      <c r="S762" s="1154"/>
      <c r="T762" s="1154"/>
      <c r="U762" s="1154"/>
      <c r="V762" s="1154"/>
      <c r="W762" s="1154"/>
      <c r="X762" s="1154"/>
      <c r="Y762" s="1154"/>
      <c r="Z762" s="1154"/>
    </row>
    <row r="763">
      <c r="A763" s="1154"/>
      <c r="B763" s="1154"/>
      <c r="C763" s="1154"/>
      <c r="D763" s="1154"/>
      <c r="E763" s="1154"/>
      <c r="F763" s="1154"/>
      <c r="G763" s="1154"/>
      <c r="H763" s="1154"/>
      <c r="I763" s="1154"/>
      <c r="J763" s="1154"/>
      <c r="K763" s="1154"/>
      <c r="L763" s="1154"/>
      <c r="M763" s="1154"/>
      <c r="N763" s="1154"/>
      <c r="O763" s="1154"/>
      <c r="P763" s="1154"/>
      <c r="Q763" s="1154"/>
      <c r="R763" s="1154"/>
      <c r="S763" s="1154"/>
      <c r="T763" s="1154"/>
      <c r="U763" s="1154"/>
      <c r="V763" s="1154"/>
      <c r="W763" s="1154"/>
      <c r="X763" s="1154"/>
      <c r="Y763" s="1154"/>
      <c r="Z763" s="1154"/>
    </row>
    <row r="764">
      <c r="A764" s="1154"/>
      <c r="B764" s="1154"/>
      <c r="C764" s="1154"/>
      <c r="D764" s="1154"/>
      <c r="E764" s="1154"/>
      <c r="F764" s="1154"/>
      <c r="G764" s="1154"/>
      <c r="H764" s="1154"/>
      <c r="I764" s="1154"/>
      <c r="J764" s="1154"/>
      <c r="K764" s="1154"/>
      <c r="L764" s="1154"/>
      <c r="M764" s="1154"/>
      <c r="N764" s="1154"/>
      <c r="O764" s="1154"/>
      <c r="P764" s="1154"/>
      <c r="Q764" s="1154"/>
      <c r="R764" s="1154"/>
      <c r="S764" s="1154"/>
      <c r="T764" s="1154"/>
      <c r="U764" s="1154"/>
      <c r="V764" s="1154"/>
      <c r="W764" s="1154"/>
      <c r="X764" s="1154"/>
      <c r="Y764" s="1154"/>
      <c r="Z764" s="1154"/>
    </row>
    <row r="765">
      <c r="A765" s="1154"/>
      <c r="B765" s="1154"/>
      <c r="C765" s="1154"/>
      <c r="D765" s="1154"/>
      <c r="E765" s="1154"/>
      <c r="F765" s="1154"/>
      <c r="G765" s="1154"/>
      <c r="H765" s="1154"/>
      <c r="I765" s="1154"/>
      <c r="J765" s="1154"/>
      <c r="K765" s="1154"/>
      <c r="L765" s="1154"/>
      <c r="M765" s="1154"/>
      <c r="N765" s="1154"/>
      <c r="O765" s="1154"/>
      <c r="P765" s="1154"/>
      <c r="Q765" s="1154"/>
      <c r="R765" s="1154"/>
      <c r="S765" s="1154"/>
      <c r="T765" s="1154"/>
      <c r="U765" s="1154"/>
      <c r="V765" s="1154"/>
      <c r="W765" s="1154"/>
      <c r="X765" s="1154"/>
      <c r="Y765" s="1154"/>
      <c r="Z765" s="1154"/>
    </row>
    <row r="766">
      <c r="A766" s="1154"/>
      <c r="B766" s="1154"/>
      <c r="C766" s="1154"/>
      <c r="D766" s="1154"/>
      <c r="E766" s="1154"/>
      <c r="F766" s="1154"/>
      <c r="G766" s="1154"/>
      <c r="H766" s="1154"/>
      <c r="I766" s="1154"/>
      <c r="J766" s="1154"/>
      <c r="K766" s="1154"/>
      <c r="L766" s="1154"/>
      <c r="M766" s="1154"/>
      <c r="N766" s="1154"/>
      <c r="O766" s="1154"/>
      <c r="P766" s="1154"/>
      <c r="Q766" s="1154"/>
      <c r="R766" s="1154"/>
      <c r="S766" s="1154"/>
      <c r="T766" s="1154"/>
      <c r="U766" s="1154"/>
      <c r="V766" s="1154"/>
      <c r="W766" s="1154"/>
      <c r="X766" s="1154"/>
      <c r="Y766" s="1154"/>
      <c r="Z766" s="1154"/>
    </row>
    <row r="767">
      <c r="A767" s="1154"/>
      <c r="B767" s="1154"/>
      <c r="C767" s="1154"/>
      <c r="D767" s="1154"/>
      <c r="E767" s="1154"/>
      <c r="F767" s="1154"/>
      <c r="G767" s="1154"/>
      <c r="H767" s="1154"/>
      <c r="I767" s="1154"/>
      <c r="J767" s="1154"/>
      <c r="K767" s="1154"/>
      <c r="L767" s="1154"/>
      <c r="M767" s="1154"/>
      <c r="N767" s="1154"/>
      <c r="O767" s="1154"/>
      <c r="P767" s="1154"/>
      <c r="Q767" s="1154"/>
      <c r="R767" s="1154"/>
      <c r="S767" s="1154"/>
      <c r="T767" s="1154"/>
      <c r="U767" s="1154"/>
      <c r="V767" s="1154"/>
      <c r="W767" s="1154"/>
      <c r="X767" s="1154"/>
      <c r="Y767" s="1154"/>
      <c r="Z767" s="1154"/>
    </row>
    <row r="768">
      <c r="A768" s="1154"/>
      <c r="B768" s="1154"/>
      <c r="C768" s="1154"/>
      <c r="D768" s="1154"/>
      <c r="E768" s="1154"/>
      <c r="F768" s="1154"/>
      <c r="G768" s="1154"/>
      <c r="H768" s="1154"/>
      <c r="I768" s="1154"/>
      <c r="J768" s="1154"/>
      <c r="K768" s="1154"/>
      <c r="L768" s="1154"/>
      <c r="M768" s="1154"/>
      <c r="N768" s="1154"/>
      <c r="O768" s="1154"/>
      <c r="P768" s="1154"/>
      <c r="Q768" s="1154"/>
      <c r="R768" s="1154"/>
      <c r="S768" s="1154"/>
      <c r="T768" s="1154"/>
      <c r="U768" s="1154"/>
      <c r="V768" s="1154"/>
      <c r="W768" s="1154"/>
      <c r="X768" s="1154"/>
      <c r="Y768" s="1154"/>
      <c r="Z768" s="1154"/>
    </row>
    <row r="769">
      <c r="A769" s="1154"/>
      <c r="B769" s="1154"/>
      <c r="C769" s="1154"/>
      <c r="D769" s="1154"/>
      <c r="E769" s="1154"/>
      <c r="F769" s="1154"/>
      <c r="G769" s="1154"/>
      <c r="H769" s="1154"/>
      <c r="I769" s="1154"/>
      <c r="J769" s="1154"/>
      <c r="K769" s="1154"/>
      <c r="L769" s="1154"/>
      <c r="M769" s="1154"/>
      <c r="N769" s="1154"/>
      <c r="O769" s="1154"/>
      <c r="P769" s="1154"/>
      <c r="Q769" s="1154"/>
      <c r="R769" s="1154"/>
      <c r="S769" s="1154"/>
      <c r="T769" s="1154"/>
      <c r="U769" s="1154"/>
      <c r="V769" s="1154"/>
      <c r="W769" s="1154"/>
      <c r="X769" s="1154"/>
      <c r="Y769" s="1154"/>
      <c r="Z769" s="1154"/>
    </row>
    <row r="770">
      <c r="A770" s="1154"/>
      <c r="B770" s="1154"/>
      <c r="C770" s="1154"/>
      <c r="D770" s="1154"/>
      <c r="E770" s="1154"/>
      <c r="F770" s="1154"/>
      <c r="G770" s="1154"/>
      <c r="H770" s="1154"/>
      <c r="I770" s="1154"/>
      <c r="J770" s="1154"/>
      <c r="K770" s="1154"/>
      <c r="L770" s="1154"/>
      <c r="M770" s="1154"/>
      <c r="N770" s="1154"/>
      <c r="O770" s="1154"/>
      <c r="P770" s="1154"/>
      <c r="Q770" s="1154"/>
      <c r="R770" s="1154"/>
      <c r="S770" s="1154"/>
      <c r="T770" s="1154"/>
      <c r="U770" s="1154"/>
      <c r="V770" s="1154"/>
      <c r="W770" s="1154"/>
      <c r="X770" s="1154"/>
      <c r="Y770" s="1154"/>
      <c r="Z770" s="1154"/>
    </row>
    <row r="771">
      <c r="A771" s="1154"/>
      <c r="B771" s="1154"/>
      <c r="C771" s="1154"/>
      <c r="D771" s="1154"/>
      <c r="E771" s="1154"/>
      <c r="F771" s="1154"/>
      <c r="G771" s="1154"/>
      <c r="H771" s="1154"/>
      <c r="I771" s="1154"/>
      <c r="J771" s="1154"/>
      <c r="K771" s="1154"/>
      <c r="L771" s="1154"/>
      <c r="M771" s="1154"/>
      <c r="N771" s="1154"/>
      <c r="O771" s="1154"/>
      <c r="P771" s="1154"/>
      <c r="Q771" s="1154"/>
      <c r="R771" s="1154"/>
      <c r="S771" s="1154"/>
      <c r="T771" s="1154"/>
      <c r="U771" s="1154"/>
      <c r="V771" s="1154"/>
      <c r="W771" s="1154"/>
      <c r="X771" s="1154"/>
      <c r="Y771" s="1154"/>
      <c r="Z771" s="1154"/>
    </row>
    <row r="772">
      <c r="A772" s="1154"/>
      <c r="B772" s="1154"/>
      <c r="C772" s="1154"/>
      <c r="D772" s="1154"/>
      <c r="E772" s="1154"/>
      <c r="F772" s="1154"/>
      <c r="G772" s="1154"/>
      <c r="H772" s="1154"/>
      <c r="I772" s="1154"/>
      <c r="J772" s="1154"/>
      <c r="K772" s="1154"/>
      <c r="L772" s="1154"/>
      <c r="M772" s="1154"/>
      <c r="N772" s="1154"/>
      <c r="O772" s="1154"/>
      <c r="P772" s="1154"/>
      <c r="Q772" s="1154"/>
      <c r="R772" s="1154"/>
      <c r="S772" s="1154"/>
      <c r="T772" s="1154"/>
      <c r="U772" s="1154"/>
      <c r="V772" s="1154"/>
      <c r="W772" s="1154"/>
      <c r="X772" s="1154"/>
      <c r="Y772" s="1154"/>
      <c r="Z772" s="1154"/>
    </row>
    <row r="773">
      <c r="A773" s="1154"/>
      <c r="B773" s="1154"/>
      <c r="C773" s="1154"/>
      <c r="D773" s="1154"/>
      <c r="E773" s="1154"/>
      <c r="F773" s="1154"/>
      <c r="G773" s="1154"/>
      <c r="H773" s="1154"/>
      <c r="I773" s="1154"/>
      <c r="J773" s="1154"/>
      <c r="K773" s="1154"/>
      <c r="L773" s="1154"/>
      <c r="M773" s="1154"/>
      <c r="N773" s="1154"/>
      <c r="O773" s="1154"/>
      <c r="P773" s="1154"/>
      <c r="Q773" s="1154"/>
      <c r="R773" s="1154"/>
      <c r="S773" s="1154"/>
      <c r="T773" s="1154"/>
      <c r="U773" s="1154"/>
      <c r="V773" s="1154"/>
      <c r="W773" s="1154"/>
      <c r="X773" s="1154"/>
      <c r="Y773" s="1154"/>
      <c r="Z773" s="1154"/>
    </row>
    <row r="774">
      <c r="A774" s="1154"/>
      <c r="B774" s="1154"/>
      <c r="C774" s="1154"/>
      <c r="D774" s="1154"/>
      <c r="E774" s="1154"/>
      <c r="F774" s="1154"/>
      <c r="G774" s="1154"/>
      <c r="H774" s="1154"/>
      <c r="I774" s="1154"/>
      <c r="J774" s="1154"/>
      <c r="K774" s="1154"/>
      <c r="L774" s="1154"/>
      <c r="M774" s="1154"/>
      <c r="N774" s="1154"/>
      <c r="O774" s="1154"/>
      <c r="P774" s="1154"/>
      <c r="Q774" s="1154"/>
      <c r="R774" s="1154"/>
      <c r="S774" s="1154"/>
      <c r="T774" s="1154"/>
      <c r="U774" s="1154"/>
      <c r="V774" s="1154"/>
      <c r="W774" s="1154"/>
      <c r="X774" s="1154"/>
      <c r="Y774" s="1154"/>
      <c r="Z774" s="1154"/>
    </row>
    <row r="775">
      <c r="A775" s="1154"/>
      <c r="B775" s="1154"/>
      <c r="C775" s="1154"/>
      <c r="D775" s="1154"/>
      <c r="E775" s="1154"/>
      <c r="F775" s="1154"/>
      <c r="G775" s="1154"/>
      <c r="H775" s="1154"/>
      <c r="I775" s="1154"/>
      <c r="J775" s="1154"/>
      <c r="K775" s="1154"/>
      <c r="L775" s="1154"/>
      <c r="M775" s="1154"/>
      <c r="N775" s="1154"/>
      <c r="O775" s="1154"/>
      <c r="P775" s="1154"/>
      <c r="Q775" s="1154"/>
      <c r="R775" s="1154"/>
      <c r="S775" s="1154"/>
      <c r="T775" s="1154"/>
      <c r="U775" s="1154"/>
      <c r="V775" s="1154"/>
      <c r="W775" s="1154"/>
      <c r="X775" s="1154"/>
      <c r="Y775" s="1154"/>
      <c r="Z775" s="1154"/>
    </row>
    <row r="776">
      <c r="A776" s="1154"/>
      <c r="B776" s="1154"/>
      <c r="C776" s="1154"/>
      <c r="D776" s="1154"/>
      <c r="E776" s="1154"/>
      <c r="F776" s="1154"/>
      <c r="G776" s="1154"/>
      <c r="H776" s="1154"/>
      <c r="I776" s="1154"/>
      <c r="J776" s="1154"/>
      <c r="K776" s="1154"/>
      <c r="L776" s="1154"/>
      <c r="M776" s="1154"/>
      <c r="N776" s="1154"/>
      <c r="O776" s="1154"/>
      <c r="P776" s="1154"/>
      <c r="Q776" s="1154"/>
      <c r="R776" s="1154"/>
      <c r="S776" s="1154"/>
      <c r="T776" s="1154"/>
      <c r="U776" s="1154"/>
      <c r="V776" s="1154"/>
      <c r="W776" s="1154"/>
      <c r="X776" s="1154"/>
      <c r="Y776" s="1154"/>
      <c r="Z776" s="1154"/>
    </row>
    <row r="777">
      <c r="A777" s="1154"/>
      <c r="B777" s="1154"/>
      <c r="C777" s="1154"/>
      <c r="D777" s="1154"/>
      <c r="E777" s="1154"/>
      <c r="F777" s="1154"/>
      <c r="G777" s="1154"/>
      <c r="H777" s="1154"/>
      <c r="I777" s="1154"/>
      <c r="J777" s="1154"/>
      <c r="K777" s="1154"/>
      <c r="L777" s="1154"/>
      <c r="M777" s="1154"/>
      <c r="N777" s="1154"/>
      <c r="O777" s="1154"/>
      <c r="P777" s="1154"/>
      <c r="Q777" s="1154"/>
      <c r="R777" s="1154"/>
      <c r="S777" s="1154"/>
      <c r="T777" s="1154"/>
      <c r="U777" s="1154"/>
      <c r="V777" s="1154"/>
      <c r="W777" s="1154"/>
      <c r="X777" s="1154"/>
      <c r="Y777" s="1154"/>
      <c r="Z777" s="1154"/>
    </row>
    <row r="778">
      <c r="A778" s="1154"/>
      <c r="B778" s="1154"/>
      <c r="C778" s="1154"/>
      <c r="D778" s="1154"/>
      <c r="E778" s="1154"/>
      <c r="F778" s="1154"/>
      <c r="G778" s="1154"/>
      <c r="H778" s="1154"/>
      <c r="I778" s="1154"/>
      <c r="J778" s="1154"/>
      <c r="K778" s="1154"/>
      <c r="L778" s="1154"/>
      <c r="M778" s="1154"/>
      <c r="N778" s="1154"/>
      <c r="O778" s="1154"/>
      <c r="P778" s="1154"/>
      <c r="Q778" s="1154"/>
      <c r="R778" s="1154"/>
      <c r="S778" s="1154"/>
      <c r="T778" s="1154"/>
      <c r="U778" s="1154"/>
      <c r="V778" s="1154"/>
      <c r="W778" s="1154"/>
      <c r="X778" s="1154"/>
      <c r="Y778" s="1154"/>
      <c r="Z778" s="1154"/>
    </row>
    <row r="779">
      <c r="A779" s="1154"/>
      <c r="B779" s="1154"/>
      <c r="C779" s="1154"/>
      <c r="D779" s="1154"/>
      <c r="E779" s="1154"/>
      <c r="F779" s="1154"/>
      <c r="G779" s="1154"/>
      <c r="H779" s="1154"/>
      <c r="I779" s="1154"/>
      <c r="J779" s="1154"/>
      <c r="K779" s="1154"/>
      <c r="L779" s="1154"/>
      <c r="M779" s="1154"/>
      <c r="N779" s="1154"/>
      <c r="O779" s="1154"/>
      <c r="P779" s="1154"/>
      <c r="Q779" s="1154"/>
      <c r="R779" s="1154"/>
      <c r="S779" s="1154"/>
      <c r="T779" s="1154"/>
      <c r="U779" s="1154"/>
      <c r="V779" s="1154"/>
      <c r="W779" s="1154"/>
      <c r="X779" s="1154"/>
      <c r="Y779" s="1154"/>
      <c r="Z779" s="1154"/>
    </row>
    <row r="780">
      <c r="A780" s="1154"/>
      <c r="B780" s="1154"/>
      <c r="C780" s="1154"/>
      <c r="D780" s="1154"/>
      <c r="E780" s="1154"/>
      <c r="F780" s="1154"/>
      <c r="G780" s="1154"/>
      <c r="H780" s="1154"/>
      <c r="I780" s="1154"/>
      <c r="J780" s="1154"/>
      <c r="K780" s="1154"/>
      <c r="L780" s="1154"/>
      <c r="M780" s="1154"/>
      <c r="N780" s="1154"/>
      <c r="O780" s="1154"/>
      <c r="P780" s="1154"/>
      <c r="Q780" s="1154"/>
      <c r="R780" s="1154"/>
      <c r="S780" s="1154"/>
      <c r="T780" s="1154"/>
      <c r="U780" s="1154"/>
      <c r="V780" s="1154"/>
      <c r="W780" s="1154"/>
      <c r="X780" s="1154"/>
      <c r="Y780" s="1154"/>
      <c r="Z780" s="1154"/>
    </row>
    <row r="781">
      <c r="A781" s="1154"/>
      <c r="B781" s="1154"/>
      <c r="C781" s="1154"/>
      <c r="D781" s="1154"/>
      <c r="E781" s="1154"/>
      <c r="F781" s="1154"/>
      <c r="G781" s="1154"/>
      <c r="H781" s="1154"/>
      <c r="I781" s="1154"/>
      <c r="J781" s="1154"/>
      <c r="K781" s="1154"/>
      <c r="L781" s="1154"/>
      <c r="M781" s="1154"/>
      <c r="N781" s="1154"/>
      <c r="O781" s="1154"/>
      <c r="P781" s="1154"/>
      <c r="Q781" s="1154"/>
      <c r="R781" s="1154"/>
      <c r="S781" s="1154"/>
      <c r="T781" s="1154"/>
      <c r="U781" s="1154"/>
      <c r="V781" s="1154"/>
      <c r="W781" s="1154"/>
      <c r="X781" s="1154"/>
      <c r="Y781" s="1154"/>
      <c r="Z781" s="1154"/>
    </row>
    <row r="782">
      <c r="A782" s="1154"/>
      <c r="B782" s="1154"/>
      <c r="C782" s="1154"/>
      <c r="D782" s="1154"/>
      <c r="E782" s="1154"/>
      <c r="F782" s="1154"/>
      <c r="G782" s="1154"/>
      <c r="H782" s="1154"/>
      <c r="I782" s="1154"/>
      <c r="J782" s="1154"/>
      <c r="K782" s="1154"/>
      <c r="L782" s="1154"/>
      <c r="M782" s="1154"/>
      <c r="N782" s="1154"/>
      <c r="O782" s="1154"/>
      <c r="P782" s="1154"/>
      <c r="Q782" s="1154"/>
      <c r="R782" s="1154"/>
      <c r="S782" s="1154"/>
      <c r="T782" s="1154"/>
      <c r="U782" s="1154"/>
      <c r="V782" s="1154"/>
      <c r="W782" s="1154"/>
      <c r="X782" s="1154"/>
      <c r="Y782" s="1154"/>
      <c r="Z782" s="1154"/>
    </row>
    <row r="783">
      <c r="A783" s="1154"/>
      <c r="B783" s="1154"/>
      <c r="C783" s="1154"/>
      <c r="D783" s="1154"/>
      <c r="E783" s="1154"/>
      <c r="F783" s="1154"/>
      <c r="G783" s="1154"/>
      <c r="H783" s="1154"/>
      <c r="I783" s="1154"/>
      <c r="J783" s="1154"/>
      <c r="K783" s="1154"/>
      <c r="L783" s="1154"/>
      <c r="M783" s="1154"/>
      <c r="N783" s="1154"/>
      <c r="O783" s="1154"/>
      <c r="P783" s="1154"/>
      <c r="Q783" s="1154"/>
      <c r="R783" s="1154"/>
      <c r="S783" s="1154"/>
      <c r="T783" s="1154"/>
      <c r="U783" s="1154"/>
      <c r="V783" s="1154"/>
      <c r="W783" s="1154"/>
      <c r="X783" s="1154"/>
      <c r="Y783" s="1154"/>
      <c r="Z783" s="1154"/>
    </row>
    <row r="784">
      <c r="A784" s="1154"/>
      <c r="B784" s="1154"/>
      <c r="C784" s="1154"/>
      <c r="D784" s="1154"/>
      <c r="E784" s="1154"/>
      <c r="F784" s="1154"/>
      <c r="G784" s="1154"/>
      <c r="H784" s="1154"/>
      <c r="I784" s="1154"/>
      <c r="J784" s="1154"/>
      <c r="K784" s="1154"/>
      <c r="L784" s="1154"/>
      <c r="M784" s="1154"/>
      <c r="N784" s="1154"/>
      <c r="O784" s="1154"/>
      <c r="P784" s="1154"/>
      <c r="Q784" s="1154"/>
      <c r="R784" s="1154"/>
      <c r="S784" s="1154"/>
      <c r="T784" s="1154"/>
      <c r="U784" s="1154"/>
      <c r="V784" s="1154"/>
      <c r="W784" s="1154"/>
      <c r="X784" s="1154"/>
      <c r="Y784" s="1154"/>
      <c r="Z784" s="1154"/>
    </row>
    <row r="785">
      <c r="A785" s="1154"/>
      <c r="B785" s="1154"/>
      <c r="C785" s="1154"/>
      <c r="D785" s="1154"/>
      <c r="E785" s="1154"/>
      <c r="F785" s="1154"/>
      <c r="G785" s="1154"/>
      <c r="H785" s="1154"/>
      <c r="I785" s="1154"/>
      <c r="J785" s="1154"/>
      <c r="K785" s="1154"/>
      <c r="L785" s="1154"/>
      <c r="M785" s="1154"/>
      <c r="N785" s="1154"/>
      <c r="O785" s="1154"/>
      <c r="P785" s="1154"/>
      <c r="Q785" s="1154"/>
      <c r="R785" s="1154"/>
      <c r="S785" s="1154"/>
      <c r="T785" s="1154"/>
      <c r="U785" s="1154"/>
      <c r="V785" s="1154"/>
      <c r="W785" s="1154"/>
      <c r="X785" s="1154"/>
      <c r="Y785" s="1154"/>
      <c r="Z785" s="1154"/>
    </row>
    <row r="786">
      <c r="A786" s="1154"/>
      <c r="B786" s="1154"/>
      <c r="C786" s="1154"/>
      <c r="D786" s="1154"/>
      <c r="E786" s="1154"/>
      <c r="F786" s="1154"/>
      <c r="G786" s="1154"/>
      <c r="H786" s="1154"/>
      <c r="I786" s="1154"/>
      <c r="J786" s="1154"/>
      <c r="K786" s="1154"/>
      <c r="L786" s="1154"/>
      <c r="M786" s="1154"/>
      <c r="N786" s="1154"/>
      <c r="O786" s="1154"/>
      <c r="P786" s="1154"/>
      <c r="Q786" s="1154"/>
      <c r="R786" s="1154"/>
      <c r="S786" s="1154"/>
      <c r="T786" s="1154"/>
      <c r="U786" s="1154"/>
      <c r="V786" s="1154"/>
      <c r="W786" s="1154"/>
      <c r="X786" s="1154"/>
      <c r="Y786" s="1154"/>
      <c r="Z786" s="1154"/>
    </row>
    <row r="787">
      <c r="A787" s="1154"/>
      <c r="B787" s="1154"/>
      <c r="C787" s="1154"/>
      <c r="D787" s="1154"/>
      <c r="E787" s="1154"/>
      <c r="F787" s="1154"/>
      <c r="G787" s="1154"/>
      <c r="H787" s="1154"/>
      <c r="I787" s="1154"/>
      <c r="J787" s="1154"/>
      <c r="K787" s="1154"/>
      <c r="L787" s="1154"/>
      <c r="M787" s="1154"/>
      <c r="N787" s="1154"/>
      <c r="O787" s="1154"/>
      <c r="P787" s="1154"/>
      <c r="Q787" s="1154"/>
      <c r="R787" s="1154"/>
      <c r="S787" s="1154"/>
      <c r="T787" s="1154"/>
      <c r="U787" s="1154"/>
      <c r="V787" s="1154"/>
      <c r="W787" s="1154"/>
      <c r="X787" s="1154"/>
      <c r="Y787" s="1154"/>
      <c r="Z787" s="1154"/>
    </row>
    <row r="788">
      <c r="A788" s="1154"/>
      <c r="B788" s="1154"/>
      <c r="C788" s="1154"/>
      <c r="D788" s="1154"/>
      <c r="E788" s="1154"/>
      <c r="F788" s="1154"/>
      <c r="G788" s="1154"/>
      <c r="H788" s="1154"/>
      <c r="I788" s="1154"/>
      <c r="J788" s="1154"/>
      <c r="K788" s="1154"/>
      <c r="L788" s="1154"/>
      <c r="M788" s="1154"/>
      <c r="N788" s="1154"/>
      <c r="O788" s="1154"/>
      <c r="P788" s="1154"/>
      <c r="Q788" s="1154"/>
      <c r="R788" s="1154"/>
      <c r="S788" s="1154"/>
      <c r="T788" s="1154"/>
      <c r="U788" s="1154"/>
      <c r="V788" s="1154"/>
      <c r="W788" s="1154"/>
      <c r="X788" s="1154"/>
      <c r="Y788" s="1154"/>
      <c r="Z788" s="1154"/>
    </row>
    <row r="789">
      <c r="A789" s="1154"/>
      <c r="B789" s="1154"/>
      <c r="C789" s="1154"/>
      <c r="D789" s="1154"/>
      <c r="E789" s="1154"/>
      <c r="F789" s="1154"/>
      <c r="G789" s="1154"/>
      <c r="H789" s="1154"/>
      <c r="I789" s="1154"/>
      <c r="J789" s="1154"/>
      <c r="K789" s="1154"/>
      <c r="L789" s="1154"/>
      <c r="M789" s="1154"/>
      <c r="N789" s="1154"/>
      <c r="O789" s="1154"/>
      <c r="P789" s="1154"/>
      <c r="Q789" s="1154"/>
      <c r="R789" s="1154"/>
      <c r="S789" s="1154"/>
      <c r="T789" s="1154"/>
      <c r="U789" s="1154"/>
      <c r="V789" s="1154"/>
      <c r="W789" s="1154"/>
      <c r="X789" s="1154"/>
      <c r="Y789" s="1154"/>
      <c r="Z789" s="1154"/>
    </row>
    <row r="790">
      <c r="A790" s="1154"/>
      <c r="B790" s="1154"/>
      <c r="C790" s="1154"/>
      <c r="D790" s="1154"/>
      <c r="E790" s="1154"/>
      <c r="F790" s="1154"/>
      <c r="G790" s="1154"/>
      <c r="H790" s="1154"/>
      <c r="I790" s="1154"/>
      <c r="J790" s="1154"/>
      <c r="K790" s="1154"/>
      <c r="L790" s="1154"/>
      <c r="M790" s="1154"/>
      <c r="N790" s="1154"/>
      <c r="O790" s="1154"/>
      <c r="P790" s="1154"/>
      <c r="Q790" s="1154"/>
      <c r="R790" s="1154"/>
      <c r="S790" s="1154"/>
      <c r="T790" s="1154"/>
      <c r="U790" s="1154"/>
      <c r="V790" s="1154"/>
      <c r="W790" s="1154"/>
      <c r="X790" s="1154"/>
      <c r="Y790" s="1154"/>
      <c r="Z790" s="1154"/>
    </row>
    <row r="791">
      <c r="A791" s="1154"/>
      <c r="B791" s="1154"/>
      <c r="C791" s="1154"/>
      <c r="D791" s="1154"/>
      <c r="E791" s="1154"/>
      <c r="F791" s="1154"/>
      <c r="G791" s="1154"/>
      <c r="H791" s="1154"/>
      <c r="I791" s="1154"/>
      <c r="J791" s="1154"/>
      <c r="K791" s="1154"/>
      <c r="L791" s="1154"/>
      <c r="M791" s="1154"/>
      <c r="N791" s="1154"/>
      <c r="O791" s="1154"/>
      <c r="P791" s="1154"/>
      <c r="Q791" s="1154"/>
      <c r="R791" s="1154"/>
      <c r="S791" s="1154"/>
      <c r="T791" s="1154"/>
      <c r="U791" s="1154"/>
      <c r="V791" s="1154"/>
      <c r="W791" s="1154"/>
      <c r="X791" s="1154"/>
      <c r="Y791" s="1154"/>
      <c r="Z791" s="1154"/>
    </row>
    <row r="792">
      <c r="A792" s="1154"/>
      <c r="B792" s="1154"/>
      <c r="C792" s="1154"/>
      <c r="D792" s="1154"/>
      <c r="E792" s="1154"/>
      <c r="F792" s="1154"/>
      <c r="G792" s="1154"/>
      <c r="H792" s="1154"/>
      <c r="I792" s="1154"/>
      <c r="J792" s="1154"/>
      <c r="K792" s="1154"/>
      <c r="L792" s="1154"/>
      <c r="M792" s="1154"/>
      <c r="N792" s="1154"/>
      <c r="O792" s="1154"/>
      <c r="P792" s="1154"/>
      <c r="Q792" s="1154"/>
      <c r="R792" s="1154"/>
      <c r="S792" s="1154"/>
      <c r="T792" s="1154"/>
      <c r="U792" s="1154"/>
      <c r="V792" s="1154"/>
      <c r="W792" s="1154"/>
      <c r="X792" s="1154"/>
      <c r="Y792" s="1154"/>
      <c r="Z792" s="1154"/>
    </row>
    <row r="793">
      <c r="A793" s="1154"/>
      <c r="B793" s="1154"/>
      <c r="C793" s="1154"/>
      <c r="D793" s="1154"/>
      <c r="E793" s="1154"/>
      <c r="F793" s="1154"/>
      <c r="G793" s="1154"/>
      <c r="H793" s="1154"/>
      <c r="I793" s="1154"/>
      <c r="J793" s="1154"/>
      <c r="K793" s="1154"/>
      <c r="L793" s="1154"/>
      <c r="M793" s="1154"/>
      <c r="N793" s="1154"/>
      <c r="O793" s="1154"/>
      <c r="P793" s="1154"/>
      <c r="Q793" s="1154"/>
      <c r="R793" s="1154"/>
      <c r="S793" s="1154"/>
      <c r="T793" s="1154"/>
      <c r="U793" s="1154"/>
      <c r="V793" s="1154"/>
      <c r="W793" s="1154"/>
      <c r="X793" s="1154"/>
      <c r="Y793" s="1154"/>
      <c r="Z793" s="1154"/>
    </row>
    <row r="794">
      <c r="A794" s="1154"/>
      <c r="B794" s="1154"/>
      <c r="C794" s="1154"/>
      <c r="D794" s="1154"/>
      <c r="E794" s="1154"/>
      <c r="F794" s="1154"/>
      <c r="G794" s="1154"/>
      <c r="H794" s="1154"/>
      <c r="I794" s="1154"/>
      <c r="J794" s="1154"/>
      <c r="K794" s="1154"/>
      <c r="L794" s="1154"/>
      <c r="M794" s="1154"/>
      <c r="N794" s="1154"/>
      <c r="O794" s="1154"/>
      <c r="P794" s="1154"/>
      <c r="Q794" s="1154"/>
      <c r="R794" s="1154"/>
      <c r="S794" s="1154"/>
      <c r="T794" s="1154"/>
      <c r="U794" s="1154"/>
      <c r="V794" s="1154"/>
      <c r="W794" s="1154"/>
      <c r="X794" s="1154"/>
      <c r="Y794" s="1154"/>
      <c r="Z794" s="1154"/>
    </row>
    <row r="795">
      <c r="A795" s="1154"/>
      <c r="B795" s="1154"/>
      <c r="C795" s="1154"/>
      <c r="D795" s="1154"/>
      <c r="E795" s="1154"/>
      <c r="F795" s="1154"/>
      <c r="G795" s="1154"/>
      <c r="H795" s="1154"/>
      <c r="I795" s="1154"/>
      <c r="J795" s="1154"/>
      <c r="K795" s="1154"/>
      <c r="L795" s="1154"/>
      <c r="M795" s="1154"/>
      <c r="N795" s="1154"/>
      <c r="O795" s="1154"/>
      <c r="P795" s="1154"/>
      <c r="Q795" s="1154"/>
      <c r="R795" s="1154"/>
      <c r="S795" s="1154"/>
      <c r="T795" s="1154"/>
      <c r="U795" s="1154"/>
      <c r="V795" s="1154"/>
      <c r="W795" s="1154"/>
      <c r="X795" s="1154"/>
      <c r="Y795" s="1154"/>
      <c r="Z795" s="1154"/>
    </row>
    <row r="796">
      <c r="A796" s="1154"/>
      <c r="B796" s="1154"/>
      <c r="C796" s="1154"/>
      <c r="D796" s="1154"/>
      <c r="E796" s="1154"/>
      <c r="F796" s="1154"/>
      <c r="G796" s="1154"/>
      <c r="H796" s="1154"/>
      <c r="I796" s="1154"/>
      <c r="J796" s="1154"/>
      <c r="K796" s="1154"/>
      <c r="L796" s="1154"/>
      <c r="M796" s="1154"/>
      <c r="N796" s="1154"/>
      <c r="O796" s="1154"/>
      <c r="P796" s="1154"/>
      <c r="Q796" s="1154"/>
      <c r="R796" s="1154"/>
      <c r="S796" s="1154"/>
      <c r="T796" s="1154"/>
      <c r="U796" s="1154"/>
      <c r="V796" s="1154"/>
      <c r="W796" s="1154"/>
      <c r="X796" s="1154"/>
      <c r="Y796" s="1154"/>
      <c r="Z796" s="1154"/>
    </row>
    <row r="797">
      <c r="A797" s="1154"/>
      <c r="B797" s="1154"/>
      <c r="C797" s="1154"/>
      <c r="D797" s="1154"/>
      <c r="E797" s="1154"/>
      <c r="F797" s="1154"/>
      <c r="G797" s="1154"/>
      <c r="H797" s="1154"/>
      <c r="I797" s="1154"/>
      <c r="J797" s="1154"/>
      <c r="K797" s="1154"/>
      <c r="L797" s="1154"/>
      <c r="M797" s="1154"/>
      <c r="N797" s="1154"/>
      <c r="O797" s="1154"/>
      <c r="P797" s="1154"/>
      <c r="Q797" s="1154"/>
      <c r="R797" s="1154"/>
      <c r="S797" s="1154"/>
      <c r="T797" s="1154"/>
      <c r="U797" s="1154"/>
      <c r="V797" s="1154"/>
      <c r="W797" s="1154"/>
      <c r="X797" s="1154"/>
      <c r="Y797" s="1154"/>
      <c r="Z797" s="1154"/>
    </row>
    <row r="798">
      <c r="A798" s="1154"/>
      <c r="B798" s="1154"/>
      <c r="C798" s="1154"/>
      <c r="D798" s="1154"/>
      <c r="E798" s="1154"/>
      <c r="F798" s="1154"/>
      <c r="G798" s="1154"/>
      <c r="H798" s="1154"/>
      <c r="I798" s="1154"/>
      <c r="J798" s="1154"/>
      <c r="K798" s="1154"/>
      <c r="L798" s="1154"/>
      <c r="M798" s="1154"/>
      <c r="N798" s="1154"/>
      <c r="O798" s="1154"/>
      <c r="P798" s="1154"/>
      <c r="Q798" s="1154"/>
      <c r="R798" s="1154"/>
      <c r="S798" s="1154"/>
      <c r="T798" s="1154"/>
      <c r="U798" s="1154"/>
      <c r="V798" s="1154"/>
      <c r="W798" s="1154"/>
      <c r="X798" s="1154"/>
      <c r="Y798" s="1154"/>
      <c r="Z798" s="1154"/>
    </row>
    <row r="799">
      <c r="A799" s="1154"/>
      <c r="B799" s="1154"/>
      <c r="C799" s="1154"/>
      <c r="D799" s="1154"/>
      <c r="E799" s="1154"/>
      <c r="F799" s="1154"/>
      <c r="G799" s="1154"/>
      <c r="H799" s="1154"/>
      <c r="I799" s="1154"/>
      <c r="J799" s="1154"/>
      <c r="K799" s="1154"/>
      <c r="L799" s="1154"/>
      <c r="M799" s="1154"/>
      <c r="N799" s="1154"/>
      <c r="O799" s="1154"/>
      <c r="P799" s="1154"/>
      <c r="Q799" s="1154"/>
      <c r="R799" s="1154"/>
      <c r="S799" s="1154"/>
      <c r="T799" s="1154"/>
      <c r="U799" s="1154"/>
      <c r="V799" s="1154"/>
      <c r="W799" s="1154"/>
      <c r="X799" s="1154"/>
      <c r="Y799" s="1154"/>
      <c r="Z799" s="1154"/>
    </row>
    <row r="800">
      <c r="A800" s="1154"/>
      <c r="B800" s="1154"/>
      <c r="C800" s="1154"/>
      <c r="D800" s="1154"/>
      <c r="E800" s="1154"/>
      <c r="F800" s="1154"/>
      <c r="G800" s="1154"/>
      <c r="H800" s="1154"/>
      <c r="I800" s="1154"/>
      <c r="J800" s="1154"/>
      <c r="K800" s="1154"/>
      <c r="L800" s="1154"/>
      <c r="M800" s="1154"/>
      <c r="N800" s="1154"/>
      <c r="O800" s="1154"/>
      <c r="P800" s="1154"/>
      <c r="Q800" s="1154"/>
      <c r="R800" s="1154"/>
      <c r="S800" s="1154"/>
      <c r="T800" s="1154"/>
      <c r="U800" s="1154"/>
      <c r="V800" s="1154"/>
      <c r="W800" s="1154"/>
      <c r="X800" s="1154"/>
      <c r="Y800" s="1154"/>
      <c r="Z800" s="1154"/>
    </row>
    <row r="801">
      <c r="A801" s="1154"/>
      <c r="B801" s="1154"/>
      <c r="C801" s="1154"/>
      <c r="D801" s="1154"/>
      <c r="E801" s="1154"/>
      <c r="F801" s="1154"/>
      <c r="G801" s="1154"/>
      <c r="H801" s="1154"/>
      <c r="I801" s="1154"/>
      <c r="J801" s="1154"/>
      <c r="K801" s="1154"/>
      <c r="L801" s="1154"/>
      <c r="M801" s="1154"/>
      <c r="N801" s="1154"/>
      <c r="O801" s="1154"/>
      <c r="P801" s="1154"/>
      <c r="Q801" s="1154"/>
      <c r="R801" s="1154"/>
      <c r="S801" s="1154"/>
      <c r="T801" s="1154"/>
      <c r="U801" s="1154"/>
      <c r="V801" s="1154"/>
      <c r="W801" s="1154"/>
      <c r="X801" s="1154"/>
      <c r="Y801" s="1154"/>
      <c r="Z801" s="1154"/>
    </row>
    <row r="802">
      <c r="A802" s="1154"/>
      <c r="B802" s="1154"/>
      <c r="C802" s="1154"/>
      <c r="D802" s="1154"/>
      <c r="E802" s="1154"/>
      <c r="F802" s="1154"/>
      <c r="G802" s="1154"/>
      <c r="H802" s="1154"/>
      <c r="I802" s="1154"/>
      <c r="J802" s="1154"/>
      <c r="K802" s="1154"/>
      <c r="L802" s="1154"/>
      <c r="M802" s="1154"/>
      <c r="N802" s="1154"/>
      <c r="O802" s="1154"/>
      <c r="P802" s="1154"/>
      <c r="Q802" s="1154"/>
      <c r="R802" s="1154"/>
      <c r="S802" s="1154"/>
      <c r="T802" s="1154"/>
      <c r="U802" s="1154"/>
      <c r="V802" s="1154"/>
      <c r="W802" s="1154"/>
      <c r="X802" s="1154"/>
      <c r="Y802" s="1154"/>
      <c r="Z802" s="1154"/>
    </row>
    <row r="803">
      <c r="A803" s="1154"/>
      <c r="B803" s="1154"/>
      <c r="C803" s="1154"/>
      <c r="D803" s="1154"/>
      <c r="E803" s="1154"/>
      <c r="F803" s="1154"/>
      <c r="G803" s="1154"/>
      <c r="H803" s="1154"/>
      <c r="I803" s="1154"/>
      <c r="J803" s="1154"/>
      <c r="K803" s="1154"/>
      <c r="L803" s="1154"/>
      <c r="M803" s="1154"/>
      <c r="N803" s="1154"/>
      <c r="O803" s="1154"/>
      <c r="P803" s="1154"/>
      <c r="Q803" s="1154"/>
      <c r="R803" s="1154"/>
      <c r="S803" s="1154"/>
      <c r="T803" s="1154"/>
      <c r="U803" s="1154"/>
      <c r="V803" s="1154"/>
      <c r="W803" s="1154"/>
      <c r="X803" s="1154"/>
      <c r="Y803" s="1154"/>
      <c r="Z803" s="1154"/>
    </row>
    <row r="804">
      <c r="A804" s="1154"/>
      <c r="B804" s="1154"/>
      <c r="C804" s="1154"/>
      <c r="D804" s="1154"/>
      <c r="E804" s="1154"/>
      <c r="F804" s="1154"/>
      <c r="G804" s="1154"/>
      <c r="H804" s="1154"/>
      <c r="I804" s="1154"/>
      <c r="J804" s="1154"/>
      <c r="K804" s="1154"/>
      <c r="L804" s="1154"/>
      <c r="M804" s="1154"/>
      <c r="N804" s="1154"/>
      <c r="O804" s="1154"/>
      <c r="P804" s="1154"/>
      <c r="Q804" s="1154"/>
      <c r="R804" s="1154"/>
      <c r="S804" s="1154"/>
      <c r="T804" s="1154"/>
      <c r="U804" s="1154"/>
      <c r="V804" s="1154"/>
      <c r="W804" s="1154"/>
      <c r="X804" s="1154"/>
      <c r="Y804" s="1154"/>
      <c r="Z804" s="1154"/>
    </row>
    <row r="805">
      <c r="A805" s="1154"/>
      <c r="B805" s="1154"/>
      <c r="C805" s="1154"/>
      <c r="D805" s="1154"/>
      <c r="E805" s="1154"/>
      <c r="F805" s="1154"/>
      <c r="G805" s="1154"/>
      <c r="H805" s="1154"/>
      <c r="I805" s="1154"/>
      <c r="J805" s="1154"/>
      <c r="K805" s="1154"/>
      <c r="L805" s="1154"/>
      <c r="M805" s="1154"/>
      <c r="N805" s="1154"/>
      <c r="O805" s="1154"/>
      <c r="P805" s="1154"/>
      <c r="Q805" s="1154"/>
      <c r="R805" s="1154"/>
      <c r="S805" s="1154"/>
      <c r="T805" s="1154"/>
      <c r="U805" s="1154"/>
      <c r="V805" s="1154"/>
      <c r="W805" s="1154"/>
      <c r="X805" s="1154"/>
      <c r="Y805" s="1154"/>
      <c r="Z805" s="1154"/>
    </row>
    <row r="806">
      <c r="A806" s="1154"/>
      <c r="B806" s="1154"/>
      <c r="C806" s="1154"/>
      <c r="D806" s="1154"/>
      <c r="E806" s="1154"/>
      <c r="F806" s="1154"/>
      <c r="G806" s="1154"/>
      <c r="H806" s="1154"/>
      <c r="I806" s="1154"/>
      <c r="J806" s="1154"/>
      <c r="K806" s="1154"/>
      <c r="L806" s="1154"/>
      <c r="M806" s="1154"/>
      <c r="N806" s="1154"/>
      <c r="O806" s="1154"/>
      <c r="P806" s="1154"/>
      <c r="Q806" s="1154"/>
      <c r="R806" s="1154"/>
      <c r="S806" s="1154"/>
      <c r="T806" s="1154"/>
      <c r="U806" s="1154"/>
      <c r="V806" s="1154"/>
      <c r="W806" s="1154"/>
      <c r="X806" s="1154"/>
      <c r="Y806" s="1154"/>
      <c r="Z806" s="1154"/>
    </row>
    <row r="807">
      <c r="A807" s="1154"/>
      <c r="B807" s="1154"/>
      <c r="C807" s="1154"/>
      <c r="D807" s="1154"/>
      <c r="E807" s="1154"/>
      <c r="F807" s="1154"/>
      <c r="G807" s="1154"/>
      <c r="H807" s="1154"/>
      <c r="I807" s="1154"/>
      <c r="J807" s="1154"/>
      <c r="K807" s="1154"/>
      <c r="L807" s="1154"/>
      <c r="M807" s="1154"/>
      <c r="N807" s="1154"/>
      <c r="O807" s="1154"/>
      <c r="P807" s="1154"/>
      <c r="Q807" s="1154"/>
      <c r="R807" s="1154"/>
      <c r="S807" s="1154"/>
      <c r="T807" s="1154"/>
      <c r="U807" s="1154"/>
      <c r="V807" s="1154"/>
      <c r="W807" s="1154"/>
      <c r="X807" s="1154"/>
      <c r="Y807" s="1154"/>
      <c r="Z807" s="1154"/>
    </row>
    <row r="808">
      <c r="A808" s="1154"/>
      <c r="B808" s="1154"/>
      <c r="C808" s="1154"/>
      <c r="D808" s="1154"/>
      <c r="E808" s="1154"/>
      <c r="F808" s="1154"/>
      <c r="G808" s="1154"/>
      <c r="H808" s="1154"/>
      <c r="I808" s="1154"/>
      <c r="J808" s="1154"/>
      <c r="K808" s="1154"/>
      <c r="L808" s="1154"/>
      <c r="M808" s="1154"/>
      <c r="N808" s="1154"/>
      <c r="O808" s="1154"/>
      <c r="P808" s="1154"/>
      <c r="Q808" s="1154"/>
      <c r="R808" s="1154"/>
      <c r="S808" s="1154"/>
      <c r="T808" s="1154"/>
      <c r="U808" s="1154"/>
      <c r="V808" s="1154"/>
      <c r="W808" s="1154"/>
      <c r="X808" s="1154"/>
      <c r="Y808" s="1154"/>
      <c r="Z808" s="1154"/>
    </row>
    <row r="809">
      <c r="A809" s="1154"/>
      <c r="B809" s="1154"/>
      <c r="C809" s="1154"/>
      <c r="D809" s="1154"/>
      <c r="E809" s="1154"/>
      <c r="F809" s="1154"/>
      <c r="G809" s="1154"/>
      <c r="H809" s="1154"/>
      <c r="I809" s="1154"/>
      <c r="J809" s="1154"/>
      <c r="K809" s="1154"/>
      <c r="L809" s="1154"/>
      <c r="M809" s="1154"/>
      <c r="N809" s="1154"/>
      <c r="O809" s="1154"/>
      <c r="P809" s="1154"/>
      <c r="Q809" s="1154"/>
      <c r="R809" s="1154"/>
      <c r="S809" s="1154"/>
      <c r="T809" s="1154"/>
      <c r="U809" s="1154"/>
      <c r="V809" s="1154"/>
      <c r="W809" s="1154"/>
      <c r="X809" s="1154"/>
      <c r="Y809" s="1154"/>
      <c r="Z809" s="1154"/>
    </row>
    <row r="810">
      <c r="A810" s="1154"/>
      <c r="B810" s="1154"/>
      <c r="C810" s="1154"/>
      <c r="D810" s="1154"/>
      <c r="E810" s="1154"/>
      <c r="F810" s="1154"/>
      <c r="G810" s="1154"/>
      <c r="H810" s="1154"/>
      <c r="I810" s="1154"/>
      <c r="J810" s="1154"/>
      <c r="K810" s="1154"/>
      <c r="L810" s="1154"/>
      <c r="M810" s="1154"/>
      <c r="N810" s="1154"/>
      <c r="O810" s="1154"/>
      <c r="P810" s="1154"/>
      <c r="Q810" s="1154"/>
      <c r="R810" s="1154"/>
      <c r="S810" s="1154"/>
      <c r="T810" s="1154"/>
      <c r="U810" s="1154"/>
      <c r="V810" s="1154"/>
      <c r="W810" s="1154"/>
      <c r="X810" s="1154"/>
      <c r="Y810" s="1154"/>
      <c r="Z810" s="1154"/>
    </row>
    <row r="811">
      <c r="A811" s="1154"/>
      <c r="B811" s="1154"/>
      <c r="C811" s="1154"/>
      <c r="D811" s="1154"/>
      <c r="E811" s="1154"/>
      <c r="F811" s="1154"/>
      <c r="G811" s="1154"/>
      <c r="H811" s="1154"/>
      <c r="I811" s="1154"/>
      <c r="J811" s="1154"/>
      <c r="K811" s="1154"/>
      <c r="L811" s="1154"/>
      <c r="M811" s="1154"/>
      <c r="N811" s="1154"/>
      <c r="O811" s="1154"/>
      <c r="P811" s="1154"/>
      <c r="Q811" s="1154"/>
      <c r="R811" s="1154"/>
      <c r="S811" s="1154"/>
      <c r="T811" s="1154"/>
      <c r="U811" s="1154"/>
      <c r="V811" s="1154"/>
      <c r="W811" s="1154"/>
      <c r="X811" s="1154"/>
      <c r="Y811" s="1154"/>
      <c r="Z811" s="1154"/>
    </row>
    <row r="812">
      <c r="A812" s="1154"/>
      <c r="B812" s="1154"/>
      <c r="C812" s="1154"/>
      <c r="D812" s="1154"/>
      <c r="E812" s="1154"/>
      <c r="F812" s="1154"/>
      <c r="G812" s="1154"/>
      <c r="H812" s="1154"/>
      <c r="I812" s="1154"/>
      <c r="J812" s="1154"/>
      <c r="K812" s="1154"/>
      <c r="L812" s="1154"/>
      <c r="M812" s="1154"/>
      <c r="N812" s="1154"/>
      <c r="O812" s="1154"/>
      <c r="P812" s="1154"/>
      <c r="Q812" s="1154"/>
      <c r="R812" s="1154"/>
      <c r="S812" s="1154"/>
      <c r="T812" s="1154"/>
      <c r="U812" s="1154"/>
      <c r="V812" s="1154"/>
      <c r="W812" s="1154"/>
      <c r="X812" s="1154"/>
      <c r="Y812" s="1154"/>
      <c r="Z812" s="1154"/>
    </row>
    <row r="813">
      <c r="A813" s="1154"/>
      <c r="B813" s="1154"/>
      <c r="C813" s="1154"/>
      <c r="D813" s="1154"/>
      <c r="E813" s="1154"/>
      <c r="F813" s="1154"/>
      <c r="G813" s="1154"/>
      <c r="H813" s="1154"/>
      <c r="I813" s="1154"/>
      <c r="J813" s="1154"/>
      <c r="K813" s="1154"/>
      <c r="L813" s="1154"/>
      <c r="M813" s="1154"/>
      <c r="N813" s="1154"/>
      <c r="O813" s="1154"/>
      <c r="P813" s="1154"/>
      <c r="Q813" s="1154"/>
      <c r="R813" s="1154"/>
      <c r="S813" s="1154"/>
      <c r="T813" s="1154"/>
      <c r="U813" s="1154"/>
      <c r="V813" s="1154"/>
      <c r="W813" s="1154"/>
      <c r="X813" s="1154"/>
      <c r="Y813" s="1154"/>
      <c r="Z813" s="1154"/>
    </row>
    <row r="814">
      <c r="A814" s="1154"/>
      <c r="B814" s="1154"/>
      <c r="C814" s="1154"/>
      <c r="D814" s="1154"/>
      <c r="E814" s="1154"/>
      <c r="F814" s="1154"/>
      <c r="G814" s="1154"/>
      <c r="H814" s="1154"/>
      <c r="I814" s="1154"/>
      <c r="J814" s="1154"/>
      <c r="K814" s="1154"/>
      <c r="L814" s="1154"/>
      <c r="M814" s="1154"/>
      <c r="N814" s="1154"/>
      <c r="O814" s="1154"/>
      <c r="P814" s="1154"/>
      <c r="Q814" s="1154"/>
      <c r="R814" s="1154"/>
      <c r="S814" s="1154"/>
      <c r="T814" s="1154"/>
      <c r="U814" s="1154"/>
      <c r="V814" s="1154"/>
      <c r="W814" s="1154"/>
      <c r="X814" s="1154"/>
      <c r="Y814" s="1154"/>
      <c r="Z814" s="1154"/>
    </row>
    <row r="815">
      <c r="A815" s="1154"/>
      <c r="B815" s="1154"/>
      <c r="C815" s="1154"/>
      <c r="D815" s="1154"/>
      <c r="E815" s="1154"/>
      <c r="F815" s="1154"/>
      <c r="G815" s="1154"/>
      <c r="H815" s="1154"/>
      <c r="I815" s="1154"/>
      <c r="J815" s="1154"/>
      <c r="K815" s="1154"/>
      <c r="L815" s="1154"/>
      <c r="M815" s="1154"/>
      <c r="N815" s="1154"/>
      <c r="O815" s="1154"/>
      <c r="P815" s="1154"/>
      <c r="Q815" s="1154"/>
      <c r="R815" s="1154"/>
      <c r="S815" s="1154"/>
      <c r="T815" s="1154"/>
      <c r="U815" s="1154"/>
      <c r="V815" s="1154"/>
      <c r="W815" s="1154"/>
      <c r="X815" s="1154"/>
      <c r="Y815" s="1154"/>
      <c r="Z815" s="1154"/>
    </row>
    <row r="816">
      <c r="A816" s="1154"/>
      <c r="B816" s="1154"/>
      <c r="C816" s="1154"/>
      <c r="D816" s="1154"/>
      <c r="E816" s="1154"/>
      <c r="F816" s="1154"/>
      <c r="G816" s="1154"/>
      <c r="H816" s="1154"/>
      <c r="I816" s="1154"/>
      <c r="J816" s="1154"/>
      <c r="K816" s="1154"/>
      <c r="L816" s="1154"/>
      <c r="M816" s="1154"/>
      <c r="N816" s="1154"/>
      <c r="O816" s="1154"/>
      <c r="P816" s="1154"/>
      <c r="Q816" s="1154"/>
      <c r="R816" s="1154"/>
      <c r="S816" s="1154"/>
      <c r="T816" s="1154"/>
      <c r="U816" s="1154"/>
      <c r="V816" s="1154"/>
      <c r="W816" s="1154"/>
      <c r="X816" s="1154"/>
      <c r="Y816" s="1154"/>
      <c r="Z816" s="1154"/>
    </row>
    <row r="817">
      <c r="A817" s="1154"/>
      <c r="B817" s="1154"/>
      <c r="C817" s="1154"/>
      <c r="D817" s="1154"/>
      <c r="E817" s="1154"/>
      <c r="F817" s="1154"/>
      <c r="G817" s="1154"/>
      <c r="H817" s="1154"/>
      <c r="I817" s="1154"/>
      <c r="J817" s="1154"/>
      <c r="K817" s="1154"/>
      <c r="L817" s="1154"/>
      <c r="M817" s="1154"/>
      <c r="N817" s="1154"/>
      <c r="O817" s="1154"/>
      <c r="P817" s="1154"/>
      <c r="Q817" s="1154"/>
      <c r="R817" s="1154"/>
      <c r="S817" s="1154"/>
      <c r="T817" s="1154"/>
      <c r="U817" s="1154"/>
      <c r="V817" s="1154"/>
      <c r="W817" s="1154"/>
      <c r="X817" s="1154"/>
      <c r="Y817" s="1154"/>
      <c r="Z817" s="1154"/>
    </row>
    <row r="818">
      <c r="A818" s="1154"/>
      <c r="B818" s="1154"/>
      <c r="C818" s="1154"/>
      <c r="D818" s="1154"/>
      <c r="E818" s="1154"/>
      <c r="F818" s="1154"/>
      <c r="G818" s="1154"/>
      <c r="H818" s="1154"/>
      <c r="I818" s="1154"/>
      <c r="J818" s="1154"/>
      <c r="K818" s="1154"/>
      <c r="L818" s="1154"/>
      <c r="M818" s="1154"/>
      <c r="N818" s="1154"/>
      <c r="O818" s="1154"/>
      <c r="P818" s="1154"/>
      <c r="Q818" s="1154"/>
      <c r="R818" s="1154"/>
      <c r="S818" s="1154"/>
      <c r="T818" s="1154"/>
      <c r="U818" s="1154"/>
      <c r="V818" s="1154"/>
      <c r="W818" s="1154"/>
      <c r="X818" s="1154"/>
      <c r="Y818" s="1154"/>
      <c r="Z818" s="1154"/>
    </row>
    <row r="819">
      <c r="A819" s="1154"/>
      <c r="B819" s="1154"/>
      <c r="C819" s="1154"/>
      <c r="D819" s="1154"/>
      <c r="E819" s="1154"/>
      <c r="F819" s="1154"/>
      <c r="G819" s="1154"/>
      <c r="H819" s="1154"/>
      <c r="I819" s="1154"/>
      <c r="J819" s="1154"/>
      <c r="K819" s="1154"/>
      <c r="L819" s="1154"/>
      <c r="M819" s="1154"/>
      <c r="N819" s="1154"/>
      <c r="O819" s="1154"/>
      <c r="P819" s="1154"/>
      <c r="Q819" s="1154"/>
      <c r="R819" s="1154"/>
      <c r="S819" s="1154"/>
      <c r="T819" s="1154"/>
      <c r="U819" s="1154"/>
      <c r="V819" s="1154"/>
      <c r="W819" s="1154"/>
      <c r="X819" s="1154"/>
      <c r="Y819" s="1154"/>
      <c r="Z819" s="1154"/>
    </row>
    <row r="820">
      <c r="A820" s="1154"/>
      <c r="B820" s="1154"/>
      <c r="C820" s="1154"/>
      <c r="D820" s="1154"/>
      <c r="E820" s="1154"/>
      <c r="F820" s="1154"/>
      <c r="G820" s="1154"/>
      <c r="H820" s="1154"/>
      <c r="I820" s="1154"/>
      <c r="J820" s="1154"/>
      <c r="K820" s="1154"/>
      <c r="L820" s="1154"/>
      <c r="M820" s="1154"/>
      <c r="N820" s="1154"/>
      <c r="O820" s="1154"/>
      <c r="P820" s="1154"/>
      <c r="Q820" s="1154"/>
      <c r="R820" s="1154"/>
      <c r="S820" s="1154"/>
      <c r="T820" s="1154"/>
      <c r="U820" s="1154"/>
      <c r="V820" s="1154"/>
      <c r="W820" s="1154"/>
      <c r="X820" s="1154"/>
      <c r="Y820" s="1154"/>
      <c r="Z820" s="1154"/>
    </row>
    <row r="821">
      <c r="A821" s="1154"/>
      <c r="B821" s="1154"/>
      <c r="C821" s="1154"/>
      <c r="D821" s="1154"/>
      <c r="E821" s="1154"/>
      <c r="F821" s="1154"/>
      <c r="G821" s="1154"/>
      <c r="H821" s="1154"/>
      <c r="I821" s="1154"/>
      <c r="J821" s="1154"/>
      <c r="K821" s="1154"/>
      <c r="L821" s="1154"/>
      <c r="M821" s="1154"/>
      <c r="N821" s="1154"/>
      <c r="O821" s="1154"/>
      <c r="P821" s="1154"/>
      <c r="Q821" s="1154"/>
      <c r="R821" s="1154"/>
      <c r="S821" s="1154"/>
      <c r="T821" s="1154"/>
      <c r="U821" s="1154"/>
      <c r="V821" s="1154"/>
      <c r="W821" s="1154"/>
      <c r="X821" s="1154"/>
      <c r="Y821" s="1154"/>
      <c r="Z821" s="1154"/>
    </row>
    <row r="822">
      <c r="A822" s="1154"/>
      <c r="B822" s="1154"/>
      <c r="C822" s="1154"/>
      <c r="D822" s="1154"/>
      <c r="E822" s="1154"/>
      <c r="F822" s="1154"/>
      <c r="G822" s="1154"/>
      <c r="H822" s="1154"/>
      <c r="I822" s="1154"/>
      <c r="J822" s="1154"/>
      <c r="K822" s="1154"/>
      <c r="L822" s="1154"/>
      <c r="M822" s="1154"/>
      <c r="N822" s="1154"/>
      <c r="O822" s="1154"/>
      <c r="P822" s="1154"/>
      <c r="Q822" s="1154"/>
      <c r="R822" s="1154"/>
      <c r="S822" s="1154"/>
      <c r="T822" s="1154"/>
      <c r="U822" s="1154"/>
      <c r="V822" s="1154"/>
      <c r="W822" s="1154"/>
      <c r="X822" s="1154"/>
      <c r="Y822" s="1154"/>
      <c r="Z822" s="1154"/>
    </row>
    <row r="823">
      <c r="A823" s="1154"/>
      <c r="B823" s="1154"/>
      <c r="C823" s="1154"/>
      <c r="D823" s="1154"/>
      <c r="E823" s="1154"/>
      <c r="F823" s="1154"/>
      <c r="G823" s="1154"/>
      <c r="H823" s="1154"/>
      <c r="I823" s="1154"/>
      <c r="J823" s="1154"/>
      <c r="K823" s="1154"/>
      <c r="L823" s="1154"/>
      <c r="M823" s="1154"/>
      <c r="N823" s="1154"/>
      <c r="O823" s="1154"/>
      <c r="P823" s="1154"/>
      <c r="Q823" s="1154"/>
      <c r="R823" s="1154"/>
      <c r="S823" s="1154"/>
      <c r="T823" s="1154"/>
      <c r="U823" s="1154"/>
      <c r="V823" s="1154"/>
      <c r="W823" s="1154"/>
      <c r="X823" s="1154"/>
      <c r="Y823" s="1154"/>
      <c r="Z823" s="1154"/>
    </row>
    <row r="824">
      <c r="A824" s="1154"/>
      <c r="B824" s="1154"/>
      <c r="C824" s="1154"/>
      <c r="D824" s="1154"/>
      <c r="E824" s="1154"/>
      <c r="F824" s="1154"/>
      <c r="G824" s="1154"/>
      <c r="H824" s="1154"/>
      <c r="I824" s="1154"/>
      <c r="J824" s="1154"/>
      <c r="K824" s="1154"/>
      <c r="L824" s="1154"/>
      <c r="M824" s="1154"/>
      <c r="N824" s="1154"/>
      <c r="O824" s="1154"/>
      <c r="P824" s="1154"/>
      <c r="Q824" s="1154"/>
      <c r="R824" s="1154"/>
      <c r="S824" s="1154"/>
      <c r="T824" s="1154"/>
      <c r="U824" s="1154"/>
      <c r="V824" s="1154"/>
      <c r="W824" s="1154"/>
      <c r="X824" s="1154"/>
      <c r="Y824" s="1154"/>
      <c r="Z824" s="1154"/>
    </row>
    <row r="825">
      <c r="A825" s="1154"/>
      <c r="B825" s="1154"/>
      <c r="C825" s="1154"/>
      <c r="D825" s="1154"/>
      <c r="E825" s="1154"/>
      <c r="F825" s="1154"/>
      <c r="G825" s="1154"/>
      <c r="H825" s="1154"/>
      <c r="I825" s="1154"/>
      <c r="J825" s="1154"/>
      <c r="K825" s="1154"/>
      <c r="L825" s="1154"/>
      <c r="M825" s="1154"/>
      <c r="N825" s="1154"/>
      <c r="O825" s="1154"/>
      <c r="P825" s="1154"/>
      <c r="Q825" s="1154"/>
      <c r="R825" s="1154"/>
      <c r="S825" s="1154"/>
      <c r="T825" s="1154"/>
      <c r="U825" s="1154"/>
      <c r="V825" s="1154"/>
      <c r="W825" s="1154"/>
      <c r="X825" s="1154"/>
      <c r="Y825" s="1154"/>
      <c r="Z825" s="1154"/>
    </row>
    <row r="826">
      <c r="A826" s="1154"/>
      <c r="B826" s="1154"/>
      <c r="C826" s="1154"/>
      <c r="D826" s="1154"/>
      <c r="E826" s="1154"/>
      <c r="F826" s="1154"/>
      <c r="G826" s="1154"/>
      <c r="H826" s="1154"/>
      <c r="I826" s="1154"/>
      <c r="J826" s="1154"/>
      <c r="K826" s="1154"/>
      <c r="L826" s="1154"/>
      <c r="M826" s="1154"/>
      <c r="N826" s="1154"/>
      <c r="O826" s="1154"/>
      <c r="P826" s="1154"/>
      <c r="Q826" s="1154"/>
      <c r="R826" s="1154"/>
      <c r="S826" s="1154"/>
      <c r="T826" s="1154"/>
      <c r="U826" s="1154"/>
      <c r="V826" s="1154"/>
      <c r="W826" s="1154"/>
      <c r="X826" s="1154"/>
      <c r="Y826" s="1154"/>
      <c r="Z826" s="1154"/>
    </row>
    <row r="827">
      <c r="A827" s="1154"/>
      <c r="B827" s="1154"/>
      <c r="C827" s="1154"/>
      <c r="D827" s="1154"/>
      <c r="E827" s="1154"/>
      <c r="F827" s="1154"/>
      <c r="G827" s="1154"/>
      <c r="H827" s="1154"/>
      <c r="I827" s="1154"/>
      <c r="J827" s="1154"/>
      <c r="K827" s="1154"/>
      <c r="L827" s="1154"/>
      <c r="M827" s="1154"/>
      <c r="N827" s="1154"/>
      <c r="O827" s="1154"/>
      <c r="P827" s="1154"/>
      <c r="Q827" s="1154"/>
      <c r="R827" s="1154"/>
      <c r="S827" s="1154"/>
      <c r="T827" s="1154"/>
      <c r="U827" s="1154"/>
      <c r="V827" s="1154"/>
      <c r="W827" s="1154"/>
      <c r="X827" s="1154"/>
      <c r="Y827" s="1154"/>
      <c r="Z827" s="1154"/>
    </row>
    <row r="828">
      <c r="A828" s="1154"/>
      <c r="B828" s="1154"/>
      <c r="C828" s="1154"/>
      <c r="D828" s="1154"/>
      <c r="E828" s="1154"/>
      <c r="F828" s="1154"/>
      <c r="G828" s="1154"/>
      <c r="H828" s="1154"/>
      <c r="I828" s="1154"/>
      <c r="J828" s="1154"/>
      <c r="K828" s="1154"/>
      <c r="L828" s="1154"/>
      <c r="M828" s="1154"/>
      <c r="N828" s="1154"/>
      <c r="O828" s="1154"/>
      <c r="P828" s="1154"/>
      <c r="Q828" s="1154"/>
      <c r="R828" s="1154"/>
      <c r="S828" s="1154"/>
      <c r="T828" s="1154"/>
      <c r="U828" s="1154"/>
      <c r="V828" s="1154"/>
      <c r="W828" s="1154"/>
      <c r="X828" s="1154"/>
      <c r="Y828" s="1154"/>
      <c r="Z828" s="1154"/>
    </row>
    <row r="829">
      <c r="A829" s="1154"/>
      <c r="B829" s="1154"/>
      <c r="C829" s="1154"/>
      <c r="D829" s="1154"/>
      <c r="E829" s="1154"/>
      <c r="F829" s="1154"/>
      <c r="G829" s="1154"/>
      <c r="H829" s="1154"/>
      <c r="I829" s="1154"/>
      <c r="J829" s="1154"/>
      <c r="K829" s="1154"/>
      <c r="L829" s="1154"/>
      <c r="M829" s="1154"/>
      <c r="N829" s="1154"/>
      <c r="O829" s="1154"/>
      <c r="P829" s="1154"/>
      <c r="Q829" s="1154"/>
      <c r="R829" s="1154"/>
      <c r="S829" s="1154"/>
      <c r="T829" s="1154"/>
      <c r="U829" s="1154"/>
      <c r="V829" s="1154"/>
      <c r="W829" s="1154"/>
      <c r="X829" s="1154"/>
      <c r="Y829" s="1154"/>
      <c r="Z829" s="1154"/>
    </row>
    <row r="830">
      <c r="A830" s="1154"/>
      <c r="B830" s="1154"/>
      <c r="C830" s="1154"/>
      <c r="D830" s="1154"/>
      <c r="E830" s="1154"/>
      <c r="F830" s="1154"/>
      <c r="G830" s="1154"/>
      <c r="H830" s="1154"/>
      <c r="I830" s="1154"/>
      <c r="J830" s="1154"/>
      <c r="K830" s="1154"/>
      <c r="L830" s="1154"/>
      <c r="M830" s="1154"/>
      <c r="N830" s="1154"/>
      <c r="O830" s="1154"/>
      <c r="P830" s="1154"/>
      <c r="Q830" s="1154"/>
      <c r="R830" s="1154"/>
      <c r="S830" s="1154"/>
      <c r="T830" s="1154"/>
      <c r="U830" s="1154"/>
      <c r="V830" s="1154"/>
      <c r="W830" s="1154"/>
      <c r="X830" s="1154"/>
      <c r="Y830" s="1154"/>
      <c r="Z830" s="1154"/>
    </row>
    <row r="831">
      <c r="A831" s="1154"/>
      <c r="B831" s="1154"/>
      <c r="C831" s="1154"/>
      <c r="D831" s="1154"/>
      <c r="E831" s="1154"/>
      <c r="F831" s="1154"/>
      <c r="G831" s="1154"/>
      <c r="H831" s="1154"/>
      <c r="I831" s="1154"/>
      <c r="J831" s="1154"/>
      <c r="K831" s="1154"/>
      <c r="L831" s="1154"/>
      <c r="M831" s="1154"/>
      <c r="N831" s="1154"/>
      <c r="O831" s="1154"/>
      <c r="P831" s="1154"/>
      <c r="Q831" s="1154"/>
      <c r="R831" s="1154"/>
      <c r="S831" s="1154"/>
      <c r="T831" s="1154"/>
      <c r="U831" s="1154"/>
      <c r="V831" s="1154"/>
      <c r="W831" s="1154"/>
      <c r="X831" s="1154"/>
      <c r="Y831" s="1154"/>
      <c r="Z831" s="1154"/>
    </row>
    <row r="832">
      <c r="A832" s="1154"/>
      <c r="B832" s="1154"/>
      <c r="C832" s="1154"/>
      <c r="D832" s="1154"/>
      <c r="E832" s="1154"/>
      <c r="F832" s="1154"/>
      <c r="G832" s="1154"/>
      <c r="H832" s="1154"/>
      <c r="I832" s="1154"/>
      <c r="J832" s="1154"/>
      <c r="K832" s="1154"/>
      <c r="L832" s="1154"/>
      <c r="M832" s="1154"/>
      <c r="N832" s="1154"/>
      <c r="O832" s="1154"/>
      <c r="P832" s="1154"/>
      <c r="Q832" s="1154"/>
      <c r="R832" s="1154"/>
      <c r="S832" s="1154"/>
      <c r="T832" s="1154"/>
      <c r="U832" s="1154"/>
      <c r="V832" s="1154"/>
      <c r="W832" s="1154"/>
      <c r="X832" s="1154"/>
      <c r="Y832" s="1154"/>
      <c r="Z832" s="1154"/>
    </row>
    <row r="833">
      <c r="A833" s="1154"/>
      <c r="B833" s="1154"/>
      <c r="C833" s="1154"/>
      <c r="D833" s="1154"/>
      <c r="E833" s="1154"/>
      <c r="F833" s="1154"/>
      <c r="G833" s="1154"/>
      <c r="H833" s="1154"/>
      <c r="I833" s="1154"/>
      <c r="J833" s="1154"/>
      <c r="K833" s="1154"/>
      <c r="L833" s="1154"/>
      <c r="M833" s="1154"/>
      <c r="N833" s="1154"/>
      <c r="O833" s="1154"/>
      <c r="P833" s="1154"/>
      <c r="Q833" s="1154"/>
      <c r="R833" s="1154"/>
      <c r="S833" s="1154"/>
      <c r="T833" s="1154"/>
      <c r="U833" s="1154"/>
      <c r="V833" s="1154"/>
      <c r="W833" s="1154"/>
      <c r="X833" s="1154"/>
      <c r="Y833" s="1154"/>
      <c r="Z833" s="1154"/>
    </row>
    <row r="834">
      <c r="A834" s="1154"/>
      <c r="B834" s="1154"/>
      <c r="C834" s="1154"/>
      <c r="D834" s="1154"/>
      <c r="E834" s="1154"/>
      <c r="F834" s="1154"/>
      <c r="G834" s="1154"/>
      <c r="H834" s="1154"/>
      <c r="I834" s="1154"/>
      <c r="J834" s="1154"/>
      <c r="K834" s="1154"/>
      <c r="L834" s="1154"/>
      <c r="M834" s="1154"/>
      <c r="N834" s="1154"/>
      <c r="O834" s="1154"/>
      <c r="P834" s="1154"/>
      <c r="Q834" s="1154"/>
      <c r="R834" s="1154"/>
      <c r="S834" s="1154"/>
      <c r="T834" s="1154"/>
      <c r="U834" s="1154"/>
      <c r="V834" s="1154"/>
      <c r="W834" s="1154"/>
      <c r="X834" s="1154"/>
      <c r="Y834" s="1154"/>
      <c r="Z834" s="1154"/>
    </row>
    <row r="835">
      <c r="A835" s="1154"/>
      <c r="B835" s="1154"/>
      <c r="C835" s="1154"/>
      <c r="D835" s="1154"/>
      <c r="E835" s="1154"/>
      <c r="F835" s="1154"/>
      <c r="G835" s="1154"/>
      <c r="H835" s="1154"/>
      <c r="I835" s="1154"/>
      <c r="J835" s="1154"/>
      <c r="K835" s="1154"/>
      <c r="L835" s="1154"/>
      <c r="M835" s="1154"/>
      <c r="N835" s="1154"/>
      <c r="O835" s="1154"/>
      <c r="P835" s="1154"/>
      <c r="Q835" s="1154"/>
      <c r="R835" s="1154"/>
      <c r="S835" s="1154"/>
      <c r="T835" s="1154"/>
      <c r="U835" s="1154"/>
      <c r="V835" s="1154"/>
      <c r="W835" s="1154"/>
      <c r="X835" s="1154"/>
      <c r="Y835" s="1154"/>
      <c r="Z835" s="1154"/>
    </row>
    <row r="836">
      <c r="A836" s="1154"/>
      <c r="B836" s="1154"/>
      <c r="C836" s="1154"/>
      <c r="D836" s="1154"/>
      <c r="E836" s="1154"/>
      <c r="F836" s="1154"/>
      <c r="G836" s="1154"/>
      <c r="H836" s="1154"/>
      <c r="I836" s="1154"/>
      <c r="J836" s="1154"/>
      <c r="K836" s="1154"/>
      <c r="L836" s="1154"/>
      <c r="M836" s="1154"/>
      <c r="N836" s="1154"/>
      <c r="O836" s="1154"/>
      <c r="P836" s="1154"/>
      <c r="Q836" s="1154"/>
      <c r="R836" s="1154"/>
      <c r="S836" s="1154"/>
      <c r="T836" s="1154"/>
      <c r="U836" s="1154"/>
      <c r="V836" s="1154"/>
      <c r="W836" s="1154"/>
      <c r="X836" s="1154"/>
      <c r="Y836" s="1154"/>
      <c r="Z836" s="1154"/>
    </row>
    <row r="837">
      <c r="A837" s="1154"/>
      <c r="B837" s="1154"/>
      <c r="C837" s="1154"/>
      <c r="D837" s="1154"/>
      <c r="E837" s="1154"/>
      <c r="F837" s="1154"/>
      <c r="G837" s="1154"/>
      <c r="H837" s="1154"/>
      <c r="I837" s="1154"/>
      <c r="J837" s="1154"/>
      <c r="K837" s="1154"/>
      <c r="L837" s="1154"/>
      <c r="M837" s="1154"/>
      <c r="N837" s="1154"/>
      <c r="O837" s="1154"/>
      <c r="P837" s="1154"/>
      <c r="Q837" s="1154"/>
      <c r="R837" s="1154"/>
      <c r="S837" s="1154"/>
      <c r="T837" s="1154"/>
      <c r="U837" s="1154"/>
      <c r="V837" s="1154"/>
      <c r="W837" s="1154"/>
      <c r="X837" s="1154"/>
      <c r="Y837" s="1154"/>
      <c r="Z837" s="1154"/>
    </row>
    <row r="838">
      <c r="A838" s="1154"/>
      <c r="B838" s="1154"/>
      <c r="C838" s="1154"/>
      <c r="D838" s="1154"/>
      <c r="E838" s="1154"/>
      <c r="F838" s="1154"/>
      <c r="G838" s="1154"/>
      <c r="H838" s="1154"/>
      <c r="I838" s="1154"/>
      <c r="J838" s="1154"/>
      <c r="K838" s="1154"/>
      <c r="L838" s="1154"/>
      <c r="M838" s="1154"/>
      <c r="N838" s="1154"/>
      <c r="O838" s="1154"/>
      <c r="P838" s="1154"/>
      <c r="Q838" s="1154"/>
      <c r="R838" s="1154"/>
      <c r="S838" s="1154"/>
      <c r="T838" s="1154"/>
      <c r="U838" s="1154"/>
      <c r="V838" s="1154"/>
      <c r="W838" s="1154"/>
      <c r="X838" s="1154"/>
      <c r="Y838" s="1154"/>
      <c r="Z838" s="1154"/>
    </row>
    <row r="839">
      <c r="A839" s="1154"/>
      <c r="B839" s="1154"/>
      <c r="C839" s="1154"/>
      <c r="D839" s="1154"/>
      <c r="E839" s="1154"/>
      <c r="F839" s="1154"/>
      <c r="G839" s="1154"/>
      <c r="H839" s="1154"/>
      <c r="I839" s="1154"/>
      <c r="J839" s="1154"/>
      <c r="K839" s="1154"/>
      <c r="L839" s="1154"/>
      <c r="M839" s="1154"/>
      <c r="N839" s="1154"/>
      <c r="O839" s="1154"/>
      <c r="P839" s="1154"/>
      <c r="Q839" s="1154"/>
      <c r="R839" s="1154"/>
      <c r="S839" s="1154"/>
      <c r="T839" s="1154"/>
      <c r="U839" s="1154"/>
      <c r="V839" s="1154"/>
      <c r="W839" s="1154"/>
      <c r="X839" s="1154"/>
      <c r="Y839" s="1154"/>
      <c r="Z839" s="1154"/>
    </row>
    <row r="840">
      <c r="A840" s="1154"/>
      <c r="B840" s="1154"/>
      <c r="C840" s="1154"/>
      <c r="D840" s="1154"/>
      <c r="E840" s="1154"/>
      <c r="F840" s="1154"/>
      <c r="G840" s="1154"/>
      <c r="H840" s="1154"/>
      <c r="I840" s="1154"/>
      <c r="J840" s="1154"/>
      <c r="K840" s="1154"/>
      <c r="L840" s="1154"/>
      <c r="M840" s="1154"/>
      <c r="N840" s="1154"/>
      <c r="O840" s="1154"/>
      <c r="P840" s="1154"/>
      <c r="Q840" s="1154"/>
      <c r="R840" s="1154"/>
      <c r="S840" s="1154"/>
      <c r="T840" s="1154"/>
      <c r="U840" s="1154"/>
      <c r="V840" s="1154"/>
      <c r="W840" s="1154"/>
      <c r="X840" s="1154"/>
      <c r="Y840" s="1154"/>
      <c r="Z840" s="1154"/>
    </row>
    <row r="841">
      <c r="A841" s="1154"/>
      <c r="B841" s="1154"/>
      <c r="C841" s="1154"/>
      <c r="D841" s="1154"/>
      <c r="E841" s="1154"/>
      <c r="F841" s="1154"/>
      <c r="G841" s="1154"/>
      <c r="H841" s="1154"/>
      <c r="I841" s="1154"/>
      <c r="J841" s="1154"/>
      <c r="K841" s="1154"/>
      <c r="L841" s="1154"/>
      <c r="M841" s="1154"/>
      <c r="N841" s="1154"/>
      <c r="O841" s="1154"/>
      <c r="P841" s="1154"/>
      <c r="Q841" s="1154"/>
      <c r="R841" s="1154"/>
      <c r="S841" s="1154"/>
      <c r="T841" s="1154"/>
      <c r="U841" s="1154"/>
      <c r="V841" s="1154"/>
      <c r="W841" s="1154"/>
      <c r="X841" s="1154"/>
      <c r="Y841" s="1154"/>
      <c r="Z841" s="1154"/>
    </row>
    <row r="842">
      <c r="A842" s="1154"/>
      <c r="B842" s="1154"/>
      <c r="C842" s="1154"/>
      <c r="D842" s="1154"/>
      <c r="E842" s="1154"/>
      <c r="F842" s="1154"/>
      <c r="G842" s="1154"/>
      <c r="H842" s="1154"/>
      <c r="I842" s="1154"/>
      <c r="J842" s="1154"/>
      <c r="K842" s="1154"/>
      <c r="L842" s="1154"/>
      <c r="M842" s="1154"/>
      <c r="N842" s="1154"/>
      <c r="O842" s="1154"/>
      <c r="P842" s="1154"/>
      <c r="Q842" s="1154"/>
      <c r="R842" s="1154"/>
      <c r="S842" s="1154"/>
      <c r="T842" s="1154"/>
      <c r="U842" s="1154"/>
      <c r="V842" s="1154"/>
      <c r="W842" s="1154"/>
      <c r="X842" s="1154"/>
      <c r="Y842" s="1154"/>
      <c r="Z842" s="1154"/>
    </row>
    <row r="843">
      <c r="A843" s="1154"/>
      <c r="B843" s="1154"/>
      <c r="C843" s="1154"/>
      <c r="D843" s="1154"/>
      <c r="E843" s="1154"/>
      <c r="F843" s="1154"/>
      <c r="G843" s="1154"/>
      <c r="H843" s="1154"/>
      <c r="I843" s="1154"/>
      <c r="J843" s="1154"/>
      <c r="K843" s="1154"/>
      <c r="L843" s="1154"/>
      <c r="M843" s="1154"/>
      <c r="N843" s="1154"/>
      <c r="O843" s="1154"/>
      <c r="P843" s="1154"/>
      <c r="Q843" s="1154"/>
      <c r="R843" s="1154"/>
      <c r="S843" s="1154"/>
      <c r="T843" s="1154"/>
      <c r="U843" s="1154"/>
      <c r="V843" s="1154"/>
      <c r="W843" s="1154"/>
      <c r="X843" s="1154"/>
      <c r="Y843" s="1154"/>
      <c r="Z843" s="1154"/>
    </row>
    <row r="844">
      <c r="A844" s="1154"/>
      <c r="B844" s="1154"/>
      <c r="C844" s="1154"/>
      <c r="D844" s="1154"/>
      <c r="E844" s="1154"/>
      <c r="F844" s="1154"/>
      <c r="G844" s="1154"/>
      <c r="H844" s="1154"/>
      <c r="I844" s="1154"/>
      <c r="J844" s="1154"/>
      <c r="K844" s="1154"/>
      <c r="L844" s="1154"/>
      <c r="M844" s="1154"/>
      <c r="N844" s="1154"/>
      <c r="O844" s="1154"/>
      <c r="P844" s="1154"/>
      <c r="Q844" s="1154"/>
      <c r="R844" s="1154"/>
      <c r="S844" s="1154"/>
      <c r="T844" s="1154"/>
      <c r="U844" s="1154"/>
      <c r="V844" s="1154"/>
      <c r="W844" s="1154"/>
      <c r="X844" s="1154"/>
      <c r="Y844" s="1154"/>
      <c r="Z844" s="1154"/>
    </row>
    <row r="845">
      <c r="A845" s="1154"/>
      <c r="B845" s="1154"/>
      <c r="C845" s="1154"/>
      <c r="D845" s="1154"/>
      <c r="E845" s="1154"/>
      <c r="F845" s="1154"/>
      <c r="G845" s="1154"/>
      <c r="H845" s="1154"/>
      <c r="I845" s="1154"/>
      <c r="J845" s="1154"/>
      <c r="K845" s="1154"/>
      <c r="L845" s="1154"/>
      <c r="M845" s="1154"/>
      <c r="N845" s="1154"/>
      <c r="O845" s="1154"/>
      <c r="P845" s="1154"/>
      <c r="Q845" s="1154"/>
      <c r="R845" s="1154"/>
      <c r="S845" s="1154"/>
      <c r="T845" s="1154"/>
      <c r="U845" s="1154"/>
      <c r="V845" s="1154"/>
      <c r="W845" s="1154"/>
      <c r="X845" s="1154"/>
      <c r="Y845" s="1154"/>
      <c r="Z845" s="1154"/>
    </row>
    <row r="846">
      <c r="A846" s="1154"/>
      <c r="B846" s="1154"/>
      <c r="C846" s="1154"/>
      <c r="D846" s="1154"/>
      <c r="E846" s="1154"/>
      <c r="F846" s="1154"/>
      <c r="G846" s="1154"/>
      <c r="H846" s="1154"/>
      <c r="I846" s="1154"/>
      <c r="J846" s="1154"/>
      <c r="K846" s="1154"/>
      <c r="L846" s="1154"/>
      <c r="M846" s="1154"/>
      <c r="N846" s="1154"/>
      <c r="O846" s="1154"/>
      <c r="P846" s="1154"/>
      <c r="Q846" s="1154"/>
      <c r="R846" s="1154"/>
      <c r="S846" s="1154"/>
      <c r="T846" s="1154"/>
      <c r="U846" s="1154"/>
      <c r="V846" s="1154"/>
      <c r="W846" s="1154"/>
      <c r="X846" s="1154"/>
      <c r="Y846" s="1154"/>
      <c r="Z846" s="1154"/>
    </row>
    <row r="847">
      <c r="A847" s="1154"/>
      <c r="B847" s="1154"/>
      <c r="C847" s="1154"/>
      <c r="D847" s="1154"/>
      <c r="E847" s="1154"/>
      <c r="F847" s="1154"/>
      <c r="G847" s="1154"/>
      <c r="H847" s="1154"/>
      <c r="I847" s="1154"/>
      <c r="J847" s="1154"/>
      <c r="K847" s="1154"/>
      <c r="L847" s="1154"/>
      <c r="M847" s="1154"/>
      <c r="N847" s="1154"/>
      <c r="O847" s="1154"/>
      <c r="P847" s="1154"/>
      <c r="Q847" s="1154"/>
      <c r="R847" s="1154"/>
      <c r="S847" s="1154"/>
      <c r="T847" s="1154"/>
      <c r="U847" s="1154"/>
      <c r="V847" s="1154"/>
      <c r="W847" s="1154"/>
      <c r="X847" s="1154"/>
      <c r="Y847" s="1154"/>
      <c r="Z847" s="1154"/>
    </row>
    <row r="848">
      <c r="A848" s="1154"/>
      <c r="B848" s="1154"/>
      <c r="C848" s="1154"/>
      <c r="D848" s="1154"/>
      <c r="E848" s="1154"/>
      <c r="F848" s="1154"/>
      <c r="G848" s="1154"/>
      <c r="H848" s="1154"/>
      <c r="I848" s="1154"/>
      <c r="J848" s="1154"/>
      <c r="K848" s="1154"/>
      <c r="L848" s="1154"/>
      <c r="M848" s="1154"/>
      <c r="N848" s="1154"/>
      <c r="O848" s="1154"/>
      <c r="P848" s="1154"/>
      <c r="Q848" s="1154"/>
      <c r="R848" s="1154"/>
      <c r="S848" s="1154"/>
      <c r="T848" s="1154"/>
      <c r="U848" s="1154"/>
      <c r="V848" s="1154"/>
      <c r="W848" s="1154"/>
      <c r="X848" s="1154"/>
      <c r="Y848" s="1154"/>
      <c r="Z848" s="1154"/>
    </row>
    <row r="849">
      <c r="A849" s="1154"/>
      <c r="B849" s="1154"/>
      <c r="C849" s="1154"/>
      <c r="D849" s="1154"/>
      <c r="E849" s="1154"/>
      <c r="F849" s="1154"/>
      <c r="G849" s="1154"/>
      <c r="H849" s="1154"/>
      <c r="I849" s="1154"/>
      <c r="J849" s="1154"/>
      <c r="K849" s="1154"/>
      <c r="L849" s="1154"/>
      <c r="M849" s="1154"/>
      <c r="N849" s="1154"/>
      <c r="O849" s="1154"/>
      <c r="P849" s="1154"/>
      <c r="Q849" s="1154"/>
      <c r="R849" s="1154"/>
      <c r="S849" s="1154"/>
      <c r="T849" s="1154"/>
      <c r="U849" s="1154"/>
      <c r="V849" s="1154"/>
      <c r="W849" s="1154"/>
      <c r="X849" s="1154"/>
      <c r="Y849" s="1154"/>
      <c r="Z849" s="1154"/>
    </row>
    <row r="850">
      <c r="A850" s="1154"/>
      <c r="B850" s="1154"/>
      <c r="C850" s="1154"/>
      <c r="D850" s="1154"/>
      <c r="E850" s="1154"/>
      <c r="F850" s="1154"/>
      <c r="G850" s="1154"/>
      <c r="H850" s="1154"/>
      <c r="I850" s="1154"/>
      <c r="J850" s="1154"/>
      <c r="K850" s="1154"/>
      <c r="L850" s="1154"/>
      <c r="M850" s="1154"/>
      <c r="N850" s="1154"/>
      <c r="O850" s="1154"/>
      <c r="P850" s="1154"/>
      <c r="Q850" s="1154"/>
      <c r="R850" s="1154"/>
      <c r="S850" s="1154"/>
      <c r="T850" s="1154"/>
      <c r="U850" s="1154"/>
      <c r="V850" s="1154"/>
      <c r="W850" s="1154"/>
      <c r="X850" s="1154"/>
      <c r="Y850" s="1154"/>
      <c r="Z850" s="1154"/>
    </row>
    <row r="851">
      <c r="A851" s="1154"/>
      <c r="B851" s="1154"/>
      <c r="C851" s="1154"/>
      <c r="D851" s="1154"/>
      <c r="E851" s="1154"/>
      <c r="F851" s="1154"/>
      <c r="G851" s="1154"/>
      <c r="H851" s="1154"/>
      <c r="I851" s="1154"/>
      <c r="J851" s="1154"/>
      <c r="K851" s="1154"/>
      <c r="L851" s="1154"/>
      <c r="M851" s="1154"/>
      <c r="N851" s="1154"/>
      <c r="O851" s="1154"/>
      <c r="P851" s="1154"/>
      <c r="Q851" s="1154"/>
      <c r="R851" s="1154"/>
      <c r="S851" s="1154"/>
      <c r="T851" s="1154"/>
      <c r="U851" s="1154"/>
      <c r="V851" s="1154"/>
      <c r="W851" s="1154"/>
      <c r="X851" s="1154"/>
      <c r="Y851" s="1154"/>
      <c r="Z851" s="1154"/>
    </row>
    <row r="852">
      <c r="A852" s="1154"/>
      <c r="B852" s="1154"/>
      <c r="C852" s="1154"/>
      <c r="D852" s="1154"/>
      <c r="E852" s="1154"/>
      <c r="F852" s="1154"/>
      <c r="G852" s="1154"/>
      <c r="H852" s="1154"/>
      <c r="I852" s="1154"/>
      <c r="J852" s="1154"/>
      <c r="K852" s="1154"/>
      <c r="L852" s="1154"/>
      <c r="M852" s="1154"/>
      <c r="N852" s="1154"/>
      <c r="O852" s="1154"/>
      <c r="P852" s="1154"/>
      <c r="Q852" s="1154"/>
      <c r="R852" s="1154"/>
      <c r="S852" s="1154"/>
      <c r="T852" s="1154"/>
      <c r="U852" s="1154"/>
      <c r="V852" s="1154"/>
      <c r="W852" s="1154"/>
      <c r="X852" s="1154"/>
      <c r="Y852" s="1154"/>
      <c r="Z852" s="1154"/>
    </row>
    <row r="853">
      <c r="A853" s="1154"/>
      <c r="B853" s="1154"/>
      <c r="C853" s="1154"/>
      <c r="D853" s="1154"/>
      <c r="E853" s="1154"/>
      <c r="F853" s="1154"/>
      <c r="G853" s="1154"/>
      <c r="H853" s="1154"/>
      <c r="I853" s="1154"/>
      <c r="J853" s="1154"/>
      <c r="K853" s="1154"/>
      <c r="L853" s="1154"/>
      <c r="M853" s="1154"/>
      <c r="N853" s="1154"/>
      <c r="O853" s="1154"/>
      <c r="P853" s="1154"/>
      <c r="Q853" s="1154"/>
      <c r="R853" s="1154"/>
      <c r="S853" s="1154"/>
      <c r="T853" s="1154"/>
      <c r="U853" s="1154"/>
      <c r="V853" s="1154"/>
      <c r="W853" s="1154"/>
      <c r="X853" s="1154"/>
      <c r="Y853" s="1154"/>
      <c r="Z853" s="1154"/>
    </row>
    <row r="854">
      <c r="A854" s="1154"/>
      <c r="B854" s="1154"/>
      <c r="C854" s="1154"/>
      <c r="D854" s="1154"/>
      <c r="E854" s="1154"/>
      <c r="F854" s="1154"/>
      <c r="G854" s="1154"/>
      <c r="H854" s="1154"/>
      <c r="I854" s="1154"/>
      <c r="J854" s="1154"/>
      <c r="K854" s="1154"/>
      <c r="L854" s="1154"/>
      <c r="M854" s="1154"/>
      <c r="N854" s="1154"/>
      <c r="O854" s="1154"/>
      <c r="P854" s="1154"/>
      <c r="Q854" s="1154"/>
      <c r="R854" s="1154"/>
      <c r="S854" s="1154"/>
      <c r="T854" s="1154"/>
      <c r="U854" s="1154"/>
      <c r="V854" s="1154"/>
      <c r="W854" s="1154"/>
      <c r="X854" s="1154"/>
      <c r="Y854" s="1154"/>
      <c r="Z854" s="1154"/>
    </row>
    <row r="855">
      <c r="A855" s="1154"/>
      <c r="B855" s="1154"/>
      <c r="C855" s="1154"/>
      <c r="D855" s="1154"/>
      <c r="E855" s="1154"/>
      <c r="F855" s="1154"/>
      <c r="G855" s="1154"/>
      <c r="H855" s="1154"/>
      <c r="I855" s="1154"/>
      <c r="J855" s="1154"/>
      <c r="K855" s="1154"/>
      <c r="L855" s="1154"/>
      <c r="M855" s="1154"/>
      <c r="N855" s="1154"/>
      <c r="O855" s="1154"/>
      <c r="P855" s="1154"/>
      <c r="Q855" s="1154"/>
      <c r="R855" s="1154"/>
      <c r="S855" s="1154"/>
      <c r="T855" s="1154"/>
      <c r="U855" s="1154"/>
      <c r="V855" s="1154"/>
      <c r="W855" s="1154"/>
      <c r="X855" s="1154"/>
      <c r="Y855" s="1154"/>
      <c r="Z855" s="1154"/>
    </row>
    <row r="856">
      <c r="A856" s="1154"/>
      <c r="B856" s="1154"/>
      <c r="C856" s="1154"/>
      <c r="D856" s="1154"/>
      <c r="E856" s="1154"/>
      <c r="F856" s="1154"/>
      <c r="G856" s="1154"/>
      <c r="H856" s="1154"/>
      <c r="I856" s="1154"/>
      <c r="J856" s="1154"/>
      <c r="K856" s="1154"/>
      <c r="L856" s="1154"/>
      <c r="M856" s="1154"/>
      <c r="N856" s="1154"/>
      <c r="O856" s="1154"/>
      <c r="P856" s="1154"/>
      <c r="Q856" s="1154"/>
      <c r="R856" s="1154"/>
      <c r="S856" s="1154"/>
      <c r="T856" s="1154"/>
      <c r="U856" s="1154"/>
      <c r="V856" s="1154"/>
      <c r="W856" s="1154"/>
      <c r="X856" s="1154"/>
      <c r="Y856" s="1154"/>
      <c r="Z856" s="1154"/>
    </row>
    <row r="857">
      <c r="A857" s="1154"/>
      <c r="B857" s="1154"/>
      <c r="C857" s="1154"/>
      <c r="D857" s="1154"/>
      <c r="E857" s="1154"/>
      <c r="F857" s="1154"/>
      <c r="G857" s="1154"/>
      <c r="H857" s="1154"/>
      <c r="I857" s="1154"/>
      <c r="J857" s="1154"/>
      <c r="K857" s="1154"/>
      <c r="L857" s="1154"/>
      <c r="M857" s="1154"/>
      <c r="N857" s="1154"/>
      <c r="O857" s="1154"/>
      <c r="P857" s="1154"/>
      <c r="Q857" s="1154"/>
      <c r="R857" s="1154"/>
      <c r="S857" s="1154"/>
      <c r="T857" s="1154"/>
      <c r="U857" s="1154"/>
      <c r="V857" s="1154"/>
      <c r="W857" s="1154"/>
      <c r="X857" s="1154"/>
      <c r="Y857" s="1154"/>
      <c r="Z857" s="1154"/>
    </row>
    <row r="858">
      <c r="A858" s="1154"/>
      <c r="B858" s="1154"/>
      <c r="C858" s="1154"/>
      <c r="D858" s="1154"/>
      <c r="E858" s="1154"/>
      <c r="F858" s="1154"/>
      <c r="G858" s="1154"/>
      <c r="H858" s="1154"/>
      <c r="I858" s="1154"/>
      <c r="J858" s="1154"/>
      <c r="K858" s="1154"/>
      <c r="L858" s="1154"/>
      <c r="M858" s="1154"/>
      <c r="N858" s="1154"/>
      <c r="O858" s="1154"/>
      <c r="P858" s="1154"/>
      <c r="Q858" s="1154"/>
      <c r="R858" s="1154"/>
      <c r="S858" s="1154"/>
      <c r="T858" s="1154"/>
      <c r="U858" s="1154"/>
      <c r="V858" s="1154"/>
      <c r="W858" s="1154"/>
      <c r="X858" s="1154"/>
      <c r="Y858" s="1154"/>
      <c r="Z858" s="1154"/>
    </row>
    <row r="859">
      <c r="A859" s="1154"/>
      <c r="B859" s="1154"/>
      <c r="C859" s="1154"/>
      <c r="D859" s="1154"/>
      <c r="E859" s="1154"/>
      <c r="F859" s="1154"/>
      <c r="G859" s="1154"/>
      <c r="H859" s="1154"/>
      <c r="I859" s="1154"/>
      <c r="J859" s="1154"/>
      <c r="K859" s="1154"/>
      <c r="L859" s="1154"/>
      <c r="M859" s="1154"/>
      <c r="N859" s="1154"/>
      <c r="O859" s="1154"/>
      <c r="P859" s="1154"/>
      <c r="Q859" s="1154"/>
      <c r="R859" s="1154"/>
      <c r="S859" s="1154"/>
      <c r="T859" s="1154"/>
      <c r="U859" s="1154"/>
      <c r="V859" s="1154"/>
      <c r="W859" s="1154"/>
      <c r="X859" s="1154"/>
      <c r="Y859" s="1154"/>
      <c r="Z859" s="1154"/>
    </row>
    <row r="860">
      <c r="A860" s="1154"/>
      <c r="B860" s="1154"/>
      <c r="C860" s="1154"/>
      <c r="D860" s="1154"/>
      <c r="E860" s="1154"/>
      <c r="F860" s="1154"/>
      <c r="G860" s="1154"/>
      <c r="H860" s="1154"/>
      <c r="I860" s="1154"/>
      <c r="J860" s="1154"/>
      <c r="K860" s="1154"/>
      <c r="L860" s="1154"/>
      <c r="M860" s="1154"/>
      <c r="N860" s="1154"/>
      <c r="O860" s="1154"/>
      <c r="P860" s="1154"/>
      <c r="Q860" s="1154"/>
      <c r="R860" s="1154"/>
      <c r="S860" s="1154"/>
      <c r="T860" s="1154"/>
      <c r="U860" s="1154"/>
      <c r="V860" s="1154"/>
      <c r="W860" s="1154"/>
      <c r="X860" s="1154"/>
      <c r="Y860" s="1154"/>
      <c r="Z860" s="1154"/>
    </row>
    <row r="861">
      <c r="A861" s="1154"/>
      <c r="B861" s="1154"/>
      <c r="C861" s="1154"/>
      <c r="D861" s="1154"/>
      <c r="E861" s="1154"/>
      <c r="F861" s="1154"/>
      <c r="G861" s="1154"/>
      <c r="H861" s="1154"/>
      <c r="I861" s="1154"/>
      <c r="J861" s="1154"/>
      <c r="K861" s="1154"/>
      <c r="L861" s="1154"/>
      <c r="M861" s="1154"/>
      <c r="N861" s="1154"/>
      <c r="O861" s="1154"/>
      <c r="P861" s="1154"/>
      <c r="Q861" s="1154"/>
      <c r="R861" s="1154"/>
      <c r="S861" s="1154"/>
      <c r="T861" s="1154"/>
      <c r="U861" s="1154"/>
      <c r="V861" s="1154"/>
      <c r="W861" s="1154"/>
      <c r="X861" s="1154"/>
      <c r="Y861" s="1154"/>
      <c r="Z861" s="1154"/>
    </row>
    <row r="862">
      <c r="A862" s="1154"/>
      <c r="B862" s="1154"/>
      <c r="C862" s="1154"/>
      <c r="D862" s="1154"/>
      <c r="E862" s="1154"/>
      <c r="F862" s="1154"/>
      <c r="G862" s="1154"/>
      <c r="H862" s="1154"/>
      <c r="I862" s="1154"/>
      <c r="J862" s="1154"/>
      <c r="K862" s="1154"/>
      <c r="L862" s="1154"/>
      <c r="M862" s="1154"/>
      <c r="N862" s="1154"/>
      <c r="O862" s="1154"/>
      <c r="P862" s="1154"/>
      <c r="Q862" s="1154"/>
      <c r="R862" s="1154"/>
      <c r="S862" s="1154"/>
      <c r="T862" s="1154"/>
      <c r="U862" s="1154"/>
      <c r="V862" s="1154"/>
      <c r="W862" s="1154"/>
      <c r="X862" s="1154"/>
      <c r="Y862" s="1154"/>
      <c r="Z862" s="1154"/>
    </row>
    <row r="863">
      <c r="A863" s="1154"/>
      <c r="B863" s="1154"/>
      <c r="C863" s="1154"/>
      <c r="D863" s="1154"/>
      <c r="E863" s="1154"/>
      <c r="F863" s="1154"/>
      <c r="G863" s="1154"/>
      <c r="H863" s="1154"/>
      <c r="I863" s="1154"/>
      <c r="J863" s="1154"/>
      <c r="K863" s="1154"/>
      <c r="L863" s="1154"/>
      <c r="M863" s="1154"/>
      <c r="N863" s="1154"/>
      <c r="O863" s="1154"/>
      <c r="P863" s="1154"/>
      <c r="Q863" s="1154"/>
      <c r="R863" s="1154"/>
      <c r="S863" s="1154"/>
      <c r="T863" s="1154"/>
      <c r="U863" s="1154"/>
      <c r="V863" s="1154"/>
      <c r="W863" s="1154"/>
      <c r="X863" s="1154"/>
      <c r="Y863" s="1154"/>
      <c r="Z863" s="1154"/>
    </row>
    <row r="864">
      <c r="A864" s="1154"/>
      <c r="B864" s="1154"/>
      <c r="C864" s="1154"/>
      <c r="D864" s="1154"/>
      <c r="E864" s="1154"/>
      <c r="F864" s="1154"/>
      <c r="G864" s="1154"/>
      <c r="H864" s="1154"/>
      <c r="I864" s="1154"/>
      <c r="J864" s="1154"/>
      <c r="K864" s="1154"/>
      <c r="L864" s="1154"/>
      <c r="M864" s="1154"/>
      <c r="N864" s="1154"/>
      <c r="O864" s="1154"/>
      <c r="P864" s="1154"/>
      <c r="Q864" s="1154"/>
      <c r="R864" s="1154"/>
      <c r="S864" s="1154"/>
      <c r="T864" s="1154"/>
      <c r="U864" s="1154"/>
      <c r="V864" s="1154"/>
      <c r="W864" s="1154"/>
      <c r="X864" s="1154"/>
      <c r="Y864" s="1154"/>
      <c r="Z864" s="1154"/>
    </row>
    <row r="865">
      <c r="A865" s="1154"/>
      <c r="B865" s="1154"/>
      <c r="C865" s="1154"/>
      <c r="D865" s="1154"/>
      <c r="E865" s="1154"/>
      <c r="F865" s="1154"/>
      <c r="G865" s="1154"/>
      <c r="H865" s="1154"/>
      <c r="I865" s="1154"/>
      <c r="J865" s="1154"/>
      <c r="K865" s="1154"/>
      <c r="L865" s="1154"/>
      <c r="M865" s="1154"/>
      <c r="N865" s="1154"/>
      <c r="O865" s="1154"/>
      <c r="P865" s="1154"/>
      <c r="Q865" s="1154"/>
      <c r="R865" s="1154"/>
      <c r="S865" s="1154"/>
      <c r="T865" s="1154"/>
      <c r="U865" s="1154"/>
      <c r="V865" s="1154"/>
      <c r="W865" s="1154"/>
      <c r="X865" s="1154"/>
      <c r="Y865" s="1154"/>
      <c r="Z865" s="1154"/>
    </row>
    <row r="866">
      <c r="A866" s="1154"/>
      <c r="B866" s="1154"/>
      <c r="C866" s="1154"/>
      <c r="D866" s="1154"/>
      <c r="E866" s="1154"/>
      <c r="F866" s="1154"/>
      <c r="G866" s="1154"/>
      <c r="H866" s="1154"/>
      <c r="I866" s="1154"/>
      <c r="J866" s="1154"/>
      <c r="K866" s="1154"/>
      <c r="L866" s="1154"/>
      <c r="M866" s="1154"/>
      <c r="N866" s="1154"/>
      <c r="O866" s="1154"/>
      <c r="P866" s="1154"/>
      <c r="Q866" s="1154"/>
      <c r="R866" s="1154"/>
      <c r="S866" s="1154"/>
      <c r="T866" s="1154"/>
      <c r="U866" s="1154"/>
      <c r="V866" s="1154"/>
      <c r="W866" s="1154"/>
      <c r="X866" s="1154"/>
      <c r="Y866" s="1154"/>
      <c r="Z866" s="1154"/>
    </row>
    <row r="867">
      <c r="A867" s="1154"/>
      <c r="B867" s="1154"/>
      <c r="C867" s="1154"/>
      <c r="D867" s="1154"/>
      <c r="E867" s="1154"/>
      <c r="F867" s="1154"/>
      <c r="G867" s="1154"/>
      <c r="H867" s="1154"/>
      <c r="I867" s="1154"/>
      <c r="J867" s="1154"/>
      <c r="K867" s="1154"/>
      <c r="L867" s="1154"/>
      <c r="M867" s="1154"/>
      <c r="N867" s="1154"/>
      <c r="O867" s="1154"/>
      <c r="P867" s="1154"/>
      <c r="Q867" s="1154"/>
      <c r="R867" s="1154"/>
      <c r="S867" s="1154"/>
      <c r="T867" s="1154"/>
      <c r="U867" s="1154"/>
      <c r="V867" s="1154"/>
      <c r="W867" s="1154"/>
      <c r="X867" s="1154"/>
      <c r="Y867" s="1154"/>
      <c r="Z867" s="1154"/>
    </row>
    <row r="868">
      <c r="A868" s="1154"/>
      <c r="B868" s="1154"/>
      <c r="C868" s="1154"/>
      <c r="D868" s="1154"/>
      <c r="E868" s="1154"/>
      <c r="F868" s="1154"/>
      <c r="G868" s="1154"/>
      <c r="H868" s="1154"/>
      <c r="I868" s="1154"/>
      <c r="J868" s="1154"/>
      <c r="K868" s="1154"/>
      <c r="L868" s="1154"/>
      <c r="M868" s="1154"/>
      <c r="N868" s="1154"/>
      <c r="O868" s="1154"/>
      <c r="P868" s="1154"/>
      <c r="Q868" s="1154"/>
      <c r="R868" s="1154"/>
      <c r="S868" s="1154"/>
      <c r="T868" s="1154"/>
      <c r="U868" s="1154"/>
      <c r="V868" s="1154"/>
      <c r="W868" s="1154"/>
      <c r="X868" s="1154"/>
      <c r="Y868" s="1154"/>
      <c r="Z868" s="1154"/>
    </row>
    <row r="869">
      <c r="A869" s="1154"/>
      <c r="B869" s="1154"/>
      <c r="C869" s="1154"/>
      <c r="D869" s="1154"/>
      <c r="E869" s="1154"/>
      <c r="F869" s="1154"/>
      <c r="G869" s="1154"/>
      <c r="H869" s="1154"/>
      <c r="I869" s="1154"/>
      <c r="J869" s="1154"/>
      <c r="K869" s="1154"/>
      <c r="L869" s="1154"/>
      <c r="M869" s="1154"/>
      <c r="N869" s="1154"/>
      <c r="O869" s="1154"/>
      <c r="P869" s="1154"/>
      <c r="Q869" s="1154"/>
      <c r="R869" s="1154"/>
      <c r="S869" s="1154"/>
      <c r="T869" s="1154"/>
      <c r="U869" s="1154"/>
      <c r="V869" s="1154"/>
      <c r="W869" s="1154"/>
      <c r="X869" s="1154"/>
      <c r="Y869" s="1154"/>
      <c r="Z869" s="1154"/>
    </row>
    <row r="870">
      <c r="A870" s="1154"/>
      <c r="B870" s="1154"/>
      <c r="C870" s="1154"/>
      <c r="D870" s="1154"/>
      <c r="E870" s="1154"/>
      <c r="F870" s="1154"/>
      <c r="G870" s="1154"/>
      <c r="H870" s="1154"/>
      <c r="I870" s="1154"/>
      <c r="J870" s="1154"/>
      <c r="K870" s="1154"/>
      <c r="L870" s="1154"/>
      <c r="M870" s="1154"/>
      <c r="N870" s="1154"/>
      <c r="O870" s="1154"/>
      <c r="P870" s="1154"/>
      <c r="Q870" s="1154"/>
      <c r="R870" s="1154"/>
      <c r="S870" s="1154"/>
      <c r="T870" s="1154"/>
      <c r="U870" s="1154"/>
      <c r="V870" s="1154"/>
      <c r="W870" s="1154"/>
      <c r="X870" s="1154"/>
      <c r="Y870" s="1154"/>
      <c r="Z870" s="1154"/>
    </row>
    <row r="871">
      <c r="A871" s="1154"/>
      <c r="B871" s="1154"/>
      <c r="C871" s="1154"/>
      <c r="D871" s="1154"/>
      <c r="E871" s="1154"/>
      <c r="F871" s="1154"/>
      <c r="G871" s="1154"/>
      <c r="H871" s="1154"/>
      <c r="I871" s="1154"/>
      <c r="J871" s="1154"/>
      <c r="K871" s="1154"/>
      <c r="L871" s="1154"/>
      <c r="M871" s="1154"/>
      <c r="N871" s="1154"/>
      <c r="O871" s="1154"/>
      <c r="P871" s="1154"/>
      <c r="Q871" s="1154"/>
      <c r="R871" s="1154"/>
      <c r="S871" s="1154"/>
      <c r="T871" s="1154"/>
      <c r="U871" s="1154"/>
      <c r="V871" s="1154"/>
      <c r="W871" s="1154"/>
      <c r="X871" s="1154"/>
      <c r="Y871" s="1154"/>
      <c r="Z871" s="1154"/>
    </row>
    <row r="872">
      <c r="A872" s="1154"/>
      <c r="B872" s="1154"/>
      <c r="C872" s="1154"/>
      <c r="D872" s="1154"/>
      <c r="E872" s="1154"/>
      <c r="F872" s="1154"/>
      <c r="G872" s="1154"/>
      <c r="H872" s="1154"/>
      <c r="I872" s="1154"/>
      <c r="J872" s="1154"/>
      <c r="K872" s="1154"/>
      <c r="L872" s="1154"/>
      <c r="M872" s="1154"/>
      <c r="N872" s="1154"/>
      <c r="O872" s="1154"/>
      <c r="P872" s="1154"/>
      <c r="Q872" s="1154"/>
      <c r="R872" s="1154"/>
      <c r="S872" s="1154"/>
      <c r="T872" s="1154"/>
      <c r="U872" s="1154"/>
      <c r="V872" s="1154"/>
      <c r="W872" s="1154"/>
      <c r="X872" s="1154"/>
      <c r="Y872" s="1154"/>
      <c r="Z872" s="1154"/>
    </row>
    <row r="873">
      <c r="A873" s="1154"/>
      <c r="B873" s="1154"/>
      <c r="C873" s="1154"/>
      <c r="D873" s="1154"/>
      <c r="E873" s="1154"/>
      <c r="F873" s="1154"/>
      <c r="G873" s="1154"/>
      <c r="H873" s="1154"/>
      <c r="I873" s="1154"/>
      <c r="J873" s="1154"/>
      <c r="K873" s="1154"/>
      <c r="L873" s="1154"/>
      <c r="M873" s="1154"/>
      <c r="N873" s="1154"/>
      <c r="O873" s="1154"/>
      <c r="P873" s="1154"/>
      <c r="Q873" s="1154"/>
      <c r="R873" s="1154"/>
      <c r="S873" s="1154"/>
      <c r="T873" s="1154"/>
      <c r="U873" s="1154"/>
      <c r="V873" s="1154"/>
      <c r="W873" s="1154"/>
      <c r="X873" s="1154"/>
      <c r="Y873" s="1154"/>
      <c r="Z873" s="1154"/>
    </row>
    <row r="874">
      <c r="A874" s="1154"/>
      <c r="B874" s="1154"/>
      <c r="C874" s="1154"/>
      <c r="D874" s="1154"/>
      <c r="E874" s="1154"/>
      <c r="F874" s="1154"/>
      <c r="G874" s="1154"/>
      <c r="H874" s="1154"/>
      <c r="I874" s="1154"/>
      <c r="J874" s="1154"/>
      <c r="K874" s="1154"/>
      <c r="L874" s="1154"/>
      <c r="M874" s="1154"/>
      <c r="N874" s="1154"/>
      <c r="O874" s="1154"/>
      <c r="P874" s="1154"/>
      <c r="Q874" s="1154"/>
      <c r="R874" s="1154"/>
      <c r="S874" s="1154"/>
      <c r="T874" s="1154"/>
      <c r="U874" s="1154"/>
      <c r="V874" s="1154"/>
      <c r="W874" s="1154"/>
      <c r="X874" s="1154"/>
      <c r="Y874" s="1154"/>
      <c r="Z874" s="1154"/>
    </row>
    <row r="875">
      <c r="A875" s="1154"/>
      <c r="B875" s="1154"/>
      <c r="C875" s="1154"/>
      <c r="D875" s="1154"/>
      <c r="E875" s="1154"/>
      <c r="F875" s="1154"/>
      <c r="G875" s="1154"/>
      <c r="H875" s="1154"/>
      <c r="I875" s="1154"/>
      <c r="J875" s="1154"/>
      <c r="K875" s="1154"/>
      <c r="L875" s="1154"/>
      <c r="M875" s="1154"/>
      <c r="N875" s="1154"/>
      <c r="O875" s="1154"/>
      <c r="P875" s="1154"/>
      <c r="Q875" s="1154"/>
      <c r="R875" s="1154"/>
      <c r="S875" s="1154"/>
      <c r="T875" s="1154"/>
      <c r="U875" s="1154"/>
      <c r="V875" s="1154"/>
      <c r="W875" s="1154"/>
      <c r="X875" s="1154"/>
      <c r="Y875" s="1154"/>
      <c r="Z875" s="1154"/>
    </row>
    <row r="876">
      <c r="A876" s="1154"/>
      <c r="B876" s="1154"/>
      <c r="C876" s="1154"/>
      <c r="D876" s="1154"/>
      <c r="E876" s="1154"/>
      <c r="F876" s="1154"/>
      <c r="G876" s="1154"/>
      <c r="H876" s="1154"/>
      <c r="I876" s="1154"/>
      <c r="J876" s="1154"/>
      <c r="K876" s="1154"/>
      <c r="L876" s="1154"/>
      <c r="M876" s="1154"/>
      <c r="N876" s="1154"/>
      <c r="O876" s="1154"/>
      <c r="P876" s="1154"/>
      <c r="Q876" s="1154"/>
      <c r="R876" s="1154"/>
      <c r="S876" s="1154"/>
      <c r="T876" s="1154"/>
      <c r="U876" s="1154"/>
      <c r="V876" s="1154"/>
      <c r="W876" s="1154"/>
      <c r="X876" s="1154"/>
      <c r="Y876" s="1154"/>
      <c r="Z876" s="1154"/>
    </row>
    <row r="877">
      <c r="A877" s="1154"/>
      <c r="B877" s="1154"/>
      <c r="C877" s="1154"/>
      <c r="D877" s="1154"/>
      <c r="E877" s="1154"/>
      <c r="F877" s="1154"/>
      <c r="G877" s="1154"/>
      <c r="H877" s="1154"/>
      <c r="I877" s="1154"/>
      <c r="J877" s="1154"/>
      <c r="K877" s="1154"/>
      <c r="L877" s="1154"/>
      <c r="M877" s="1154"/>
      <c r="N877" s="1154"/>
      <c r="O877" s="1154"/>
      <c r="P877" s="1154"/>
      <c r="Q877" s="1154"/>
      <c r="R877" s="1154"/>
      <c r="S877" s="1154"/>
      <c r="T877" s="1154"/>
      <c r="U877" s="1154"/>
      <c r="V877" s="1154"/>
      <c r="W877" s="1154"/>
      <c r="X877" s="1154"/>
      <c r="Y877" s="1154"/>
      <c r="Z877" s="1154"/>
    </row>
    <row r="878">
      <c r="A878" s="1154"/>
      <c r="B878" s="1154"/>
      <c r="C878" s="1154"/>
      <c r="D878" s="1154"/>
      <c r="E878" s="1154"/>
      <c r="F878" s="1154"/>
      <c r="G878" s="1154"/>
      <c r="H878" s="1154"/>
      <c r="I878" s="1154"/>
      <c r="J878" s="1154"/>
      <c r="K878" s="1154"/>
      <c r="L878" s="1154"/>
      <c r="M878" s="1154"/>
      <c r="N878" s="1154"/>
      <c r="O878" s="1154"/>
      <c r="P878" s="1154"/>
      <c r="Q878" s="1154"/>
      <c r="R878" s="1154"/>
      <c r="S878" s="1154"/>
      <c r="T878" s="1154"/>
      <c r="U878" s="1154"/>
      <c r="V878" s="1154"/>
      <c r="W878" s="1154"/>
      <c r="X878" s="1154"/>
      <c r="Y878" s="1154"/>
      <c r="Z878" s="1154"/>
    </row>
    <row r="879">
      <c r="A879" s="1154"/>
      <c r="B879" s="1154"/>
      <c r="C879" s="1154"/>
      <c r="D879" s="1154"/>
      <c r="E879" s="1154"/>
      <c r="F879" s="1154"/>
      <c r="G879" s="1154"/>
      <c r="H879" s="1154"/>
      <c r="I879" s="1154"/>
      <c r="J879" s="1154"/>
      <c r="K879" s="1154"/>
      <c r="L879" s="1154"/>
      <c r="M879" s="1154"/>
      <c r="N879" s="1154"/>
      <c r="O879" s="1154"/>
      <c r="P879" s="1154"/>
      <c r="Q879" s="1154"/>
      <c r="R879" s="1154"/>
      <c r="S879" s="1154"/>
      <c r="T879" s="1154"/>
      <c r="U879" s="1154"/>
      <c r="V879" s="1154"/>
      <c r="W879" s="1154"/>
      <c r="X879" s="1154"/>
      <c r="Y879" s="1154"/>
      <c r="Z879" s="1154"/>
    </row>
    <row r="880">
      <c r="A880" s="1154"/>
      <c r="B880" s="1154"/>
      <c r="C880" s="1154"/>
      <c r="D880" s="1154"/>
      <c r="E880" s="1154"/>
      <c r="F880" s="1154"/>
      <c r="G880" s="1154"/>
      <c r="H880" s="1154"/>
      <c r="I880" s="1154"/>
      <c r="J880" s="1154"/>
      <c r="K880" s="1154"/>
      <c r="L880" s="1154"/>
      <c r="M880" s="1154"/>
      <c r="N880" s="1154"/>
      <c r="O880" s="1154"/>
      <c r="P880" s="1154"/>
      <c r="Q880" s="1154"/>
      <c r="R880" s="1154"/>
      <c r="S880" s="1154"/>
      <c r="T880" s="1154"/>
      <c r="U880" s="1154"/>
      <c r="V880" s="1154"/>
      <c r="W880" s="1154"/>
      <c r="X880" s="1154"/>
      <c r="Y880" s="1154"/>
      <c r="Z880" s="1154"/>
    </row>
    <row r="881">
      <c r="A881" s="1154"/>
      <c r="B881" s="1154"/>
      <c r="C881" s="1154"/>
      <c r="D881" s="1154"/>
      <c r="E881" s="1154"/>
      <c r="F881" s="1154"/>
      <c r="G881" s="1154"/>
      <c r="H881" s="1154"/>
      <c r="I881" s="1154"/>
      <c r="J881" s="1154"/>
      <c r="K881" s="1154"/>
      <c r="L881" s="1154"/>
      <c r="M881" s="1154"/>
      <c r="N881" s="1154"/>
      <c r="O881" s="1154"/>
      <c r="P881" s="1154"/>
      <c r="Q881" s="1154"/>
      <c r="R881" s="1154"/>
      <c r="S881" s="1154"/>
      <c r="T881" s="1154"/>
      <c r="U881" s="1154"/>
      <c r="V881" s="1154"/>
      <c r="W881" s="1154"/>
      <c r="X881" s="1154"/>
      <c r="Y881" s="1154"/>
      <c r="Z881" s="1154"/>
    </row>
    <row r="882">
      <c r="A882" s="1154"/>
      <c r="B882" s="1154"/>
      <c r="C882" s="1154"/>
      <c r="D882" s="1154"/>
      <c r="E882" s="1154"/>
      <c r="F882" s="1154"/>
      <c r="G882" s="1154"/>
      <c r="H882" s="1154"/>
      <c r="I882" s="1154"/>
      <c r="J882" s="1154"/>
      <c r="K882" s="1154"/>
      <c r="L882" s="1154"/>
      <c r="M882" s="1154"/>
      <c r="N882" s="1154"/>
      <c r="O882" s="1154"/>
      <c r="P882" s="1154"/>
      <c r="Q882" s="1154"/>
      <c r="R882" s="1154"/>
      <c r="S882" s="1154"/>
      <c r="T882" s="1154"/>
      <c r="U882" s="1154"/>
      <c r="V882" s="1154"/>
      <c r="W882" s="1154"/>
      <c r="X882" s="1154"/>
      <c r="Y882" s="1154"/>
      <c r="Z882" s="1154"/>
    </row>
    <row r="883">
      <c r="A883" s="1154"/>
      <c r="B883" s="1154"/>
      <c r="C883" s="1154"/>
      <c r="D883" s="1154"/>
      <c r="E883" s="1154"/>
      <c r="F883" s="1154"/>
      <c r="G883" s="1154"/>
      <c r="H883" s="1154"/>
      <c r="I883" s="1154"/>
      <c r="J883" s="1154"/>
      <c r="K883" s="1154"/>
      <c r="L883" s="1154"/>
      <c r="M883" s="1154"/>
      <c r="N883" s="1154"/>
      <c r="O883" s="1154"/>
      <c r="P883" s="1154"/>
      <c r="Q883" s="1154"/>
      <c r="R883" s="1154"/>
      <c r="S883" s="1154"/>
      <c r="T883" s="1154"/>
      <c r="U883" s="1154"/>
      <c r="V883" s="1154"/>
      <c r="W883" s="1154"/>
      <c r="X883" s="1154"/>
      <c r="Y883" s="1154"/>
      <c r="Z883" s="1154"/>
    </row>
    <row r="884">
      <c r="A884" s="1154"/>
      <c r="B884" s="1154"/>
      <c r="C884" s="1154"/>
      <c r="D884" s="1154"/>
      <c r="E884" s="1154"/>
      <c r="F884" s="1154"/>
      <c r="G884" s="1154"/>
      <c r="H884" s="1154"/>
      <c r="I884" s="1154"/>
      <c r="J884" s="1154"/>
      <c r="K884" s="1154"/>
      <c r="L884" s="1154"/>
      <c r="M884" s="1154"/>
      <c r="N884" s="1154"/>
      <c r="O884" s="1154"/>
      <c r="P884" s="1154"/>
      <c r="Q884" s="1154"/>
      <c r="R884" s="1154"/>
      <c r="S884" s="1154"/>
      <c r="T884" s="1154"/>
      <c r="U884" s="1154"/>
      <c r="V884" s="1154"/>
      <c r="W884" s="1154"/>
      <c r="X884" s="1154"/>
      <c r="Y884" s="1154"/>
      <c r="Z884" s="1154"/>
    </row>
    <row r="885">
      <c r="A885" s="1154"/>
      <c r="B885" s="1154"/>
      <c r="C885" s="1154"/>
      <c r="D885" s="1154"/>
      <c r="E885" s="1154"/>
      <c r="F885" s="1154"/>
      <c r="G885" s="1154"/>
      <c r="H885" s="1154"/>
      <c r="I885" s="1154"/>
      <c r="J885" s="1154"/>
      <c r="K885" s="1154"/>
      <c r="L885" s="1154"/>
      <c r="M885" s="1154"/>
      <c r="N885" s="1154"/>
      <c r="O885" s="1154"/>
      <c r="P885" s="1154"/>
      <c r="Q885" s="1154"/>
      <c r="R885" s="1154"/>
      <c r="S885" s="1154"/>
      <c r="T885" s="1154"/>
      <c r="U885" s="1154"/>
      <c r="V885" s="1154"/>
      <c r="W885" s="1154"/>
      <c r="X885" s="1154"/>
      <c r="Y885" s="1154"/>
      <c r="Z885" s="1154"/>
    </row>
    <row r="886">
      <c r="A886" s="1154"/>
      <c r="B886" s="1154"/>
      <c r="C886" s="1154"/>
      <c r="D886" s="1154"/>
      <c r="E886" s="1154"/>
      <c r="F886" s="1154"/>
      <c r="G886" s="1154"/>
      <c r="H886" s="1154"/>
      <c r="I886" s="1154"/>
      <c r="J886" s="1154"/>
      <c r="K886" s="1154"/>
      <c r="L886" s="1154"/>
      <c r="M886" s="1154"/>
      <c r="N886" s="1154"/>
      <c r="O886" s="1154"/>
      <c r="P886" s="1154"/>
      <c r="Q886" s="1154"/>
      <c r="R886" s="1154"/>
      <c r="S886" s="1154"/>
      <c r="T886" s="1154"/>
      <c r="U886" s="1154"/>
      <c r="V886" s="1154"/>
      <c r="W886" s="1154"/>
      <c r="X886" s="1154"/>
      <c r="Y886" s="1154"/>
      <c r="Z886" s="1154"/>
    </row>
    <row r="887">
      <c r="A887" s="1154"/>
      <c r="B887" s="1154"/>
      <c r="C887" s="1154"/>
      <c r="D887" s="1154"/>
      <c r="E887" s="1154"/>
      <c r="F887" s="1154"/>
      <c r="G887" s="1154"/>
      <c r="H887" s="1154"/>
      <c r="I887" s="1154"/>
      <c r="J887" s="1154"/>
      <c r="K887" s="1154"/>
      <c r="L887" s="1154"/>
      <c r="M887" s="1154"/>
      <c r="N887" s="1154"/>
      <c r="O887" s="1154"/>
      <c r="P887" s="1154"/>
      <c r="Q887" s="1154"/>
      <c r="R887" s="1154"/>
      <c r="S887" s="1154"/>
      <c r="T887" s="1154"/>
      <c r="U887" s="1154"/>
      <c r="V887" s="1154"/>
      <c r="W887" s="1154"/>
      <c r="X887" s="1154"/>
      <c r="Y887" s="1154"/>
      <c r="Z887" s="1154"/>
    </row>
    <row r="888">
      <c r="A888" s="1154"/>
      <c r="B888" s="1154"/>
      <c r="C888" s="1154"/>
      <c r="D888" s="1154"/>
      <c r="E888" s="1154"/>
      <c r="F888" s="1154"/>
      <c r="G888" s="1154"/>
      <c r="H888" s="1154"/>
      <c r="I888" s="1154"/>
      <c r="J888" s="1154"/>
      <c r="K888" s="1154"/>
      <c r="L888" s="1154"/>
      <c r="M888" s="1154"/>
      <c r="N888" s="1154"/>
      <c r="O888" s="1154"/>
      <c r="P888" s="1154"/>
      <c r="Q888" s="1154"/>
      <c r="R888" s="1154"/>
      <c r="S888" s="1154"/>
      <c r="T888" s="1154"/>
      <c r="U888" s="1154"/>
      <c r="V888" s="1154"/>
      <c r="W888" s="1154"/>
      <c r="X888" s="1154"/>
      <c r="Y888" s="1154"/>
      <c r="Z888" s="1154"/>
    </row>
    <row r="889">
      <c r="A889" s="1154"/>
      <c r="B889" s="1154"/>
      <c r="C889" s="1154"/>
      <c r="D889" s="1154"/>
      <c r="E889" s="1154"/>
      <c r="F889" s="1154"/>
      <c r="G889" s="1154"/>
      <c r="H889" s="1154"/>
      <c r="I889" s="1154"/>
      <c r="J889" s="1154"/>
      <c r="K889" s="1154"/>
      <c r="L889" s="1154"/>
      <c r="M889" s="1154"/>
      <c r="N889" s="1154"/>
      <c r="O889" s="1154"/>
      <c r="P889" s="1154"/>
      <c r="Q889" s="1154"/>
      <c r="R889" s="1154"/>
      <c r="S889" s="1154"/>
      <c r="T889" s="1154"/>
      <c r="U889" s="1154"/>
      <c r="V889" s="1154"/>
      <c r="W889" s="1154"/>
      <c r="X889" s="1154"/>
      <c r="Y889" s="1154"/>
      <c r="Z889" s="1154"/>
    </row>
    <row r="890">
      <c r="A890" s="1154"/>
      <c r="B890" s="1154"/>
      <c r="C890" s="1154"/>
      <c r="D890" s="1154"/>
      <c r="E890" s="1154"/>
      <c r="F890" s="1154"/>
      <c r="G890" s="1154"/>
      <c r="H890" s="1154"/>
      <c r="I890" s="1154"/>
      <c r="J890" s="1154"/>
      <c r="K890" s="1154"/>
      <c r="L890" s="1154"/>
      <c r="M890" s="1154"/>
      <c r="N890" s="1154"/>
      <c r="O890" s="1154"/>
      <c r="P890" s="1154"/>
      <c r="Q890" s="1154"/>
      <c r="R890" s="1154"/>
      <c r="S890" s="1154"/>
      <c r="T890" s="1154"/>
      <c r="U890" s="1154"/>
      <c r="V890" s="1154"/>
      <c r="W890" s="1154"/>
      <c r="X890" s="1154"/>
      <c r="Y890" s="1154"/>
      <c r="Z890" s="1154"/>
    </row>
    <row r="891">
      <c r="A891" s="1154"/>
      <c r="B891" s="1154"/>
      <c r="C891" s="1154"/>
      <c r="D891" s="1154"/>
      <c r="E891" s="1154"/>
      <c r="F891" s="1154"/>
      <c r="G891" s="1154"/>
      <c r="H891" s="1154"/>
      <c r="I891" s="1154"/>
      <c r="J891" s="1154"/>
      <c r="K891" s="1154"/>
      <c r="L891" s="1154"/>
      <c r="M891" s="1154"/>
      <c r="N891" s="1154"/>
      <c r="O891" s="1154"/>
      <c r="P891" s="1154"/>
      <c r="Q891" s="1154"/>
      <c r="R891" s="1154"/>
      <c r="S891" s="1154"/>
      <c r="T891" s="1154"/>
      <c r="U891" s="1154"/>
      <c r="V891" s="1154"/>
      <c r="W891" s="1154"/>
      <c r="X891" s="1154"/>
      <c r="Y891" s="1154"/>
      <c r="Z891" s="1154"/>
    </row>
    <row r="892">
      <c r="A892" s="1154"/>
      <c r="B892" s="1154"/>
      <c r="C892" s="1154"/>
      <c r="D892" s="1154"/>
      <c r="E892" s="1154"/>
      <c r="F892" s="1154"/>
      <c r="G892" s="1154"/>
      <c r="H892" s="1154"/>
      <c r="I892" s="1154"/>
      <c r="J892" s="1154"/>
      <c r="K892" s="1154"/>
      <c r="L892" s="1154"/>
      <c r="M892" s="1154"/>
      <c r="N892" s="1154"/>
      <c r="O892" s="1154"/>
      <c r="P892" s="1154"/>
      <c r="Q892" s="1154"/>
      <c r="R892" s="1154"/>
      <c r="S892" s="1154"/>
      <c r="T892" s="1154"/>
      <c r="U892" s="1154"/>
      <c r="V892" s="1154"/>
      <c r="W892" s="1154"/>
      <c r="X892" s="1154"/>
      <c r="Y892" s="1154"/>
      <c r="Z892" s="1154"/>
    </row>
    <row r="893">
      <c r="A893" s="1154"/>
      <c r="B893" s="1154"/>
      <c r="C893" s="1154"/>
      <c r="D893" s="1154"/>
      <c r="E893" s="1154"/>
      <c r="F893" s="1154"/>
      <c r="G893" s="1154"/>
      <c r="H893" s="1154"/>
      <c r="I893" s="1154"/>
      <c r="J893" s="1154"/>
      <c r="K893" s="1154"/>
      <c r="L893" s="1154"/>
      <c r="M893" s="1154"/>
      <c r="N893" s="1154"/>
      <c r="O893" s="1154"/>
      <c r="P893" s="1154"/>
      <c r="Q893" s="1154"/>
      <c r="R893" s="1154"/>
      <c r="S893" s="1154"/>
      <c r="T893" s="1154"/>
      <c r="U893" s="1154"/>
      <c r="V893" s="1154"/>
      <c r="W893" s="1154"/>
      <c r="X893" s="1154"/>
      <c r="Y893" s="1154"/>
      <c r="Z893" s="1154"/>
    </row>
    <row r="894">
      <c r="A894" s="1154"/>
      <c r="B894" s="1154"/>
      <c r="C894" s="1154"/>
      <c r="D894" s="1154"/>
      <c r="E894" s="1154"/>
      <c r="F894" s="1154"/>
      <c r="G894" s="1154"/>
      <c r="H894" s="1154"/>
      <c r="I894" s="1154"/>
      <c r="J894" s="1154"/>
      <c r="K894" s="1154"/>
      <c r="L894" s="1154"/>
      <c r="M894" s="1154"/>
      <c r="N894" s="1154"/>
      <c r="O894" s="1154"/>
      <c r="P894" s="1154"/>
      <c r="Q894" s="1154"/>
      <c r="R894" s="1154"/>
      <c r="S894" s="1154"/>
      <c r="T894" s="1154"/>
      <c r="U894" s="1154"/>
      <c r="V894" s="1154"/>
      <c r="W894" s="1154"/>
      <c r="X894" s="1154"/>
      <c r="Y894" s="1154"/>
      <c r="Z894" s="1154"/>
    </row>
    <row r="895">
      <c r="A895" s="1154"/>
      <c r="B895" s="1154"/>
      <c r="C895" s="1154"/>
      <c r="D895" s="1154"/>
      <c r="E895" s="1154"/>
      <c r="F895" s="1154"/>
      <c r="G895" s="1154"/>
      <c r="H895" s="1154"/>
      <c r="I895" s="1154"/>
      <c r="J895" s="1154"/>
      <c r="K895" s="1154"/>
      <c r="L895" s="1154"/>
      <c r="M895" s="1154"/>
      <c r="N895" s="1154"/>
      <c r="O895" s="1154"/>
      <c r="P895" s="1154"/>
      <c r="Q895" s="1154"/>
      <c r="R895" s="1154"/>
      <c r="S895" s="1154"/>
      <c r="T895" s="1154"/>
      <c r="U895" s="1154"/>
      <c r="V895" s="1154"/>
      <c r="W895" s="1154"/>
      <c r="X895" s="1154"/>
      <c r="Y895" s="1154"/>
      <c r="Z895" s="1154"/>
    </row>
    <row r="896">
      <c r="A896" s="1154"/>
      <c r="B896" s="1154"/>
      <c r="C896" s="1154"/>
      <c r="D896" s="1154"/>
      <c r="E896" s="1154"/>
      <c r="F896" s="1154"/>
      <c r="G896" s="1154"/>
      <c r="H896" s="1154"/>
      <c r="I896" s="1154"/>
      <c r="J896" s="1154"/>
      <c r="K896" s="1154"/>
      <c r="L896" s="1154"/>
      <c r="M896" s="1154"/>
      <c r="N896" s="1154"/>
      <c r="O896" s="1154"/>
      <c r="P896" s="1154"/>
      <c r="Q896" s="1154"/>
      <c r="R896" s="1154"/>
      <c r="S896" s="1154"/>
      <c r="T896" s="1154"/>
      <c r="U896" s="1154"/>
      <c r="V896" s="1154"/>
      <c r="W896" s="1154"/>
      <c r="X896" s="1154"/>
      <c r="Y896" s="1154"/>
      <c r="Z896" s="1154"/>
    </row>
    <row r="897">
      <c r="A897" s="1154"/>
      <c r="B897" s="1154"/>
      <c r="C897" s="1154"/>
      <c r="D897" s="1154"/>
      <c r="E897" s="1154"/>
      <c r="F897" s="1154"/>
      <c r="G897" s="1154"/>
      <c r="H897" s="1154"/>
      <c r="I897" s="1154"/>
      <c r="J897" s="1154"/>
      <c r="K897" s="1154"/>
      <c r="L897" s="1154"/>
      <c r="M897" s="1154"/>
      <c r="N897" s="1154"/>
      <c r="O897" s="1154"/>
      <c r="P897" s="1154"/>
      <c r="Q897" s="1154"/>
      <c r="R897" s="1154"/>
      <c r="S897" s="1154"/>
      <c r="T897" s="1154"/>
      <c r="U897" s="1154"/>
      <c r="V897" s="1154"/>
      <c r="W897" s="1154"/>
      <c r="X897" s="1154"/>
      <c r="Y897" s="1154"/>
      <c r="Z897" s="1154"/>
    </row>
    <row r="898">
      <c r="A898" s="1154"/>
      <c r="B898" s="1154"/>
      <c r="C898" s="1154"/>
      <c r="D898" s="1154"/>
      <c r="E898" s="1154"/>
      <c r="F898" s="1154"/>
      <c r="G898" s="1154"/>
      <c r="H898" s="1154"/>
      <c r="I898" s="1154"/>
      <c r="J898" s="1154"/>
      <c r="K898" s="1154"/>
      <c r="L898" s="1154"/>
      <c r="M898" s="1154"/>
      <c r="N898" s="1154"/>
      <c r="O898" s="1154"/>
      <c r="P898" s="1154"/>
      <c r="Q898" s="1154"/>
      <c r="R898" s="1154"/>
      <c r="S898" s="1154"/>
      <c r="T898" s="1154"/>
      <c r="U898" s="1154"/>
      <c r="V898" s="1154"/>
      <c r="W898" s="1154"/>
      <c r="X898" s="1154"/>
      <c r="Y898" s="1154"/>
      <c r="Z898" s="1154"/>
    </row>
    <row r="899">
      <c r="A899" s="1154"/>
      <c r="B899" s="1154"/>
      <c r="C899" s="1154"/>
      <c r="D899" s="1154"/>
      <c r="E899" s="1154"/>
      <c r="F899" s="1154"/>
      <c r="G899" s="1154"/>
      <c r="H899" s="1154"/>
      <c r="I899" s="1154"/>
      <c r="J899" s="1154"/>
      <c r="K899" s="1154"/>
      <c r="L899" s="1154"/>
      <c r="M899" s="1154"/>
      <c r="N899" s="1154"/>
      <c r="O899" s="1154"/>
      <c r="P899" s="1154"/>
      <c r="Q899" s="1154"/>
      <c r="R899" s="1154"/>
      <c r="S899" s="1154"/>
      <c r="T899" s="1154"/>
      <c r="U899" s="1154"/>
      <c r="V899" s="1154"/>
      <c r="W899" s="1154"/>
      <c r="X899" s="1154"/>
      <c r="Y899" s="1154"/>
      <c r="Z899" s="1154"/>
    </row>
    <row r="900">
      <c r="A900" s="1154"/>
      <c r="B900" s="1154"/>
      <c r="C900" s="1154"/>
      <c r="D900" s="1154"/>
      <c r="E900" s="1154"/>
      <c r="F900" s="1154"/>
      <c r="G900" s="1154"/>
      <c r="H900" s="1154"/>
      <c r="I900" s="1154"/>
      <c r="J900" s="1154"/>
      <c r="K900" s="1154"/>
      <c r="L900" s="1154"/>
      <c r="M900" s="1154"/>
      <c r="N900" s="1154"/>
      <c r="O900" s="1154"/>
      <c r="P900" s="1154"/>
      <c r="Q900" s="1154"/>
      <c r="R900" s="1154"/>
      <c r="S900" s="1154"/>
      <c r="T900" s="1154"/>
      <c r="U900" s="1154"/>
      <c r="V900" s="1154"/>
      <c r="W900" s="1154"/>
      <c r="X900" s="1154"/>
      <c r="Y900" s="1154"/>
      <c r="Z900" s="1154"/>
    </row>
    <row r="901">
      <c r="A901" s="1154"/>
      <c r="B901" s="1154"/>
      <c r="C901" s="1154"/>
      <c r="D901" s="1154"/>
      <c r="E901" s="1154"/>
      <c r="F901" s="1154"/>
      <c r="G901" s="1154"/>
      <c r="H901" s="1154"/>
      <c r="I901" s="1154"/>
      <c r="J901" s="1154"/>
      <c r="K901" s="1154"/>
      <c r="L901" s="1154"/>
      <c r="M901" s="1154"/>
      <c r="N901" s="1154"/>
      <c r="O901" s="1154"/>
      <c r="P901" s="1154"/>
      <c r="Q901" s="1154"/>
      <c r="R901" s="1154"/>
      <c r="S901" s="1154"/>
      <c r="T901" s="1154"/>
      <c r="U901" s="1154"/>
      <c r="V901" s="1154"/>
      <c r="W901" s="1154"/>
      <c r="X901" s="1154"/>
      <c r="Y901" s="1154"/>
      <c r="Z901" s="1154"/>
    </row>
    <row r="902">
      <c r="A902" s="1154"/>
      <c r="B902" s="1154"/>
      <c r="C902" s="1154"/>
      <c r="D902" s="1154"/>
      <c r="E902" s="1154"/>
      <c r="F902" s="1154"/>
      <c r="G902" s="1154"/>
      <c r="H902" s="1154"/>
      <c r="I902" s="1154"/>
      <c r="J902" s="1154"/>
      <c r="K902" s="1154"/>
      <c r="L902" s="1154"/>
      <c r="M902" s="1154"/>
      <c r="N902" s="1154"/>
      <c r="O902" s="1154"/>
      <c r="P902" s="1154"/>
      <c r="Q902" s="1154"/>
      <c r="R902" s="1154"/>
      <c r="S902" s="1154"/>
      <c r="T902" s="1154"/>
      <c r="U902" s="1154"/>
      <c r="V902" s="1154"/>
      <c r="W902" s="1154"/>
      <c r="X902" s="1154"/>
      <c r="Y902" s="1154"/>
      <c r="Z902" s="1154"/>
    </row>
    <row r="903">
      <c r="A903" s="1154"/>
      <c r="B903" s="1154"/>
      <c r="C903" s="1154"/>
      <c r="D903" s="1154"/>
      <c r="E903" s="1154"/>
      <c r="F903" s="1154"/>
      <c r="G903" s="1154"/>
      <c r="H903" s="1154"/>
      <c r="I903" s="1154"/>
      <c r="J903" s="1154"/>
      <c r="K903" s="1154"/>
      <c r="L903" s="1154"/>
      <c r="M903" s="1154"/>
      <c r="N903" s="1154"/>
      <c r="O903" s="1154"/>
      <c r="P903" s="1154"/>
      <c r="Q903" s="1154"/>
      <c r="R903" s="1154"/>
      <c r="S903" s="1154"/>
      <c r="T903" s="1154"/>
      <c r="U903" s="1154"/>
      <c r="V903" s="1154"/>
      <c r="W903" s="1154"/>
      <c r="X903" s="1154"/>
      <c r="Y903" s="1154"/>
      <c r="Z903" s="1154"/>
    </row>
    <row r="904">
      <c r="A904" s="1154"/>
      <c r="B904" s="1154"/>
      <c r="C904" s="1154"/>
      <c r="D904" s="1154"/>
      <c r="E904" s="1154"/>
      <c r="F904" s="1154"/>
      <c r="G904" s="1154"/>
      <c r="H904" s="1154"/>
      <c r="I904" s="1154"/>
      <c r="J904" s="1154"/>
      <c r="K904" s="1154"/>
      <c r="L904" s="1154"/>
      <c r="M904" s="1154"/>
      <c r="N904" s="1154"/>
      <c r="O904" s="1154"/>
      <c r="P904" s="1154"/>
      <c r="Q904" s="1154"/>
      <c r="R904" s="1154"/>
      <c r="S904" s="1154"/>
      <c r="T904" s="1154"/>
      <c r="U904" s="1154"/>
      <c r="V904" s="1154"/>
      <c r="W904" s="1154"/>
      <c r="X904" s="1154"/>
      <c r="Y904" s="1154"/>
      <c r="Z904" s="1154"/>
    </row>
    <row r="905">
      <c r="A905" s="1154"/>
      <c r="B905" s="1154"/>
      <c r="C905" s="1154"/>
      <c r="D905" s="1154"/>
      <c r="E905" s="1154"/>
      <c r="F905" s="1154"/>
      <c r="G905" s="1154"/>
      <c r="H905" s="1154"/>
      <c r="I905" s="1154"/>
      <c r="J905" s="1154"/>
      <c r="K905" s="1154"/>
      <c r="L905" s="1154"/>
      <c r="M905" s="1154"/>
      <c r="N905" s="1154"/>
      <c r="O905" s="1154"/>
      <c r="P905" s="1154"/>
      <c r="Q905" s="1154"/>
      <c r="R905" s="1154"/>
      <c r="S905" s="1154"/>
      <c r="T905" s="1154"/>
      <c r="U905" s="1154"/>
      <c r="V905" s="1154"/>
      <c r="W905" s="1154"/>
      <c r="X905" s="1154"/>
      <c r="Y905" s="1154"/>
      <c r="Z905" s="1154"/>
    </row>
    <row r="906">
      <c r="A906" s="1154"/>
      <c r="B906" s="1154"/>
      <c r="C906" s="1154"/>
      <c r="D906" s="1154"/>
      <c r="E906" s="1154"/>
      <c r="F906" s="1154"/>
      <c r="G906" s="1154"/>
      <c r="H906" s="1154"/>
      <c r="I906" s="1154"/>
      <c r="J906" s="1154"/>
      <c r="K906" s="1154"/>
      <c r="L906" s="1154"/>
      <c r="M906" s="1154"/>
      <c r="N906" s="1154"/>
      <c r="O906" s="1154"/>
      <c r="P906" s="1154"/>
      <c r="Q906" s="1154"/>
      <c r="R906" s="1154"/>
      <c r="S906" s="1154"/>
      <c r="T906" s="1154"/>
      <c r="U906" s="1154"/>
      <c r="V906" s="1154"/>
      <c r="W906" s="1154"/>
      <c r="X906" s="1154"/>
      <c r="Y906" s="1154"/>
      <c r="Z906" s="1154"/>
    </row>
    <row r="907">
      <c r="A907" s="1154"/>
      <c r="B907" s="1154"/>
      <c r="C907" s="1154"/>
      <c r="D907" s="1154"/>
      <c r="E907" s="1154"/>
      <c r="F907" s="1154"/>
      <c r="G907" s="1154"/>
      <c r="H907" s="1154"/>
      <c r="I907" s="1154"/>
      <c r="J907" s="1154"/>
      <c r="K907" s="1154"/>
      <c r="L907" s="1154"/>
      <c r="M907" s="1154"/>
      <c r="N907" s="1154"/>
      <c r="O907" s="1154"/>
      <c r="P907" s="1154"/>
      <c r="Q907" s="1154"/>
      <c r="R907" s="1154"/>
      <c r="S907" s="1154"/>
      <c r="T907" s="1154"/>
      <c r="U907" s="1154"/>
      <c r="V907" s="1154"/>
      <c r="W907" s="1154"/>
      <c r="X907" s="1154"/>
      <c r="Y907" s="1154"/>
      <c r="Z907" s="1154"/>
    </row>
    <row r="908">
      <c r="A908" s="1154"/>
      <c r="B908" s="1154"/>
      <c r="C908" s="1154"/>
      <c r="D908" s="1154"/>
      <c r="E908" s="1154"/>
      <c r="F908" s="1154"/>
      <c r="G908" s="1154"/>
      <c r="H908" s="1154"/>
      <c r="I908" s="1154"/>
      <c r="J908" s="1154"/>
      <c r="K908" s="1154"/>
      <c r="L908" s="1154"/>
      <c r="M908" s="1154"/>
      <c r="N908" s="1154"/>
      <c r="O908" s="1154"/>
      <c r="P908" s="1154"/>
      <c r="Q908" s="1154"/>
      <c r="R908" s="1154"/>
      <c r="S908" s="1154"/>
      <c r="T908" s="1154"/>
      <c r="U908" s="1154"/>
      <c r="V908" s="1154"/>
      <c r="W908" s="1154"/>
      <c r="X908" s="1154"/>
      <c r="Y908" s="1154"/>
      <c r="Z908" s="1154"/>
    </row>
    <row r="909">
      <c r="A909" s="1154"/>
      <c r="B909" s="1154"/>
      <c r="C909" s="1154"/>
      <c r="D909" s="1154"/>
      <c r="E909" s="1154"/>
      <c r="F909" s="1154"/>
      <c r="G909" s="1154"/>
      <c r="H909" s="1154"/>
      <c r="I909" s="1154"/>
      <c r="J909" s="1154"/>
      <c r="K909" s="1154"/>
      <c r="L909" s="1154"/>
      <c r="M909" s="1154"/>
      <c r="N909" s="1154"/>
      <c r="O909" s="1154"/>
      <c r="P909" s="1154"/>
      <c r="Q909" s="1154"/>
      <c r="R909" s="1154"/>
      <c r="S909" s="1154"/>
      <c r="T909" s="1154"/>
      <c r="U909" s="1154"/>
      <c r="V909" s="1154"/>
      <c r="W909" s="1154"/>
      <c r="X909" s="1154"/>
      <c r="Y909" s="1154"/>
      <c r="Z909" s="1154"/>
    </row>
    <row r="910">
      <c r="A910" s="1154"/>
      <c r="B910" s="1154"/>
      <c r="C910" s="1154"/>
      <c r="D910" s="1154"/>
      <c r="E910" s="1154"/>
      <c r="F910" s="1154"/>
      <c r="G910" s="1154"/>
      <c r="H910" s="1154"/>
      <c r="I910" s="1154"/>
      <c r="J910" s="1154"/>
      <c r="K910" s="1154"/>
      <c r="L910" s="1154"/>
      <c r="M910" s="1154"/>
      <c r="N910" s="1154"/>
      <c r="O910" s="1154"/>
      <c r="P910" s="1154"/>
      <c r="Q910" s="1154"/>
      <c r="R910" s="1154"/>
      <c r="S910" s="1154"/>
      <c r="T910" s="1154"/>
      <c r="U910" s="1154"/>
      <c r="V910" s="1154"/>
      <c r="W910" s="1154"/>
      <c r="X910" s="1154"/>
      <c r="Y910" s="1154"/>
      <c r="Z910" s="1154"/>
    </row>
    <row r="911">
      <c r="A911" s="1154"/>
      <c r="B911" s="1154"/>
      <c r="C911" s="1154"/>
      <c r="D911" s="1154"/>
      <c r="E911" s="1154"/>
      <c r="F911" s="1154"/>
      <c r="G911" s="1154"/>
      <c r="H911" s="1154"/>
      <c r="I911" s="1154"/>
      <c r="J911" s="1154"/>
      <c r="K911" s="1154"/>
      <c r="L911" s="1154"/>
      <c r="M911" s="1154"/>
      <c r="N911" s="1154"/>
      <c r="O911" s="1154"/>
      <c r="P911" s="1154"/>
      <c r="Q911" s="1154"/>
      <c r="R911" s="1154"/>
      <c r="S911" s="1154"/>
      <c r="T911" s="1154"/>
      <c r="U911" s="1154"/>
      <c r="V911" s="1154"/>
      <c r="W911" s="1154"/>
      <c r="X911" s="1154"/>
      <c r="Y911" s="1154"/>
      <c r="Z911" s="1154"/>
    </row>
    <row r="912">
      <c r="A912" s="1154"/>
      <c r="B912" s="1154"/>
      <c r="C912" s="1154"/>
      <c r="D912" s="1154"/>
      <c r="E912" s="1154"/>
      <c r="F912" s="1154"/>
      <c r="G912" s="1154"/>
      <c r="H912" s="1154"/>
      <c r="I912" s="1154"/>
      <c r="J912" s="1154"/>
      <c r="K912" s="1154"/>
      <c r="L912" s="1154"/>
      <c r="M912" s="1154"/>
      <c r="N912" s="1154"/>
      <c r="O912" s="1154"/>
      <c r="P912" s="1154"/>
      <c r="Q912" s="1154"/>
      <c r="R912" s="1154"/>
      <c r="S912" s="1154"/>
      <c r="T912" s="1154"/>
      <c r="U912" s="1154"/>
      <c r="V912" s="1154"/>
      <c r="W912" s="1154"/>
      <c r="X912" s="1154"/>
      <c r="Y912" s="1154"/>
      <c r="Z912" s="1154"/>
    </row>
    <row r="913">
      <c r="A913" s="1154"/>
      <c r="B913" s="1154"/>
      <c r="C913" s="1154"/>
      <c r="D913" s="1154"/>
      <c r="E913" s="1154"/>
      <c r="F913" s="1154"/>
      <c r="G913" s="1154"/>
      <c r="H913" s="1154"/>
      <c r="I913" s="1154"/>
      <c r="J913" s="1154"/>
      <c r="K913" s="1154"/>
      <c r="L913" s="1154"/>
      <c r="M913" s="1154"/>
      <c r="N913" s="1154"/>
      <c r="O913" s="1154"/>
      <c r="P913" s="1154"/>
      <c r="Q913" s="1154"/>
      <c r="R913" s="1154"/>
      <c r="S913" s="1154"/>
      <c r="T913" s="1154"/>
      <c r="U913" s="1154"/>
      <c r="V913" s="1154"/>
      <c r="W913" s="1154"/>
      <c r="X913" s="1154"/>
      <c r="Y913" s="1154"/>
      <c r="Z913" s="1154"/>
    </row>
    <row r="914">
      <c r="A914" s="1154"/>
      <c r="B914" s="1154"/>
      <c r="C914" s="1154"/>
      <c r="D914" s="1154"/>
      <c r="E914" s="1154"/>
      <c r="F914" s="1154"/>
      <c r="G914" s="1154"/>
      <c r="H914" s="1154"/>
      <c r="I914" s="1154"/>
      <c r="J914" s="1154"/>
      <c r="K914" s="1154"/>
      <c r="L914" s="1154"/>
      <c r="M914" s="1154"/>
      <c r="N914" s="1154"/>
      <c r="O914" s="1154"/>
      <c r="P914" s="1154"/>
      <c r="Q914" s="1154"/>
      <c r="R914" s="1154"/>
      <c r="S914" s="1154"/>
      <c r="T914" s="1154"/>
      <c r="U914" s="1154"/>
      <c r="V914" s="1154"/>
      <c r="W914" s="1154"/>
      <c r="X914" s="1154"/>
      <c r="Y914" s="1154"/>
      <c r="Z914" s="1154"/>
    </row>
    <row r="915">
      <c r="A915" s="1154"/>
      <c r="B915" s="1154"/>
      <c r="C915" s="1154"/>
      <c r="D915" s="1154"/>
      <c r="E915" s="1154"/>
      <c r="F915" s="1154"/>
      <c r="G915" s="1154"/>
      <c r="H915" s="1154"/>
      <c r="I915" s="1154"/>
      <c r="J915" s="1154"/>
      <c r="K915" s="1154"/>
      <c r="L915" s="1154"/>
      <c r="M915" s="1154"/>
      <c r="N915" s="1154"/>
      <c r="O915" s="1154"/>
      <c r="P915" s="1154"/>
      <c r="Q915" s="1154"/>
      <c r="R915" s="1154"/>
      <c r="S915" s="1154"/>
      <c r="T915" s="1154"/>
      <c r="U915" s="1154"/>
      <c r="V915" s="1154"/>
      <c r="W915" s="1154"/>
      <c r="X915" s="1154"/>
      <c r="Y915" s="1154"/>
      <c r="Z915" s="1154"/>
    </row>
    <row r="916">
      <c r="A916" s="1154"/>
      <c r="B916" s="1154"/>
      <c r="C916" s="1154"/>
      <c r="D916" s="1154"/>
      <c r="E916" s="1154"/>
      <c r="F916" s="1154"/>
      <c r="G916" s="1154"/>
      <c r="H916" s="1154"/>
      <c r="I916" s="1154"/>
      <c r="J916" s="1154"/>
      <c r="K916" s="1154"/>
      <c r="L916" s="1154"/>
      <c r="M916" s="1154"/>
      <c r="N916" s="1154"/>
      <c r="O916" s="1154"/>
      <c r="P916" s="1154"/>
      <c r="Q916" s="1154"/>
      <c r="R916" s="1154"/>
      <c r="S916" s="1154"/>
      <c r="T916" s="1154"/>
      <c r="U916" s="1154"/>
      <c r="V916" s="1154"/>
      <c r="W916" s="1154"/>
      <c r="X916" s="1154"/>
      <c r="Y916" s="1154"/>
      <c r="Z916" s="1154"/>
    </row>
    <row r="917">
      <c r="A917" s="1154"/>
      <c r="B917" s="1154"/>
      <c r="C917" s="1154"/>
      <c r="D917" s="1154"/>
      <c r="E917" s="1154"/>
      <c r="F917" s="1154"/>
      <c r="G917" s="1154"/>
      <c r="H917" s="1154"/>
      <c r="I917" s="1154"/>
      <c r="J917" s="1154"/>
      <c r="K917" s="1154"/>
      <c r="L917" s="1154"/>
      <c r="M917" s="1154"/>
      <c r="N917" s="1154"/>
      <c r="O917" s="1154"/>
      <c r="P917" s="1154"/>
      <c r="Q917" s="1154"/>
      <c r="R917" s="1154"/>
      <c r="S917" s="1154"/>
      <c r="T917" s="1154"/>
      <c r="U917" s="1154"/>
      <c r="V917" s="1154"/>
      <c r="W917" s="1154"/>
      <c r="X917" s="1154"/>
      <c r="Y917" s="1154"/>
      <c r="Z917" s="1154"/>
    </row>
    <row r="918">
      <c r="A918" s="1154"/>
      <c r="B918" s="1154"/>
      <c r="C918" s="1154"/>
      <c r="D918" s="1154"/>
      <c r="E918" s="1154"/>
      <c r="F918" s="1154"/>
      <c r="G918" s="1154"/>
      <c r="H918" s="1154"/>
      <c r="I918" s="1154"/>
      <c r="J918" s="1154"/>
      <c r="K918" s="1154"/>
      <c r="L918" s="1154"/>
      <c r="M918" s="1154"/>
      <c r="N918" s="1154"/>
      <c r="O918" s="1154"/>
      <c r="P918" s="1154"/>
      <c r="Q918" s="1154"/>
      <c r="R918" s="1154"/>
      <c r="S918" s="1154"/>
      <c r="T918" s="1154"/>
      <c r="U918" s="1154"/>
      <c r="V918" s="1154"/>
      <c r="W918" s="1154"/>
      <c r="X918" s="1154"/>
      <c r="Y918" s="1154"/>
      <c r="Z918" s="1154"/>
    </row>
    <row r="919">
      <c r="A919" s="1154"/>
      <c r="B919" s="1154"/>
      <c r="C919" s="1154"/>
      <c r="D919" s="1154"/>
      <c r="E919" s="1154"/>
      <c r="F919" s="1154"/>
      <c r="G919" s="1154"/>
      <c r="H919" s="1154"/>
      <c r="I919" s="1154"/>
      <c r="J919" s="1154"/>
      <c r="K919" s="1154"/>
      <c r="L919" s="1154"/>
      <c r="M919" s="1154"/>
      <c r="N919" s="1154"/>
      <c r="O919" s="1154"/>
      <c r="P919" s="1154"/>
      <c r="Q919" s="1154"/>
      <c r="R919" s="1154"/>
      <c r="S919" s="1154"/>
      <c r="T919" s="1154"/>
      <c r="U919" s="1154"/>
      <c r="V919" s="1154"/>
      <c r="W919" s="1154"/>
      <c r="X919" s="1154"/>
      <c r="Y919" s="1154"/>
      <c r="Z919" s="1154"/>
    </row>
    <row r="920">
      <c r="A920" s="1154"/>
      <c r="B920" s="1154"/>
      <c r="C920" s="1154"/>
      <c r="D920" s="1154"/>
      <c r="E920" s="1154"/>
      <c r="F920" s="1154"/>
      <c r="G920" s="1154"/>
      <c r="H920" s="1154"/>
      <c r="I920" s="1154"/>
      <c r="J920" s="1154"/>
      <c r="K920" s="1154"/>
      <c r="L920" s="1154"/>
      <c r="M920" s="1154"/>
      <c r="N920" s="1154"/>
      <c r="O920" s="1154"/>
      <c r="P920" s="1154"/>
      <c r="Q920" s="1154"/>
      <c r="R920" s="1154"/>
      <c r="S920" s="1154"/>
      <c r="T920" s="1154"/>
      <c r="U920" s="1154"/>
      <c r="V920" s="1154"/>
      <c r="W920" s="1154"/>
      <c r="X920" s="1154"/>
      <c r="Y920" s="1154"/>
      <c r="Z920" s="1154"/>
    </row>
    <row r="921">
      <c r="A921" s="1154"/>
      <c r="B921" s="1154"/>
      <c r="C921" s="1154"/>
      <c r="D921" s="1154"/>
      <c r="E921" s="1154"/>
      <c r="F921" s="1154"/>
      <c r="G921" s="1154"/>
      <c r="H921" s="1154"/>
      <c r="I921" s="1154"/>
      <c r="J921" s="1154"/>
      <c r="K921" s="1154"/>
      <c r="L921" s="1154"/>
      <c r="M921" s="1154"/>
      <c r="N921" s="1154"/>
      <c r="O921" s="1154"/>
      <c r="P921" s="1154"/>
      <c r="Q921" s="1154"/>
      <c r="R921" s="1154"/>
      <c r="S921" s="1154"/>
      <c r="T921" s="1154"/>
      <c r="U921" s="1154"/>
      <c r="V921" s="1154"/>
      <c r="W921" s="1154"/>
      <c r="X921" s="1154"/>
      <c r="Y921" s="1154"/>
      <c r="Z921" s="1154"/>
    </row>
    <row r="922">
      <c r="A922" s="1154"/>
      <c r="B922" s="1154"/>
      <c r="C922" s="1154"/>
      <c r="D922" s="1154"/>
      <c r="E922" s="1154"/>
      <c r="F922" s="1154"/>
      <c r="G922" s="1154"/>
      <c r="H922" s="1154"/>
      <c r="I922" s="1154"/>
      <c r="J922" s="1154"/>
      <c r="K922" s="1154"/>
      <c r="L922" s="1154"/>
      <c r="M922" s="1154"/>
      <c r="N922" s="1154"/>
      <c r="O922" s="1154"/>
      <c r="P922" s="1154"/>
      <c r="Q922" s="1154"/>
      <c r="R922" s="1154"/>
      <c r="S922" s="1154"/>
      <c r="T922" s="1154"/>
      <c r="U922" s="1154"/>
      <c r="V922" s="1154"/>
      <c r="W922" s="1154"/>
      <c r="X922" s="1154"/>
      <c r="Y922" s="1154"/>
      <c r="Z922" s="1154"/>
    </row>
    <row r="923">
      <c r="A923" s="1154"/>
      <c r="B923" s="1154"/>
      <c r="C923" s="1154"/>
      <c r="D923" s="1154"/>
      <c r="E923" s="1154"/>
      <c r="F923" s="1154"/>
      <c r="G923" s="1154"/>
      <c r="H923" s="1154"/>
      <c r="I923" s="1154"/>
      <c r="J923" s="1154"/>
      <c r="K923" s="1154"/>
      <c r="L923" s="1154"/>
      <c r="M923" s="1154"/>
      <c r="N923" s="1154"/>
      <c r="O923" s="1154"/>
      <c r="P923" s="1154"/>
      <c r="Q923" s="1154"/>
      <c r="R923" s="1154"/>
      <c r="S923" s="1154"/>
      <c r="T923" s="1154"/>
      <c r="U923" s="1154"/>
      <c r="V923" s="1154"/>
      <c r="W923" s="1154"/>
      <c r="X923" s="1154"/>
      <c r="Y923" s="1154"/>
      <c r="Z923" s="1154"/>
    </row>
    <row r="924">
      <c r="A924" s="1154"/>
      <c r="B924" s="1154"/>
      <c r="C924" s="1154"/>
      <c r="D924" s="1154"/>
      <c r="E924" s="1154"/>
      <c r="F924" s="1154"/>
      <c r="G924" s="1154"/>
      <c r="H924" s="1154"/>
      <c r="I924" s="1154"/>
      <c r="J924" s="1154"/>
      <c r="K924" s="1154"/>
      <c r="L924" s="1154"/>
      <c r="M924" s="1154"/>
      <c r="N924" s="1154"/>
      <c r="O924" s="1154"/>
      <c r="P924" s="1154"/>
      <c r="Q924" s="1154"/>
      <c r="R924" s="1154"/>
      <c r="S924" s="1154"/>
      <c r="T924" s="1154"/>
      <c r="U924" s="1154"/>
      <c r="V924" s="1154"/>
      <c r="W924" s="1154"/>
      <c r="X924" s="1154"/>
      <c r="Y924" s="1154"/>
      <c r="Z924" s="1154"/>
    </row>
    <row r="925">
      <c r="A925" s="1154"/>
      <c r="B925" s="1154"/>
      <c r="C925" s="1154"/>
      <c r="D925" s="1154"/>
      <c r="E925" s="1154"/>
      <c r="F925" s="1154"/>
      <c r="G925" s="1154"/>
      <c r="H925" s="1154"/>
      <c r="I925" s="1154"/>
      <c r="J925" s="1154"/>
      <c r="K925" s="1154"/>
      <c r="L925" s="1154"/>
      <c r="M925" s="1154"/>
      <c r="N925" s="1154"/>
      <c r="O925" s="1154"/>
      <c r="P925" s="1154"/>
      <c r="Q925" s="1154"/>
      <c r="R925" s="1154"/>
      <c r="S925" s="1154"/>
      <c r="T925" s="1154"/>
      <c r="U925" s="1154"/>
      <c r="V925" s="1154"/>
      <c r="W925" s="1154"/>
      <c r="X925" s="1154"/>
      <c r="Y925" s="1154"/>
      <c r="Z925" s="1154"/>
    </row>
    <row r="926">
      <c r="A926" s="1154"/>
      <c r="B926" s="1154"/>
      <c r="C926" s="1154"/>
      <c r="D926" s="1154"/>
      <c r="E926" s="1154"/>
      <c r="F926" s="1154"/>
      <c r="G926" s="1154"/>
      <c r="H926" s="1154"/>
      <c r="I926" s="1154"/>
      <c r="J926" s="1154"/>
      <c r="K926" s="1154"/>
      <c r="L926" s="1154"/>
      <c r="M926" s="1154"/>
      <c r="N926" s="1154"/>
      <c r="O926" s="1154"/>
      <c r="P926" s="1154"/>
      <c r="Q926" s="1154"/>
      <c r="R926" s="1154"/>
      <c r="S926" s="1154"/>
      <c r="T926" s="1154"/>
      <c r="U926" s="1154"/>
      <c r="V926" s="1154"/>
      <c r="W926" s="1154"/>
      <c r="X926" s="1154"/>
      <c r="Y926" s="1154"/>
      <c r="Z926" s="1154"/>
    </row>
    <row r="927">
      <c r="A927" s="1154"/>
      <c r="B927" s="1154"/>
      <c r="C927" s="1154"/>
      <c r="D927" s="1154"/>
      <c r="E927" s="1154"/>
      <c r="F927" s="1154"/>
      <c r="G927" s="1154"/>
      <c r="H927" s="1154"/>
      <c r="I927" s="1154"/>
      <c r="J927" s="1154"/>
      <c r="K927" s="1154"/>
      <c r="L927" s="1154"/>
      <c r="M927" s="1154"/>
      <c r="N927" s="1154"/>
      <c r="O927" s="1154"/>
      <c r="P927" s="1154"/>
      <c r="Q927" s="1154"/>
      <c r="R927" s="1154"/>
      <c r="S927" s="1154"/>
      <c r="T927" s="1154"/>
      <c r="U927" s="1154"/>
      <c r="V927" s="1154"/>
      <c r="W927" s="1154"/>
      <c r="X927" s="1154"/>
      <c r="Y927" s="1154"/>
      <c r="Z927" s="1154"/>
    </row>
    <row r="928">
      <c r="A928" s="1154"/>
      <c r="B928" s="1154"/>
      <c r="C928" s="1154"/>
      <c r="D928" s="1154"/>
      <c r="E928" s="1154"/>
      <c r="F928" s="1154"/>
      <c r="G928" s="1154"/>
      <c r="H928" s="1154"/>
      <c r="I928" s="1154"/>
      <c r="J928" s="1154"/>
      <c r="K928" s="1154"/>
      <c r="L928" s="1154"/>
      <c r="M928" s="1154"/>
      <c r="N928" s="1154"/>
      <c r="O928" s="1154"/>
      <c r="P928" s="1154"/>
      <c r="Q928" s="1154"/>
      <c r="R928" s="1154"/>
      <c r="S928" s="1154"/>
      <c r="T928" s="1154"/>
      <c r="U928" s="1154"/>
      <c r="V928" s="1154"/>
      <c r="W928" s="1154"/>
      <c r="X928" s="1154"/>
      <c r="Y928" s="1154"/>
      <c r="Z928" s="1154"/>
    </row>
    <row r="929">
      <c r="A929" s="1154"/>
      <c r="B929" s="1154"/>
      <c r="C929" s="1154"/>
      <c r="D929" s="1154"/>
      <c r="E929" s="1154"/>
      <c r="F929" s="1154"/>
      <c r="G929" s="1154"/>
      <c r="H929" s="1154"/>
      <c r="I929" s="1154"/>
      <c r="J929" s="1154"/>
      <c r="K929" s="1154"/>
      <c r="L929" s="1154"/>
      <c r="M929" s="1154"/>
      <c r="N929" s="1154"/>
      <c r="O929" s="1154"/>
      <c r="P929" s="1154"/>
      <c r="Q929" s="1154"/>
      <c r="R929" s="1154"/>
      <c r="S929" s="1154"/>
      <c r="T929" s="1154"/>
      <c r="U929" s="1154"/>
      <c r="V929" s="1154"/>
      <c r="W929" s="1154"/>
      <c r="X929" s="1154"/>
      <c r="Y929" s="1154"/>
      <c r="Z929" s="1154"/>
    </row>
    <row r="930">
      <c r="A930" s="1154"/>
      <c r="B930" s="1154"/>
      <c r="C930" s="1154"/>
      <c r="D930" s="1154"/>
      <c r="E930" s="1154"/>
      <c r="F930" s="1154"/>
      <c r="G930" s="1154"/>
      <c r="H930" s="1154"/>
      <c r="I930" s="1154"/>
      <c r="J930" s="1154"/>
      <c r="K930" s="1154"/>
      <c r="L930" s="1154"/>
      <c r="M930" s="1154"/>
      <c r="N930" s="1154"/>
      <c r="O930" s="1154"/>
      <c r="P930" s="1154"/>
      <c r="Q930" s="1154"/>
      <c r="R930" s="1154"/>
      <c r="S930" s="1154"/>
      <c r="T930" s="1154"/>
      <c r="U930" s="1154"/>
      <c r="V930" s="1154"/>
      <c r="W930" s="1154"/>
      <c r="X930" s="1154"/>
      <c r="Y930" s="1154"/>
      <c r="Z930" s="1154"/>
    </row>
    <row r="931">
      <c r="A931" s="1154"/>
      <c r="B931" s="1154"/>
      <c r="C931" s="1154"/>
      <c r="D931" s="1154"/>
      <c r="E931" s="1154"/>
      <c r="F931" s="1154"/>
      <c r="G931" s="1154"/>
      <c r="H931" s="1154"/>
      <c r="I931" s="1154"/>
      <c r="J931" s="1154"/>
      <c r="K931" s="1154"/>
      <c r="L931" s="1154"/>
      <c r="M931" s="1154"/>
      <c r="N931" s="1154"/>
      <c r="O931" s="1154"/>
      <c r="P931" s="1154"/>
      <c r="Q931" s="1154"/>
      <c r="R931" s="1154"/>
      <c r="S931" s="1154"/>
      <c r="T931" s="1154"/>
      <c r="U931" s="1154"/>
      <c r="V931" s="1154"/>
      <c r="W931" s="1154"/>
      <c r="X931" s="1154"/>
      <c r="Y931" s="1154"/>
      <c r="Z931" s="1154"/>
    </row>
    <row r="932">
      <c r="A932" s="1154"/>
      <c r="B932" s="1154"/>
      <c r="C932" s="1154"/>
      <c r="D932" s="1154"/>
      <c r="E932" s="1154"/>
      <c r="F932" s="1154"/>
      <c r="G932" s="1154"/>
      <c r="H932" s="1154"/>
      <c r="I932" s="1154"/>
      <c r="J932" s="1154"/>
      <c r="K932" s="1154"/>
      <c r="L932" s="1154"/>
      <c r="M932" s="1154"/>
      <c r="N932" s="1154"/>
      <c r="O932" s="1154"/>
      <c r="P932" s="1154"/>
      <c r="Q932" s="1154"/>
      <c r="R932" s="1154"/>
      <c r="S932" s="1154"/>
      <c r="T932" s="1154"/>
      <c r="U932" s="1154"/>
      <c r="V932" s="1154"/>
      <c r="W932" s="1154"/>
      <c r="X932" s="1154"/>
      <c r="Y932" s="1154"/>
      <c r="Z932" s="1154"/>
    </row>
    <row r="933">
      <c r="A933" s="1154"/>
      <c r="B933" s="1154"/>
      <c r="C933" s="1154"/>
      <c r="D933" s="1154"/>
      <c r="E933" s="1154"/>
      <c r="F933" s="1154"/>
      <c r="G933" s="1154"/>
      <c r="H933" s="1154"/>
      <c r="I933" s="1154"/>
      <c r="J933" s="1154"/>
      <c r="K933" s="1154"/>
      <c r="L933" s="1154"/>
      <c r="M933" s="1154"/>
      <c r="N933" s="1154"/>
      <c r="O933" s="1154"/>
      <c r="P933" s="1154"/>
      <c r="Q933" s="1154"/>
      <c r="R933" s="1154"/>
      <c r="S933" s="1154"/>
      <c r="T933" s="1154"/>
      <c r="U933" s="1154"/>
      <c r="V933" s="1154"/>
      <c r="W933" s="1154"/>
      <c r="X933" s="1154"/>
      <c r="Y933" s="1154"/>
      <c r="Z933" s="1154"/>
    </row>
    <row r="934">
      <c r="A934" s="1154"/>
      <c r="B934" s="1154"/>
      <c r="C934" s="1154"/>
      <c r="D934" s="1154"/>
      <c r="E934" s="1154"/>
      <c r="F934" s="1154"/>
      <c r="G934" s="1154"/>
      <c r="H934" s="1154"/>
      <c r="I934" s="1154"/>
      <c r="J934" s="1154"/>
      <c r="K934" s="1154"/>
      <c r="L934" s="1154"/>
      <c r="M934" s="1154"/>
      <c r="N934" s="1154"/>
      <c r="O934" s="1154"/>
      <c r="P934" s="1154"/>
      <c r="Q934" s="1154"/>
      <c r="R934" s="1154"/>
      <c r="S934" s="1154"/>
      <c r="T934" s="1154"/>
      <c r="U934" s="1154"/>
      <c r="V934" s="1154"/>
      <c r="W934" s="1154"/>
      <c r="X934" s="1154"/>
      <c r="Y934" s="1154"/>
      <c r="Z934" s="1154"/>
    </row>
    <row r="935">
      <c r="A935" s="1154"/>
      <c r="B935" s="1154"/>
      <c r="C935" s="1154"/>
      <c r="D935" s="1154"/>
      <c r="E935" s="1154"/>
      <c r="F935" s="1154"/>
      <c r="G935" s="1154"/>
      <c r="H935" s="1154"/>
      <c r="I935" s="1154"/>
      <c r="J935" s="1154"/>
      <c r="K935" s="1154"/>
      <c r="L935" s="1154"/>
      <c r="M935" s="1154"/>
      <c r="N935" s="1154"/>
      <c r="O935" s="1154"/>
      <c r="P935" s="1154"/>
      <c r="Q935" s="1154"/>
      <c r="R935" s="1154"/>
      <c r="S935" s="1154"/>
      <c r="T935" s="1154"/>
      <c r="U935" s="1154"/>
      <c r="V935" s="1154"/>
      <c r="W935" s="1154"/>
      <c r="X935" s="1154"/>
      <c r="Y935" s="1154"/>
      <c r="Z935" s="1154"/>
    </row>
    <row r="936">
      <c r="A936" s="1154"/>
      <c r="B936" s="1154"/>
      <c r="C936" s="1154"/>
      <c r="D936" s="1154"/>
      <c r="E936" s="1154"/>
      <c r="F936" s="1154"/>
      <c r="G936" s="1154"/>
      <c r="H936" s="1154"/>
      <c r="I936" s="1154"/>
      <c r="J936" s="1154"/>
      <c r="K936" s="1154"/>
      <c r="L936" s="1154"/>
      <c r="M936" s="1154"/>
      <c r="N936" s="1154"/>
      <c r="O936" s="1154"/>
      <c r="P936" s="1154"/>
      <c r="Q936" s="1154"/>
      <c r="R936" s="1154"/>
      <c r="S936" s="1154"/>
      <c r="T936" s="1154"/>
      <c r="U936" s="1154"/>
      <c r="V936" s="1154"/>
      <c r="W936" s="1154"/>
      <c r="X936" s="1154"/>
      <c r="Y936" s="1154"/>
      <c r="Z936" s="1154"/>
    </row>
    <row r="937">
      <c r="A937" s="1154"/>
      <c r="B937" s="1154"/>
      <c r="C937" s="1154"/>
      <c r="D937" s="1154"/>
      <c r="E937" s="1154"/>
      <c r="F937" s="1154"/>
      <c r="G937" s="1154"/>
      <c r="H937" s="1154"/>
      <c r="I937" s="1154"/>
      <c r="J937" s="1154"/>
      <c r="K937" s="1154"/>
      <c r="L937" s="1154"/>
      <c r="M937" s="1154"/>
      <c r="N937" s="1154"/>
      <c r="O937" s="1154"/>
      <c r="P937" s="1154"/>
      <c r="Q937" s="1154"/>
      <c r="R937" s="1154"/>
      <c r="S937" s="1154"/>
      <c r="T937" s="1154"/>
      <c r="U937" s="1154"/>
      <c r="V937" s="1154"/>
      <c r="W937" s="1154"/>
      <c r="X937" s="1154"/>
      <c r="Y937" s="1154"/>
      <c r="Z937" s="1154"/>
    </row>
    <row r="938">
      <c r="A938" s="1154"/>
      <c r="B938" s="1154"/>
      <c r="C938" s="1154"/>
      <c r="D938" s="1154"/>
      <c r="E938" s="1154"/>
      <c r="F938" s="1154"/>
      <c r="G938" s="1154"/>
      <c r="H938" s="1154"/>
      <c r="I938" s="1154"/>
      <c r="J938" s="1154"/>
      <c r="K938" s="1154"/>
      <c r="L938" s="1154"/>
      <c r="M938" s="1154"/>
      <c r="N938" s="1154"/>
      <c r="O938" s="1154"/>
      <c r="P938" s="1154"/>
      <c r="Q938" s="1154"/>
      <c r="R938" s="1154"/>
      <c r="S938" s="1154"/>
      <c r="T938" s="1154"/>
      <c r="U938" s="1154"/>
      <c r="V938" s="1154"/>
      <c r="W938" s="1154"/>
      <c r="X938" s="1154"/>
      <c r="Y938" s="1154"/>
      <c r="Z938" s="1154"/>
    </row>
    <row r="939">
      <c r="A939" s="1154"/>
      <c r="B939" s="1154"/>
      <c r="C939" s="1154"/>
      <c r="D939" s="1154"/>
      <c r="E939" s="1154"/>
      <c r="F939" s="1154"/>
      <c r="G939" s="1154"/>
      <c r="H939" s="1154"/>
      <c r="I939" s="1154"/>
      <c r="J939" s="1154"/>
      <c r="K939" s="1154"/>
      <c r="L939" s="1154"/>
      <c r="M939" s="1154"/>
      <c r="N939" s="1154"/>
      <c r="O939" s="1154"/>
      <c r="P939" s="1154"/>
      <c r="Q939" s="1154"/>
      <c r="R939" s="1154"/>
      <c r="S939" s="1154"/>
      <c r="T939" s="1154"/>
      <c r="U939" s="1154"/>
      <c r="V939" s="1154"/>
      <c r="W939" s="1154"/>
      <c r="X939" s="1154"/>
      <c r="Y939" s="1154"/>
      <c r="Z939" s="1154"/>
    </row>
    <row r="940">
      <c r="A940" s="1154"/>
      <c r="B940" s="1154"/>
      <c r="C940" s="1154"/>
      <c r="D940" s="1154"/>
      <c r="E940" s="1154"/>
      <c r="F940" s="1154"/>
      <c r="G940" s="1154"/>
      <c r="H940" s="1154"/>
      <c r="I940" s="1154"/>
      <c r="J940" s="1154"/>
      <c r="K940" s="1154"/>
      <c r="L940" s="1154"/>
      <c r="M940" s="1154"/>
      <c r="N940" s="1154"/>
      <c r="O940" s="1154"/>
      <c r="P940" s="1154"/>
      <c r="Q940" s="1154"/>
      <c r="R940" s="1154"/>
      <c r="S940" s="1154"/>
      <c r="T940" s="1154"/>
      <c r="U940" s="1154"/>
      <c r="V940" s="1154"/>
      <c r="W940" s="1154"/>
      <c r="X940" s="1154"/>
      <c r="Y940" s="1154"/>
      <c r="Z940" s="1154"/>
    </row>
    <row r="941">
      <c r="A941" s="1154"/>
      <c r="B941" s="1154"/>
      <c r="C941" s="1154"/>
      <c r="D941" s="1154"/>
      <c r="E941" s="1154"/>
      <c r="F941" s="1154"/>
      <c r="G941" s="1154"/>
      <c r="H941" s="1154"/>
      <c r="I941" s="1154"/>
      <c r="J941" s="1154"/>
      <c r="K941" s="1154"/>
      <c r="L941" s="1154"/>
      <c r="M941" s="1154"/>
      <c r="N941" s="1154"/>
      <c r="O941" s="1154"/>
      <c r="P941" s="1154"/>
      <c r="Q941" s="1154"/>
      <c r="R941" s="1154"/>
      <c r="S941" s="1154"/>
      <c r="T941" s="1154"/>
      <c r="U941" s="1154"/>
      <c r="V941" s="1154"/>
      <c r="W941" s="1154"/>
      <c r="X941" s="1154"/>
      <c r="Y941" s="1154"/>
      <c r="Z941" s="1154"/>
    </row>
    <row r="942">
      <c r="A942" s="1154"/>
      <c r="B942" s="1154"/>
      <c r="C942" s="1154"/>
      <c r="D942" s="1154"/>
      <c r="E942" s="1154"/>
      <c r="F942" s="1154"/>
      <c r="G942" s="1154"/>
      <c r="H942" s="1154"/>
      <c r="I942" s="1154"/>
      <c r="J942" s="1154"/>
      <c r="K942" s="1154"/>
      <c r="L942" s="1154"/>
      <c r="M942" s="1154"/>
      <c r="N942" s="1154"/>
      <c r="O942" s="1154"/>
      <c r="P942" s="1154"/>
      <c r="Q942" s="1154"/>
      <c r="R942" s="1154"/>
      <c r="S942" s="1154"/>
      <c r="T942" s="1154"/>
      <c r="U942" s="1154"/>
      <c r="V942" s="1154"/>
      <c r="W942" s="1154"/>
      <c r="X942" s="1154"/>
      <c r="Y942" s="1154"/>
      <c r="Z942" s="1154"/>
    </row>
    <row r="943">
      <c r="A943" s="1154"/>
      <c r="B943" s="1154"/>
      <c r="C943" s="1154"/>
      <c r="D943" s="1154"/>
      <c r="E943" s="1154"/>
      <c r="F943" s="1154"/>
      <c r="G943" s="1154"/>
      <c r="H943" s="1154"/>
      <c r="I943" s="1154"/>
      <c r="J943" s="1154"/>
      <c r="K943" s="1154"/>
      <c r="L943" s="1154"/>
      <c r="M943" s="1154"/>
      <c r="N943" s="1154"/>
      <c r="O943" s="1154"/>
      <c r="P943" s="1154"/>
      <c r="Q943" s="1154"/>
      <c r="R943" s="1154"/>
      <c r="S943" s="1154"/>
      <c r="T943" s="1154"/>
      <c r="U943" s="1154"/>
      <c r="V943" s="1154"/>
      <c r="W943" s="1154"/>
      <c r="X943" s="1154"/>
      <c r="Y943" s="1154"/>
      <c r="Z943" s="1154"/>
    </row>
    <row r="944">
      <c r="A944" s="1154"/>
      <c r="B944" s="1154"/>
      <c r="C944" s="1154"/>
      <c r="D944" s="1154"/>
      <c r="E944" s="1154"/>
      <c r="F944" s="1154"/>
      <c r="G944" s="1154"/>
      <c r="H944" s="1154"/>
      <c r="I944" s="1154"/>
      <c r="J944" s="1154"/>
      <c r="K944" s="1154"/>
      <c r="L944" s="1154"/>
      <c r="M944" s="1154"/>
      <c r="N944" s="1154"/>
      <c r="O944" s="1154"/>
      <c r="P944" s="1154"/>
      <c r="Q944" s="1154"/>
      <c r="R944" s="1154"/>
      <c r="S944" s="1154"/>
      <c r="T944" s="1154"/>
      <c r="U944" s="1154"/>
      <c r="V944" s="1154"/>
      <c r="W944" s="1154"/>
      <c r="X944" s="1154"/>
      <c r="Y944" s="1154"/>
      <c r="Z944" s="1154"/>
    </row>
    <row r="945">
      <c r="A945" s="1154"/>
      <c r="B945" s="1154"/>
      <c r="C945" s="1154"/>
      <c r="D945" s="1154"/>
      <c r="E945" s="1154"/>
      <c r="F945" s="1154"/>
      <c r="G945" s="1154"/>
      <c r="H945" s="1154"/>
      <c r="I945" s="1154"/>
      <c r="J945" s="1154"/>
      <c r="K945" s="1154"/>
      <c r="L945" s="1154"/>
      <c r="M945" s="1154"/>
      <c r="N945" s="1154"/>
      <c r="O945" s="1154"/>
      <c r="P945" s="1154"/>
      <c r="Q945" s="1154"/>
      <c r="R945" s="1154"/>
      <c r="S945" s="1154"/>
      <c r="T945" s="1154"/>
      <c r="U945" s="1154"/>
      <c r="V945" s="1154"/>
      <c r="W945" s="1154"/>
      <c r="X945" s="1154"/>
      <c r="Y945" s="1154"/>
      <c r="Z945" s="1154"/>
    </row>
    <row r="946">
      <c r="A946" s="1154"/>
      <c r="B946" s="1154"/>
      <c r="C946" s="1154"/>
      <c r="D946" s="1154"/>
      <c r="E946" s="1154"/>
      <c r="F946" s="1154"/>
      <c r="G946" s="1154"/>
      <c r="H946" s="1154"/>
      <c r="I946" s="1154"/>
      <c r="J946" s="1154"/>
      <c r="K946" s="1154"/>
      <c r="L946" s="1154"/>
      <c r="M946" s="1154"/>
      <c r="N946" s="1154"/>
      <c r="O946" s="1154"/>
      <c r="P946" s="1154"/>
      <c r="Q946" s="1154"/>
      <c r="R946" s="1154"/>
      <c r="S946" s="1154"/>
      <c r="T946" s="1154"/>
      <c r="U946" s="1154"/>
      <c r="V946" s="1154"/>
      <c r="W946" s="1154"/>
      <c r="X946" s="1154"/>
      <c r="Y946" s="1154"/>
      <c r="Z946" s="1154"/>
    </row>
    <row r="947">
      <c r="A947" s="1154"/>
      <c r="B947" s="1154"/>
      <c r="C947" s="1154"/>
      <c r="D947" s="1154"/>
      <c r="E947" s="1154"/>
      <c r="F947" s="1154"/>
      <c r="G947" s="1154"/>
      <c r="H947" s="1154"/>
      <c r="I947" s="1154"/>
      <c r="J947" s="1154"/>
      <c r="K947" s="1154"/>
      <c r="L947" s="1154"/>
      <c r="M947" s="1154"/>
      <c r="N947" s="1154"/>
      <c r="O947" s="1154"/>
      <c r="P947" s="1154"/>
      <c r="Q947" s="1154"/>
      <c r="R947" s="1154"/>
      <c r="S947" s="1154"/>
      <c r="T947" s="1154"/>
      <c r="U947" s="1154"/>
      <c r="V947" s="1154"/>
      <c r="W947" s="1154"/>
      <c r="X947" s="1154"/>
      <c r="Y947" s="1154"/>
      <c r="Z947" s="1154"/>
    </row>
    <row r="948">
      <c r="A948" s="1154"/>
      <c r="B948" s="1154"/>
      <c r="C948" s="1154"/>
      <c r="D948" s="1154"/>
      <c r="E948" s="1154"/>
      <c r="F948" s="1154"/>
      <c r="G948" s="1154"/>
      <c r="H948" s="1154"/>
      <c r="I948" s="1154"/>
      <c r="J948" s="1154"/>
      <c r="K948" s="1154"/>
      <c r="L948" s="1154"/>
      <c r="M948" s="1154"/>
      <c r="N948" s="1154"/>
      <c r="O948" s="1154"/>
      <c r="P948" s="1154"/>
      <c r="Q948" s="1154"/>
      <c r="R948" s="1154"/>
      <c r="S948" s="1154"/>
      <c r="T948" s="1154"/>
      <c r="U948" s="1154"/>
      <c r="V948" s="1154"/>
      <c r="W948" s="1154"/>
      <c r="X948" s="1154"/>
      <c r="Y948" s="1154"/>
      <c r="Z948" s="1154"/>
    </row>
    <row r="949">
      <c r="A949" s="1154"/>
      <c r="B949" s="1154"/>
      <c r="C949" s="1154"/>
      <c r="D949" s="1154"/>
      <c r="E949" s="1154"/>
      <c r="F949" s="1154"/>
      <c r="G949" s="1154"/>
      <c r="H949" s="1154"/>
      <c r="I949" s="1154"/>
      <c r="J949" s="1154"/>
      <c r="K949" s="1154"/>
      <c r="L949" s="1154"/>
      <c r="M949" s="1154"/>
      <c r="N949" s="1154"/>
      <c r="O949" s="1154"/>
      <c r="P949" s="1154"/>
      <c r="Q949" s="1154"/>
      <c r="R949" s="1154"/>
      <c r="S949" s="1154"/>
      <c r="T949" s="1154"/>
      <c r="U949" s="1154"/>
      <c r="V949" s="1154"/>
      <c r="W949" s="1154"/>
      <c r="X949" s="1154"/>
      <c r="Y949" s="1154"/>
      <c r="Z949" s="1154"/>
    </row>
    <row r="950">
      <c r="A950" s="1154"/>
      <c r="B950" s="1154"/>
      <c r="C950" s="1154"/>
      <c r="D950" s="1154"/>
      <c r="E950" s="1154"/>
      <c r="F950" s="1154"/>
      <c r="G950" s="1154"/>
      <c r="H950" s="1154"/>
      <c r="I950" s="1154"/>
      <c r="J950" s="1154"/>
      <c r="K950" s="1154"/>
      <c r="L950" s="1154"/>
      <c r="M950" s="1154"/>
      <c r="N950" s="1154"/>
      <c r="O950" s="1154"/>
      <c r="P950" s="1154"/>
      <c r="Q950" s="1154"/>
      <c r="R950" s="1154"/>
      <c r="S950" s="1154"/>
      <c r="T950" s="1154"/>
      <c r="U950" s="1154"/>
      <c r="V950" s="1154"/>
      <c r="W950" s="1154"/>
      <c r="X950" s="1154"/>
      <c r="Y950" s="1154"/>
      <c r="Z950" s="1154"/>
    </row>
    <row r="951">
      <c r="A951" s="1154"/>
      <c r="B951" s="1154"/>
      <c r="C951" s="1154"/>
      <c r="D951" s="1154"/>
      <c r="E951" s="1154"/>
      <c r="F951" s="1154"/>
      <c r="G951" s="1154"/>
      <c r="H951" s="1154"/>
      <c r="I951" s="1154"/>
      <c r="J951" s="1154"/>
      <c r="K951" s="1154"/>
      <c r="L951" s="1154"/>
      <c r="M951" s="1154"/>
      <c r="N951" s="1154"/>
      <c r="O951" s="1154"/>
      <c r="P951" s="1154"/>
      <c r="Q951" s="1154"/>
      <c r="R951" s="1154"/>
      <c r="S951" s="1154"/>
      <c r="T951" s="1154"/>
      <c r="U951" s="1154"/>
      <c r="V951" s="1154"/>
      <c r="W951" s="1154"/>
      <c r="X951" s="1154"/>
      <c r="Y951" s="1154"/>
      <c r="Z951" s="1154"/>
    </row>
    <row r="952">
      <c r="A952" s="1154"/>
      <c r="B952" s="1154"/>
      <c r="C952" s="1154"/>
      <c r="D952" s="1154"/>
      <c r="E952" s="1154"/>
      <c r="F952" s="1154"/>
      <c r="G952" s="1154"/>
      <c r="H952" s="1154"/>
      <c r="I952" s="1154"/>
      <c r="J952" s="1154"/>
      <c r="K952" s="1154"/>
      <c r="L952" s="1154"/>
      <c r="M952" s="1154"/>
      <c r="N952" s="1154"/>
      <c r="O952" s="1154"/>
      <c r="P952" s="1154"/>
      <c r="Q952" s="1154"/>
      <c r="R952" s="1154"/>
      <c r="S952" s="1154"/>
      <c r="T952" s="1154"/>
      <c r="U952" s="1154"/>
      <c r="V952" s="1154"/>
      <c r="W952" s="1154"/>
      <c r="X952" s="1154"/>
      <c r="Y952" s="1154"/>
      <c r="Z952" s="1154"/>
    </row>
    <row r="953">
      <c r="A953" s="1154"/>
      <c r="B953" s="1154"/>
      <c r="C953" s="1154"/>
      <c r="D953" s="1154"/>
      <c r="E953" s="1154"/>
      <c r="F953" s="1154"/>
      <c r="G953" s="1154"/>
      <c r="H953" s="1154"/>
      <c r="I953" s="1154"/>
      <c r="J953" s="1154"/>
      <c r="K953" s="1154"/>
      <c r="L953" s="1154"/>
      <c r="M953" s="1154"/>
      <c r="N953" s="1154"/>
      <c r="O953" s="1154"/>
      <c r="P953" s="1154"/>
      <c r="Q953" s="1154"/>
      <c r="R953" s="1154"/>
      <c r="S953" s="1154"/>
      <c r="T953" s="1154"/>
      <c r="U953" s="1154"/>
      <c r="V953" s="1154"/>
      <c r="W953" s="1154"/>
      <c r="X953" s="1154"/>
      <c r="Y953" s="1154"/>
      <c r="Z953" s="1154"/>
    </row>
    <row r="954">
      <c r="A954" s="1154"/>
      <c r="B954" s="1154"/>
      <c r="C954" s="1154"/>
      <c r="D954" s="1154"/>
      <c r="E954" s="1154"/>
      <c r="F954" s="1154"/>
      <c r="G954" s="1154"/>
      <c r="H954" s="1154"/>
      <c r="I954" s="1154"/>
      <c r="J954" s="1154"/>
      <c r="K954" s="1154"/>
      <c r="L954" s="1154"/>
      <c r="M954" s="1154"/>
      <c r="N954" s="1154"/>
      <c r="O954" s="1154"/>
      <c r="P954" s="1154"/>
      <c r="Q954" s="1154"/>
      <c r="R954" s="1154"/>
      <c r="S954" s="1154"/>
      <c r="T954" s="1154"/>
      <c r="U954" s="1154"/>
      <c r="V954" s="1154"/>
      <c r="W954" s="1154"/>
      <c r="X954" s="1154"/>
      <c r="Y954" s="1154"/>
      <c r="Z954" s="1154"/>
    </row>
    <row r="955">
      <c r="A955" s="1154"/>
      <c r="B955" s="1154"/>
      <c r="C955" s="1154"/>
      <c r="D955" s="1154"/>
      <c r="E955" s="1154"/>
      <c r="F955" s="1154"/>
      <c r="G955" s="1154"/>
      <c r="H955" s="1154"/>
      <c r="I955" s="1154"/>
      <c r="J955" s="1154"/>
      <c r="K955" s="1154"/>
      <c r="L955" s="1154"/>
      <c r="M955" s="1154"/>
      <c r="N955" s="1154"/>
      <c r="O955" s="1154"/>
      <c r="P955" s="1154"/>
      <c r="Q955" s="1154"/>
      <c r="R955" s="1154"/>
      <c r="S955" s="1154"/>
      <c r="T955" s="1154"/>
      <c r="U955" s="1154"/>
      <c r="V955" s="1154"/>
      <c r="W955" s="1154"/>
      <c r="X955" s="1154"/>
      <c r="Y955" s="1154"/>
      <c r="Z955" s="1154"/>
    </row>
    <row r="956">
      <c r="A956" s="1154"/>
      <c r="B956" s="1154"/>
      <c r="C956" s="1154"/>
      <c r="D956" s="1154"/>
      <c r="E956" s="1154"/>
      <c r="F956" s="1154"/>
      <c r="G956" s="1154"/>
      <c r="H956" s="1154"/>
      <c r="I956" s="1154"/>
      <c r="J956" s="1154"/>
      <c r="K956" s="1154"/>
      <c r="L956" s="1154"/>
      <c r="M956" s="1154"/>
      <c r="N956" s="1154"/>
      <c r="O956" s="1154"/>
      <c r="P956" s="1154"/>
      <c r="Q956" s="1154"/>
      <c r="R956" s="1154"/>
      <c r="S956" s="1154"/>
      <c r="T956" s="1154"/>
      <c r="U956" s="1154"/>
      <c r="V956" s="1154"/>
      <c r="W956" s="1154"/>
      <c r="X956" s="1154"/>
      <c r="Y956" s="1154"/>
      <c r="Z956" s="1154"/>
    </row>
    <row r="957">
      <c r="A957" s="1154"/>
      <c r="B957" s="1154"/>
      <c r="C957" s="1154"/>
      <c r="D957" s="1154"/>
      <c r="E957" s="1154"/>
      <c r="F957" s="1154"/>
      <c r="G957" s="1154"/>
      <c r="H957" s="1154"/>
      <c r="I957" s="1154"/>
      <c r="J957" s="1154"/>
      <c r="K957" s="1154"/>
      <c r="L957" s="1154"/>
      <c r="M957" s="1154"/>
      <c r="N957" s="1154"/>
      <c r="O957" s="1154"/>
      <c r="P957" s="1154"/>
      <c r="Q957" s="1154"/>
      <c r="R957" s="1154"/>
      <c r="S957" s="1154"/>
      <c r="T957" s="1154"/>
      <c r="U957" s="1154"/>
      <c r="V957" s="1154"/>
      <c r="W957" s="1154"/>
      <c r="X957" s="1154"/>
      <c r="Y957" s="1154"/>
      <c r="Z957" s="1154"/>
    </row>
    <row r="958">
      <c r="A958" s="1154"/>
      <c r="B958" s="1154"/>
      <c r="C958" s="1154"/>
      <c r="D958" s="1154"/>
      <c r="E958" s="1154"/>
      <c r="F958" s="1154"/>
      <c r="G958" s="1154"/>
      <c r="H958" s="1154"/>
      <c r="I958" s="1154"/>
      <c r="J958" s="1154"/>
      <c r="K958" s="1154"/>
      <c r="L958" s="1154"/>
      <c r="M958" s="1154"/>
      <c r="N958" s="1154"/>
      <c r="O958" s="1154"/>
      <c r="P958" s="1154"/>
      <c r="Q958" s="1154"/>
      <c r="R958" s="1154"/>
      <c r="S958" s="1154"/>
      <c r="T958" s="1154"/>
      <c r="U958" s="1154"/>
      <c r="V958" s="1154"/>
      <c r="W958" s="1154"/>
      <c r="X958" s="1154"/>
      <c r="Y958" s="1154"/>
      <c r="Z958" s="1154"/>
    </row>
    <row r="959">
      <c r="A959" s="1154"/>
      <c r="B959" s="1154"/>
      <c r="C959" s="1154"/>
      <c r="D959" s="1154"/>
      <c r="E959" s="1154"/>
      <c r="F959" s="1154"/>
      <c r="G959" s="1154"/>
      <c r="H959" s="1154"/>
      <c r="I959" s="1154"/>
      <c r="J959" s="1154"/>
      <c r="K959" s="1154"/>
      <c r="L959" s="1154"/>
      <c r="M959" s="1154"/>
      <c r="N959" s="1154"/>
      <c r="O959" s="1154"/>
      <c r="P959" s="1154"/>
      <c r="Q959" s="1154"/>
      <c r="R959" s="1154"/>
      <c r="S959" s="1154"/>
      <c r="T959" s="1154"/>
      <c r="U959" s="1154"/>
      <c r="V959" s="1154"/>
      <c r="W959" s="1154"/>
      <c r="X959" s="1154"/>
      <c r="Y959" s="1154"/>
      <c r="Z959" s="1154"/>
    </row>
    <row r="960">
      <c r="A960" s="1154"/>
      <c r="B960" s="1154"/>
      <c r="C960" s="1154"/>
      <c r="D960" s="1154"/>
      <c r="E960" s="1154"/>
      <c r="F960" s="1154"/>
      <c r="G960" s="1154"/>
      <c r="H960" s="1154"/>
      <c r="I960" s="1154"/>
      <c r="J960" s="1154"/>
      <c r="K960" s="1154"/>
      <c r="L960" s="1154"/>
      <c r="M960" s="1154"/>
      <c r="N960" s="1154"/>
      <c r="O960" s="1154"/>
      <c r="P960" s="1154"/>
      <c r="Q960" s="1154"/>
      <c r="R960" s="1154"/>
      <c r="S960" s="1154"/>
      <c r="T960" s="1154"/>
      <c r="U960" s="1154"/>
      <c r="V960" s="1154"/>
      <c r="W960" s="1154"/>
      <c r="X960" s="1154"/>
      <c r="Y960" s="1154"/>
      <c r="Z960" s="1154"/>
    </row>
    <row r="961">
      <c r="A961" s="1154"/>
      <c r="B961" s="1154"/>
      <c r="C961" s="1154"/>
      <c r="D961" s="1154"/>
      <c r="E961" s="1154"/>
      <c r="F961" s="1154"/>
      <c r="G961" s="1154"/>
      <c r="H961" s="1154"/>
      <c r="I961" s="1154"/>
      <c r="J961" s="1154"/>
      <c r="K961" s="1154"/>
      <c r="L961" s="1154"/>
      <c r="M961" s="1154"/>
      <c r="N961" s="1154"/>
      <c r="O961" s="1154"/>
      <c r="P961" s="1154"/>
      <c r="Q961" s="1154"/>
      <c r="R961" s="1154"/>
      <c r="S961" s="1154"/>
      <c r="T961" s="1154"/>
      <c r="U961" s="1154"/>
      <c r="V961" s="1154"/>
      <c r="W961" s="1154"/>
      <c r="X961" s="1154"/>
      <c r="Y961" s="1154"/>
      <c r="Z961" s="1154"/>
    </row>
    <row r="962">
      <c r="A962" s="1154"/>
      <c r="B962" s="1154"/>
      <c r="C962" s="1154"/>
      <c r="D962" s="1154"/>
      <c r="E962" s="1154"/>
      <c r="F962" s="1154"/>
      <c r="G962" s="1154"/>
      <c r="H962" s="1154"/>
      <c r="I962" s="1154"/>
      <c r="J962" s="1154"/>
      <c r="K962" s="1154"/>
      <c r="L962" s="1154"/>
      <c r="M962" s="1154"/>
      <c r="N962" s="1154"/>
      <c r="O962" s="1154"/>
      <c r="P962" s="1154"/>
      <c r="Q962" s="1154"/>
      <c r="R962" s="1154"/>
      <c r="S962" s="1154"/>
      <c r="T962" s="1154"/>
      <c r="U962" s="1154"/>
      <c r="V962" s="1154"/>
      <c r="W962" s="1154"/>
      <c r="X962" s="1154"/>
      <c r="Y962" s="1154"/>
      <c r="Z962" s="1154"/>
    </row>
    <row r="963">
      <c r="A963" s="1154"/>
      <c r="B963" s="1154"/>
      <c r="C963" s="1154"/>
      <c r="D963" s="1154"/>
      <c r="E963" s="1154"/>
      <c r="F963" s="1154"/>
      <c r="G963" s="1154"/>
      <c r="H963" s="1154"/>
      <c r="I963" s="1154"/>
      <c r="J963" s="1154"/>
      <c r="K963" s="1154"/>
      <c r="L963" s="1154"/>
      <c r="M963" s="1154"/>
      <c r="N963" s="1154"/>
      <c r="O963" s="1154"/>
      <c r="P963" s="1154"/>
      <c r="Q963" s="1154"/>
      <c r="R963" s="1154"/>
      <c r="S963" s="1154"/>
      <c r="T963" s="1154"/>
      <c r="U963" s="1154"/>
      <c r="V963" s="1154"/>
      <c r="W963" s="1154"/>
      <c r="X963" s="1154"/>
      <c r="Y963" s="1154"/>
      <c r="Z963" s="1154"/>
    </row>
    <row r="964">
      <c r="A964" s="1154"/>
      <c r="B964" s="1154"/>
      <c r="C964" s="1154"/>
      <c r="D964" s="1154"/>
      <c r="E964" s="1154"/>
      <c r="F964" s="1154"/>
      <c r="G964" s="1154"/>
      <c r="H964" s="1154"/>
      <c r="I964" s="1154"/>
      <c r="J964" s="1154"/>
      <c r="K964" s="1154"/>
      <c r="L964" s="1154"/>
      <c r="M964" s="1154"/>
      <c r="N964" s="1154"/>
      <c r="O964" s="1154"/>
      <c r="P964" s="1154"/>
      <c r="Q964" s="1154"/>
      <c r="R964" s="1154"/>
      <c r="S964" s="1154"/>
      <c r="T964" s="1154"/>
      <c r="U964" s="1154"/>
      <c r="V964" s="1154"/>
      <c r="W964" s="1154"/>
      <c r="X964" s="1154"/>
      <c r="Y964" s="1154"/>
      <c r="Z964" s="1154"/>
    </row>
    <row r="965">
      <c r="A965" s="1154"/>
      <c r="B965" s="1154"/>
      <c r="C965" s="1154"/>
      <c r="D965" s="1154"/>
      <c r="E965" s="1154"/>
      <c r="F965" s="1154"/>
      <c r="G965" s="1154"/>
      <c r="H965" s="1154"/>
      <c r="I965" s="1154"/>
      <c r="J965" s="1154"/>
      <c r="K965" s="1154"/>
      <c r="L965" s="1154"/>
      <c r="M965" s="1154"/>
      <c r="N965" s="1154"/>
      <c r="O965" s="1154"/>
      <c r="P965" s="1154"/>
      <c r="Q965" s="1154"/>
      <c r="R965" s="1154"/>
      <c r="S965" s="1154"/>
      <c r="T965" s="1154"/>
      <c r="U965" s="1154"/>
      <c r="V965" s="1154"/>
      <c r="W965" s="1154"/>
      <c r="X965" s="1154"/>
      <c r="Y965" s="1154"/>
      <c r="Z965" s="1154"/>
    </row>
    <row r="966">
      <c r="A966" s="1154"/>
      <c r="B966" s="1154"/>
      <c r="C966" s="1154"/>
      <c r="D966" s="1154"/>
      <c r="E966" s="1154"/>
      <c r="F966" s="1154"/>
      <c r="G966" s="1154"/>
      <c r="H966" s="1154"/>
      <c r="I966" s="1154"/>
      <c r="J966" s="1154"/>
      <c r="K966" s="1154"/>
      <c r="L966" s="1154"/>
      <c r="M966" s="1154"/>
      <c r="N966" s="1154"/>
      <c r="O966" s="1154"/>
      <c r="P966" s="1154"/>
      <c r="Q966" s="1154"/>
      <c r="R966" s="1154"/>
      <c r="S966" s="1154"/>
      <c r="T966" s="1154"/>
      <c r="U966" s="1154"/>
      <c r="V966" s="1154"/>
      <c r="W966" s="1154"/>
      <c r="X966" s="1154"/>
      <c r="Y966" s="1154"/>
      <c r="Z966" s="1154"/>
    </row>
    <row r="967">
      <c r="A967" s="1154"/>
      <c r="B967" s="1154"/>
      <c r="C967" s="1154"/>
      <c r="D967" s="1154"/>
      <c r="E967" s="1154"/>
      <c r="F967" s="1154"/>
      <c r="G967" s="1154"/>
      <c r="H967" s="1154"/>
      <c r="I967" s="1154"/>
      <c r="J967" s="1154"/>
      <c r="K967" s="1154"/>
      <c r="L967" s="1154"/>
      <c r="M967" s="1154"/>
      <c r="N967" s="1154"/>
      <c r="O967" s="1154"/>
      <c r="P967" s="1154"/>
      <c r="Q967" s="1154"/>
      <c r="R967" s="1154"/>
      <c r="S967" s="1154"/>
      <c r="T967" s="1154"/>
      <c r="U967" s="1154"/>
      <c r="V967" s="1154"/>
      <c r="W967" s="1154"/>
      <c r="X967" s="1154"/>
      <c r="Y967" s="1154"/>
      <c r="Z967" s="1154"/>
    </row>
    <row r="968">
      <c r="A968" s="1154"/>
      <c r="B968" s="1154"/>
      <c r="C968" s="1154"/>
      <c r="D968" s="1154"/>
      <c r="E968" s="1154"/>
      <c r="F968" s="1154"/>
      <c r="G968" s="1154"/>
      <c r="H968" s="1154"/>
      <c r="I968" s="1154"/>
      <c r="J968" s="1154"/>
      <c r="K968" s="1154"/>
      <c r="L968" s="1154"/>
      <c r="M968" s="1154"/>
      <c r="N968" s="1154"/>
      <c r="O968" s="1154"/>
      <c r="P968" s="1154"/>
      <c r="Q968" s="1154"/>
      <c r="R968" s="1154"/>
      <c r="S968" s="1154"/>
      <c r="T968" s="1154"/>
      <c r="U968" s="1154"/>
      <c r="V968" s="1154"/>
      <c r="W968" s="1154"/>
      <c r="X968" s="1154"/>
      <c r="Y968" s="1154"/>
      <c r="Z968" s="1154"/>
    </row>
    <row r="969">
      <c r="A969" s="1154"/>
      <c r="B969" s="1154"/>
      <c r="C969" s="1154"/>
      <c r="D969" s="1154"/>
      <c r="E969" s="1154"/>
      <c r="F969" s="1154"/>
      <c r="G969" s="1154"/>
      <c r="H969" s="1154"/>
      <c r="I969" s="1154"/>
      <c r="J969" s="1154"/>
      <c r="K969" s="1154"/>
      <c r="L969" s="1154"/>
      <c r="M969" s="1154"/>
      <c r="N969" s="1154"/>
      <c r="O969" s="1154"/>
      <c r="P969" s="1154"/>
      <c r="Q969" s="1154"/>
      <c r="R969" s="1154"/>
      <c r="S969" s="1154"/>
      <c r="T969" s="1154"/>
      <c r="U969" s="1154"/>
      <c r="V969" s="1154"/>
      <c r="W969" s="1154"/>
      <c r="X969" s="1154"/>
      <c r="Y969" s="1154"/>
      <c r="Z969" s="1154"/>
    </row>
    <row r="970">
      <c r="A970" s="1154"/>
      <c r="B970" s="1154"/>
      <c r="C970" s="1154"/>
      <c r="D970" s="1154"/>
      <c r="E970" s="1154"/>
      <c r="F970" s="1154"/>
      <c r="G970" s="1154"/>
      <c r="H970" s="1154"/>
      <c r="I970" s="1154"/>
      <c r="J970" s="1154"/>
      <c r="K970" s="1154"/>
      <c r="L970" s="1154"/>
      <c r="M970" s="1154"/>
      <c r="N970" s="1154"/>
      <c r="O970" s="1154"/>
      <c r="P970" s="1154"/>
      <c r="Q970" s="1154"/>
      <c r="R970" s="1154"/>
      <c r="S970" s="1154"/>
      <c r="T970" s="1154"/>
      <c r="U970" s="1154"/>
      <c r="V970" s="1154"/>
      <c r="W970" s="1154"/>
      <c r="X970" s="1154"/>
      <c r="Y970" s="1154"/>
      <c r="Z970" s="1154"/>
    </row>
  </sheetData>
  <mergeCells count="101">
    <mergeCell ref="D84:D85"/>
    <mergeCell ref="D86:D87"/>
    <mergeCell ref="D64:D65"/>
    <mergeCell ref="D66:D67"/>
    <mergeCell ref="D70:D71"/>
    <mergeCell ref="D72:D73"/>
    <mergeCell ref="D78:D79"/>
    <mergeCell ref="D80:D81"/>
    <mergeCell ref="D82:D83"/>
    <mergeCell ref="D38:D39"/>
    <mergeCell ref="D40:D41"/>
    <mergeCell ref="D50:D51"/>
    <mergeCell ref="D52:D53"/>
    <mergeCell ref="D54:D55"/>
    <mergeCell ref="D56:D57"/>
    <mergeCell ref="D58:D59"/>
    <mergeCell ref="D60:D61"/>
    <mergeCell ref="D62:D63"/>
    <mergeCell ref="D104:D105"/>
    <mergeCell ref="D106:D107"/>
    <mergeCell ref="D90:D91"/>
    <mergeCell ref="D92:D93"/>
    <mergeCell ref="D94:D95"/>
    <mergeCell ref="D96:D97"/>
    <mergeCell ref="D98:D99"/>
    <mergeCell ref="D100:D101"/>
    <mergeCell ref="D102:D103"/>
    <mergeCell ref="B104:B105"/>
    <mergeCell ref="B106:B107"/>
    <mergeCell ref="B108:B109"/>
    <mergeCell ref="D108:D109"/>
    <mergeCell ref="B110:B111"/>
    <mergeCell ref="D110:D111"/>
    <mergeCell ref="D112:D113"/>
    <mergeCell ref="D120:D121"/>
    <mergeCell ref="D122:D123"/>
    <mergeCell ref="B112:B113"/>
    <mergeCell ref="B114:B115"/>
    <mergeCell ref="B116:B117"/>
    <mergeCell ref="B118:B119"/>
    <mergeCell ref="D118:D119"/>
    <mergeCell ref="B120:B121"/>
    <mergeCell ref="B122:B123"/>
    <mergeCell ref="B130:B131"/>
    <mergeCell ref="B132:B133"/>
    <mergeCell ref="B134:B135"/>
    <mergeCell ref="B136:B137"/>
    <mergeCell ref="D132:D133"/>
    <mergeCell ref="D134:D135"/>
    <mergeCell ref="D136:D137"/>
    <mergeCell ref="B124:B125"/>
    <mergeCell ref="D124:D125"/>
    <mergeCell ref="B126:B127"/>
    <mergeCell ref="D126:D127"/>
    <mergeCell ref="B128:B129"/>
    <mergeCell ref="D128:D129"/>
    <mergeCell ref="D130:D131"/>
    <mergeCell ref="A1:D1"/>
    <mergeCell ref="B34:B35"/>
    <mergeCell ref="D34:D35"/>
    <mergeCell ref="B36:B37"/>
    <mergeCell ref="D36:D37"/>
    <mergeCell ref="B38:B39"/>
    <mergeCell ref="B40:B41"/>
    <mergeCell ref="B42:B43"/>
    <mergeCell ref="D42:D43"/>
    <mergeCell ref="B44:B45"/>
    <mergeCell ref="D44:D45"/>
    <mergeCell ref="B46:B47"/>
    <mergeCell ref="D46:D47"/>
    <mergeCell ref="D48:D49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D114:D115"/>
    <mergeCell ref="D116:D1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0.43"/>
    <col customWidth="1" min="3" max="3" width="13.71"/>
    <col customWidth="1" min="5" max="5" width="17.71"/>
    <col customWidth="1" min="6" max="6" width="32.14"/>
    <col customWidth="1" min="7" max="7" width="42.14"/>
    <col customWidth="1" min="8" max="8" width="36.29"/>
  </cols>
  <sheetData>
    <row r="3">
      <c r="A3" s="1160" t="s">
        <v>5923</v>
      </c>
      <c r="B3" s="2"/>
      <c r="C3" s="2"/>
      <c r="D3" s="2"/>
      <c r="E3" s="2"/>
      <c r="F3" s="2"/>
      <c r="G3" s="2"/>
      <c r="H3" s="3"/>
    </row>
    <row r="4">
      <c r="A4" s="1097" t="s">
        <v>1435</v>
      </c>
      <c r="B4" s="1161" t="s">
        <v>1436</v>
      </c>
      <c r="C4" s="1097" t="s">
        <v>1843</v>
      </c>
      <c r="D4" s="1162" t="s">
        <v>1438</v>
      </c>
      <c r="E4" s="1163" t="s">
        <v>1564</v>
      </c>
      <c r="F4" s="1100" t="s">
        <v>1440</v>
      </c>
      <c r="G4" s="1097" t="s">
        <v>1844</v>
      </c>
      <c r="H4" s="1161" t="s">
        <v>1441</v>
      </c>
    </row>
    <row r="5">
      <c r="A5" s="151">
        <v>1.0</v>
      </c>
      <c r="B5" s="151" t="s">
        <v>5924</v>
      </c>
      <c r="C5" s="151">
        <v>1.0</v>
      </c>
      <c r="D5" s="152">
        <v>117.0</v>
      </c>
      <c r="E5" s="157" t="s">
        <v>1518</v>
      </c>
      <c r="F5" s="525" t="s">
        <v>1518</v>
      </c>
      <c r="G5" s="151" t="s">
        <v>1554</v>
      </c>
      <c r="H5" s="156">
        <v>45131.0</v>
      </c>
      <c r="I5" s="110"/>
      <c r="J5" s="110"/>
      <c r="K5" s="110"/>
      <c r="L5" s="176"/>
      <c r="M5" s="112"/>
      <c r="N5" s="1164"/>
      <c r="O5" s="110"/>
      <c r="P5" s="144"/>
      <c r="Q5" s="110"/>
      <c r="R5" s="110"/>
      <c r="S5" s="110"/>
      <c r="T5" s="176"/>
      <c r="U5" s="112"/>
      <c r="V5" s="1164"/>
      <c r="W5" s="110"/>
      <c r="X5" s="144"/>
    </row>
    <row r="6">
      <c r="A6" s="151">
        <v>1.0</v>
      </c>
      <c r="B6" s="151" t="s">
        <v>5925</v>
      </c>
      <c r="C6" s="151">
        <v>1.0</v>
      </c>
      <c r="D6" s="152">
        <v>11.1</v>
      </c>
      <c r="E6" s="157">
        <v>6.0</v>
      </c>
      <c r="F6" s="525" t="s">
        <v>1518</v>
      </c>
      <c r="G6" s="151" t="s">
        <v>1554</v>
      </c>
      <c r="H6" s="156">
        <v>45131.0</v>
      </c>
    </row>
    <row r="7">
      <c r="A7" s="151">
        <v>2.0</v>
      </c>
      <c r="B7" s="151" t="s">
        <v>5925</v>
      </c>
      <c r="C7" s="151">
        <v>1.0</v>
      </c>
      <c r="D7" s="152">
        <v>11.1</v>
      </c>
      <c r="E7" s="157">
        <v>6.0</v>
      </c>
      <c r="F7" s="525" t="s">
        <v>1518</v>
      </c>
      <c r="G7" s="151" t="s">
        <v>1554</v>
      </c>
      <c r="H7" s="156">
        <v>45140.0</v>
      </c>
    </row>
    <row r="8">
      <c r="A8" s="151">
        <v>3.0</v>
      </c>
      <c r="B8" s="151" t="s">
        <v>5925</v>
      </c>
      <c r="C8" s="151">
        <v>1.0</v>
      </c>
      <c r="D8" s="152">
        <v>11.1</v>
      </c>
      <c r="E8" s="157">
        <v>6.0</v>
      </c>
      <c r="F8" s="525" t="s">
        <v>1518</v>
      </c>
      <c r="G8" s="151" t="s">
        <v>1554</v>
      </c>
      <c r="H8" s="156">
        <v>45152.0</v>
      </c>
    </row>
    <row r="9">
      <c r="A9" s="151">
        <v>4.0</v>
      </c>
      <c r="B9" s="151" t="s">
        <v>5925</v>
      </c>
      <c r="C9" s="151">
        <v>1.0</v>
      </c>
      <c r="D9" s="152">
        <v>11.1</v>
      </c>
      <c r="E9" s="157">
        <v>6.0</v>
      </c>
      <c r="F9" s="525" t="s">
        <v>1518</v>
      </c>
      <c r="G9" s="151" t="s">
        <v>1554</v>
      </c>
      <c r="H9" s="156">
        <v>45152.0</v>
      </c>
    </row>
    <row r="10">
      <c r="A10" s="160">
        <v>5.0</v>
      </c>
      <c r="B10" s="151" t="s">
        <v>5925</v>
      </c>
      <c r="C10" s="151">
        <v>1.0</v>
      </c>
      <c r="D10" s="152">
        <v>11.1</v>
      </c>
      <c r="E10" s="157">
        <v>6.0</v>
      </c>
      <c r="F10" s="525" t="s">
        <v>1518</v>
      </c>
      <c r="G10" s="151" t="s">
        <v>1554</v>
      </c>
      <c r="H10" s="156">
        <v>45152.0</v>
      </c>
    </row>
    <row r="11">
      <c r="A11" s="151">
        <v>6.0</v>
      </c>
      <c r="B11" s="151" t="s">
        <v>1845</v>
      </c>
      <c r="C11" s="151">
        <v>1.0</v>
      </c>
      <c r="D11" s="152">
        <v>5.0</v>
      </c>
      <c r="E11" s="157">
        <v>1.0</v>
      </c>
      <c r="F11" s="525" t="s">
        <v>1518</v>
      </c>
      <c r="G11" s="151" t="s">
        <v>1554</v>
      </c>
      <c r="H11" s="156">
        <v>45664.0</v>
      </c>
    </row>
    <row r="12">
      <c r="A12" s="151">
        <v>7.0</v>
      </c>
      <c r="B12" s="160" t="s">
        <v>1845</v>
      </c>
      <c r="C12" s="160">
        <v>1.0</v>
      </c>
      <c r="D12" s="158">
        <v>5.0</v>
      </c>
      <c r="E12" s="197">
        <v>1.0</v>
      </c>
      <c r="F12" s="615"/>
      <c r="G12" s="160" t="s">
        <v>1554</v>
      </c>
      <c r="H12" s="1104">
        <v>45665.0</v>
      </c>
    </row>
    <row r="13">
      <c r="A13" s="151">
        <v>8.0</v>
      </c>
      <c r="B13" s="160"/>
      <c r="C13" s="160"/>
      <c r="D13" s="158"/>
      <c r="E13" s="197"/>
      <c r="F13" s="615"/>
      <c r="G13" s="160"/>
      <c r="H13" s="1104"/>
    </row>
    <row r="14">
      <c r="A14" s="151">
        <v>9.0</v>
      </c>
      <c r="B14" s="160"/>
      <c r="C14" s="160"/>
      <c r="D14" s="158"/>
      <c r="E14" s="197"/>
      <c r="F14" s="615"/>
      <c r="G14" s="160"/>
      <c r="H14" s="1104"/>
    </row>
    <row r="15">
      <c r="A15" s="151">
        <v>10.0</v>
      </c>
      <c r="B15" s="151"/>
      <c r="C15" s="151"/>
      <c r="D15" s="152"/>
      <c r="E15" s="157"/>
      <c r="F15" s="525"/>
      <c r="G15" s="151"/>
      <c r="H15" s="156"/>
    </row>
    <row r="16">
      <c r="A16" s="161" t="s">
        <v>1562</v>
      </c>
      <c r="B16" s="3"/>
      <c r="C16" s="151">
        <f>sum(C6:C15)</f>
        <v>7</v>
      </c>
      <c r="D16" s="152">
        <f t="shared" ref="D16:E16" si="1">SUM(D6:D15)</f>
        <v>65.5</v>
      </c>
      <c r="E16" s="157">
        <f t="shared" si="1"/>
        <v>32</v>
      </c>
      <c r="F16" s="525"/>
      <c r="G16" s="155"/>
      <c r="H16" s="1110"/>
    </row>
    <row r="19">
      <c r="A19" s="1160" t="s">
        <v>5926</v>
      </c>
      <c r="B19" s="2"/>
      <c r="C19" s="2"/>
      <c r="D19" s="2"/>
      <c r="E19" s="2"/>
      <c r="F19" s="2"/>
      <c r="G19" s="2"/>
      <c r="H19" s="3"/>
    </row>
    <row r="20">
      <c r="A20" s="1097" t="s">
        <v>1435</v>
      </c>
      <c r="B20" s="1161" t="s">
        <v>1436</v>
      </c>
      <c r="C20" s="1097" t="s">
        <v>1843</v>
      </c>
      <c r="D20" s="1162" t="s">
        <v>1438</v>
      </c>
      <c r="E20" s="1163" t="s">
        <v>1564</v>
      </c>
      <c r="F20" s="1100" t="s">
        <v>1440</v>
      </c>
      <c r="G20" s="1097" t="s">
        <v>1844</v>
      </c>
      <c r="H20" s="1161" t="s">
        <v>1441</v>
      </c>
    </row>
    <row r="21">
      <c r="A21" s="151">
        <v>1.0</v>
      </c>
      <c r="B21" s="151" t="s">
        <v>5924</v>
      </c>
      <c r="C21" s="151">
        <v>1.0</v>
      </c>
      <c r="D21" s="152">
        <v>117.0</v>
      </c>
      <c r="E21" s="157" t="s">
        <v>1518</v>
      </c>
      <c r="F21" s="525" t="s">
        <v>1518</v>
      </c>
      <c r="G21" s="151" t="s">
        <v>1554</v>
      </c>
      <c r="H21" s="156">
        <v>45131.0</v>
      </c>
    </row>
    <row r="22">
      <c r="A22" s="151">
        <v>2.0</v>
      </c>
      <c r="B22" s="151" t="s">
        <v>5925</v>
      </c>
      <c r="C22" s="151">
        <v>1.0</v>
      </c>
      <c r="D22" s="152">
        <v>11.1</v>
      </c>
      <c r="E22" s="157">
        <v>3.0</v>
      </c>
      <c r="F22" s="525"/>
      <c r="G22" s="151" t="s">
        <v>1554</v>
      </c>
      <c r="H22" s="156">
        <v>45805.0</v>
      </c>
    </row>
    <row r="23">
      <c r="A23" s="151">
        <v>3.0</v>
      </c>
      <c r="B23" s="151" t="s">
        <v>5925</v>
      </c>
      <c r="C23" s="151">
        <v>1.0</v>
      </c>
      <c r="D23" s="152">
        <v>11.1</v>
      </c>
      <c r="E23" s="157">
        <v>3.0</v>
      </c>
      <c r="F23" s="525"/>
      <c r="G23" s="151" t="s">
        <v>1554</v>
      </c>
      <c r="H23" s="156">
        <v>45832.0</v>
      </c>
    </row>
    <row r="24">
      <c r="A24" s="151">
        <v>4.0</v>
      </c>
      <c r="B24" s="151" t="s">
        <v>5925</v>
      </c>
      <c r="C24" s="151">
        <v>1.0</v>
      </c>
      <c r="D24" s="152">
        <v>11.1</v>
      </c>
      <c r="E24" s="157">
        <v>3.0</v>
      </c>
      <c r="F24" s="525"/>
      <c r="G24" s="151" t="s">
        <v>1554</v>
      </c>
      <c r="H24" s="156"/>
      <c r="I24" s="156"/>
    </row>
    <row r="25">
      <c r="A25" s="160">
        <v>5.0</v>
      </c>
      <c r="B25" s="160" t="s">
        <v>5925</v>
      </c>
      <c r="C25" s="160">
        <v>1.0</v>
      </c>
      <c r="D25" s="152">
        <v>11.1</v>
      </c>
      <c r="E25" s="157">
        <v>3.0</v>
      </c>
      <c r="F25" s="615"/>
      <c r="G25" s="151" t="s">
        <v>1554</v>
      </c>
      <c r="H25" s="1104"/>
    </row>
    <row r="26">
      <c r="A26" s="151">
        <v>6.0</v>
      </c>
      <c r="B26" s="160" t="s">
        <v>5925</v>
      </c>
      <c r="C26" s="160">
        <v>1.0</v>
      </c>
      <c r="D26" s="152">
        <v>11.1</v>
      </c>
      <c r="E26" s="157">
        <v>3.0</v>
      </c>
      <c r="F26" s="615"/>
      <c r="G26" s="151" t="s">
        <v>1554</v>
      </c>
      <c r="H26" s="1104"/>
    </row>
    <row r="27">
      <c r="A27" s="151">
        <v>7.0</v>
      </c>
      <c r="B27" s="160" t="s">
        <v>5925</v>
      </c>
      <c r="C27" s="160">
        <v>1.0</v>
      </c>
      <c r="D27" s="152">
        <v>11.1</v>
      </c>
      <c r="E27" s="157">
        <v>3.0</v>
      </c>
      <c r="F27" s="615"/>
      <c r="G27" s="151" t="s">
        <v>1554</v>
      </c>
      <c r="H27" s="1104"/>
    </row>
    <row r="28">
      <c r="A28" s="151">
        <v>8.0</v>
      </c>
      <c r="B28" s="160" t="s">
        <v>5925</v>
      </c>
      <c r="C28" s="160">
        <v>1.0</v>
      </c>
      <c r="D28" s="152">
        <v>11.1</v>
      </c>
      <c r="E28" s="157">
        <v>3.0</v>
      </c>
      <c r="F28" s="615"/>
      <c r="G28" s="151" t="s">
        <v>1554</v>
      </c>
      <c r="H28" s="1104"/>
    </row>
    <row r="29">
      <c r="A29" s="151">
        <v>9.0</v>
      </c>
      <c r="B29" s="160" t="s">
        <v>5927</v>
      </c>
      <c r="C29" s="160">
        <v>1.0</v>
      </c>
      <c r="D29" s="158">
        <v>6.6</v>
      </c>
      <c r="E29" s="197">
        <v>1.0</v>
      </c>
      <c r="F29" s="615"/>
      <c r="G29" s="151" t="s">
        <v>1554</v>
      </c>
      <c r="H29" s="1104"/>
    </row>
    <row r="30">
      <c r="A30" s="151">
        <v>10.0</v>
      </c>
      <c r="B30" s="151" t="s">
        <v>5927</v>
      </c>
      <c r="C30" s="151">
        <v>1.0</v>
      </c>
      <c r="D30" s="152">
        <v>6.6</v>
      </c>
      <c r="E30" s="157">
        <v>1.0</v>
      </c>
      <c r="F30" s="525"/>
      <c r="G30" s="151" t="s">
        <v>1554</v>
      </c>
      <c r="H30" s="156"/>
    </row>
    <row r="31">
      <c r="A31" s="151">
        <v>11.0</v>
      </c>
      <c r="B31" s="151" t="s">
        <v>5927</v>
      </c>
      <c r="C31" s="151">
        <v>1.0</v>
      </c>
      <c r="D31" s="152">
        <v>6.6</v>
      </c>
      <c r="E31" s="157">
        <v>1.0</v>
      </c>
      <c r="F31" s="525"/>
      <c r="G31" s="151" t="s">
        <v>1554</v>
      </c>
      <c r="H31" s="156"/>
    </row>
    <row r="32">
      <c r="A32" s="151">
        <v>12.0</v>
      </c>
      <c r="B32" s="151" t="s">
        <v>1845</v>
      </c>
      <c r="C32" s="151">
        <v>1.0</v>
      </c>
      <c r="D32" s="152">
        <v>5.0</v>
      </c>
      <c r="E32" s="157">
        <v>1.0</v>
      </c>
      <c r="F32" s="525"/>
      <c r="G32" s="151" t="s">
        <v>1554</v>
      </c>
      <c r="H32" s="156"/>
    </row>
    <row r="33">
      <c r="A33" s="151">
        <v>13.0</v>
      </c>
      <c r="B33" s="151" t="s">
        <v>1845</v>
      </c>
      <c r="C33" s="151">
        <v>1.0</v>
      </c>
      <c r="D33" s="152">
        <v>5.0</v>
      </c>
      <c r="E33" s="157">
        <v>1.0</v>
      </c>
      <c r="F33" s="525"/>
      <c r="G33" s="151" t="s">
        <v>1554</v>
      </c>
      <c r="H33" s="156"/>
    </row>
    <row r="34">
      <c r="A34" s="151">
        <v>14.0</v>
      </c>
      <c r="B34" s="151" t="s">
        <v>1845</v>
      </c>
      <c r="C34" s="151">
        <v>1.0</v>
      </c>
      <c r="D34" s="152">
        <v>5.0</v>
      </c>
      <c r="E34" s="157">
        <v>1.0</v>
      </c>
      <c r="F34" s="525"/>
      <c r="G34" s="151" t="s">
        <v>1554</v>
      </c>
      <c r="H34" s="156"/>
    </row>
    <row r="35">
      <c r="A35" s="151">
        <v>15.0</v>
      </c>
      <c r="B35" s="151" t="s">
        <v>1845</v>
      </c>
      <c r="C35" s="151">
        <v>1.0</v>
      </c>
      <c r="D35" s="152">
        <v>5.0</v>
      </c>
      <c r="E35" s="157">
        <v>1.0</v>
      </c>
      <c r="F35" s="525"/>
      <c r="G35" s="151" t="s">
        <v>1554</v>
      </c>
      <c r="H35" s="156"/>
    </row>
    <row r="36">
      <c r="A36" s="151">
        <v>16.0</v>
      </c>
      <c r="B36" s="151" t="s">
        <v>1845</v>
      </c>
      <c r="C36" s="151">
        <v>1.0</v>
      </c>
      <c r="D36" s="152">
        <v>5.0</v>
      </c>
      <c r="E36" s="157">
        <v>1.0</v>
      </c>
      <c r="F36" s="525"/>
      <c r="G36" s="151" t="s">
        <v>1554</v>
      </c>
      <c r="H36" s="156"/>
    </row>
    <row r="37">
      <c r="A37" s="151">
        <v>17.0</v>
      </c>
      <c r="B37" s="151" t="s">
        <v>1845</v>
      </c>
      <c r="C37" s="151">
        <v>1.0</v>
      </c>
      <c r="D37" s="152">
        <v>5.0</v>
      </c>
      <c r="E37" s="157">
        <v>1.0</v>
      </c>
      <c r="F37" s="525"/>
      <c r="G37" s="151" t="s">
        <v>1554</v>
      </c>
      <c r="H37" s="156"/>
    </row>
    <row r="38">
      <c r="A38" s="151">
        <v>18.0</v>
      </c>
      <c r="B38" s="151" t="s">
        <v>5928</v>
      </c>
      <c r="C38" s="151">
        <v>1.0</v>
      </c>
      <c r="D38" s="152">
        <v>6.6</v>
      </c>
      <c r="E38" s="157">
        <v>1.0</v>
      </c>
      <c r="F38" s="525"/>
      <c r="G38" s="151" t="s">
        <v>1554</v>
      </c>
      <c r="H38" s="156">
        <v>45926.0</v>
      </c>
    </row>
    <row r="39">
      <c r="A39" s="151">
        <v>19.0</v>
      </c>
      <c r="B39" s="151" t="s">
        <v>1845</v>
      </c>
      <c r="C39" s="151">
        <v>1.0</v>
      </c>
      <c r="D39" s="152">
        <v>5.0</v>
      </c>
      <c r="E39" s="157">
        <v>1.0</v>
      </c>
      <c r="F39" s="525"/>
      <c r="G39" s="151" t="s">
        <v>1554</v>
      </c>
      <c r="H39" s="156">
        <v>45957.0</v>
      </c>
    </row>
    <row r="40">
      <c r="A40" s="161" t="s">
        <v>1562</v>
      </c>
      <c r="B40" s="3"/>
      <c r="C40" s="151">
        <f>sum(C21:C30)</f>
        <v>10</v>
      </c>
      <c r="D40" s="152">
        <f t="shared" ref="D40:E40" si="2">SUM(D21:D30)</f>
        <v>207.9</v>
      </c>
      <c r="E40" s="157">
        <f t="shared" si="2"/>
        <v>23</v>
      </c>
      <c r="F40" s="525"/>
      <c r="G40" s="155"/>
      <c r="H40" s="1110"/>
    </row>
    <row r="43">
      <c r="A43" s="1160" t="s">
        <v>5929</v>
      </c>
      <c r="B43" s="2"/>
      <c r="C43" s="2"/>
      <c r="D43" s="2"/>
      <c r="E43" s="2"/>
      <c r="F43" s="2"/>
      <c r="G43" s="2"/>
      <c r="H43" s="3"/>
    </row>
    <row r="44">
      <c r="A44" s="1097" t="s">
        <v>1435</v>
      </c>
      <c r="B44" s="1161" t="s">
        <v>1436</v>
      </c>
      <c r="C44" s="1097" t="s">
        <v>1843</v>
      </c>
      <c r="D44" s="1162" t="s">
        <v>1438</v>
      </c>
      <c r="E44" s="1163" t="s">
        <v>1564</v>
      </c>
      <c r="F44" s="1100" t="s">
        <v>1440</v>
      </c>
      <c r="G44" s="1097" t="s">
        <v>1844</v>
      </c>
      <c r="H44" s="1161" t="s">
        <v>1441</v>
      </c>
    </row>
    <row r="45">
      <c r="A45" s="151">
        <v>1.0</v>
      </c>
      <c r="B45" s="151" t="s">
        <v>5930</v>
      </c>
      <c r="C45" s="151">
        <v>1.0</v>
      </c>
      <c r="D45" s="152">
        <v>11.1</v>
      </c>
      <c r="E45" s="157">
        <v>3.0</v>
      </c>
      <c r="F45" s="525"/>
      <c r="G45" s="151" t="s">
        <v>1554</v>
      </c>
      <c r="H45" s="156">
        <v>45968.0</v>
      </c>
    </row>
    <row r="46">
      <c r="A46" s="151">
        <v>2.0</v>
      </c>
      <c r="B46" s="151" t="s">
        <v>5924</v>
      </c>
      <c r="C46" s="151">
        <v>1.0</v>
      </c>
      <c r="D46" s="152">
        <v>117.0</v>
      </c>
      <c r="E46" s="157" t="s">
        <v>1518</v>
      </c>
      <c r="F46" s="525" t="s">
        <v>1518</v>
      </c>
      <c r="G46" s="151" t="s">
        <v>1554</v>
      </c>
      <c r="H46" s="156">
        <v>45131.0</v>
      </c>
    </row>
    <row r="47">
      <c r="A47" s="151">
        <v>3.0</v>
      </c>
      <c r="B47" s="151" t="s">
        <v>5931</v>
      </c>
      <c r="C47" s="151">
        <v>1.0</v>
      </c>
      <c r="D47" s="152">
        <v>6.6</v>
      </c>
      <c r="E47" s="157">
        <v>1.0</v>
      </c>
      <c r="F47" s="525"/>
      <c r="G47" s="151" t="s">
        <v>1554</v>
      </c>
      <c r="H47" s="156">
        <v>45999.0</v>
      </c>
    </row>
    <row r="48">
      <c r="A48" s="151">
        <v>4.0</v>
      </c>
      <c r="B48" s="151" t="s">
        <v>1853</v>
      </c>
      <c r="C48" s="151">
        <v>1.0</v>
      </c>
      <c r="D48" s="152">
        <v>5.0</v>
      </c>
      <c r="E48" s="157">
        <v>1.0</v>
      </c>
      <c r="F48" s="525"/>
      <c r="G48" s="151" t="s">
        <v>1554</v>
      </c>
      <c r="H48" s="156">
        <v>46022.0</v>
      </c>
    </row>
    <row r="49">
      <c r="A49" s="160">
        <v>5.0</v>
      </c>
      <c r="B49" s="160" t="s">
        <v>5930</v>
      </c>
      <c r="C49" s="160">
        <v>1.0</v>
      </c>
      <c r="D49" s="158">
        <v>11.1</v>
      </c>
      <c r="E49" s="197">
        <v>3.0</v>
      </c>
      <c r="F49" s="615"/>
      <c r="G49" s="160" t="s">
        <v>1554</v>
      </c>
      <c r="H49" s="1104">
        <v>46060.0</v>
      </c>
    </row>
    <row r="50">
      <c r="A50" s="151">
        <v>6.0</v>
      </c>
      <c r="B50" s="160" t="s">
        <v>5932</v>
      </c>
      <c r="C50" s="160">
        <v>1.0</v>
      </c>
      <c r="D50" s="158">
        <v>11.1</v>
      </c>
      <c r="E50" s="197">
        <v>3.0</v>
      </c>
      <c r="F50" s="615"/>
      <c r="G50" s="160" t="s">
        <v>1554</v>
      </c>
      <c r="H50" s="1104"/>
    </row>
    <row r="51">
      <c r="A51" s="151">
        <v>7.0</v>
      </c>
      <c r="B51" s="160" t="s">
        <v>1853</v>
      </c>
      <c r="C51" s="160">
        <v>1.0</v>
      </c>
      <c r="D51" s="158">
        <v>5.0</v>
      </c>
      <c r="E51" s="197"/>
      <c r="F51" s="615"/>
      <c r="G51" s="160"/>
      <c r="H51" s="1104"/>
    </row>
    <row r="52">
      <c r="A52" s="151">
        <v>8.0</v>
      </c>
      <c r="B52" s="160"/>
      <c r="C52" s="160"/>
      <c r="D52" s="158"/>
      <c r="E52" s="197"/>
      <c r="F52" s="615"/>
      <c r="G52" s="160"/>
      <c r="H52" s="1104"/>
    </row>
    <row r="53">
      <c r="A53" s="151">
        <v>9.0</v>
      </c>
      <c r="B53" s="160"/>
      <c r="C53" s="160"/>
      <c r="D53" s="158"/>
      <c r="E53" s="197"/>
      <c r="F53" s="615"/>
      <c r="G53" s="160"/>
      <c r="H53" s="1104"/>
    </row>
    <row r="54">
      <c r="A54" s="151">
        <v>10.0</v>
      </c>
      <c r="B54" s="151"/>
      <c r="C54" s="151"/>
      <c r="D54" s="152"/>
      <c r="E54" s="157"/>
      <c r="F54" s="525"/>
      <c r="G54" s="151"/>
      <c r="H54" s="156"/>
    </row>
    <row r="55">
      <c r="A55" s="161" t="s">
        <v>1562</v>
      </c>
      <c r="B55" s="3"/>
      <c r="C55" s="151">
        <f>sum(C45:C54)</f>
        <v>7</v>
      </c>
      <c r="D55" s="152">
        <f t="shared" ref="D55:E55" si="3">SUM(D45:D54)</f>
        <v>166.9</v>
      </c>
      <c r="E55" s="157">
        <f t="shared" si="3"/>
        <v>11</v>
      </c>
      <c r="F55" s="525"/>
      <c r="G55" s="155"/>
      <c r="H55" s="1110"/>
    </row>
    <row r="58">
      <c r="A58" s="1160" t="s">
        <v>5933</v>
      </c>
      <c r="B58" s="2"/>
      <c r="C58" s="2"/>
      <c r="D58" s="2"/>
      <c r="E58" s="2"/>
      <c r="F58" s="2"/>
      <c r="G58" s="2"/>
      <c r="H58" s="3"/>
    </row>
    <row r="59">
      <c r="A59" s="1097" t="s">
        <v>1435</v>
      </c>
      <c r="B59" s="1161" t="s">
        <v>1436</v>
      </c>
      <c r="C59" s="1097" t="s">
        <v>1843</v>
      </c>
      <c r="D59" s="1162" t="s">
        <v>1438</v>
      </c>
      <c r="E59" s="1163" t="s">
        <v>1564</v>
      </c>
      <c r="F59" s="1100" t="s">
        <v>1440</v>
      </c>
      <c r="G59" s="1097" t="s">
        <v>1844</v>
      </c>
      <c r="H59" s="1161" t="s">
        <v>1441</v>
      </c>
    </row>
    <row r="60">
      <c r="A60" s="151">
        <v>1.0</v>
      </c>
      <c r="B60" s="151"/>
      <c r="C60" s="151"/>
      <c r="D60" s="152"/>
      <c r="E60" s="157"/>
      <c r="F60" s="525"/>
      <c r="G60" s="151"/>
      <c r="H60" s="156"/>
    </row>
    <row r="61">
      <c r="A61" s="151">
        <v>2.0</v>
      </c>
      <c r="B61" s="151"/>
      <c r="C61" s="151"/>
      <c r="D61" s="152"/>
      <c r="E61" s="157"/>
      <c r="F61" s="525"/>
      <c r="G61" s="151"/>
      <c r="H61" s="156"/>
    </row>
    <row r="62">
      <c r="A62" s="151">
        <v>3.0</v>
      </c>
      <c r="B62" s="151"/>
      <c r="C62" s="151"/>
      <c r="D62" s="152"/>
      <c r="E62" s="157"/>
      <c r="F62" s="525"/>
      <c r="G62" s="151"/>
      <c r="H62" s="156"/>
    </row>
    <row r="63">
      <c r="A63" s="151">
        <v>4.0</v>
      </c>
      <c r="B63" s="151"/>
      <c r="C63" s="151"/>
      <c r="D63" s="152"/>
      <c r="E63" s="157"/>
      <c r="F63" s="525"/>
      <c r="G63" s="151"/>
      <c r="H63" s="156"/>
    </row>
    <row r="64">
      <c r="A64" s="160">
        <v>5.0</v>
      </c>
      <c r="B64" s="160"/>
      <c r="C64" s="160"/>
      <c r="D64" s="158"/>
      <c r="E64" s="197"/>
      <c r="F64" s="615"/>
      <c r="G64" s="160"/>
      <c r="H64" s="1104"/>
    </row>
    <row r="65">
      <c r="A65" s="151">
        <v>6.0</v>
      </c>
      <c r="B65" s="160"/>
      <c r="C65" s="160"/>
      <c r="D65" s="158"/>
      <c r="E65" s="197"/>
      <c r="F65" s="615"/>
      <c r="G65" s="160"/>
      <c r="H65" s="1104"/>
    </row>
    <row r="66">
      <c r="A66" s="151">
        <v>7.0</v>
      </c>
      <c r="B66" s="160"/>
      <c r="C66" s="160"/>
      <c r="D66" s="158"/>
      <c r="E66" s="197"/>
      <c r="F66" s="615"/>
      <c r="G66" s="160"/>
      <c r="H66" s="1104"/>
    </row>
    <row r="67">
      <c r="A67" s="151">
        <v>8.0</v>
      </c>
      <c r="B67" s="160"/>
      <c r="C67" s="160"/>
      <c r="D67" s="158"/>
      <c r="E67" s="197"/>
      <c r="F67" s="615"/>
      <c r="G67" s="160"/>
      <c r="H67" s="1104"/>
    </row>
    <row r="68">
      <c r="A68" s="151">
        <v>9.0</v>
      </c>
      <c r="B68" s="160"/>
      <c r="C68" s="160"/>
      <c r="D68" s="158"/>
      <c r="E68" s="197"/>
      <c r="F68" s="615"/>
      <c r="G68" s="160"/>
      <c r="H68" s="1104"/>
    </row>
    <row r="69">
      <c r="A69" s="151">
        <v>10.0</v>
      </c>
      <c r="B69" s="151"/>
      <c r="C69" s="151"/>
      <c r="D69" s="152"/>
      <c r="E69" s="157"/>
      <c r="F69" s="525"/>
      <c r="G69" s="151"/>
      <c r="H69" s="156"/>
    </row>
    <row r="70">
      <c r="A70" s="161" t="s">
        <v>1562</v>
      </c>
      <c r="B70" s="3"/>
      <c r="C70" s="151">
        <f>sum(C60:C69)</f>
        <v>0</v>
      </c>
      <c r="D70" s="152">
        <f t="shared" ref="D70:E70" si="4">SUM(D60:D69)</f>
        <v>0</v>
      </c>
      <c r="E70" s="157">
        <f t="shared" si="4"/>
        <v>0</v>
      </c>
      <c r="F70" s="525"/>
      <c r="G70" s="155"/>
      <c r="H70" s="1110"/>
    </row>
    <row r="73">
      <c r="A73" s="1160" t="s">
        <v>5934</v>
      </c>
      <c r="B73" s="2"/>
      <c r="C73" s="2"/>
      <c r="D73" s="2"/>
      <c r="E73" s="2"/>
      <c r="F73" s="2"/>
      <c r="G73" s="2"/>
      <c r="H73" s="3"/>
    </row>
    <row r="74">
      <c r="A74" s="1097" t="s">
        <v>1435</v>
      </c>
      <c r="B74" s="1161" t="s">
        <v>1436</v>
      </c>
      <c r="C74" s="1097" t="s">
        <v>1843</v>
      </c>
      <c r="D74" s="1162" t="s">
        <v>1438</v>
      </c>
      <c r="E74" s="1163" t="s">
        <v>1564</v>
      </c>
      <c r="F74" s="1100" t="s">
        <v>1440</v>
      </c>
      <c r="G74" s="1097" t="s">
        <v>1844</v>
      </c>
      <c r="H74" s="1161" t="s">
        <v>1441</v>
      </c>
    </row>
    <row r="75">
      <c r="A75" s="151">
        <v>1.0</v>
      </c>
      <c r="B75" s="151"/>
      <c r="C75" s="151"/>
      <c r="D75" s="152"/>
      <c r="E75" s="157"/>
      <c r="F75" s="525"/>
      <c r="G75" s="151"/>
      <c r="H75" s="156"/>
    </row>
    <row r="76">
      <c r="A76" s="151">
        <v>2.0</v>
      </c>
      <c r="B76" s="151"/>
      <c r="C76" s="151"/>
      <c r="D76" s="152"/>
      <c r="E76" s="157"/>
      <c r="F76" s="525"/>
      <c r="G76" s="151"/>
      <c r="H76" s="156"/>
    </row>
    <row r="77">
      <c r="A77" s="151">
        <v>3.0</v>
      </c>
      <c r="B77" s="151"/>
      <c r="C77" s="151"/>
      <c r="D77" s="152"/>
      <c r="E77" s="157"/>
      <c r="F77" s="525"/>
      <c r="G77" s="151"/>
      <c r="H77" s="156"/>
    </row>
    <row r="78">
      <c r="A78" s="151">
        <v>4.0</v>
      </c>
      <c r="B78" s="151"/>
      <c r="C78" s="151"/>
      <c r="D78" s="152"/>
      <c r="E78" s="157"/>
      <c r="F78" s="525"/>
      <c r="G78" s="151"/>
      <c r="H78" s="156"/>
    </row>
    <row r="79">
      <c r="A79" s="160">
        <v>5.0</v>
      </c>
      <c r="B79" s="160"/>
      <c r="C79" s="160"/>
      <c r="D79" s="158"/>
      <c r="E79" s="197"/>
      <c r="F79" s="615"/>
      <c r="G79" s="160"/>
      <c r="H79" s="1104"/>
    </row>
    <row r="80">
      <c r="A80" s="151">
        <v>6.0</v>
      </c>
      <c r="B80" s="160"/>
      <c r="C80" s="160"/>
      <c r="D80" s="158"/>
      <c r="E80" s="197"/>
      <c r="F80" s="615"/>
      <c r="G80" s="160"/>
      <c r="H80" s="1104"/>
    </row>
    <row r="81">
      <c r="A81" s="151">
        <v>7.0</v>
      </c>
      <c r="B81" s="160"/>
      <c r="C81" s="160"/>
      <c r="D81" s="158"/>
      <c r="E81" s="197"/>
      <c r="F81" s="615"/>
      <c r="G81" s="160"/>
      <c r="H81" s="1104"/>
    </row>
    <row r="82">
      <c r="A82" s="151">
        <v>8.0</v>
      </c>
      <c r="B82" s="160"/>
      <c r="C82" s="160"/>
      <c r="D82" s="158"/>
      <c r="E82" s="197"/>
      <c r="F82" s="615"/>
      <c r="G82" s="160"/>
      <c r="H82" s="1104"/>
    </row>
    <row r="83">
      <c r="A83" s="151">
        <v>9.0</v>
      </c>
      <c r="B83" s="160"/>
      <c r="C83" s="160"/>
      <c r="D83" s="158"/>
      <c r="E83" s="197"/>
      <c r="F83" s="615"/>
      <c r="G83" s="160"/>
      <c r="H83" s="1104"/>
    </row>
    <row r="84">
      <c r="A84" s="151">
        <v>10.0</v>
      </c>
      <c r="B84" s="151"/>
      <c r="C84" s="151"/>
      <c r="D84" s="152"/>
      <c r="E84" s="157"/>
      <c r="F84" s="525"/>
      <c r="G84" s="151"/>
      <c r="H84" s="156"/>
    </row>
    <row r="85">
      <c r="A85" s="161" t="s">
        <v>1562</v>
      </c>
      <c r="B85" s="3"/>
      <c r="C85" s="151">
        <f>sum(C75:C84)</f>
        <v>0</v>
      </c>
      <c r="D85" s="152">
        <f t="shared" ref="D85:E85" si="5">SUM(D75:D84)</f>
        <v>0</v>
      </c>
      <c r="E85" s="157">
        <f t="shared" si="5"/>
        <v>0</v>
      </c>
      <c r="F85" s="525"/>
      <c r="G85" s="155"/>
      <c r="H85" s="1110"/>
    </row>
    <row r="88">
      <c r="A88" s="1160" t="s">
        <v>5753</v>
      </c>
      <c r="B88" s="2"/>
      <c r="C88" s="2"/>
      <c r="D88" s="2"/>
      <c r="E88" s="2"/>
      <c r="F88" s="2"/>
      <c r="G88" s="2"/>
      <c r="H88" s="3"/>
    </row>
    <row r="89">
      <c r="A89" s="1097" t="s">
        <v>1435</v>
      </c>
      <c r="B89" s="1161" t="s">
        <v>1436</v>
      </c>
      <c r="C89" s="1097" t="s">
        <v>1843</v>
      </c>
      <c r="D89" s="1162" t="s">
        <v>1438</v>
      </c>
      <c r="E89" s="1163" t="s">
        <v>1564</v>
      </c>
      <c r="F89" s="1100" t="s">
        <v>1440</v>
      </c>
      <c r="G89" s="1097" t="s">
        <v>1844</v>
      </c>
      <c r="H89" s="1161" t="s">
        <v>1441</v>
      </c>
    </row>
    <row r="90">
      <c r="A90" s="151">
        <v>1.0</v>
      </c>
      <c r="B90" s="151"/>
      <c r="C90" s="151"/>
      <c r="D90" s="152"/>
      <c r="E90" s="157"/>
      <c r="F90" s="525"/>
      <c r="G90" s="151"/>
      <c r="H90" s="156"/>
    </row>
    <row r="91">
      <c r="A91" s="151">
        <v>2.0</v>
      </c>
      <c r="B91" s="151"/>
      <c r="C91" s="151"/>
      <c r="D91" s="152"/>
      <c r="E91" s="157"/>
      <c r="F91" s="525"/>
      <c r="G91" s="151"/>
      <c r="H91" s="156"/>
    </row>
    <row r="92">
      <c r="A92" s="151">
        <v>3.0</v>
      </c>
      <c r="B92" s="151"/>
      <c r="C92" s="151"/>
      <c r="D92" s="152"/>
      <c r="E92" s="157"/>
      <c r="F92" s="525"/>
      <c r="G92" s="151"/>
      <c r="H92" s="156"/>
    </row>
    <row r="93">
      <c r="A93" s="151">
        <v>4.0</v>
      </c>
      <c r="B93" s="151"/>
      <c r="C93" s="151"/>
      <c r="D93" s="152"/>
      <c r="E93" s="157"/>
      <c r="F93" s="525"/>
      <c r="G93" s="151"/>
      <c r="H93" s="156"/>
    </row>
    <row r="94">
      <c r="A94" s="160">
        <v>5.0</v>
      </c>
      <c r="B94" s="160"/>
      <c r="C94" s="160"/>
      <c r="D94" s="158"/>
      <c r="E94" s="197"/>
      <c r="F94" s="615"/>
      <c r="G94" s="160"/>
      <c r="H94" s="1104"/>
    </row>
    <row r="95">
      <c r="A95" s="151">
        <v>6.0</v>
      </c>
      <c r="B95" s="160"/>
      <c r="C95" s="160"/>
      <c r="D95" s="158"/>
      <c r="E95" s="197"/>
      <c r="F95" s="615"/>
      <c r="G95" s="160"/>
      <c r="H95" s="1104"/>
    </row>
    <row r="96">
      <c r="A96" s="151">
        <v>7.0</v>
      </c>
      <c r="B96" s="160"/>
      <c r="C96" s="160"/>
      <c r="D96" s="158"/>
      <c r="E96" s="197"/>
      <c r="F96" s="615"/>
      <c r="G96" s="160"/>
      <c r="H96" s="1104"/>
    </row>
    <row r="97">
      <c r="A97" s="151">
        <v>8.0</v>
      </c>
      <c r="B97" s="160"/>
      <c r="C97" s="160"/>
      <c r="D97" s="158"/>
      <c r="E97" s="197"/>
      <c r="F97" s="615"/>
      <c r="G97" s="160"/>
      <c r="H97" s="1104"/>
    </row>
    <row r="98">
      <c r="A98" s="151">
        <v>9.0</v>
      </c>
      <c r="B98" s="160"/>
      <c r="C98" s="160"/>
      <c r="D98" s="158"/>
      <c r="E98" s="197"/>
      <c r="F98" s="615"/>
      <c r="G98" s="160"/>
      <c r="H98" s="1104"/>
    </row>
    <row r="99">
      <c r="A99" s="151">
        <v>10.0</v>
      </c>
      <c r="B99" s="151"/>
      <c r="C99" s="151"/>
      <c r="D99" s="152"/>
      <c r="E99" s="157"/>
      <c r="F99" s="525"/>
      <c r="G99" s="151"/>
      <c r="H99" s="156"/>
    </row>
    <row r="100">
      <c r="A100" s="161" t="s">
        <v>1562</v>
      </c>
      <c r="B100" s="3"/>
      <c r="C100" s="151">
        <f>sum(C90:C99)</f>
        <v>0</v>
      </c>
      <c r="D100" s="152">
        <f t="shared" ref="D100:E100" si="6">SUM(D90:D99)</f>
        <v>0</v>
      </c>
      <c r="E100" s="157">
        <f t="shared" si="6"/>
        <v>0</v>
      </c>
      <c r="F100" s="525"/>
      <c r="G100" s="155"/>
      <c r="H100" s="1110"/>
    </row>
  </sheetData>
  <mergeCells count="12">
    <mergeCell ref="A70:B70"/>
    <mergeCell ref="A73:H73"/>
    <mergeCell ref="A85:B85"/>
    <mergeCell ref="A88:H88"/>
    <mergeCell ref="A100:B100"/>
    <mergeCell ref="A3:H3"/>
    <mergeCell ref="A16:B16"/>
    <mergeCell ref="A19:H19"/>
    <mergeCell ref="A40:B40"/>
    <mergeCell ref="A43:H43"/>
    <mergeCell ref="A55:B55"/>
    <mergeCell ref="A58:H5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3" max="3" width="24.29"/>
    <col customWidth="1" min="4" max="4" width="35.71"/>
    <col customWidth="1" min="6" max="6" width="21.14"/>
    <col customWidth="1" min="7" max="7" width="20.29"/>
  </cols>
  <sheetData>
    <row r="1" ht="30.0" customHeight="1">
      <c r="A1" s="52" t="s">
        <v>5935</v>
      </c>
      <c r="B1" s="2"/>
      <c r="C1" s="2"/>
      <c r="D1" s="2"/>
      <c r="E1" s="2"/>
      <c r="F1" s="2"/>
      <c r="G1" s="2"/>
      <c r="H1" s="3"/>
    </row>
    <row r="2">
      <c r="A2" s="23" t="s">
        <v>1824</v>
      </c>
      <c r="B2" s="23" t="s">
        <v>5</v>
      </c>
      <c r="C2" s="720" t="s">
        <v>5936</v>
      </c>
      <c r="D2" s="1165" t="s">
        <v>5937</v>
      </c>
      <c r="E2" s="1166" t="s">
        <v>5938</v>
      </c>
      <c r="F2" s="1166" t="s">
        <v>5939</v>
      </c>
      <c r="G2" s="1165" t="s">
        <v>5940</v>
      </c>
      <c r="H2" s="23" t="s">
        <v>5941</v>
      </c>
    </row>
    <row r="3">
      <c r="A3" s="23"/>
      <c r="B3" s="1167"/>
      <c r="C3" s="23"/>
      <c r="D3" s="23"/>
      <c r="E3" s="10"/>
      <c r="F3" s="23"/>
      <c r="G3" s="23"/>
      <c r="H3" s="10"/>
    </row>
    <row r="4">
      <c r="A4" s="23"/>
      <c r="B4" s="1168"/>
      <c r="C4" s="23"/>
      <c r="D4" s="23"/>
      <c r="E4" s="10"/>
      <c r="F4" s="23"/>
      <c r="G4" s="23"/>
      <c r="H4" s="10"/>
    </row>
    <row r="5">
      <c r="A5" s="23"/>
      <c r="B5" s="10"/>
      <c r="C5" s="10"/>
      <c r="D5" s="10"/>
      <c r="E5" s="10"/>
      <c r="F5" s="10"/>
      <c r="G5" s="10"/>
      <c r="H5" s="10"/>
    </row>
    <row r="6">
      <c r="A6" s="23"/>
      <c r="B6" s="10"/>
      <c r="C6" s="10"/>
      <c r="D6" s="10"/>
      <c r="E6" s="10"/>
      <c r="F6" s="10"/>
      <c r="G6" s="10"/>
      <c r="H6" s="10"/>
    </row>
    <row r="7">
      <c r="A7" s="23"/>
      <c r="B7" s="10"/>
      <c r="C7" s="10"/>
      <c r="D7" s="10"/>
      <c r="E7" s="10"/>
      <c r="F7" s="10"/>
      <c r="G7" s="10"/>
      <c r="H7" s="10"/>
    </row>
    <row r="8">
      <c r="A8" s="23"/>
      <c r="B8" s="10"/>
      <c r="C8" s="10"/>
      <c r="D8" s="10"/>
      <c r="E8" s="10"/>
      <c r="F8" s="10"/>
      <c r="G8" s="10"/>
      <c r="H8" s="10"/>
    </row>
    <row r="9">
      <c r="A9" s="23"/>
      <c r="B9" s="10"/>
      <c r="C9" s="10"/>
      <c r="D9" s="10"/>
      <c r="E9" s="10"/>
      <c r="F9" s="10"/>
      <c r="G9" s="10"/>
      <c r="H9" s="10"/>
    </row>
    <row r="10">
      <c r="A10" s="23"/>
      <c r="B10" s="10"/>
      <c r="C10" s="10"/>
      <c r="D10" s="10"/>
      <c r="E10" s="10"/>
      <c r="F10" s="10"/>
      <c r="G10" s="10"/>
      <c r="H10" s="10"/>
    </row>
    <row r="11">
      <c r="A11" s="23"/>
      <c r="B11" s="10"/>
      <c r="C11" s="10"/>
      <c r="D11" s="10"/>
      <c r="E11" s="10"/>
      <c r="F11" s="10"/>
      <c r="G11" s="10"/>
      <c r="H11" s="10"/>
    </row>
    <row r="12">
      <c r="A12" s="23"/>
      <c r="B12" s="10"/>
      <c r="C12" s="10"/>
      <c r="D12" s="10"/>
      <c r="E12" s="10"/>
      <c r="F12" s="10"/>
      <c r="G12" s="10"/>
      <c r="H12" s="10"/>
    </row>
    <row r="13">
      <c r="A13" s="23"/>
      <c r="B13" s="10"/>
      <c r="C13" s="10"/>
      <c r="D13" s="10"/>
      <c r="E13" s="10"/>
      <c r="F13" s="10"/>
      <c r="G13" s="10"/>
      <c r="H13" s="10"/>
    </row>
    <row r="14">
      <c r="A14" s="23"/>
      <c r="B14" s="10"/>
      <c r="C14" s="10"/>
      <c r="D14" s="10"/>
      <c r="E14" s="10"/>
      <c r="F14" s="10"/>
      <c r="G14" s="10"/>
      <c r="H14" s="10"/>
    </row>
    <row r="15">
      <c r="A15" s="23"/>
      <c r="B15" s="10"/>
      <c r="C15" s="10"/>
      <c r="D15" s="10"/>
      <c r="E15" s="10"/>
      <c r="F15" s="10"/>
      <c r="G15" s="10"/>
      <c r="H15" s="10"/>
    </row>
    <row r="16">
      <c r="A16" s="23"/>
      <c r="B16" s="10"/>
      <c r="C16" s="10"/>
      <c r="D16" s="10"/>
      <c r="E16" s="10"/>
      <c r="F16" s="10"/>
      <c r="G16" s="10"/>
      <c r="H16" s="10"/>
    </row>
    <row r="17">
      <c r="A17" s="23"/>
      <c r="B17" s="10"/>
      <c r="C17" s="10"/>
      <c r="D17" s="10"/>
      <c r="E17" s="10"/>
      <c r="F17" s="10"/>
      <c r="G17" s="10"/>
      <c r="H17" s="10"/>
    </row>
    <row r="18">
      <c r="A18" s="23"/>
      <c r="B18" s="10"/>
      <c r="C18" s="10"/>
      <c r="D18" s="10"/>
      <c r="E18" s="10"/>
      <c r="F18" s="10"/>
      <c r="G18" s="10"/>
      <c r="H18" s="10"/>
    </row>
    <row r="19">
      <c r="A19" s="23"/>
      <c r="B19" s="10"/>
      <c r="C19" s="10"/>
      <c r="D19" s="10"/>
      <c r="E19" s="10"/>
      <c r="F19" s="10"/>
      <c r="G19" s="10"/>
      <c r="H19" s="10"/>
    </row>
    <row r="20">
      <c r="A20" s="23"/>
      <c r="B20" s="10"/>
      <c r="C20" s="10"/>
      <c r="D20" s="10"/>
      <c r="E20" s="10"/>
      <c r="F20" s="10"/>
      <c r="G20" s="10"/>
      <c r="H20" s="10"/>
    </row>
    <row r="21">
      <c r="A21" s="23"/>
      <c r="B21" s="10"/>
      <c r="C21" s="10"/>
      <c r="D21" s="10"/>
      <c r="E21" s="10"/>
      <c r="F21" s="10"/>
      <c r="G21" s="10"/>
      <c r="H21" s="10"/>
    </row>
    <row r="22">
      <c r="A22" s="23"/>
      <c r="B22" s="10"/>
      <c r="C22" s="10"/>
      <c r="D22" s="10"/>
      <c r="E22" s="10"/>
      <c r="F22" s="10"/>
      <c r="G22" s="10"/>
      <c r="H22" s="10"/>
    </row>
    <row r="23">
      <c r="A23" s="23"/>
      <c r="B23" s="10"/>
      <c r="C23" s="10"/>
      <c r="D23" s="10"/>
      <c r="E23" s="10"/>
      <c r="F23" s="10"/>
      <c r="G23" s="10"/>
      <c r="H23" s="10"/>
    </row>
    <row r="24">
      <c r="A24" s="23"/>
      <c r="B24" s="10"/>
      <c r="C24" s="10"/>
      <c r="D24" s="10"/>
      <c r="E24" s="10"/>
      <c r="F24" s="10"/>
      <c r="G24" s="10"/>
      <c r="H24" s="10"/>
    </row>
    <row r="25">
      <c r="A25" s="23"/>
      <c r="B25" s="10"/>
      <c r="C25" s="10"/>
      <c r="D25" s="10"/>
      <c r="E25" s="10"/>
      <c r="F25" s="10"/>
      <c r="G25" s="10"/>
      <c r="H25" s="10"/>
    </row>
    <row r="26">
      <c r="A26" s="23"/>
      <c r="B26" s="10"/>
      <c r="C26" s="10"/>
      <c r="D26" s="10"/>
      <c r="E26" s="10"/>
      <c r="F26" s="10"/>
      <c r="G26" s="10"/>
      <c r="H26" s="10"/>
    </row>
    <row r="27">
      <c r="A27" s="23"/>
      <c r="B27" s="10"/>
      <c r="C27" s="10"/>
      <c r="D27" s="10"/>
      <c r="E27" s="10"/>
      <c r="F27" s="10"/>
      <c r="G27" s="10"/>
      <c r="H27" s="10"/>
    </row>
    <row r="28">
      <c r="A28" s="23"/>
      <c r="B28" s="10"/>
      <c r="C28" s="10"/>
      <c r="D28" s="10"/>
      <c r="E28" s="10"/>
      <c r="F28" s="10"/>
      <c r="G28" s="10"/>
      <c r="H28" s="10"/>
    </row>
    <row r="29">
      <c r="A29" s="23"/>
      <c r="B29" s="10"/>
      <c r="C29" s="10"/>
      <c r="D29" s="10"/>
      <c r="E29" s="10"/>
      <c r="F29" s="10"/>
      <c r="G29" s="10"/>
      <c r="H29" s="10"/>
    </row>
    <row r="30">
      <c r="A30" s="23"/>
      <c r="B30" s="10"/>
      <c r="C30" s="10"/>
      <c r="D30" s="10"/>
      <c r="E30" s="10"/>
      <c r="F30" s="10"/>
      <c r="G30" s="10"/>
      <c r="H30" s="10"/>
    </row>
    <row r="31">
      <c r="A31" s="23"/>
      <c r="B31" s="10"/>
      <c r="C31" s="10"/>
      <c r="D31" s="10"/>
      <c r="E31" s="10"/>
      <c r="F31" s="10"/>
      <c r="G31" s="10"/>
      <c r="H31" s="10"/>
    </row>
    <row r="32">
      <c r="A32" s="23"/>
      <c r="B32" s="10"/>
      <c r="C32" s="10"/>
      <c r="D32" s="10"/>
      <c r="E32" s="10"/>
      <c r="F32" s="10"/>
      <c r="G32" s="10"/>
      <c r="H32" s="10"/>
    </row>
    <row r="33">
      <c r="A33" s="23"/>
      <c r="B33" s="10"/>
      <c r="C33" s="10"/>
      <c r="D33" s="10"/>
      <c r="E33" s="10"/>
      <c r="F33" s="10"/>
      <c r="G33" s="10"/>
      <c r="H33" s="10"/>
    </row>
    <row r="34">
      <c r="A34" s="61"/>
      <c r="B34" s="58"/>
      <c r="C34" s="58"/>
      <c r="D34" s="58"/>
      <c r="E34" s="58"/>
      <c r="F34" s="58"/>
      <c r="G34" s="58"/>
    </row>
    <row r="35">
      <c r="A35" s="61"/>
      <c r="B35" s="58"/>
      <c r="C35" s="58"/>
      <c r="D35" s="58"/>
      <c r="E35" s="58"/>
      <c r="F35" s="58"/>
      <c r="G35" s="58"/>
    </row>
    <row r="36">
      <c r="A36" s="58"/>
      <c r="B36" s="58"/>
      <c r="C36" s="58"/>
      <c r="D36" s="58"/>
      <c r="E36" s="58"/>
      <c r="F36" s="58"/>
      <c r="G36" s="58"/>
    </row>
    <row r="37">
      <c r="A37" s="58"/>
      <c r="B37" s="58"/>
      <c r="C37" s="58"/>
      <c r="D37" s="58"/>
      <c r="E37" s="58"/>
      <c r="F37" s="58"/>
      <c r="G37" s="58"/>
    </row>
    <row r="38">
      <c r="A38" s="58"/>
      <c r="B38" s="58"/>
      <c r="C38" s="58"/>
      <c r="D38" s="58"/>
      <c r="E38" s="58"/>
      <c r="F38" s="58"/>
      <c r="G38" s="58"/>
    </row>
    <row r="39">
      <c r="A39" s="58"/>
      <c r="B39" s="58"/>
      <c r="C39" s="58"/>
      <c r="D39" s="58"/>
      <c r="E39" s="58"/>
      <c r="F39" s="58"/>
      <c r="G39" s="58"/>
    </row>
    <row r="40">
      <c r="A40" s="58"/>
      <c r="B40" s="58"/>
      <c r="C40" s="58"/>
      <c r="D40" s="58"/>
      <c r="E40" s="58"/>
      <c r="F40" s="58"/>
      <c r="G40" s="58"/>
    </row>
    <row r="41">
      <c r="A41" s="58"/>
      <c r="B41" s="58"/>
      <c r="C41" s="58"/>
      <c r="D41" s="58"/>
      <c r="E41" s="58"/>
      <c r="F41" s="58"/>
      <c r="G41" s="58"/>
    </row>
    <row r="42">
      <c r="A42" s="58"/>
      <c r="B42" s="58"/>
      <c r="C42" s="58"/>
      <c r="D42" s="58"/>
      <c r="E42" s="58"/>
      <c r="F42" s="58"/>
      <c r="G42" s="58"/>
    </row>
    <row r="43">
      <c r="A43" s="58"/>
      <c r="B43" s="58"/>
      <c r="C43" s="58"/>
      <c r="D43" s="58"/>
      <c r="E43" s="58"/>
      <c r="F43" s="58"/>
      <c r="G43" s="58"/>
    </row>
    <row r="44">
      <c r="A44" s="58"/>
      <c r="B44" s="58"/>
      <c r="C44" s="58"/>
      <c r="D44" s="58"/>
      <c r="E44" s="58"/>
      <c r="F44" s="58"/>
      <c r="G44" s="58"/>
    </row>
    <row r="45">
      <c r="A45" s="58"/>
      <c r="B45" s="58"/>
      <c r="C45" s="58"/>
      <c r="D45" s="58"/>
      <c r="E45" s="58"/>
      <c r="F45" s="58"/>
      <c r="G45" s="58"/>
    </row>
    <row r="46">
      <c r="A46" s="58"/>
      <c r="B46" s="58"/>
      <c r="C46" s="58"/>
      <c r="D46" s="58"/>
      <c r="E46" s="58"/>
      <c r="F46" s="58"/>
      <c r="G46" s="58"/>
    </row>
    <row r="47">
      <c r="A47" s="58"/>
      <c r="B47" s="58"/>
      <c r="C47" s="58"/>
      <c r="D47" s="58"/>
      <c r="E47" s="58"/>
      <c r="F47" s="58"/>
      <c r="G47" s="58"/>
    </row>
    <row r="48">
      <c r="A48" s="58"/>
      <c r="B48" s="58"/>
      <c r="C48" s="58"/>
      <c r="D48" s="58"/>
      <c r="E48" s="58"/>
      <c r="F48" s="58"/>
      <c r="G48" s="58"/>
    </row>
    <row r="49">
      <c r="A49" s="58"/>
      <c r="B49" s="58"/>
      <c r="C49" s="58"/>
      <c r="D49" s="58"/>
      <c r="E49" s="58"/>
      <c r="F49" s="58"/>
      <c r="G49" s="58"/>
    </row>
    <row r="50">
      <c r="A50" s="58"/>
      <c r="B50" s="58"/>
      <c r="C50" s="58"/>
      <c r="D50" s="58"/>
      <c r="E50" s="58"/>
      <c r="F50" s="58"/>
      <c r="G50" s="58"/>
    </row>
    <row r="51">
      <c r="A51" s="58"/>
      <c r="B51" s="58"/>
      <c r="C51" s="58"/>
      <c r="D51" s="58"/>
      <c r="E51" s="58"/>
      <c r="F51" s="58"/>
      <c r="G51" s="58"/>
    </row>
    <row r="52">
      <c r="A52" s="58"/>
      <c r="B52" s="58"/>
      <c r="C52" s="58"/>
      <c r="D52" s="58"/>
      <c r="E52" s="58"/>
      <c r="F52" s="58"/>
      <c r="G52" s="58"/>
    </row>
    <row r="53">
      <c r="A53" s="58"/>
      <c r="B53" s="58"/>
      <c r="C53" s="58"/>
      <c r="D53" s="58"/>
      <c r="E53" s="58"/>
      <c r="F53" s="58"/>
      <c r="G53" s="58"/>
    </row>
    <row r="54">
      <c r="A54" s="58"/>
      <c r="B54" s="58"/>
      <c r="C54" s="58"/>
      <c r="D54" s="58"/>
      <c r="E54" s="58"/>
      <c r="F54" s="58"/>
      <c r="G54" s="58"/>
    </row>
    <row r="55">
      <c r="A55" s="58"/>
      <c r="B55" s="58"/>
      <c r="C55" s="58"/>
      <c r="D55" s="58"/>
      <c r="E55" s="58"/>
      <c r="F55" s="58"/>
      <c r="G55" s="58"/>
    </row>
    <row r="56">
      <c r="A56" s="58"/>
      <c r="B56" s="58"/>
      <c r="C56" s="58"/>
      <c r="D56" s="58"/>
      <c r="E56" s="58"/>
      <c r="F56" s="58"/>
      <c r="G56" s="58"/>
    </row>
    <row r="57">
      <c r="A57" s="58"/>
      <c r="B57" s="58"/>
      <c r="C57" s="58"/>
      <c r="D57" s="58"/>
      <c r="E57" s="58"/>
      <c r="F57" s="58"/>
      <c r="G57" s="58"/>
    </row>
    <row r="58">
      <c r="A58" s="58"/>
      <c r="B58" s="58"/>
      <c r="C58" s="58"/>
      <c r="D58" s="58"/>
      <c r="E58" s="58"/>
      <c r="F58" s="58"/>
      <c r="G58" s="58"/>
    </row>
    <row r="59">
      <c r="A59" s="58"/>
      <c r="B59" s="58"/>
      <c r="C59" s="58"/>
      <c r="D59" s="58"/>
      <c r="E59" s="58"/>
      <c r="F59" s="58"/>
      <c r="G59" s="58"/>
    </row>
    <row r="60">
      <c r="A60" s="58"/>
      <c r="B60" s="58"/>
      <c r="C60" s="58"/>
      <c r="D60" s="58"/>
      <c r="E60" s="58"/>
      <c r="F60" s="58"/>
      <c r="G60" s="58"/>
    </row>
    <row r="61">
      <c r="A61" s="58"/>
      <c r="B61" s="58"/>
      <c r="C61" s="58"/>
      <c r="D61" s="58"/>
      <c r="E61" s="58"/>
      <c r="F61" s="58"/>
      <c r="G61" s="58"/>
    </row>
    <row r="62">
      <c r="A62" s="58"/>
      <c r="B62" s="58"/>
      <c r="C62" s="58"/>
      <c r="D62" s="58"/>
      <c r="E62" s="58"/>
      <c r="F62" s="58"/>
      <c r="G62" s="58"/>
    </row>
    <row r="63">
      <c r="A63" s="58"/>
      <c r="B63" s="58"/>
      <c r="C63" s="58"/>
      <c r="D63" s="58"/>
      <c r="E63" s="58"/>
      <c r="F63" s="58"/>
      <c r="G63" s="58"/>
    </row>
    <row r="64">
      <c r="A64" s="58"/>
      <c r="B64" s="58"/>
      <c r="C64" s="58"/>
      <c r="D64" s="58"/>
      <c r="E64" s="58"/>
      <c r="F64" s="58"/>
      <c r="G64" s="58"/>
    </row>
    <row r="65">
      <c r="A65" s="58"/>
      <c r="B65" s="58"/>
      <c r="C65" s="58"/>
      <c r="D65" s="58"/>
      <c r="E65" s="58"/>
      <c r="F65" s="58"/>
      <c r="G65" s="58"/>
    </row>
    <row r="66">
      <c r="A66" s="58"/>
      <c r="B66" s="58"/>
      <c r="C66" s="58"/>
      <c r="D66" s="58"/>
      <c r="E66" s="58"/>
      <c r="F66" s="58"/>
      <c r="G66" s="58"/>
    </row>
    <row r="67">
      <c r="A67" s="58"/>
      <c r="B67" s="58"/>
      <c r="C67" s="58"/>
      <c r="D67" s="58"/>
      <c r="E67" s="58"/>
      <c r="F67" s="58"/>
      <c r="G67" s="58"/>
    </row>
    <row r="68">
      <c r="A68" s="58"/>
      <c r="B68" s="58"/>
      <c r="C68" s="58"/>
      <c r="D68" s="58"/>
      <c r="E68" s="58"/>
      <c r="F68" s="58"/>
      <c r="G68" s="58"/>
    </row>
    <row r="69">
      <c r="A69" s="58"/>
      <c r="B69" s="58"/>
      <c r="C69" s="58"/>
      <c r="D69" s="58"/>
      <c r="E69" s="58"/>
      <c r="F69" s="58"/>
      <c r="G69" s="58"/>
    </row>
    <row r="70">
      <c r="A70" s="58"/>
      <c r="B70" s="58"/>
      <c r="C70" s="58"/>
      <c r="D70" s="58"/>
      <c r="E70" s="58"/>
      <c r="F70" s="58"/>
      <c r="G70" s="58"/>
    </row>
    <row r="71">
      <c r="A71" s="58"/>
      <c r="B71" s="58"/>
      <c r="C71" s="58"/>
      <c r="D71" s="58"/>
      <c r="E71" s="58"/>
      <c r="F71" s="58"/>
      <c r="G71" s="58"/>
    </row>
    <row r="72">
      <c r="A72" s="58"/>
      <c r="B72" s="58"/>
      <c r="C72" s="58"/>
      <c r="D72" s="58"/>
      <c r="E72" s="58"/>
      <c r="F72" s="58"/>
      <c r="G72" s="58"/>
    </row>
    <row r="73">
      <c r="A73" s="58"/>
      <c r="B73" s="58"/>
      <c r="C73" s="58"/>
      <c r="D73" s="58"/>
      <c r="E73" s="58"/>
      <c r="F73" s="58"/>
      <c r="G73" s="58"/>
    </row>
    <row r="74">
      <c r="A74" s="58"/>
      <c r="B74" s="58"/>
      <c r="C74" s="58"/>
      <c r="D74" s="58"/>
      <c r="E74" s="58"/>
      <c r="F74" s="58"/>
      <c r="G74" s="58"/>
    </row>
    <row r="75">
      <c r="A75" s="58"/>
      <c r="B75" s="58"/>
      <c r="C75" s="58"/>
      <c r="D75" s="58"/>
      <c r="E75" s="58"/>
      <c r="F75" s="58"/>
      <c r="G75" s="58"/>
    </row>
    <row r="76">
      <c r="A76" s="58"/>
      <c r="B76" s="58"/>
      <c r="C76" s="58"/>
      <c r="D76" s="58"/>
      <c r="E76" s="58"/>
      <c r="F76" s="58"/>
      <c r="G76" s="58"/>
    </row>
    <row r="77">
      <c r="A77" s="58"/>
      <c r="B77" s="58"/>
      <c r="C77" s="58"/>
      <c r="D77" s="58"/>
      <c r="E77" s="58"/>
      <c r="F77" s="58"/>
      <c r="G77" s="58"/>
    </row>
    <row r="78">
      <c r="A78" s="58"/>
      <c r="B78" s="58"/>
      <c r="C78" s="58"/>
      <c r="D78" s="58"/>
      <c r="E78" s="58"/>
      <c r="F78" s="58"/>
      <c r="G78" s="58"/>
    </row>
    <row r="79">
      <c r="A79" s="58"/>
      <c r="B79" s="58"/>
      <c r="C79" s="58"/>
      <c r="D79" s="58"/>
      <c r="E79" s="58"/>
      <c r="F79" s="58"/>
      <c r="G79" s="58"/>
    </row>
    <row r="80">
      <c r="A80" s="58"/>
      <c r="B80" s="58"/>
      <c r="C80" s="58"/>
      <c r="D80" s="58"/>
      <c r="E80" s="58"/>
      <c r="F80" s="58"/>
      <c r="G80" s="58"/>
    </row>
    <row r="81">
      <c r="A81" s="58"/>
      <c r="B81" s="58"/>
      <c r="C81" s="58"/>
      <c r="D81" s="58"/>
      <c r="E81" s="58"/>
      <c r="F81" s="58"/>
      <c r="G81" s="58"/>
    </row>
    <row r="82">
      <c r="A82" s="58"/>
      <c r="B82" s="58"/>
      <c r="C82" s="58"/>
      <c r="D82" s="58"/>
      <c r="E82" s="58"/>
      <c r="F82" s="58"/>
      <c r="G82" s="58"/>
    </row>
    <row r="83">
      <c r="A83" s="58"/>
      <c r="B83" s="58"/>
      <c r="C83" s="58"/>
      <c r="D83" s="58"/>
      <c r="E83" s="58"/>
      <c r="F83" s="58"/>
      <c r="G83" s="58"/>
    </row>
    <row r="84">
      <c r="A84" s="58"/>
      <c r="B84" s="58"/>
      <c r="C84" s="58"/>
      <c r="D84" s="58"/>
      <c r="E84" s="58"/>
      <c r="F84" s="58"/>
      <c r="G84" s="58"/>
    </row>
    <row r="85">
      <c r="A85" s="58"/>
      <c r="B85" s="58"/>
      <c r="C85" s="58"/>
      <c r="D85" s="58"/>
      <c r="E85" s="58"/>
      <c r="F85" s="58"/>
      <c r="G85" s="58"/>
    </row>
    <row r="86">
      <c r="A86" s="58"/>
      <c r="B86" s="58"/>
      <c r="C86" s="58"/>
      <c r="D86" s="58"/>
      <c r="E86" s="58"/>
      <c r="F86" s="58"/>
      <c r="G86" s="58"/>
    </row>
    <row r="87">
      <c r="A87" s="58"/>
      <c r="B87" s="58"/>
      <c r="C87" s="58"/>
      <c r="D87" s="58"/>
      <c r="E87" s="58"/>
      <c r="F87" s="58"/>
      <c r="G87" s="58"/>
    </row>
    <row r="88">
      <c r="A88" s="58"/>
      <c r="B88" s="58"/>
      <c r="C88" s="58"/>
      <c r="D88" s="58"/>
      <c r="E88" s="58"/>
      <c r="F88" s="58"/>
      <c r="G88" s="58"/>
    </row>
    <row r="89">
      <c r="A89" s="58"/>
      <c r="B89" s="58"/>
      <c r="C89" s="58"/>
      <c r="D89" s="58"/>
      <c r="E89" s="58"/>
      <c r="F89" s="58"/>
      <c r="G89" s="58"/>
    </row>
    <row r="90">
      <c r="A90" s="58"/>
      <c r="B90" s="58"/>
      <c r="C90" s="58"/>
      <c r="D90" s="58"/>
      <c r="E90" s="58"/>
      <c r="F90" s="58"/>
      <c r="G90" s="58"/>
    </row>
    <row r="91">
      <c r="A91" s="58"/>
      <c r="B91" s="58"/>
      <c r="C91" s="58"/>
      <c r="D91" s="58"/>
      <c r="E91" s="58"/>
      <c r="F91" s="58"/>
      <c r="G91" s="58"/>
    </row>
    <row r="92">
      <c r="A92" s="58"/>
      <c r="B92" s="58"/>
      <c r="C92" s="58"/>
      <c r="D92" s="58"/>
      <c r="E92" s="58"/>
      <c r="F92" s="58"/>
      <c r="G92" s="58"/>
    </row>
    <row r="93">
      <c r="A93" s="58"/>
      <c r="B93" s="58"/>
      <c r="C93" s="58"/>
      <c r="D93" s="58"/>
      <c r="E93" s="58"/>
      <c r="F93" s="58"/>
      <c r="G93" s="58"/>
    </row>
    <row r="94">
      <c r="A94" s="58"/>
      <c r="B94" s="58"/>
      <c r="C94" s="58"/>
      <c r="D94" s="58"/>
      <c r="E94" s="58"/>
      <c r="F94" s="58"/>
      <c r="G94" s="58"/>
    </row>
    <row r="95">
      <c r="A95" s="58"/>
      <c r="B95" s="58"/>
      <c r="C95" s="58"/>
      <c r="D95" s="58"/>
      <c r="E95" s="58"/>
      <c r="F95" s="58"/>
      <c r="G95" s="58"/>
    </row>
    <row r="96">
      <c r="A96" s="58"/>
      <c r="B96" s="58"/>
      <c r="C96" s="58"/>
      <c r="D96" s="58"/>
      <c r="E96" s="58"/>
      <c r="F96" s="58"/>
      <c r="G96" s="58"/>
    </row>
    <row r="97">
      <c r="A97" s="58"/>
      <c r="B97" s="58"/>
      <c r="C97" s="58"/>
      <c r="D97" s="58"/>
      <c r="E97" s="58"/>
      <c r="F97" s="58"/>
      <c r="G97" s="58"/>
    </row>
    <row r="98">
      <c r="A98" s="58"/>
      <c r="B98" s="58"/>
      <c r="C98" s="58"/>
      <c r="D98" s="58"/>
      <c r="E98" s="58"/>
      <c r="F98" s="58"/>
      <c r="G98" s="58"/>
    </row>
    <row r="99">
      <c r="A99" s="58"/>
      <c r="B99" s="58"/>
      <c r="C99" s="58"/>
      <c r="D99" s="58"/>
      <c r="E99" s="58"/>
      <c r="F99" s="58"/>
      <c r="G99" s="58"/>
    </row>
    <row r="100">
      <c r="A100" s="58"/>
      <c r="B100" s="58"/>
      <c r="C100" s="58"/>
      <c r="D100" s="58"/>
      <c r="E100" s="58"/>
      <c r="F100" s="58"/>
      <c r="G100" s="58"/>
    </row>
    <row r="101">
      <c r="A101" s="58"/>
      <c r="B101" s="58"/>
      <c r="C101" s="58"/>
      <c r="D101" s="58"/>
      <c r="E101" s="58"/>
      <c r="F101" s="58"/>
      <c r="G101" s="58"/>
    </row>
    <row r="102">
      <c r="A102" s="58"/>
      <c r="B102" s="58"/>
      <c r="C102" s="58"/>
      <c r="D102" s="58"/>
      <c r="E102" s="58"/>
      <c r="F102" s="58"/>
      <c r="G102" s="58"/>
    </row>
    <row r="103">
      <c r="A103" s="58"/>
      <c r="B103" s="58"/>
      <c r="C103" s="58"/>
      <c r="D103" s="58"/>
      <c r="E103" s="58"/>
      <c r="F103" s="58"/>
      <c r="G103" s="58"/>
    </row>
    <row r="104">
      <c r="A104" s="58"/>
      <c r="B104" s="58"/>
      <c r="C104" s="58"/>
      <c r="D104" s="58"/>
      <c r="E104" s="58"/>
      <c r="F104" s="58"/>
      <c r="G104" s="58"/>
    </row>
    <row r="105">
      <c r="A105" s="58"/>
      <c r="B105" s="58"/>
      <c r="C105" s="58"/>
      <c r="D105" s="58"/>
      <c r="E105" s="58"/>
      <c r="F105" s="58"/>
      <c r="G105" s="58"/>
    </row>
    <row r="106">
      <c r="A106" s="58"/>
      <c r="B106" s="58"/>
      <c r="C106" s="58"/>
      <c r="D106" s="58"/>
      <c r="E106" s="58"/>
      <c r="F106" s="58"/>
      <c r="G106" s="58"/>
    </row>
    <row r="107">
      <c r="A107" s="58"/>
      <c r="B107" s="58"/>
      <c r="C107" s="58"/>
      <c r="D107" s="58"/>
      <c r="E107" s="58"/>
      <c r="F107" s="58"/>
      <c r="G107" s="58"/>
    </row>
    <row r="108">
      <c r="A108" s="58"/>
      <c r="B108" s="58"/>
      <c r="C108" s="58"/>
      <c r="D108" s="58"/>
      <c r="E108" s="58"/>
      <c r="F108" s="58"/>
      <c r="G108" s="58"/>
    </row>
    <row r="109">
      <c r="A109" s="58"/>
      <c r="B109" s="58"/>
      <c r="C109" s="58"/>
      <c r="D109" s="58"/>
      <c r="E109" s="58"/>
      <c r="F109" s="58"/>
      <c r="G109" s="58"/>
    </row>
    <row r="110">
      <c r="A110" s="58"/>
      <c r="B110" s="58"/>
      <c r="C110" s="58"/>
      <c r="D110" s="58"/>
      <c r="E110" s="58"/>
      <c r="F110" s="58"/>
      <c r="G110" s="58"/>
    </row>
    <row r="111">
      <c r="A111" s="58"/>
      <c r="B111" s="58"/>
      <c r="C111" s="58"/>
      <c r="D111" s="58"/>
      <c r="E111" s="58"/>
      <c r="F111" s="58"/>
      <c r="G111" s="58"/>
    </row>
    <row r="112">
      <c r="A112" s="58"/>
      <c r="B112" s="58"/>
      <c r="C112" s="58"/>
      <c r="D112" s="58"/>
      <c r="E112" s="58"/>
      <c r="F112" s="58"/>
      <c r="G112" s="58"/>
    </row>
    <row r="113">
      <c r="A113" s="58"/>
      <c r="B113" s="58"/>
      <c r="C113" s="58"/>
      <c r="D113" s="58"/>
      <c r="E113" s="58"/>
      <c r="F113" s="58"/>
      <c r="G113" s="58"/>
    </row>
    <row r="114">
      <c r="A114" s="58"/>
      <c r="B114" s="58"/>
      <c r="C114" s="58"/>
      <c r="D114" s="58"/>
      <c r="E114" s="58"/>
      <c r="F114" s="58"/>
      <c r="G114" s="58"/>
    </row>
    <row r="115">
      <c r="A115" s="58"/>
      <c r="B115" s="58"/>
      <c r="C115" s="58"/>
      <c r="D115" s="58"/>
      <c r="E115" s="58"/>
      <c r="F115" s="58"/>
      <c r="G115" s="58"/>
    </row>
    <row r="116">
      <c r="A116" s="58"/>
      <c r="B116" s="58"/>
      <c r="C116" s="58"/>
      <c r="D116" s="58"/>
      <c r="E116" s="58"/>
      <c r="F116" s="58"/>
      <c r="G116" s="58"/>
    </row>
    <row r="117">
      <c r="A117" s="58"/>
      <c r="B117" s="58"/>
      <c r="C117" s="58"/>
      <c r="D117" s="58"/>
      <c r="E117" s="58"/>
      <c r="F117" s="58"/>
      <c r="G117" s="58"/>
    </row>
    <row r="118">
      <c r="A118" s="58"/>
      <c r="B118" s="58"/>
      <c r="C118" s="58"/>
      <c r="D118" s="58"/>
      <c r="E118" s="58"/>
      <c r="F118" s="58"/>
      <c r="G118" s="58"/>
    </row>
    <row r="119">
      <c r="A119" s="58"/>
      <c r="B119" s="58"/>
      <c r="C119" s="58"/>
      <c r="D119" s="58"/>
      <c r="E119" s="58"/>
      <c r="F119" s="58"/>
      <c r="G119" s="58"/>
    </row>
    <row r="120">
      <c r="A120" s="58"/>
      <c r="B120" s="58"/>
      <c r="C120" s="58"/>
      <c r="D120" s="58"/>
      <c r="E120" s="58"/>
      <c r="F120" s="58"/>
      <c r="G120" s="58"/>
    </row>
    <row r="121">
      <c r="A121" s="58"/>
      <c r="B121" s="58"/>
      <c r="C121" s="58"/>
      <c r="D121" s="58"/>
      <c r="E121" s="58"/>
      <c r="F121" s="58"/>
      <c r="G121" s="58"/>
    </row>
    <row r="122">
      <c r="A122" s="58"/>
      <c r="B122" s="58"/>
      <c r="C122" s="58"/>
      <c r="D122" s="58"/>
      <c r="E122" s="58"/>
      <c r="F122" s="58"/>
      <c r="G122" s="58"/>
    </row>
    <row r="123">
      <c r="A123" s="58"/>
      <c r="B123" s="58"/>
      <c r="C123" s="58"/>
      <c r="D123" s="58"/>
      <c r="E123" s="58"/>
      <c r="F123" s="58"/>
      <c r="G123" s="58"/>
    </row>
    <row r="124">
      <c r="A124" s="58"/>
      <c r="B124" s="58"/>
      <c r="C124" s="58"/>
      <c r="D124" s="58"/>
      <c r="E124" s="58"/>
      <c r="F124" s="58"/>
      <c r="G124" s="58"/>
    </row>
    <row r="125">
      <c r="A125" s="58"/>
      <c r="B125" s="58"/>
      <c r="C125" s="58"/>
      <c r="D125" s="58"/>
      <c r="E125" s="58"/>
      <c r="F125" s="58"/>
      <c r="G125" s="58"/>
    </row>
    <row r="126">
      <c r="A126" s="58"/>
      <c r="B126" s="58"/>
      <c r="C126" s="58"/>
      <c r="D126" s="58"/>
      <c r="E126" s="58"/>
      <c r="F126" s="58"/>
      <c r="G126" s="58"/>
    </row>
    <row r="127">
      <c r="A127" s="58"/>
      <c r="B127" s="58"/>
      <c r="C127" s="58"/>
      <c r="D127" s="58"/>
      <c r="E127" s="58"/>
      <c r="F127" s="58"/>
      <c r="G127" s="58"/>
    </row>
    <row r="128">
      <c r="A128" s="58"/>
      <c r="B128" s="58"/>
      <c r="C128" s="58"/>
      <c r="D128" s="58"/>
      <c r="E128" s="58"/>
      <c r="F128" s="58"/>
      <c r="G128" s="58"/>
    </row>
    <row r="129">
      <c r="A129" s="58"/>
      <c r="B129" s="58"/>
      <c r="C129" s="58"/>
      <c r="D129" s="58"/>
      <c r="E129" s="58"/>
      <c r="F129" s="58"/>
      <c r="G129" s="58"/>
    </row>
    <row r="130">
      <c r="A130" s="58"/>
      <c r="B130" s="58"/>
      <c r="C130" s="58"/>
      <c r="D130" s="58"/>
      <c r="E130" s="58"/>
      <c r="F130" s="58"/>
      <c r="G130" s="58"/>
    </row>
    <row r="131">
      <c r="A131" s="58"/>
      <c r="B131" s="58"/>
      <c r="C131" s="58"/>
      <c r="D131" s="58"/>
      <c r="E131" s="58"/>
      <c r="F131" s="58"/>
      <c r="G131" s="58"/>
    </row>
    <row r="132">
      <c r="A132" s="58"/>
      <c r="B132" s="58"/>
      <c r="C132" s="58"/>
      <c r="D132" s="58"/>
      <c r="E132" s="58"/>
      <c r="F132" s="58"/>
      <c r="G132" s="58"/>
    </row>
    <row r="133">
      <c r="A133" s="58"/>
      <c r="B133" s="58"/>
      <c r="C133" s="58"/>
      <c r="D133" s="58"/>
      <c r="E133" s="58"/>
      <c r="F133" s="58"/>
      <c r="G133" s="58"/>
    </row>
    <row r="134">
      <c r="A134" s="58"/>
      <c r="B134" s="58"/>
      <c r="C134" s="58"/>
      <c r="D134" s="58"/>
      <c r="E134" s="58"/>
      <c r="F134" s="58"/>
      <c r="G134" s="58"/>
    </row>
    <row r="135">
      <c r="A135" s="58"/>
      <c r="B135" s="58"/>
      <c r="C135" s="58"/>
      <c r="D135" s="58"/>
      <c r="E135" s="58"/>
      <c r="F135" s="58"/>
      <c r="G135" s="58"/>
    </row>
    <row r="136">
      <c r="A136" s="58"/>
      <c r="B136" s="58"/>
      <c r="C136" s="58"/>
      <c r="D136" s="58"/>
      <c r="E136" s="58"/>
      <c r="F136" s="58"/>
      <c r="G136" s="58"/>
    </row>
    <row r="137">
      <c r="A137" s="58"/>
      <c r="B137" s="58"/>
      <c r="C137" s="58"/>
      <c r="D137" s="58"/>
      <c r="E137" s="58"/>
      <c r="F137" s="58"/>
      <c r="G137" s="58"/>
    </row>
    <row r="138">
      <c r="A138" s="58"/>
      <c r="B138" s="58"/>
      <c r="C138" s="58"/>
      <c r="D138" s="58"/>
      <c r="E138" s="58"/>
      <c r="F138" s="58"/>
      <c r="G138" s="58"/>
    </row>
    <row r="139">
      <c r="A139" s="58"/>
      <c r="B139" s="58"/>
      <c r="C139" s="58"/>
      <c r="D139" s="58"/>
      <c r="E139" s="58"/>
      <c r="F139" s="58"/>
      <c r="G139" s="58"/>
    </row>
    <row r="140">
      <c r="A140" s="58"/>
      <c r="B140" s="58"/>
      <c r="C140" s="58"/>
      <c r="D140" s="58"/>
      <c r="E140" s="58"/>
      <c r="F140" s="58"/>
      <c r="G140" s="58"/>
    </row>
    <row r="141">
      <c r="A141" s="58"/>
      <c r="B141" s="58"/>
      <c r="C141" s="58"/>
      <c r="D141" s="58"/>
      <c r="E141" s="58"/>
      <c r="F141" s="58"/>
      <c r="G141" s="58"/>
    </row>
    <row r="142">
      <c r="A142" s="58"/>
      <c r="B142" s="58"/>
      <c r="C142" s="58"/>
      <c r="D142" s="58"/>
      <c r="E142" s="58"/>
      <c r="F142" s="58"/>
      <c r="G142" s="58"/>
    </row>
    <row r="143">
      <c r="A143" s="58"/>
      <c r="B143" s="58"/>
      <c r="C143" s="58"/>
      <c r="D143" s="58"/>
      <c r="E143" s="58"/>
      <c r="F143" s="58"/>
      <c r="G143" s="58"/>
    </row>
    <row r="144">
      <c r="A144" s="58"/>
      <c r="B144" s="58"/>
      <c r="C144" s="58"/>
      <c r="D144" s="58"/>
      <c r="E144" s="58"/>
      <c r="F144" s="58"/>
      <c r="G144" s="58"/>
    </row>
    <row r="145">
      <c r="A145" s="58"/>
      <c r="B145" s="58"/>
      <c r="C145" s="58"/>
      <c r="D145" s="58"/>
      <c r="E145" s="58"/>
      <c r="F145" s="58"/>
      <c r="G145" s="58"/>
    </row>
    <row r="146">
      <c r="A146" s="58"/>
      <c r="B146" s="58"/>
      <c r="C146" s="58"/>
      <c r="D146" s="58"/>
      <c r="E146" s="58"/>
      <c r="F146" s="58"/>
      <c r="G146" s="58"/>
    </row>
    <row r="147">
      <c r="A147" s="58"/>
      <c r="B147" s="58"/>
      <c r="C147" s="58"/>
      <c r="D147" s="58"/>
      <c r="E147" s="58"/>
      <c r="F147" s="58"/>
      <c r="G147" s="58"/>
    </row>
    <row r="148">
      <c r="A148" s="58"/>
      <c r="B148" s="58"/>
      <c r="C148" s="58"/>
      <c r="D148" s="58"/>
      <c r="E148" s="58"/>
      <c r="F148" s="58"/>
      <c r="G148" s="58"/>
    </row>
    <row r="149">
      <c r="A149" s="58"/>
      <c r="B149" s="58"/>
      <c r="C149" s="58"/>
      <c r="D149" s="58"/>
      <c r="E149" s="58"/>
      <c r="F149" s="58"/>
      <c r="G149" s="58"/>
    </row>
    <row r="150">
      <c r="A150" s="58"/>
      <c r="B150" s="58"/>
      <c r="C150" s="58"/>
      <c r="D150" s="58"/>
      <c r="E150" s="58"/>
      <c r="F150" s="58"/>
      <c r="G150" s="58"/>
    </row>
    <row r="151">
      <c r="A151" s="58"/>
      <c r="B151" s="58"/>
      <c r="C151" s="58"/>
      <c r="D151" s="58"/>
      <c r="E151" s="58"/>
      <c r="F151" s="58"/>
      <c r="G151" s="58"/>
    </row>
    <row r="152">
      <c r="A152" s="58"/>
      <c r="B152" s="58"/>
      <c r="C152" s="58"/>
      <c r="D152" s="58"/>
      <c r="E152" s="58"/>
      <c r="F152" s="58"/>
      <c r="G152" s="58"/>
    </row>
    <row r="153">
      <c r="A153" s="58"/>
      <c r="B153" s="58"/>
      <c r="C153" s="58"/>
      <c r="D153" s="58"/>
      <c r="E153" s="58"/>
      <c r="F153" s="58"/>
      <c r="G153" s="58"/>
    </row>
    <row r="154">
      <c r="A154" s="58"/>
      <c r="B154" s="58"/>
      <c r="C154" s="58"/>
      <c r="D154" s="58"/>
      <c r="E154" s="58"/>
      <c r="F154" s="58"/>
      <c r="G154" s="58"/>
    </row>
    <row r="155">
      <c r="A155" s="58"/>
      <c r="B155" s="58"/>
      <c r="C155" s="58"/>
      <c r="D155" s="58"/>
      <c r="E155" s="58"/>
      <c r="F155" s="58"/>
      <c r="G155" s="58"/>
    </row>
    <row r="156">
      <c r="A156" s="58"/>
      <c r="B156" s="58"/>
      <c r="C156" s="58"/>
      <c r="D156" s="58"/>
      <c r="E156" s="58"/>
      <c r="F156" s="58"/>
      <c r="G156" s="58"/>
    </row>
    <row r="157">
      <c r="A157" s="58"/>
      <c r="B157" s="58"/>
      <c r="C157" s="58"/>
      <c r="D157" s="58"/>
      <c r="E157" s="58"/>
      <c r="F157" s="58"/>
      <c r="G157" s="58"/>
    </row>
    <row r="158">
      <c r="A158" s="58"/>
      <c r="B158" s="58"/>
      <c r="C158" s="58"/>
      <c r="D158" s="58"/>
      <c r="E158" s="58"/>
      <c r="F158" s="58"/>
      <c r="G158" s="58"/>
    </row>
    <row r="159">
      <c r="A159" s="58"/>
      <c r="B159" s="58"/>
      <c r="C159" s="58"/>
      <c r="D159" s="58"/>
      <c r="E159" s="58"/>
      <c r="F159" s="58"/>
      <c r="G159" s="58"/>
    </row>
    <row r="160">
      <c r="A160" s="58"/>
      <c r="B160" s="58"/>
      <c r="C160" s="58"/>
      <c r="D160" s="58"/>
      <c r="E160" s="58"/>
      <c r="F160" s="58"/>
      <c r="G160" s="58"/>
    </row>
    <row r="161">
      <c r="A161" s="58"/>
      <c r="B161" s="58"/>
      <c r="C161" s="58"/>
      <c r="D161" s="58"/>
      <c r="E161" s="58"/>
      <c r="F161" s="58"/>
      <c r="G161" s="58"/>
    </row>
    <row r="162">
      <c r="A162" s="58"/>
      <c r="B162" s="58"/>
      <c r="C162" s="58"/>
      <c r="D162" s="58"/>
      <c r="E162" s="58"/>
      <c r="F162" s="58"/>
      <c r="G162" s="58"/>
    </row>
    <row r="163">
      <c r="A163" s="58"/>
      <c r="B163" s="58"/>
      <c r="C163" s="58"/>
      <c r="D163" s="58"/>
      <c r="E163" s="58"/>
      <c r="F163" s="58"/>
      <c r="G163" s="58"/>
    </row>
    <row r="164">
      <c r="A164" s="58"/>
      <c r="B164" s="58"/>
      <c r="C164" s="58"/>
      <c r="D164" s="58"/>
      <c r="E164" s="58"/>
      <c r="F164" s="58"/>
      <c r="G164" s="58"/>
    </row>
    <row r="165">
      <c r="A165" s="58"/>
      <c r="B165" s="58"/>
      <c r="C165" s="58"/>
      <c r="D165" s="58"/>
      <c r="E165" s="58"/>
      <c r="F165" s="58"/>
      <c r="G165" s="58"/>
    </row>
    <row r="166">
      <c r="A166" s="58"/>
      <c r="B166" s="58"/>
      <c r="C166" s="58"/>
      <c r="D166" s="58"/>
      <c r="E166" s="58"/>
      <c r="F166" s="58"/>
      <c r="G166" s="58"/>
    </row>
    <row r="167">
      <c r="A167" s="58"/>
      <c r="B167" s="58"/>
      <c r="C167" s="58"/>
      <c r="D167" s="58"/>
      <c r="E167" s="58"/>
      <c r="F167" s="58"/>
      <c r="G167" s="58"/>
    </row>
    <row r="168">
      <c r="A168" s="58"/>
      <c r="B168" s="58"/>
      <c r="C168" s="58"/>
      <c r="D168" s="58"/>
      <c r="E168" s="58"/>
      <c r="F168" s="58"/>
      <c r="G168" s="58"/>
    </row>
    <row r="169">
      <c r="A169" s="58"/>
      <c r="B169" s="58"/>
      <c r="C169" s="58"/>
      <c r="D169" s="58"/>
      <c r="E169" s="58"/>
      <c r="F169" s="58"/>
      <c r="G169" s="58"/>
    </row>
    <row r="170">
      <c r="A170" s="58"/>
      <c r="B170" s="58"/>
      <c r="C170" s="58"/>
      <c r="D170" s="58"/>
      <c r="E170" s="58"/>
      <c r="F170" s="58"/>
      <c r="G170" s="58"/>
    </row>
    <row r="171">
      <c r="A171" s="58"/>
      <c r="B171" s="58"/>
      <c r="C171" s="58"/>
      <c r="D171" s="58"/>
      <c r="E171" s="58"/>
      <c r="F171" s="58"/>
      <c r="G171" s="58"/>
    </row>
    <row r="172">
      <c r="A172" s="58"/>
      <c r="B172" s="58"/>
      <c r="C172" s="58"/>
      <c r="D172" s="58"/>
      <c r="E172" s="58"/>
      <c r="F172" s="58"/>
      <c r="G172" s="58"/>
    </row>
    <row r="173">
      <c r="A173" s="58"/>
      <c r="B173" s="58"/>
      <c r="C173" s="58"/>
      <c r="D173" s="58"/>
      <c r="E173" s="58"/>
      <c r="F173" s="58"/>
      <c r="G173" s="58"/>
    </row>
    <row r="174">
      <c r="A174" s="58"/>
      <c r="B174" s="58"/>
      <c r="C174" s="58"/>
      <c r="D174" s="58"/>
      <c r="E174" s="58"/>
      <c r="F174" s="58"/>
      <c r="G174" s="58"/>
    </row>
    <row r="175">
      <c r="A175" s="58"/>
      <c r="B175" s="58"/>
      <c r="C175" s="58"/>
      <c r="D175" s="58"/>
      <c r="E175" s="58"/>
      <c r="F175" s="58"/>
      <c r="G175" s="58"/>
    </row>
    <row r="176">
      <c r="A176" s="58"/>
      <c r="B176" s="58"/>
      <c r="C176" s="58"/>
      <c r="D176" s="58"/>
      <c r="E176" s="58"/>
      <c r="F176" s="58"/>
      <c r="G176" s="58"/>
    </row>
    <row r="177">
      <c r="A177" s="58"/>
      <c r="B177" s="58"/>
      <c r="C177" s="58"/>
      <c r="D177" s="58"/>
      <c r="E177" s="58"/>
      <c r="F177" s="58"/>
      <c r="G177" s="58"/>
    </row>
    <row r="178">
      <c r="A178" s="58"/>
      <c r="B178" s="58"/>
      <c r="C178" s="58"/>
      <c r="D178" s="58"/>
      <c r="E178" s="58"/>
      <c r="F178" s="58"/>
      <c r="G178" s="58"/>
    </row>
    <row r="179">
      <c r="A179" s="58"/>
      <c r="B179" s="58"/>
      <c r="C179" s="58"/>
      <c r="D179" s="58"/>
      <c r="E179" s="58"/>
      <c r="F179" s="58"/>
      <c r="G179" s="58"/>
    </row>
    <row r="180">
      <c r="A180" s="58"/>
      <c r="B180" s="58"/>
      <c r="C180" s="58"/>
      <c r="D180" s="58"/>
      <c r="E180" s="58"/>
      <c r="F180" s="58"/>
      <c r="G180" s="58"/>
    </row>
    <row r="181">
      <c r="A181" s="58"/>
      <c r="B181" s="58"/>
      <c r="C181" s="58"/>
      <c r="D181" s="58"/>
      <c r="E181" s="58"/>
      <c r="F181" s="58"/>
      <c r="G181" s="58"/>
    </row>
    <row r="182">
      <c r="A182" s="58"/>
      <c r="B182" s="58"/>
      <c r="C182" s="58"/>
      <c r="D182" s="58"/>
      <c r="E182" s="58"/>
      <c r="F182" s="58"/>
      <c r="G182" s="58"/>
    </row>
    <row r="183">
      <c r="A183" s="58"/>
      <c r="B183" s="58"/>
      <c r="C183" s="58"/>
      <c r="D183" s="58"/>
      <c r="E183" s="58"/>
      <c r="F183" s="58"/>
      <c r="G183" s="58"/>
    </row>
    <row r="184">
      <c r="A184" s="58"/>
      <c r="B184" s="58"/>
      <c r="C184" s="58"/>
      <c r="D184" s="58"/>
      <c r="E184" s="58"/>
      <c r="F184" s="58"/>
      <c r="G184" s="58"/>
    </row>
    <row r="185">
      <c r="A185" s="58"/>
      <c r="B185" s="58"/>
      <c r="C185" s="58"/>
      <c r="D185" s="58"/>
      <c r="E185" s="58"/>
      <c r="F185" s="58"/>
      <c r="G185" s="58"/>
    </row>
    <row r="186">
      <c r="A186" s="58"/>
      <c r="B186" s="58"/>
      <c r="C186" s="58"/>
      <c r="D186" s="58"/>
      <c r="E186" s="58"/>
      <c r="F186" s="58"/>
      <c r="G186" s="58"/>
    </row>
    <row r="187">
      <c r="A187" s="58"/>
      <c r="B187" s="58"/>
      <c r="C187" s="58"/>
      <c r="D187" s="58"/>
      <c r="E187" s="58"/>
      <c r="F187" s="58"/>
      <c r="G187" s="58"/>
    </row>
    <row r="188">
      <c r="A188" s="58"/>
      <c r="B188" s="58"/>
      <c r="C188" s="58"/>
      <c r="D188" s="58"/>
      <c r="E188" s="58"/>
      <c r="F188" s="58"/>
      <c r="G188" s="58"/>
    </row>
    <row r="189">
      <c r="A189" s="58"/>
      <c r="B189" s="58"/>
      <c r="C189" s="58"/>
      <c r="D189" s="58"/>
      <c r="E189" s="58"/>
      <c r="F189" s="58"/>
      <c r="G189" s="58"/>
    </row>
    <row r="190">
      <c r="A190" s="58"/>
      <c r="B190" s="58"/>
      <c r="C190" s="58"/>
      <c r="D190" s="58"/>
      <c r="E190" s="58"/>
      <c r="F190" s="58"/>
      <c r="G190" s="58"/>
    </row>
    <row r="191">
      <c r="A191" s="58"/>
      <c r="B191" s="58"/>
      <c r="C191" s="58"/>
      <c r="D191" s="58"/>
      <c r="E191" s="58"/>
      <c r="F191" s="58"/>
      <c r="G191" s="58"/>
    </row>
    <row r="192">
      <c r="A192" s="58"/>
      <c r="B192" s="58"/>
      <c r="C192" s="58"/>
      <c r="D192" s="58"/>
      <c r="E192" s="58"/>
      <c r="F192" s="58"/>
      <c r="G192" s="58"/>
    </row>
    <row r="193">
      <c r="A193" s="58"/>
      <c r="B193" s="58"/>
      <c r="C193" s="58"/>
      <c r="D193" s="58"/>
      <c r="E193" s="58"/>
      <c r="F193" s="58"/>
      <c r="G193" s="58"/>
    </row>
    <row r="194">
      <c r="A194" s="58"/>
      <c r="B194" s="58"/>
      <c r="C194" s="58"/>
      <c r="D194" s="58"/>
      <c r="E194" s="58"/>
      <c r="F194" s="58"/>
      <c r="G194" s="58"/>
    </row>
    <row r="195">
      <c r="A195" s="58"/>
      <c r="B195" s="58"/>
      <c r="C195" s="58"/>
      <c r="D195" s="58"/>
      <c r="E195" s="58"/>
      <c r="F195" s="58"/>
      <c r="G195" s="58"/>
    </row>
    <row r="196">
      <c r="A196" s="58"/>
      <c r="B196" s="58"/>
      <c r="C196" s="58"/>
      <c r="D196" s="58"/>
      <c r="E196" s="58"/>
      <c r="F196" s="58"/>
      <c r="G196" s="58"/>
    </row>
    <row r="197">
      <c r="A197" s="58"/>
      <c r="B197" s="58"/>
      <c r="C197" s="58"/>
      <c r="D197" s="58"/>
      <c r="E197" s="58"/>
      <c r="F197" s="58"/>
      <c r="G197" s="58"/>
    </row>
    <row r="198">
      <c r="A198" s="58"/>
      <c r="B198" s="58"/>
      <c r="C198" s="58"/>
      <c r="D198" s="58"/>
      <c r="E198" s="58"/>
      <c r="F198" s="58"/>
      <c r="G198" s="58"/>
    </row>
    <row r="199">
      <c r="A199" s="58"/>
      <c r="B199" s="58"/>
      <c r="C199" s="58"/>
      <c r="D199" s="58"/>
      <c r="E199" s="58"/>
      <c r="F199" s="58"/>
      <c r="G199" s="58"/>
    </row>
    <row r="200">
      <c r="A200" s="58"/>
      <c r="B200" s="58"/>
      <c r="C200" s="58"/>
      <c r="D200" s="58"/>
      <c r="E200" s="58"/>
      <c r="F200" s="58"/>
      <c r="G200" s="58"/>
    </row>
    <row r="201">
      <c r="A201" s="58"/>
      <c r="B201" s="58"/>
      <c r="C201" s="58"/>
      <c r="D201" s="58"/>
      <c r="E201" s="58"/>
      <c r="F201" s="58"/>
      <c r="G201" s="58"/>
    </row>
    <row r="202">
      <c r="A202" s="58"/>
      <c r="B202" s="58"/>
      <c r="C202" s="58"/>
      <c r="D202" s="58"/>
      <c r="E202" s="58"/>
      <c r="F202" s="58"/>
      <c r="G202" s="58"/>
    </row>
    <row r="203">
      <c r="A203" s="58"/>
      <c r="B203" s="58"/>
      <c r="C203" s="58"/>
      <c r="D203" s="58"/>
      <c r="E203" s="58"/>
      <c r="F203" s="58"/>
      <c r="G203" s="58"/>
    </row>
    <row r="204">
      <c r="A204" s="58"/>
      <c r="B204" s="58"/>
      <c r="C204" s="58"/>
      <c r="D204" s="58"/>
      <c r="E204" s="58"/>
      <c r="F204" s="58"/>
      <c r="G204" s="58"/>
    </row>
    <row r="205">
      <c r="A205" s="58"/>
      <c r="B205" s="58"/>
      <c r="C205" s="58"/>
      <c r="D205" s="58"/>
      <c r="E205" s="58"/>
      <c r="F205" s="58"/>
      <c r="G205" s="58"/>
    </row>
    <row r="206">
      <c r="A206" s="58"/>
      <c r="B206" s="58"/>
      <c r="C206" s="58"/>
      <c r="D206" s="58"/>
      <c r="E206" s="58"/>
      <c r="F206" s="58"/>
      <c r="G206" s="58"/>
    </row>
    <row r="207">
      <c r="A207" s="58"/>
      <c r="B207" s="58"/>
      <c r="C207" s="58"/>
      <c r="D207" s="58"/>
      <c r="E207" s="58"/>
      <c r="F207" s="58"/>
      <c r="G207" s="58"/>
    </row>
    <row r="208">
      <c r="A208" s="58"/>
      <c r="B208" s="58"/>
      <c r="C208" s="58"/>
      <c r="D208" s="58"/>
      <c r="E208" s="58"/>
      <c r="F208" s="58"/>
      <c r="G208" s="58"/>
    </row>
    <row r="209">
      <c r="A209" s="58"/>
      <c r="B209" s="58"/>
      <c r="C209" s="58"/>
      <c r="D209" s="58"/>
      <c r="E209" s="58"/>
      <c r="F209" s="58"/>
      <c r="G209" s="58"/>
    </row>
    <row r="210">
      <c r="A210" s="58"/>
      <c r="B210" s="58"/>
      <c r="C210" s="58"/>
      <c r="D210" s="58"/>
      <c r="E210" s="58"/>
      <c r="F210" s="58"/>
      <c r="G210" s="58"/>
    </row>
    <row r="211">
      <c r="A211" s="58"/>
      <c r="B211" s="58"/>
      <c r="C211" s="58"/>
      <c r="D211" s="58"/>
      <c r="E211" s="58"/>
      <c r="F211" s="58"/>
      <c r="G211" s="58"/>
    </row>
    <row r="212">
      <c r="A212" s="58"/>
      <c r="B212" s="58"/>
      <c r="C212" s="58"/>
      <c r="D212" s="58"/>
      <c r="E212" s="58"/>
      <c r="F212" s="58"/>
      <c r="G212" s="58"/>
    </row>
    <row r="213">
      <c r="A213" s="58"/>
      <c r="B213" s="58"/>
      <c r="C213" s="58"/>
      <c r="D213" s="58"/>
      <c r="E213" s="58"/>
      <c r="F213" s="58"/>
      <c r="G213" s="58"/>
    </row>
    <row r="214">
      <c r="A214" s="58"/>
      <c r="B214" s="58"/>
      <c r="C214" s="58"/>
      <c r="D214" s="58"/>
      <c r="E214" s="58"/>
      <c r="F214" s="58"/>
      <c r="G214" s="58"/>
    </row>
    <row r="215">
      <c r="A215" s="58"/>
      <c r="B215" s="58"/>
      <c r="C215" s="58"/>
      <c r="D215" s="58"/>
      <c r="E215" s="58"/>
      <c r="F215" s="58"/>
      <c r="G215" s="58"/>
    </row>
    <row r="216">
      <c r="A216" s="58"/>
      <c r="B216" s="58"/>
      <c r="C216" s="58"/>
      <c r="D216" s="58"/>
      <c r="E216" s="58"/>
      <c r="F216" s="58"/>
      <c r="G216" s="58"/>
    </row>
    <row r="217">
      <c r="A217" s="58"/>
      <c r="B217" s="58"/>
      <c r="C217" s="58"/>
      <c r="D217" s="58"/>
      <c r="E217" s="58"/>
      <c r="F217" s="58"/>
      <c r="G217" s="58"/>
    </row>
    <row r="218">
      <c r="A218" s="58"/>
      <c r="B218" s="58"/>
      <c r="C218" s="58"/>
      <c r="D218" s="58"/>
      <c r="E218" s="58"/>
      <c r="F218" s="58"/>
      <c r="G218" s="58"/>
    </row>
    <row r="219">
      <c r="A219" s="58"/>
      <c r="B219" s="58"/>
      <c r="C219" s="58"/>
      <c r="D219" s="58"/>
      <c r="E219" s="58"/>
      <c r="F219" s="58"/>
      <c r="G219" s="58"/>
    </row>
    <row r="220">
      <c r="A220" s="58"/>
      <c r="B220" s="58"/>
      <c r="C220" s="58"/>
      <c r="D220" s="58"/>
      <c r="E220" s="58"/>
      <c r="F220" s="58"/>
      <c r="G220" s="58"/>
    </row>
    <row r="221">
      <c r="A221" s="58"/>
      <c r="B221" s="58"/>
      <c r="C221" s="58"/>
      <c r="D221" s="58"/>
      <c r="E221" s="58"/>
      <c r="F221" s="58"/>
      <c r="G221" s="58"/>
    </row>
    <row r="222">
      <c r="A222" s="58"/>
      <c r="B222" s="58"/>
      <c r="C222" s="58"/>
      <c r="D222" s="58"/>
      <c r="E222" s="58"/>
      <c r="F222" s="58"/>
      <c r="G222" s="58"/>
    </row>
    <row r="223">
      <c r="A223" s="58"/>
      <c r="B223" s="58"/>
      <c r="C223" s="58"/>
      <c r="D223" s="58"/>
      <c r="E223" s="58"/>
      <c r="F223" s="58"/>
      <c r="G223" s="58"/>
    </row>
    <row r="224">
      <c r="A224" s="58"/>
      <c r="B224" s="58"/>
      <c r="C224" s="58"/>
      <c r="D224" s="58"/>
      <c r="E224" s="58"/>
      <c r="F224" s="58"/>
      <c r="G224" s="58"/>
    </row>
    <row r="225">
      <c r="A225" s="58"/>
      <c r="B225" s="58"/>
      <c r="C225" s="58"/>
      <c r="D225" s="58"/>
      <c r="E225" s="58"/>
      <c r="F225" s="58"/>
      <c r="G225" s="58"/>
    </row>
    <row r="226">
      <c r="A226" s="58"/>
      <c r="B226" s="58"/>
      <c r="C226" s="58"/>
      <c r="D226" s="58"/>
      <c r="E226" s="58"/>
      <c r="F226" s="58"/>
      <c r="G226" s="58"/>
    </row>
    <row r="227">
      <c r="A227" s="58"/>
      <c r="B227" s="58"/>
      <c r="C227" s="58"/>
      <c r="D227" s="58"/>
      <c r="E227" s="58"/>
      <c r="F227" s="58"/>
      <c r="G227" s="58"/>
    </row>
    <row r="228">
      <c r="A228" s="58"/>
      <c r="B228" s="58"/>
      <c r="C228" s="58"/>
      <c r="D228" s="58"/>
      <c r="E228" s="58"/>
      <c r="F228" s="58"/>
      <c r="G228" s="58"/>
    </row>
    <row r="229">
      <c r="A229" s="58"/>
      <c r="B229" s="58"/>
      <c r="C229" s="58"/>
      <c r="D229" s="58"/>
      <c r="E229" s="58"/>
      <c r="F229" s="58"/>
      <c r="G229" s="58"/>
    </row>
    <row r="230">
      <c r="A230" s="58"/>
      <c r="B230" s="58"/>
      <c r="C230" s="58"/>
      <c r="D230" s="58"/>
      <c r="E230" s="58"/>
      <c r="F230" s="58"/>
      <c r="G230" s="58"/>
    </row>
    <row r="231">
      <c r="A231" s="58"/>
      <c r="B231" s="58"/>
      <c r="C231" s="58"/>
      <c r="D231" s="58"/>
      <c r="E231" s="58"/>
      <c r="F231" s="58"/>
      <c r="G231" s="58"/>
    </row>
    <row r="232">
      <c r="A232" s="58"/>
      <c r="B232" s="58"/>
      <c r="C232" s="58"/>
      <c r="D232" s="58"/>
      <c r="E232" s="58"/>
      <c r="F232" s="58"/>
      <c r="G232" s="58"/>
    </row>
    <row r="233">
      <c r="A233" s="58"/>
      <c r="B233" s="58"/>
      <c r="C233" s="58"/>
      <c r="D233" s="58"/>
      <c r="E233" s="58"/>
      <c r="F233" s="58"/>
      <c r="G233" s="58"/>
    </row>
    <row r="234">
      <c r="A234" s="58"/>
      <c r="B234" s="58"/>
      <c r="C234" s="58"/>
      <c r="D234" s="58"/>
      <c r="E234" s="58"/>
      <c r="F234" s="58"/>
      <c r="G234" s="58"/>
    </row>
    <row r="235">
      <c r="A235" s="58"/>
      <c r="B235" s="58"/>
      <c r="C235" s="58"/>
      <c r="D235" s="58"/>
      <c r="E235" s="58"/>
      <c r="F235" s="58"/>
      <c r="G235" s="58"/>
    </row>
    <row r="236">
      <c r="A236" s="58"/>
      <c r="B236" s="58"/>
      <c r="C236" s="58"/>
      <c r="D236" s="58"/>
      <c r="E236" s="58"/>
      <c r="F236" s="58"/>
      <c r="G236" s="58"/>
    </row>
    <row r="237">
      <c r="A237" s="58"/>
      <c r="B237" s="58"/>
      <c r="C237" s="58"/>
      <c r="D237" s="58"/>
      <c r="E237" s="58"/>
      <c r="F237" s="58"/>
      <c r="G237" s="58"/>
    </row>
    <row r="238">
      <c r="A238" s="58"/>
      <c r="B238" s="58"/>
      <c r="C238" s="58"/>
      <c r="D238" s="58"/>
      <c r="E238" s="58"/>
      <c r="F238" s="58"/>
      <c r="G238" s="58"/>
    </row>
    <row r="239">
      <c r="A239" s="58"/>
      <c r="B239" s="58"/>
      <c r="C239" s="58"/>
      <c r="D239" s="58"/>
      <c r="E239" s="58"/>
      <c r="F239" s="58"/>
      <c r="G239" s="58"/>
    </row>
    <row r="240">
      <c r="A240" s="58"/>
      <c r="B240" s="58"/>
      <c r="C240" s="58"/>
      <c r="D240" s="58"/>
      <c r="E240" s="58"/>
      <c r="F240" s="58"/>
      <c r="G240" s="58"/>
    </row>
    <row r="241">
      <c r="A241" s="58"/>
      <c r="B241" s="58"/>
      <c r="C241" s="58"/>
      <c r="D241" s="58"/>
      <c r="E241" s="58"/>
      <c r="F241" s="58"/>
      <c r="G241" s="58"/>
    </row>
    <row r="242">
      <c r="A242" s="58"/>
      <c r="B242" s="58"/>
      <c r="C242" s="58"/>
      <c r="D242" s="58"/>
      <c r="E242" s="58"/>
      <c r="F242" s="58"/>
      <c r="G242" s="58"/>
    </row>
    <row r="243">
      <c r="A243" s="58"/>
      <c r="B243" s="58"/>
      <c r="C243" s="58"/>
      <c r="D243" s="58"/>
      <c r="E243" s="58"/>
      <c r="F243" s="58"/>
      <c r="G243" s="58"/>
    </row>
    <row r="244">
      <c r="A244" s="58"/>
      <c r="B244" s="58"/>
      <c r="C244" s="58"/>
      <c r="D244" s="58"/>
      <c r="E244" s="58"/>
      <c r="F244" s="58"/>
      <c r="G244" s="58"/>
    </row>
    <row r="245">
      <c r="A245" s="58"/>
      <c r="B245" s="58"/>
      <c r="C245" s="58"/>
      <c r="D245" s="58"/>
      <c r="E245" s="58"/>
      <c r="F245" s="58"/>
      <c r="G245" s="58"/>
    </row>
    <row r="246">
      <c r="A246" s="58"/>
      <c r="B246" s="58"/>
      <c r="C246" s="58"/>
      <c r="D246" s="58"/>
      <c r="E246" s="58"/>
      <c r="F246" s="58"/>
      <c r="G246" s="58"/>
    </row>
    <row r="247">
      <c r="A247" s="58"/>
      <c r="B247" s="58"/>
      <c r="C247" s="58"/>
      <c r="D247" s="58"/>
      <c r="E247" s="58"/>
      <c r="F247" s="58"/>
      <c r="G247" s="58"/>
    </row>
    <row r="248">
      <c r="A248" s="58"/>
      <c r="B248" s="58"/>
      <c r="C248" s="58"/>
      <c r="D248" s="58"/>
      <c r="E248" s="58"/>
      <c r="F248" s="58"/>
      <c r="G248" s="58"/>
    </row>
    <row r="249">
      <c r="A249" s="58"/>
      <c r="B249" s="58"/>
      <c r="C249" s="58"/>
      <c r="D249" s="58"/>
      <c r="E249" s="58"/>
      <c r="F249" s="58"/>
      <c r="G249" s="58"/>
    </row>
    <row r="250">
      <c r="A250" s="58"/>
      <c r="B250" s="58"/>
      <c r="C250" s="58"/>
      <c r="D250" s="58"/>
      <c r="E250" s="58"/>
      <c r="F250" s="58"/>
      <c r="G250" s="58"/>
    </row>
    <row r="251">
      <c r="A251" s="58"/>
      <c r="B251" s="58"/>
      <c r="C251" s="58"/>
      <c r="D251" s="58"/>
      <c r="E251" s="58"/>
      <c r="F251" s="58"/>
      <c r="G251" s="58"/>
    </row>
    <row r="252">
      <c r="A252" s="58"/>
      <c r="B252" s="58"/>
      <c r="C252" s="58"/>
      <c r="D252" s="58"/>
      <c r="E252" s="58"/>
      <c r="F252" s="58"/>
      <c r="G252" s="58"/>
    </row>
    <row r="253">
      <c r="A253" s="58"/>
      <c r="B253" s="58"/>
      <c r="C253" s="58"/>
      <c r="D253" s="58"/>
      <c r="E253" s="58"/>
      <c r="F253" s="58"/>
      <c r="G253" s="58"/>
    </row>
    <row r="254">
      <c r="A254" s="58"/>
      <c r="B254" s="58"/>
      <c r="C254" s="58"/>
      <c r="D254" s="58"/>
      <c r="E254" s="58"/>
      <c r="F254" s="58"/>
      <c r="G254" s="58"/>
    </row>
    <row r="255">
      <c r="A255" s="58"/>
      <c r="B255" s="58"/>
      <c r="C255" s="58"/>
      <c r="D255" s="58"/>
      <c r="E255" s="58"/>
      <c r="F255" s="58"/>
      <c r="G255" s="58"/>
    </row>
    <row r="256">
      <c r="A256" s="58"/>
      <c r="B256" s="58"/>
      <c r="C256" s="58"/>
      <c r="D256" s="58"/>
      <c r="E256" s="58"/>
      <c r="F256" s="58"/>
      <c r="G256" s="58"/>
    </row>
    <row r="257">
      <c r="A257" s="58"/>
      <c r="B257" s="58"/>
      <c r="C257" s="58"/>
      <c r="D257" s="58"/>
      <c r="E257" s="58"/>
      <c r="F257" s="58"/>
      <c r="G257" s="58"/>
    </row>
    <row r="258">
      <c r="A258" s="58"/>
      <c r="B258" s="58"/>
      <c r="C258" s="58"/>
      <c r="D258" s="58"/>
      <c r="E258" s="58"/>
      <c r="F258" s="58"/>
      <c r="G258" s="58"/>
    </row>
    <row r="259">
      <c r="A259" s="58"/>
      <c r="B259" s="58"/>
      <c r="C259" s="58"/>
      <c r="D259" s="58"/>
      <c r="E259" s="58"/>
      <c r="F259" s="58"/>
      <c r="G259" s="58"/>
    </row>
    <row r="260">
      <c r="A260" s="58"/>
      <c r="B260" s="58"/>
      <c r="C260" s="58"/>
      <c r="D260" s="58"/>
      <c r="E260" s="58"/>
      <c r="F260" s="58"/>
      <c r="G260" s="58"/>
    </row>
    <row r="261">
      <c r="A261" s="58"/>
      <c r="B261" s="58"/>
      <c r="C261" s="58"/>
      <c r="D261" s="58"/>
      <c r="E261" s="58"/>
      <c r="F261" s="58"/>
      <c r="G261" s="58"/>
    </row>
    <row r="262">
      <c r="A262" s="58"/>
      <c r="B262" s="58"/>
      <c r="C262" s="58"/>
      <c r="D262" s="58"/>
      <c r="E262" s="58"/>
      <c r="F262" s="58"/>
      <c r="G262" s="58"/>
    </row>
    <row r="263">
      <c r="A263" s="58"/>
      <c r="B263" s="58"/>
      <c r="C263" s="58"/>
      <c r="D263" s="58"/>
      <c r="E263" s="58"/>
      <c r="F263" s="58"/>
      <c r="G263" s="58"/>
    </row>
    <row r="264">
      <c r="A264" s="58"/>
      <c r="B264" s="58"/>
      <c r="C264" s="58"/>
      <c r="D264" s="58"/>
      <c r="E264" s="58"/>
      <c r="F264" s="58"/>
      <c r="G264" s="58"/>
    </row>
    <row r="265">
      <c r="A265" s="58"/>
      <c r="B265" s="58"/>
      <c r="C265" s="58"/>
      <c r="D265" s="58"/>
      <c r="E265" s="58"/>
      <c r="F265" s="58"/>
      <c r="G265" s="58"/>
    </row>
    <row r="266">
      <c r="A266" s="58"/>
      <c r="B266" s="58"/>
      <c r="C266" s="58"/>
      <c r="D266" s="58"/>
      <c r="E266" s="58"/>
      <c r="F266" s="58"/>
      <c r="G266" s="58"/>
    </row>
    <row r="267">
      <c r="A267" s="58"/>
      <c r="B267" s="58"/>
      <c r="C267" s="58"/>
      <c r="D267" s="58"/>
      <c r="E267" s="58"/>
      <c r="F267" s="58"/>
      <c r="G267" s="58"/>
    </row>
    <row r="268">
      <c r="A268" s="58"/>
      <c r="B268" s="58"/>
      <c r="C268" s="58"/>
      <c r="D268" s="58"/>
      <c r="E268" s="58"/>
      <c r="F268" s="58"/>
      <c r="G268" s="58"/>
    </row>
    <row r="269">
      <c r="A269" s="58"/>
      <c r="B269" s="58"/>
      <c r="C269" s="58"/>
      <c r="D269" s="58"/>
      <c r="E269" s="58"/>
      <c r="F269" s="58"/>
      <c r="G269" s="58"/>
    </row>
    <row r="270">
      <c r="A270" s="58"/>
      <c r="B270" s="58"/>
      <c r="C270" s="58"/>
      <c r="D270" s="58"/>
      <c r="E270" s="58"/>
      <c r="F270" s="58"/>
      <c r="G270" s="58"/>
    </row>
    <row r="271">
      <c r="A271" s="58"/>
      <c r="B271" s="58"/>
      <c r="C271" s="58"/>
      <c r="D271" s="58"/>
      <c r="E271" s="58"/>
      <c r="F271" s="58"/>
      <c r="G271" s="58"/>
    </row>
    <row r="272">
      <c r="A272" s="58"/>
      <c r="B272" s="58"/>
      <c r="C272" s="58"/>
      <c r="D272" s="58"/>
      <c r="E272" s="58"/>
      <c r="F272" s="58"/>
      <c r="G272" s="58"/>
    </row>
    <row r="273">
      <c r="A273" s="58"/>
      <c r="B273" s="58"/>
      <c r="C273" s="58"/>
      <c r="D273" s="58"/>
      <c r="E273" s="58"/>
      <c r="F273" s="58"/>
      <c r="G273" s="58"/>
    </row>
    <row r="274">
      <c r="A274" s="58"/>
      <c r="B274" s="58"/>
      <c r="C274" s="58"/>
      <c r="D274" s="58"/>
      <c r="E274" s="58"/>
      <c r="F274" s="58"/>
      <c r="G274" s="58"/>
    </row>
    <row r="275">
      <c r="A275" s="58"/>
      <c r="B275" s="58"/>
      <c r="C275" s="58"/>
      <c r="D275" s="58"/>
      <c r="E275" s="58"/>
      <c r="F275" s="58"/>
      <c r="G275" s="58"/>
    </row>
    <row r="276">
      <c r="A276" s="58"/>
      <c r="B276" s="58"/>
      <c r="C276" s="58"/>
      <c r="D276" s="58"/>
      <c r="E276" s="58"/>
      <c r="F276" s="58"/>
      <c r="G276" s="58"/>
    </row>
    <row r="277">
      <c r="A277" s="58"/>
      <c r="B277" s="58"/>
      <c r="C277" s="58"/>
      <c r="D277" s="58"/>
      <c r="E277" s="58"/>
      <c r="F277" s="58"/>
      <c r="G277" s="58"/>
    </row>
    <row r="278">
      <c r="A278" s="58"/>
      <c r="B278" s="58"/>
      <c r="C278" s="58"/>
      <c r="D278" s="58"/>
      <c r="E278" s="58"/>
      <c r="F278" s="58"/>
      <c r="G278" s="58"/>
    </row>
    <row r="279">
      <c r="A279" s="58"/>
      <c r="B279" s="58"/>
      <c r="C279" s="58"/>
      <c r="D279" s="58"/>
      <c r="E279" s="58"/>
      <c r="F279" s="58"/>
      <c r="G279" s="58"/>
    </row>
    <row r="280">
      <c r="A280" s="58"/>
      <c r="B280" s="58"/>
      <c r="C280" s="58"/>
      <c r="D280" s="58"/>
      <c r="E280" s="58"/>
      <c r="F280" s="58"/>
      <c r="G280" s="58"/>
    </row>
    <row r="281">
      <c r="A281" s="58"/>
      <c r="B281" s="58"/>
      <c r="C281" s="58"/>
      <c r="D281" s="58"/>
      <c r="E281" s="58"/>
      <c r="F281" s="58"/>
      <c r="G281" s="58"/>
    </row>
    <row r="282">
      <c r="A282" s="58"/>
      <c r="B282" s="58"/>
      <c r="C282" s="58"/>
      <c r="D282" s="58"/>
      <c r="E282" s="58"/>
      <c r="F282" s="58"/>
      <c r="G282" s="58"/>
    </row>
    <row r="283">
      <c r="A283" s="58"/>
      <c r="B283" s="58"/>
      <c r="C283" s="58"/>
      <c r="D283" s="58"/>
      <c r="E283" s="58"/>
      <c r="F283" s="58"/>
      <c r="G283" s="58"/>
    </row>
    <row r="284">
      <c r="A284" s="58"/>
      <c r="B284" s="58"/>
      <c r="C284" s="58"/>
      <c r="D284" s="58"/>
      <c r="E284" s="58"/>
      <c r="F284" s="58"/>
      <c r="G284" s="58"/>
    </row>
    <row r="285">
      <c r="A285" s="58"/>
      <c r="B285" s="58"/>
      <c r="C285" s="58"/>
      <c r="D285" s="58"/>
      <c r="E285" s="58"/>
      <c r="F285" s="58"/>
      <c r="G285" s="58"/>
    </row>
    <row r="286">
      <c r="A286" s="58"/>
      <c r="B286" s="58"/>
      <c r="C286" s="58"/>
      <c r="D286" s="58"/>
      <c r="E286" s="58"/>
      <c r="F286" s="58"/>
      <c r="G286" s="58"/>
    </row>
    <row r="287">
      <c r="A287" s="58"/>
      <c r="B287" s="58"/>
      <c r="C287" s="58"/>
      <c r="D287" s="58"/>
      <c r="E287" s="58"/>
      <c r="F287" s="58"/>
      <c r="G287" s="58"/>
    </row>
    <row r="288">
      <c r="A288" s="58"/>
      <c r="B288" s="58"/>
      <c r="C288" s="58"/>
      <c r="D288" s="58"/>
      <c r="E288" s="58"/>
      <c r="F288" s="58"/>
      <c r="G288" s="58"/>
    </row>
    <row r="289">
      <c r="A289" s="58"/>
      <c r="B289" s="58"/>
      <c r="C289" s="58"/>
      <c r="D289" s="58"/>
      <c r="E289" s="58"/>
      <c r="F289" s="58"/>
      <c r="G289" s="58"/>
    </row>
    <row r="290">
      <c r="A290" s="58"/>
      <c r="B290" s="58"/>
      <c r="C290" s="58"/>
      <c r="D290" s="58"/>
      <c r="E290" s="58"/>
      <c r="F290" s="58"/>
      <c r="G290" s="58"/>
    </row>
    <row r="291">
      <c r="A291" s="58"/>
      <c r="B291" s="58"/>
      <c r="C291" s="58"/>
      <c r="D291" s="58"/>
      <c r="E291" s="58"/>
      <c r="F291" s="58"/>
      <c r="G291" s="58"/>
    </row>
    <row r="292">
      <c r="A292" s="58"/>
      <c r="B292" s="58"/>
      <c r="C292" s="58"/>
      <c r="D292" s="58"/>
      <c r="E292" s="58"/>
      <c r="F292" s="58"/>
      <c r="G292" s="58"/>
    </row>
    <row r="293">
      <c r="A293" s="58"/>
      <c r="B293" s="58"/>
      <c r="C293" s="58"/>
      <c r="D293" s="58"/>
      <c r="E293" s="58"/>
      <c r="F293" s="58"/>
      <c r="G293" s="58"/>
    </row>
    <row r="294">
      <c r="A294" s="58"/>
      <c r="B294" s="58"/>
      <c r="C294" s="58"/>
      <c r="D294" s="58"/>
      <c r="E294" s="58"/>
      <c r="F294" s="58"/>
      <c r="G294" s="58"/>
    </row>
    <row r="295">
      <c r="A295" s="58"/>
      <c r="B295" s="58"/>
      <c r="C295" s="58"/>
      <c r="D295" s="58"/>
      <c r="E295" s="58"/>
      <c r="F295" s="58"/>
      <c r="G295" s="58"/>
    </row>
    <row r="296">
      <c r="A296" s="58"/>
      <c r="B296" s="58"/>
      <c r="C296" s="58"/>
      <c r="D296" s="58"/>
      <c r="E296" s="58"/>
      <c r="F296" s="58"/>
      <c r="G296" s="58"/>
    </row>
    <row r="297">
      <c r="A297" s="58"/>
      <c r="B297" s="58"/>
      <c r="C297" s="58"/>
      <c r="D297" s="58"/>
      <c r="E297" s="58"/>
      <c r="F297" s="58"/>
      <c r="G297" s="58"/>
    </row>
    <row r="298">
      <c r="A298" s="58"/>
      <c r="B298" s="58"/>
      <c r="C298" s="58"/>
      <c r="D298" s="58"/>
      <c r="E298" s="58"/>
      <c r="F298" s="58"/>
      <c r="G298" s="58"/>
    </row>
    <row r="299">
      <c r="A299" s="58"/>
      <c r="B299" s="58"/>
      <c r="C299" s="58"/>
      <c r="D299" s="58"/>
      <c r="E299" s="58"/>
      <c r="F299" s="58"/>
      <c r="G299" s="58"/>
    </row>
    <row r="300">
      <c r="A300" s="58"/>
      <c r="B300" s="58"/>
      <c r="C300" s="58"/>
      <c r="D300" s="58"/>
      <c r="E300" s="58"/>
      <c r="F300" s="58"/>
      <c r="G300" s="58"/>
    </row>
    <row r="301">
      <c r="A301" s="58"/>
      <c r="B301" s="58"/>
      <c r="C301" s="58"/>
      <c r="D301" s="58"/>
      <c r="E301" s="58"/>
      <c r="F301" s="58"/>
      <c r="G301" s="58"/>
    </row>
    <row r="302">
      <c r="A302" s="58"/>
      <c r="B302" s="58"/>
      <c r="C302" s="58"/>
      <c r="D302" s="58"/>
      <c r="E302" s="58"/>
      <c r="F302" s="58"/>
      <c r="G302" s="58"/>
    </row>
    <row r="303">
      <c r="A303" s="58"/>
      <c r="B303" s="58"/>
      <c r="C303" s="58"/>
      <c r="D303" s="58"/>
      <c r="E303" s="58"/>
      <c r="F303" s="58"/>
      <c r="G303" s="58"/>
    </row>
    <row r="304">
      <c r="A304" s="58"/>
      <c r="B304" s="58"/>
      <c r="C304" s="58"/>
      <c r="D304" s="58"/>
      <c r="E304" s="58"/>
      <c r="F304" s="58"/>
      <c r="G304" s="58"/>
    </row>
    <row r="305">
      <c r="A305" s="58"/>
      <c r="B305" s="58"/>
      <c r="C305" s="58"/>
      <c r="D305" s="58"/>
      <c r="E305" s="58"/>
      <c r="F305" s="58"/>
      <c r="G305" s="58"/>
    </row>
    <row r="306">
      <c r="A306" s="58"/>
      <c r="B306" s="58"/>
      <c r="C306" s="58"/>
      <c r="D306" s="58"/>
      <c r="E306" s="58"/>
      <c r="F306" s="58"/>
      <c r="G306" s="58"/>
    </row>
    <row r="307">
      <c r="A307" s="58"/>
      <c r="B307" s="58"/>
      <c r="C307" s="58"/>
      <c r="D307" s="58"/>
      <c r="E307" s="58"/>
      <c r="F307" s="58"/>
      <c r="G307" s="58"/>
    </row>
    <row r="308">
      <c r="A308" s="58"/>
      <c r="B308" s="58"/>
      <c r="C308" s="58"/>
      <c r="D308" s="58"/>
      <c r="E308" s="58"/>
      <c r="F308" s="58"/>
      <c r="G308" s="58"/>
    </row>
    <row r="309">
      <c r="A309" s="58"/>
      <c r="B309" s="58"/>
      <c r="C309" s="58"/>
      <c r="D309" s="58"/>
      <c r="E309" s="58"/>
      <c r="F309" s="58"/>
      <c r="G309" s="58"/>
    </row>
    <row r="310">
      <c r="A310" s="58"/>
      <c r="B310" s="58"/>
      <c r="C310" s="58"/>
      <c r="D310" s="58"/>
      <c r="E310" s="58"/>
      <c r="F310" s="58"/>
      <c r="G310" s="58"/>
    </row>
    <row r="311">
      <c r="A311" s="58"/>
      <c r="B311" s="58"/>
      <c r="C311" s="58"/>
      <c r="D311" s="58"/>
      <c r="E311" s="58"/>
      <c r="F311" s="58"/>
      <c r="G311" s="58"/>
    </row>
    <row r="312">
      <c r="A312" s="58"/>
      <c r="B312" s="58"/>
      <c r="C312" s="58"/>
      <c r="D312" s="58"/>
      <c r="E312" s="58"/>
      <c r="F312" s="58"/>
      <c r="G312" s="58"/>
    </row>
    <row r="313">
      <c r="A313" s="58"/>
      <c r="B313" s="58"/>
      <c r="C313" s="58"/>
      <c r="D313" s="58"/>
      <c r="E313" s="58"/>
      <c r="F313" s="58"/>
      <c r="G313" s="58"/>
    </row>
    <row r="314">
      <c r="A314" s="58"/>
      <c r="B314" s="58"/>
      <c r="C314" s="58"/>
      <c r="D314" s="58"/>
      <c r="E314" s="58"/>
      <c r="F314" s="58"/>
      <c r="G314" s="58"/>
    </row>
    <row r="315">
      <c r="A315" s="58"/>
      <c r="B315" s="58"/>
      <c r="C315" s="58"/>
      <c r="D315" s="58"/>
      <c r="E315" s="58"/>
      <c r="F315" s="58"/>
      <c r="G315" s="58"/>
    </row>
    <row r="316">
      <c r="A316" s="58"/>
      <c r="B316" s="58"/>
      <c r="C316" s="58"/>
      <c r="D316" s="58"/>
      <c r="E316" s="58"/>
      <c r="F316" s="58"/>
      <c r="G316" s="58"/>
    </row>
    <row r="317">
      <c r="A317" s="58"/>
      <c r="B317" s="58"/>
      <c r="C317" s="58"/>
      <c r="D317" s="58"/>
      <c r="E317" s="58"/>
      <c r="F317" s="58"/>
      <c r="G317" s="58"/>
    </row>
    <row r="318">
      <c r="A318" s="58"/>
      <c r="B318" s="58"/>
      <c r="C318" s="58"/>
      <c r="D318" s="58"/>
      <c r="E318" s="58"/>
      <c r="F318" s="58"/>
      <c r="G318" s="58"/>
    </row>
    <row r="319">
      <c r="A319" s="58"/>
      <c r="B319" s="58"/>
      <c r="C319" s="58"/>
      <c r="D319" s="58"/>
      <c r="E319" s="58"/>
      <c r="F319" s="58"/>
      <c r="G319" s="58"/>
    </row>
    <row r="320">
      <c r="A320" s="58"/>
      <c r="B320" s="58"/>
      <c r="C320" s="58"/>
      <c r="D320" s="58"/>
      <c r="E320" s="58"/>
      <c r="F320" s="58"/>
      <c r="G320" s="58"/>
    </row>
    <row r="321">
      <c r="A321" s="58"/>
      <c r="B321" s="58"/>
      <c r="C321" s="58"/>
      <c r="D321" s="58"/>
      <c r="E321" s="58"/>
      <c r="F321" s="58"/>
      <c r="G321" s="58"/>
    </row>
    <row r="322">
      <c r="A322" s="58"/>
      <c r="B322" s="58"/>
      <c r="C322" s="58"/>
      <c r="D322" s="58"/>
      <c r="E322" s="58"/>
      <c r="F322" s="58"/>
      <c r="G322" s="58"/>
    </row>
    <row r="323">
      <c r="A323" s="58"/>
      <c r="B323" s="58"/>
      <c r="C323" s="58"/>
      <c r="D323" s="58"/>
      <c r="E323" s="58"/>
      <c r="F323" s="58"/>
      <c r="G323" s="58"/>
    </row>
    <row r="324">
      <c r="A324" s="58"/>
      <c r="B324" s="58"/>
      <c r="C324" s="58"/>
      <c r="D324" s="58"/>
      <c r="E324" s="58"/>
      <c r="F324" s="58"/>
      <c r="G324" s="58"/>
    </row>
    <row r="325">
      <c r="A325" s="58"/>
      <c r="B325" s="58"/>
      <c r="C325" s="58"/>
      <c r="D325" s="58"/>
      <c r="E325" s="58"/>
      <c r="F325" s="58"/>
      <c r="G325" s="58"/>
    </row>
    <row r="326">
      <c r="A326" s="58"/>
      <c r="B326" s="58"/>
      <c r="C326" s="58"/>
      <c r="D326" s="58"/>
      <c r="E326" s="58"/>
      <c r="F326" s="58"/>
      <c r="G326" s="58"/>
    </row>
    <row r="327">
      <c r="A327" s="58"/>
      <c r="B327" s="58"/>
      <c r="C327" s="58"/>
      <c r="D327" s="58"/>
      <c r="E327" s="58"/>
      <c r="F327" s="58"/>
      <c r="G327" s="58"/>
    </row>
    <row r="328">
      <c r="A328" s="58"/>
      <c r="B328" s="58"/>
      <c r="C328" s="58"/>
      <c r="D328" s="58"/>
      <c r="E328" s="58"/>
      <c r="F328" s="58"/>
      <c r="G328" s="58"/>
    </row>
    <row r="329">
      <c r="A329" s="58"/>
      <c r="B329" s="58"/>
      <c r="C329" s="58"/>
      <c r="D329" s="58"/>
      <c r="E329" s="58"/>
      <c r="F329" s="58"/>
      <c r="G329" s="58"/>
    </row>
    <row r="330">
      <c r="A330" s="58"/>
      <c r="B330" s="58"/>
      <c r="C330" s="58"/>
      <c r="D330" s="58"/>
      <c r="E330" s="58"/>
      <c r="F330" s="58"/>
      <c r="G330" s="58"/>
    </row>
    <row r="331">
      <c r="A331" s="58"/>
      <c r="B331" s="58"/>
      <c r="C331" s="58"/>
      <c r="D331" s="58"/>
      <c r="E331" s="58"/>
      <c r="F331" s="58"/>
      <c r="G331" s="58"/>
    </row>
    <row r="332">
      <c r="A332" s="58"/>
      <c r="B332" s="58"/>
      <c r="C332" s="58"/>
      <c r="D332" s="58"/>
      <c r="E332" s="58"/>
      <c r="F332" s="58"/>
      <c r="G332" s="58"/>
    </row>
    <row r="333">
      <c r="A333" s="58"/>
      <c r="B333" s="58"/>
      <c r="C333" s="58"/>
      <c r="D333" s="58"/>
      <c r="E333" s="58"/>
      <c r="F333" s="58"/>
      <c r="G333" s="58"/>
    </row>
    <row r="334">
      <c r="A334" s="58"/>
      <c r="B334" s="58"/>
      <c r="C334" s="58"/>
      <c r="D334" s="58"/>
      <c r="E334" s="58"/>
      <c r="F334" s="58"/>
      <c r="G334" s="58"/>
    </row>
    <row r="335">
      <c r="A335" s="58"/>
      <c r="B335" s="58"/>
      <c r="C335" s="58"/>
      <c r="D335" s="58"/>
      <c r="E335" s="58"/>
      <c r="F335" s="58"/>
      <c r="G335" s="58"/>
    </row>
    <row r="336">
      <c r="A336" s="58"/>
      <c r="B336" s="58"/>
      <c r="C336" s="58"/>
      <c r="D336" s="58"/>
      <c r="E336" s="58"/>
      <c r="F336" s="58"/>
      <c r="G336" s="58"/>
    </row>
    <row r="337">
      <c r="A337" s="58"/>
      <c r="B337" s="58"/>
      <c r="C337" s="58"/>
      <c r="D337" s="58"/>
      <c r="E337" s="58"/>
      <c r="F337" s="58"/>
      <c r="G337" s="58"/>
    </row>
    <row r="338">
      <c r="A338" s="58"/>
      <c r="B338" s="58"/>
      <c r="C338" s="58"/>
      <c r="D338" s="58"/>
      <c r="E338" s="58"/>
      <c r="F338" s="58"/>
      <c r="G338" s="58"/>
    </row>
    <row r="339">
      <c r="A339" s="58"/>
      <c r="B339" s="58"/>
      <c r="C339" s="58"/>
      <c r="D339" s="58"/>
      <c r="E339" s="58"/>
      <c r="F339" s="58"/>
      <c r="G339" s="58"/>
    </row>
    <row r="340">
      <c r="A340" s="58"/>
      <c r="B340" s="58"/>
      <c r="C340" s="58"/>
      <c r="D340" s="58"/>
      <c r="E340" s="58"/>
      <c r="F340" s="58"/>
      <c r="G340" s="58"/>
    </row>
    <row r="341">
      <c r="A341" s="58"/>
      <c r="B341" s="58"/>
      <c r="C341" s="58"/>
      <c r="D341" s="58"/>
      <c r="E341" s="58"/>
      <c r="F341" s="58"/>
      <c r="G341" s="58"/>
    </row>
    <row r="342">
      <c r="A342" s="58"/>
      <c r="B342" s="58"/>
      <c r="C342" s="58"/>
      <c r="D342" s="58"/>
      <c r="E342" s="58"/>
      <c r="F342" s="58"/>
      <c r="G342" s="58"/>
    </row>
    <row r="343">
      <c r="A343" s="58"/>
      <c r="B343" s="58"/>
      <c r="C343" s="58"/>
      <c r="D343" s="58"/>
      <c r="E343" s="58"/>
      <c r="F343" s="58"/>
      <c r="G343" s="58"/>
    </row>
    <row r="344">
      <c r="A344" s="58"/>
      <c r="B344" s="58"/>
      <c r="C344" s="58"/>
      <c r="D344" s="58"/>
      <c r="E344" s="58"/>
      <c r="F344" s="58"/>
      <c r="G344" s="58"/>
    </row>
    <row r="345">
      <c r="A345" s="58"/>
      <c r="B345" s="58"/>
      <c r="C345" s="58"/>
      <c r="D345" s="58"/>
      <c r="E345" s="58"/>
      <c r="F345" s="58"/>
      <c r="G345" s="58"/>
    </row>
    <row r="346">
      <c r="A346" s="58"/>
      <c r="B346" s="58"/>
      <c r="C346" s="58"/>
      <c r="D346" s="58"/>
      <c r="E346" s="58"/>
      <c r="F346" s="58"/>
      <c r="G346" s="58"/>
    </row>
    <row r="347">
      <c r="A347" s="58"/>
      <c r="B347" s="58"/>
      <c r="C347" s="58"/>
      <c r="D347" s="58"/>
      <c r="E347" s="58"/>
      <c r="F347" s="58"/>
      <c r="G347" s="58"/>
    </row>
    <row r="348">
      <c r="A348" s="58"/>
      <c r="B348" s="58"/>
      <c r="C348" s="58"/>
      <c r="D348" s="58"/>
      <c r="E348" s="58"/>
      <c r="F348" s="58"/>
      <c r="G348" s="58"/>
    </row>
    <row r="349">
      <c r="A349" s="58"/>
      <c r="B349" s="58"/>
      <c r="C349" s="58"/>
      <c r="D349" s="58"/>
      <c r="E349" s="58"/>
      <c r="F349" s="58"/>
      <c r="G349" s="58"/>
    </row>
    <row r="350">
      <c r="A350" s="58"/>
      <c r="B350" s="58"/>
      <c r="C350" s="58"/>
      <c r="D350" s="58"/>
      <c r="E350" s="58"/>
      <c r="F350" s="58"/>
      <c r="G350" s="58"/>
    </row>
    <row r="351">
      <c r="A351" s="58"/>
      <c r="B351" s="58"/>
      <c r="C351" s="58"/>
      <c r="D351" s="58"/>
      <c r="E351" s="58"/>
      <c r="F351" s="58"/>
      <c r="G351" s="58"/>
    </row>
    <row r="352">
      <c r="A352" s="58"/>
      <c r="B352" s="58"/>
      <c r="C352" s="58"/>
      <c r="D352" s="58"/>
      <c r="E352" s="58"/>
      <c r="F352" s="58"/>
      <c r="G352" s="58"/>
    </row>
    <row r="353">
      <c r="A353" s="58"/>
      <c r="B353" s="58"/>
      <c r="C353" s="58"/>
      <c r="D353" s="58"/>
      <c r="E353" s="58"/>
      <c r="F353" s="58"/>
      <c r="G353" s="58"/>
    </row>
    <row r="354">
      <c r="A354" s="58"/>
      <c r="B354" s="58"/>
      <c r="C354" s="58"/>
      <c r="D354" s="58"/>
      <c r="E354" s="58"/>
      <c r="F354" s="58"/>
      <c r="G354" s="58"/>
    </row>
    <row r="355">
      <c r="A355" s="58"/>
      <c r="B355" s="58"/>
      <c r="C355" s="58"/>
      <c r="D355" s="58"/>
      <c r="E355" s="58"/>
      <c r="F355" s="58"/>
      <c r="G355" s="58"/>
    </row>
    <row r="356">
      <c r="A356" s="58"/>
      <c r="B356" s="58"/>
      <c r="C356" s="58"/>
      <c r="D356" s="58"/>
      <c r="E356" s="58"/>
      <c r="F356" s="58"/>
      <c r="G356" s="58"/>
    </row>
    <row r="357">
      <c r="A357" s="58"/>
      <c r="B357" s="58"/>
      <c r="C357" s="58"/>
      <c r="D357" s="58"/>
      <c r="E357" s="58"/>
      <c r="F357" s="58"/>
      <c r="G357" s="58"/>
    </row>
    <row r="358">
      <c r="A358" s="58"/>
      <c r="B358" s="58"/>
      <c r="C358" s="58"/>
      <c r="D358" s="58"/>
      <c r="E358" s="58"/>
      <c r="F358" s="58"/>
      <c r="G358" s="58"/>
    </row>
    <row r="359">
      <c r="A359" s="58"/>
      <c r="B359" s="58"/>
      <c r="C359" s="58"/>
      <c r="D359" s="58"/>
      <c r="E359" s="58"/>
      <c r="F359" s="58"/>
      <c r="G359" s="58"/>
    </row>
    <row r="360">
      <c r="A360" s="58"/>
      <c r="B360" s="58"/>
      <c r="C360" s="58"/>
      <c r="D360" s="58"/>
      <c r="E360" s="58"/>
      <c r="F360" s="58"/>
      <c r="G360" s="58"/>
    </row>
    <row r="361">
      <c r="A361" s="58"/>
      <c r="B361" s="58"/>
      <c r="C361" s="58"/>
      <c r="D361" s="58"/>
      <c r="E361" s="58"/>
      <c r="F361" s="58"/>
      <c r="G361" s="58"/>
    </row>
    <row r="362">
      <c r="A362" s="58"/>
      <c r="B362" s="58"/>
      <c r="C362" s="58"/>
      <c r="D362" s="58"/>
      <c r="E362" s="58"/>
      <c r="F362" s="58"/>
      <c r="G362" s="58"/>
    </row>
    <row r="363">
      <c r="A363" s="58"/>
      <c r="B363" s="58"/>
      <c r="C363" s="58"/>
      <c r="D363" s="58"/>
      <c r="E363" s="58"/>
      <c r="F363" s="58"/>
      <c r="G363" s="58"/>
    </row>
    <row r="364">
      <c r="A364" s="58"/>
      <c r="B364" s="58"/>
      <c r="C364" s="58"/>
      <c r="D364" s="58"/>
      <c r="E364" s="58"/>
      <c r="F364" s="58"/>
      <c r="G364" s="58"/>
    </row>
    <row r="365">
      <c r="A365" s="58"/>
      <c r="B365" s="58"/>
      <c r="C365" s="58"/>
      <c r="D365" s="58"/>
      <c r="E365" s="58"/>
      <c r="F365" s="58"/>
      <c r="G365" s="58"/>
    </row>
    <row r="366">
      <c r="A366" s="58"/>
      <c r="B366" s="58"/>
      <c r="C366" s="58"/>
      <c r="D366" s="58"/>
      <c r="E366" s="58"/>
      <c r="F366" s="58"/>
      <c r="G366" s="58"/>
    </row>
    <row r="367">
      <c r="A367" s="58"/>
      <c r="B367" s="58"/>
      <c r="C367" s="58"/>
      <c r="D367" s="58"/>
      <c r="E367" s="58"/>
      <c r="F367" s="58"/>
      <c r="G367" s="58"/>
    </row>
    <row r="368">
      <c r="A368" s="58"/>
      <c r="B368" s="58"/>
      <c r="C368" s="58"/>
      <c r="D368" s="58"/>
      <c r="E368" s="58"/>
      <c r="F368" s="58"/>
      <c r="G368" s="58"/>
    </row>
    <row r="369">
      <c r="A369" s="58"/>
      <c r="B369" s="58"/>
      <c r="C369" s="58"/>
      <c r="D369" s="58"/>
      <c r="E369" s="58"/>
      <c r="F369" s="58"/>
      <c r="G369" s="58"/>
    </row>
    <row r="370">
      <c r="A370" s="58"/>
      <c r="B370" s="58"/>
      <c r="C370" s="58"/>
      <c r="D370" s="58"/>
      <c r="E370" s="58"/>
      <c r="F370" s="58"/>
      <c r="G370" s="58"/>
    </row>
    <row r="371">
      <c r="A371" s="58"/>
      <c r="B371" s="58"/>
      <c r="C371" s="58"/>
      <c r="D371" s="58"/>
      <c r="E371" s="58"/>
      <c r="F371" s="58"/>
      <c r="G371" s="58"/>
    </row>
    <row r="372">
      <c r="A372" s="58"/>
      <c r="B372" s="58"/>
      <c r="C372" s="58"/>
      <c r="D372" s="58"/>
      <c r="E372" s="58"/>
      <c r="F372" s="58"/>
      <c r="G372" s="58"/>
    </row>
    <row r="373">
      <c r="A373" s="58"/>
      <c r="B373" s="58"/>
      <c r="C373" s="58"/>
      <c r="D373" s="58"/>
      <c r="E373" s="58"/>
      <c r="F373" s="58"/>
      <c r="G373" s="58"/>
    </row>
    <row r="374">
      <c r="A374" s="58"/>
      <c r="B374" s="58"/>
      <c r="C374" s="58"/>
      <c r="D374" s="58"/>
      <c r="E374" s="58"/>
      <c r="F374" s="58"/>
      <c r="G374" s="58"/>
    </row>
    <row r="375">
      <c r="A375" s="58"/>
      <c r="B375" s="58"/>
      <c r="C375" s="58"/>
      <c r="D375" s="58"/>
      <c r="E375" s="58"/>
      <c r="F375" s="58"/>
      <c r="G375" s="58"/>
    </row>
    <row r="376">
      <c r="A376" s="58"/>
      <c r="B376" s="58"/>
      <c r="C376" s="58"/>
      <c r="D376" s="58"/>
      <c r="E376" s="58"/>
      <c r="F376" s="58"/>
      <c r="G376" s="58"/>
    </row>
    <row r="377">
      <c r="A377" s="58"/>
      <c r="B377" s="58"/>
      <c r="C377" s="58"/>
      <c r="D377" s="58"/>
      <c r="E377" s="58"/>
      <c r="F377" s="58"/>
      <c r="G377" s="58"/>
    </row>
    <row r="378">
      <c r="A378" s="58"/>
      <c r="B378" s="58"/>
      <c r="C378" s="58"/>
      <c r="D378" s="58"/>
      <c r="E378" s="58"/>
      <c r="F378" s="58"/>
      <c r="G378" s="58"/>
    </row>
    <row r="379">
      <c r="A379" s="58"/>
      <c r="B379" s="58"/>
      <c r="C379" s="58"/>
      <c r="D379" s="58"/>
      <c r="E379" s="58"/>
      <c r="F379" s="58"/>
      <c r="G379" s="58"/>
    </row>
    <row r="380">
      <c r="A380" s="58"/>
      <c r="B380" s="58"/>
      <c r="C380" s="58"/>
      <c r="D380" s="58"/>
      <c r="E380" s="58"/>
      <c r="F380" s="58"/>
      <c r="G380" s="58"/>
    </row>
    <row r="381">
      <c r="A381" s="58"/>
      <c r="B381" s="58"/>
      <c r="C381" s="58"/>
      <c r="D381" s="58"/>
      <c r="E381" s="58"/>
      <c r="F381" s="58"/>
      <c r="G381" s="58"/>
    </row>
    <row r="382">
      <c r="A382" s="58"/>
      <c r="B382" s="58"/>
      <c r="C382" s="58"/>
      <c r="D382" s="58"/>
      <c r="E382" s="58"/>
      <c r="F382" s="58"/>
      <c r="G382" s="58"/>
    </row>
    <row r="383">
      <c r="A383" s="58"/>
      <c r="B383" s="58"/>
      <c r="C383" s="58"/>
      <c r="D383" s="58"/>
      <c r="E383" s="58"/>
      <c r="F383" s="58"/>
      <c r="G383" s="58"/>
    </row>
    <row r="384">
      <c r="A384" s="58"/>
      <c r="B384" s="58"/>
      <c r="C384" s="58"/>
      <c r="D384" s="58"/>
      <c r="E384" s="58"/>
      <c r="F384" s="58"/>
      <c r="G384" s="58"/>
    </row>
    <row r="385">
      <c r="A385" s="58"/>
      <c r="B385" s="58"/>
      <c r="C385" s="58"/>
      <c r="D385" s="58"/>
      <c r="E385" s="58"/>
      <c r="F385" s="58"/>
      <c r="G385" s="58"/>
    </row>
    <row r="386">
      <c r="A386" s="58"/>
      <c r="B386" s="58"/>
      <c r="C386" s="58"/>
      <c r="D386" s="58"/>
      <c r="E386" s="58"/>
      <c r="F386" s="58"/>
      <c r="G386" s="58"/>
    </row>
    <row r="387">
      <c r="A387" s="58"/>
      <c r="B387" s="58"/>
      <c r="C387" s="58"/>
      <c r="D387" s="58"/>
      <c r="E387" s="58"/>
      <c r="F387" s="58"/>
      <c r="G387" s="58"/>
    </row>
    <row r="388">
      <c r="A388" s="58"/>
      <c r="B388" s="58"/>
      <c r="C388" s="58"/>
      <c r="D388" s="58"/>
      <c r="E388" s="58"/>
      <c r="F388" s="58"/>
      <c r="G388" s="58"/>
    </row>
    <row r="389">
      <c r="A389" s="58"/>
      <c r="B389" s="58"/>
      <c r="C389" s="58"/>
      <c r="D389" s="58"/>
      <c r="E389" s="58"/>
      <c r="F389" s="58"/>
      <c r="G389" s="58"/>
    </row>
    <row r="390">
      <c r="A390" s="58"/>
      <c r="B390" s="58"/>
      <c r="C390" s="58"/>
      <c r="D390" s="58"/>
      <c r="E390" s="58"/>
      <c r="F390" s="58"/>
      <c r="G390" s="58"/>
    </row>
    <row r="391">
      <c r="A391" s="58"/>
      <c r="B391" s="58"/>
      <c r="C391" s="58"/>
      <c r="D391" s="58"/>
      <c r="E391" s="58"/>
      <c r="F391" s="58"/>
      <c r="G391" s="58"/>
    </row>
    <row r="392">
      <c r="A392" s="58"/>
      <c r="B392" s="58"/>
      <c r="C392" s="58"/>
      <c r="D392" s="58"/>
      <c r="E392" s="58"/>
      <c r="F392" s="58"/>
      <c r="G392" s="58"/>
    </row>
    <row r="393">
      <c r="A393" s="58"/>
      <c r="B393" s="58"/>
      <c r="C393" s="58"/>
      <c r="D393" s="58"/>
      <c r="E393" s="58"/>
      <c r="F393" s="58"/>
      <c r="G393" s="58"/>
    </row>
    <row r="394">
      <c r="A394" s="58"/>
      <c r="B394" s="58"/>
      <c r="C394" s="58"/>
      <c r="D394" s="58"/>
      <c r="E394" s="58"/>
      <c r="F394" s="58"/>
      <c r="G394" s="58"/>
    </row>
    <row r="395">
      <c r="A395" s="58"/>
      <c r="B395" s="58"/>
      <c r="C395" s="58"/>
      <c r="D395" s="58"/>
      <c r="E395" s="58"/>
      <c r="F395" s="58"/>
      <c r="G395" s="58"/>
    </row>
    <row r="396">
      <c r="A396" s="58"/>
      <c r="B396" s="58"/>
      <c r="C396" s="58"/>
      <c r="D396" s="58"/>
      <c r="E396" s="58"/>
      <c r="F396" s="58"/>
      <c r="G396" s="58"/>
    </row>
    <row r="397">
      <c r="A397" s="58"/>
      <c r="B397" s="58"/>
      <c r="C397" s="58"/>
      <c r="D397" s="58"/>
      <c r="E397" s="58"/>
      <c r="F397" s="58"/>
      <c r="G397" s="58"/>
    </row>
    <row r="398">
      <c r="A398" s="58"/>
      <c r="B398" s="58"/>
      <c r="C398" s="58"/>
      <c r="D398" s="58"/>
      <c r="E398" s="58"/>
      <c r="F398" s="58"/>
      <c r="G398" s="58"/>
    </row>
    <row r="399">
      <c r="A399" s="58"/>
      <c r="B399" s="58"/>
      <c r="C399" s="58"/>
      <c r="D399" s="58"/>
      <c r="E399" s="58"/>
      <c r="F399" s="58"/>
      <c r="G399" s="58"/>
    </row>
    <row r="400">
      <c r="A400" s="58"/>
      <c r="B400" s="58"/>
      <c r="C400" s="58"/>
      <c r="D400" s="58"/>
      <c r="E400" s="58"/>
      <c r="F400" s="58"/>
      <c r="G400" s="58"/>
    </row>
    <row r="401">
      <c r="A401" s="58"/>
      <c r="B401" s="58"/>
      <c r="C401" s="58"/>
      <c r="D401" s="58"/>
      <c r="E401" s="58"/>
      <c r="F401" s="58"/>
      <c r="G401" s="58"/>
    </row>
    <row r="402">
      <c r="A402" s="58"/>
      <c r="B402" s="58"/>
      <c r="C402" s="58"/>
      <c r="D402" s="58"/>
      <c r="E402" s="58"/>
      <c r="F402" s="58"/>
      <c r="G402" s="58"/>
    </row>
    <row r="403">
      <c r="A403" s="58"/>
      <c r="B403" s="58"/>
      <c r="C403" s="58"/>
      <c r="D403" s="58"/>
      <c r="E403" s="58"/>
      <c r="F403" s="58"/>
      <c r="G403" s="58"/>
    </row>
    <row r="404">
      <c r="A404" s="58"/>
      <c r="B404" s="58"/>
      <c r="C404" s="58"/>
      <c r="D404" s="58"/>
      <c r="E404" s="58"/>
      <c r="F404" s="58"/>
      <c r="G404" s="58"/>
    </row>
    <row r="405">
      <c r="A405" s="58"/>
      <c r="B405" s="58"/>
      <c r="C405" s="58"/>
      <c r="D405" s="58"/>
      <c r="E405" s="58"/>
      <c r="F405" s="58"/>
      <c r="G405" s="58"/>
    </row>
    <row r="406">
      <c r="A406" s="58"/>
      <c r="B406" s="58"/>
      <c r="C406" s="58"/>
      <c r="D406" s="58"/>
      <c r="E406" s="58"/>
      <c r="F406" s="58"/>
      <c r="G406" s="58"/>
    </row>
    <row r="407">
      <c r="A407" s="58"/>
      <c r="B407" s="58"/>
      <c r="C407" s="58"/>
      <c r="D407" s="58"/>
      <c r="E407" s="58"/>
      <c r="F407" s="58"/>
      <c r="G407" s="58"/>
    </row>
    <row r="408">
      <c r="A408" s="58"/>
      <c r="B408" s="58"/>
      <c r="C408" s="58"/>
      <c r="D408" s="58"/>
      <c r="E408" s="58"/>
      <c r="F408" s="58"/>
      <c r="G408" s="58"/>
    </row>
    <row r="409">
      <c r="A409" s="58"/>
      <c r="B409" s="58"/>
      <c r="C409" s="58"/>
      <c r="D409" s="58"/>
      <c r="E409" s="58"/>
      <c r="F409" s="58"/>
      <c r="G409" s="58"/>
    </row>
    <row r="410">
      <c r="A410" s="58"/>
      <c r="B410" s="58"/>
      <c r="C410" s="58"/>
      <c r="D410" s="58"/>
      <c r="E410" s="58"/>
      <c r="F410" s="58"/>
      <c r="G410" s="58"/>
    </row>
    <row r="411">
      <c r="A411" s="58"/>
      <c r="B411" s="58"/>
      <c r="C411" s="58"/>
      <c r="D411" s="58"/>
      <c r="E411" s="58"/>
      <c r="F411" s="58"/>
      <c r="G411" s="58"/>
    </row>
    <row r="412">
      <c r="A412" s="58"/>
      <c r="B412" s="58"/>
      <c r="C412" s="58"/>
      <c r="D412" s="58"/>
      <c r="E412" s="58"/>
      <c r="F412" s="58"/>
      <c r="G412" s="58"/>
    </row>
    <row r="413">
      <c r="A413" s="58"/>
      <c r="B413" s="58"/>
      <c r="C413" s="58"/>
      <c r="D413" s="58"/>
      <c r="E413" s="58"/>
      <c r="F413" s="58"/>
      <c r="G413" s="58"/>
    </row>
    <row r="414">
      <c r="A414" s="58"/>
      <c r="B414" s="58"/>
      <c r="C414" s="58"/>
      <c r="D414" s="58"/>
      <c r="E414" s="58"/>
      <c r="F414" s="58"/>
      <c r="G414" s="58"/>
    </row>
    <row r="415">
      <c r="A415" s="58"/>
      <c r="B415" s="58"/>
      <c r="C415" s="58"/>
      <c r="D415" s="58"/>
      <c r="E415" s="58"/>
      <c r="F415" s="58"/>
      <c r="G415" s="58"/>
    </row>
    <row r="416">
      <c r="A416" s="58"/>
      <c r="B416" s="58"/>
      <c r="C416" s="58"/>
      <c r="D416" s="58"/>
      <c r="E416" s="58"/>
      <c r="F416" s="58"/>
      <c r="G416" s="58"/>
    </row>
    <row r="417">
      <c r="A417" s="58"/>
      <c r="B417" s="58"/>
      <c r="C417" s="58"/>
      <c r="D417" s="58"/>
      <c r="E417" s="58"/>
      <c r="F417" s="58"/>
      <c r="G417" s="58"/>
    </row>
    <row r="418">
      <c r="A418" s="58"/>
      <c r="B418" s="58"/>
      <c r="C418" s="58"/>
      <c r="D418" s="58"/>
      <c r="E418" s="58"/>
      <c r="F418" s="58"/>
      <c r="G418" s="58"/>
    </row>
    <row r="419">
      <c r="A419" s="58"/>
      <c r="B419" s="58"/>
      <c r="C419" s="58"/>
      <c r="D419" s="58"/>
      <c r="E419" s="58"/>
      <c r="F419" s="58"/>
      <c r="G419" s="58"/>
    </row>
    <row r="420">
      <c r="A420" s="58"/>
      <c r="B420" s="58"/>
      <c r="C420" s="58"/>
      <c r="D420" s="58"/>
      <c r="E420" s="58"/>
      <c r="F420" s="58"/>
      <c r="G420" s="58"/>
    </row>
    <row r="421">
      <c r="A421" s="58"/>
      <c r="B421" s="58"/>
      <c r="C421" s="58"/>
      <c r="D421" s="58"/>
      <c r="E421" s="58"/>
      <c r="F421" s="58"/>
      <c r="G421" s="58"/>
    </row>
    <row r="422">
      <c r="A422" s="58"/>
      <c r="B422" s="58"/>
      <c r="C422" s="58"/>
      <c r="D422" s="58"/>
      <c r="E422" s="58"/>
      <c r="F422" s="58"/>
      <c r="G422" s="58"/>
    </row>
    <row r="423">
      <c r="A423" s="58"/>
      <c r="B423" s="58"/>
      <c r="C423" s="58"/>
      <c r="D423" s="58"/>
      <c r="E423" s="58"/>
      <c r="F423" s="58"/>
      <c r="G423" s="58"/>
    </row>
    <row r="424">
      <c r="A424" s="58"/>
      <c r="B424" s="58"/>
      <c r="C424" s="58"/>
      <c r="D424" s="58"/>
      <c r="E424" s="58"/>
      <c r="F424" s="58"/>
      <c r="G424" s="58"/>
    </row>
    <row r="425">
      <c r="A425" s="58"/>
      <c r="B425" s="58"/>
      <c r="C425" s="58"/>
      <c r="D425" s="58"/>
      <c r="E425" s="58"/>
      <c r="F425" s="58"/>
      <c r="G425" s="58"/>
    </row>
    <row r="426">
      <c r="A426" s="58"/>
      <c r="B426" s="58"/>
      <c r="C426" s="58"/>
      <c r="D426" s="58"/>
      <c r="E426" s="58"/>
      <c r="F426" s="58"/>
      <c r="G426" s="58"/>
    </row>
    <row r="427">
      <c r="A427" s="58"/>
      <c r="B427" s="58"/>
      <c r="C427" s="58"/>
      <c r="D427" s="58"/>
      <c r="E427" s="58"/>
      <c r="F427" s="58"/>
      <c r="G427" s="58"/>
    </row>
    <row r="428">
      <c r="A428" s="58"/>
      <c r="B428" s="58"/>
      <c r="C428" s="58"/>
      <c r="D428" s="58"/>
      <c r="E428" s="58"/>
      <c r="F428" s="58"/>
      <c r="G428" s="58"/>
    </row>
    <row r="429">
      <c r="A429" s="58"/>
      <c r="B429" s="58"/>
      <c r="C429" s="58"/>
      <c r="D429" s="58"/>
      <c r="E429" s="58"/>
      <c r="F429" s="58"/>
      <c r="G429" s="58"/>
    </row>
    <row r="430">
      <c r="A430" s="58"/>
      <c r="B430" s="58"/>
      <c r="C430" s="58"/>
      <c r="D430" s="58"/>
      <c r="E430" s="58"/>
      <c r="F430" s="58"/>
      <c r="G430" s="58"/>
    </row>
    <row r="431">
      <c r="A431" s="58"/>
      <c r="B431" s="58"/>
      <c r="C431" s="58"/>
      <c r="D431" s="58"/>
      <c r="E431" s="58"/>
      <c r="F431" s="58"/>
      <c r="G431" s="58"/>
    </row>
    <row r="432">
      <c r="A432" s="58"/>
      <c r="B432" s="58"/>
      <c r="C432" s="58"/>
      <c r="D432" s="58"/>
      <c r="E432" s="58"/>
      <c r="F432" s="58"/>
      <c r="G432" s="58"/>
    </row>
    <row r="433">
      <c r="A433" s="58"/>
      <c r="B433" s="58"/>
      <c r="C433" s="58"/>
      <c r="D433" s="58"/>
      <c r="E433" s="58"/>
      <c r="F433" s="58"/>
      <c r="G433" s="58"/>
    </row>
    <row r="434">
      <c r="A434" s="58"/>
      <c r="B434" s="58"/>
      <c r="C434" s="58"/>
      <c r="D434" s="58"/>
      <c r="E434" s="58"/>
      <c r="F434" s="58"/>
      <c r="G434" s="58"/>
    </row>
    <row r="435">
      <c r="A435" s="58"/>
      <c r="B435" s="58"/>
      <c r="C435" s="58"/>
      <c r="D435" s="58"/>
      <c r="E435" s="58"/>
      <c r="F435" s="58"/>
      <c r="G435" s="58"/>
    </row>
    <row r="436">
      <c r="A436" s="58"/>
      <c r="B436" s="58"/>
      <c r="C436" s="58"/>
      <c r="D436" s="58"/>
      <c r="E436" s="58"/>
      <c r="F436" s="58"/>
      <c r="G436" s="58"/>
    </row>
    <row r="437">
      <c r="A437" s="58"/>
      <c r="B437" s="58"/>
      <c r="C437" s="58"/>
      <c r="D437" s="58"/>
      <c r="E437" s="58"/>
      <c r="F437" s="58"/>
      <c r="G437" s="58"/>
    </row>
    <row r="438">
      <c r="A438" s="58"/>
      <c r="B438" s="58"/>
      <c r="C438" s="58"/>
      <c r="D438" s="58"/>
      <c r="E438" s="58"/>
      <c r="F438" s="58"/>
      <c r="G438" s="58"/>
    </row>
    <row r="439">
      <c r="A439" s="58"/>
      <c r="B439" s="58"/>
      <c r="C439" s="58"/>
      <c r="D439" s="58"/>
      <c r="E439" s="58"/>
      <c r="F439" s="58"/>
      <c r="G439" s="58"/>
    </row>
    <row r="440">
      <c r="A440" s="58"/>
      <c r="B440" s="58"/>
      <c r="C440" s="58"/>
      <c r="D440" s="58"/>
      <c r="E440" s="58"/>
      <c r="F440" s="58"/>
      <c r="G440" s="58"/>
    </row>
    <row r="441">
      <c r="A441" s="58"/>
      <c r="B441" s="58"/>
      <c r="C441" s="58"/>
      <c r="D441" s="58"/>
      <c r="E441" s="58"/>
      <c r="F441" s="58"/>
      <c r="G441" s="58"/>
    </row>
    <row r="442">
      <c r="A442" s="58"/>
      <c r="B442" s="58"/>
      <c r="C442" s="58"/>
      <c r="D442" s="58"/>
      <c r="E442" s="58"/>
      <c r="F442" s="58"/>
      <c r="G442" s="58"/>
    </row>
    <row r="443">
      <c r="A443" s="58"/>
      <c r="B443" s="58"/>
      <c r="C443" s="58"/>
      <c r="D443" s="58"/>
      <c r="E443" s="58"/>
      <c r="F443" s="58"/>
      <c r="G443" s="58"/>
    </row>
    <row r="444">
      <c r="A444" s="58"/>
      <c r="B444" s="58"/>
      <c r="C444" s="58"/>
      <c r="D444" s="58"/>
      <c r="E444" s="58"/>
      <c r="F444" s="58"/>
      <c r="G444" s="58"/>
    </row>
    <row r="445">
      <c r="A445" s="58"/>
      <c r="B445" s="58"/>
      <c r="C445" s="58"/>
      <c r="D445" s="58"/>
      <c r="E445" s="58"/>
      <c r="F445" s="58"/>
      <c r="G445" s="58"/>
    </row>
    <row r="446">
      <c r="A446" s="58"/>
      <c r="B446" s="58"/>
      <c r="C446" s="58"/>
      <c r="D446" s="58"/>
      <c r="E446" s="58"/>
      <c r="F446" s="58"/>
      <c r="G446" s="58"/>
    </row>
    <row r="447">
      <c r="A447" s="58"/>
      <c r="B447" s="58"/>
      <c r="C447" s="58"/>
      <c r="D447" s="58"/>
      <c r="E447" s="58"/>
      <c r="F447" s="58"/>
      <c r="G447" s="58"/>
    </row>
    <row r="448">
      <c r="A448" s="58"/>
      <c r="B448" s="58"/>
      <c r="C448" s="58"/>
      <c r="D448" s="58"/>
      <c r="E448" s="58"/>
      <c r="F448" s="58"/>
      <c r="G448" s="58"/>
    </row>
    <row r="449">
      <c r="A449" s="58"/>
      <c r="B449" s="58"/>
      <c r="C449" s="58"/>
      <c r="D449" s="58"/>
      <c r="E449" s="58"/>
      <c r="F449" s="58"/>
      <c r="G449" s="58"/>
    </row>
    <row r="450">
      <c r="A450" s="58"/>
      <c r="B450" s="58"/>
      <c r="C450" s="58"/>
      <c r="D450" s="58"/>
      <c r="E450" s="58"/>
      <c r="F450" s="58"/>
      <c r="G450" s="58"/>
    </row>
    <row r="451">
      <c r="A451" s="58"/>
      <c r="B451" s="58"/>
      <c r="C451" s="58"/>
      <c r="D451" s="58"/>
      <c r="E451" s="58"/>
      <c r="F451" s="58"/>
      <c r="G451" s="58"/>
    </row>
    <row r="452">
      <c r="A452" s="58"/>
      <c r="B452" s="58"/>
      <c r="C452" s="58"/>
      <c r="D452" s="58"/>
      <c r="E452" s="58"/>
      <c r="F452" s="58"/>
      <c r="G452" s="58"/>
    </row>
    <row r="453">
      <c r="A453" s="58"/>
      <c r="B453" s="58"/>
      <c r="C453" s="58"/>
      <c r="D453" s="58"/>
      <c r="E453" s="58"/>
      <c r="F453" s="58"/>
      <c r="G453" s="58"/>
    </row>
    <row r="454">
      <c r="A454" s="58"/>
      <c r="B454" s="58"/>
      <c r="C454" s="58"/>
      <c r="D454" s="58"/>
      <c r="E454" s="58"/>
      <c r="F454" s="58"/>
      <c r="G454" s="58"/>
    </row>
    <row r="455">
      <c r="A455" s="58"/>
      <c r="B455" s="58"/>
      <c r="C455" s="58"/>
      <c r="D455" s="58"/>
      <c r="E455" s="58"/>
      <c r="F455" s="58"/>
      <c r="G455" s="58"/>
    </row>
    <row r="456">
      <c r="A456" s="58"/>
      <c r="B456" s="58"/>
      <c r="C456" s="58"/>
      <c r="D456" s="58"/>
      <c r="E456" s="58"/>
      <c r="F456" s="58"/>
      <c r="G456" s="58"/>
    </row>
    <row r="457">
      <c r="A457" s="58"/>
      <c r="B457" s="58"/>
      <c r="C457" s="58"/>
      <c r="D457" s="58"/>
      <c r="E457" s="58"/>
      <c r="F457" s="58"/>
      <c r="G457" s="58"/>
    </row>
    <row r="458">
      <c r="A458" s="58"/>
      <c r="B458" s="58"/>
      <c r="C458" s="58"/>
      <c r="D458" s="58"/>
      <c r="E458" s="58"/>
      <c r="F458" s="58"/>
      <c r="G458" s="58"/>
    </row>
    <row r="459">
      <c r="A459" s="58"/>
      <c r="B459" s="58"/>
      <c r="C459" s="58"/>
      <c r="D459" s="58"/>
      <c r="E459" s="58"/>
      <c r="F459" s="58"/>
      <c r="G459" s="58"/>
    </row>
    <row r="460">
      <c r="A460" s="58"/>
      <c r="B460" s="58"/>
      <c r="C460" s="58"/>
      <c r="D460" s="58"/>
      <c r="E460" s="58"/>
      <c r="F460" s="58"/>
      <c r="G460" s="58"/>
    </row>
    <row r="461">
      <c r="A461" s="58"/>
      <c r="B461" s="58"/>
      <c r="C461" s="58"/>
      <c r="D461" s="58"/>
      <c r="E461" s="58"/>
      <c r="F461" s="58"/>
      <c r="G461" s="58"/>
    </row>
    <row r="462">
      <c r="A462" s="58"/>
      <c r="B462" s="58"/>
      <c r="C462" s="58"/>
      <c r="D462" s="58"/>
      <c r="E462" s="58"/>
      <c r="F462" s="58"/>
      <c r="G462" s="58"/>
    </row>
    <row r="463">
      <c r="A463" s="58"/>
      <c r="B463" s="58"/>
      <c r="C463" s="58"/>
      <c r="D463" s="58"/>
      <c r="E463" s="58"/>
      <c r="F463" s="58"/>
      <c r="G463" s="58"/>
    </row>
    <row r="464">
      <c r="A464" s="58"/>
      <c r="B464" s="58"/>
      <c r="C464" s="58"/>
      <c r="D464" s="58"/>
      <c r="E464" s="58"/>
      <c r="F464" s="58"/>
      <c r="G464" s="58"/>
    </row>
    <row r="465">
      <c r="A465" s="58"/>
      <c r="B465" s="58"/>
      <c r="C465" s="58"/>
      <c r="D465" s="58"/>
      <c r="E465" s="58"/>
      <c r="F465" s="58"/>
      <c r="G465" s="58"/>
    </row>
    <row r="466">
      <c r="A466" s="58"/>
      <c r="B466" s="58"/>
      <c r="C466" s="58"/>
      <c r="D466" s="58"/>
      <c r="E466" s="58"/>
      <c r="F466" s="58"/>
      <c r="G466" s="58"/>
    </row>
    <row r="467">
      <c r="A467" s="58"/>
      <c r="B467" s="58"/>
      <c r="C467" s="58"/>
      <c r="D467" s="58"/>
      <c r="E467" s="58"/>
      <c r="F467" s="58"/>
      <c r="G467" s="58"/>
    </row>
    <row r="468">
      <c r="A468" s="58"/>
      <c r="B468" s="58"/>
      <c r="C468" s="58"/>
      <c r="D468" s="58"/>
      <c r="E468" s="58"/>
      <c r="F468" s="58"/>
      <c r="G468" s="58"/>
    </row>
    <row r="469">
      <c r="A469" s="58"/>
      <c r="B469" s="58"/>
      <c r="C469" s="58"/>
      <c r="D469" s="58"/>
      <c r="E469" s="58"/>
      <c r="F469" s="58"/>
      <c r="G469" s="58"/>
    </row>
    <row r="470">
      <c r="A470" s="58"/>
      <c r="B470" s="58"/>
      <c r="C470" s="58"/>
      <c r="D470" s="58"/>
      <c r="E470" s="58"/>
      <c r="F470" s="58"/>
      <c r="G470" s="58"/>
    </row>
    <row r="471">
      <c r="A471" s="58"/>
      <c r="B471" s="58"/>
      <c r="C471" s="58"/>
      <c r="D471" s="58"/>
      <c r="E471" s="58"/>
      <c r="F471" s="58"/>
      <c r="G471" s="58"/>
    </row>
    <row r="472">
      <c r="A472" s="58"/>
      <c r="B472" s="58"/>
      <c r="C472" s="58"/>
      <c r="D472" s="58"/>
      <c r="E472" s="58"/>
      <c r="F472" s="58"/>
      <c r="G472" s="58"/>
    </row>
    <row r="473">
      <c r="A473" s="58"/>
      <c r="B473" s="58"/>
      <c r="C473" s="58"/>
      <c r="D473" s="58"/>
      <c r="E473" s="58"/>
      <c r="F473" s="58"/>
      <c r="G473" s="58"/>
    </row>
    <row r="474">
      <c r="A474" s="58"/>
      <c r="B474" s="58"/>
      <c r="C474" s="58"/>
      <c r="D474" s="58"/>
      <c r="E474" s="58"/>
      <c r="F474" s="58"/>
      <c r="G474" s="58"/>
    </row>
    <row r="475">
      <c r="A475" s="58"/>
      <c r="B475" s="58"/>
      <c r="C475" s="58"/>
      <c r="D475" s="58"/>
      <c r="E475" s="58"/>
      <c r="F475" s="58"/>
      <c r="G475" s="58"/>
    </row>
    <row r="476">
      <c r="A476" s="58"/>
      <c r="B476" s="58"/>
      <c r="C476" s="58"/>
      <c r="D476" s="58"/>
      <c r="E476" s="58"/>
      <c r="F476" s="58"/>
      <c r="G476" s="58"/>
    </row>
    <row r="477">
      <c r="A477" s="58"/>
      <c r="B477" s="58"/>
      <c r="C477" s="58"/>
      <c r="D477" s="58"/>
      <c r="E477" s="58"/>
      <c r="F477" s="58"/>
      <c r="G477" s="58"/>
    </row>
    <row r="478">
      <c r="A478" s="58"/>
      <c r="B478" s="58"/>
      <c r="C478" s="58"/>
      <c r="D478" s="58"/>
      <c r="E478" s="58"/>
      <c r="F478" s="58"/>
      <c r="G478" s="58"/>
    </row>
    <row r="479">
      <c r="A479" s="58"/>
      <c r="B479" s="58"/>
      <c r="C479" s="58"/>
      <c r="D479" s="58"/>
      <c r="E479" s="58"/>
      <c r="F479" s="58"/>
      <c r="G479" s="58"/>
    </row>
    <row r="480">
      <c r="A480" s="58"/>
      <c r="B480" s="58"/>
      <c r="C480" s="58"/>
      <c r="D480" s="58"/>
      <c r="E480" s="58"/>
      <c r="F480" s="58"/>
      <c r="G480" s="58"/>
    </row>
    <row r="481">
      <c r="A481" s="58"/>
      <c r="B481" s="58"/>
      <c r="C481" s="58"/>
      <c r="D481" s="58"/>
      <c r="E481" s="58"/>
      <c r="F481" s="58"/>
      <c r="G481" s="58"/>
    </row>
    <row r="482">
      <c r="A482" s="58"/>
      <c r="B482" s="58"/>
      <c r="C482" s="58"/>
      <c r="D482" s="58"/>
      <c r="E482" s="58"/>
      <c r="F482" s="58"/>
      <c r="G482" s="58"/>
    </row>
    <row r="483">
      <c r="A483" s="58"/>
      <c r="B483" s="58"/>
      <c r="C483" s="58"/>
      <c r="D483" s="58"/>
      <c r="E483" s="58"/>
      <c r="F483" s="58"/>
      <c r="G483" s="58"/>
    </row>
    <row r="484">
      <c r="A484" s="58"/>
      <c r="B484" s="58"/>
      <c r="C484" s="58"/>
      <c r="D484" s="58"/>
      <c r="E484" s="58"/>
      <c r="F484" s="58"/>
      <c r="G484" s="58"/>
    </row>
    <row r="485">
      <c r="A485" s="58"/>
      <c r="B485" s="58"/>
      <c r="C485" s="58"/>
      <c r="D485" s="58"/>
      <c r="E485" s="58"/>
      <c r="F485" s="58"/>
      <c r="G485" s="58"/>
    </row>
    <row r="486">
      <c r="A486" s="58"/>
      <c r="B486" s="58"/>
      <c r="C486" s="58"/>
      <c r="D486" s="58"/>
      <c r="E486" s="58"/>
      <c r="F486" s="58"/>
      <c r="G486" s="58"/>
    </row>
    <row r="487">
      <c r="A487" s="58"/>
      <c r="B487" s="58"/>
      <c r="C487" s="58"/>
      <c r="D487" s="58"/>
      <c r="E487" s="58"/>
      <c r="F487" s="58"/>
      <c r="G487" s="58"/>
    </row>
    <row r="488">
      <c r="A488" s="58"/>
      <c r="B488" s="58"/>
      <c r="C488" s="58"/>
      <c r="D488" s="58"/>
      <c r="E488" s="58"/>
      <c r="F488" s="58"/>
      <c r="G488" s="58"/>
    </row>
    <row r="489">
      <c r="A489" s="58"/>
      <c r="B489" s="58"/>
      <c r="C489" s="58"/>
      <c r="D489" s="58"/>
      <c r="E489" s="58"/>
      <c r="F489" s="58"/>
      <c r="G489" s="58"/>
    </row>
    <row r="490">
      <c r="A490" s="58"/>
      <c r="B490" s="58"/>
      <c r="C490" s="58"/>
      <c r="D490" s="58"/>
      <c r="E490" s="58"/>
      <c r="F490" s="58"/>
      <c r="G490" s="58"/>
    </row>
    <row r="491">
      <c r="A491" s="58"/>
      <c r="B491" s="58"/>
      <c r="C491" s="58"/>
      <c r="D491" s="58"/>
      <c r="E491" s="58"/>
      <c r="F491" s="58"/>
      <c r="G491" s="58"/>
    </row>
    <row r="492">
      <c r="A492" s="58"/>
      <c r="B492" s="58"/>
      <c r="C492" s="58"/>
      <c r="D492" s="58"/>
      <c r="E492" s="58"/>
      <c r="F492" s="58"/>
      <c r="G492" s="58"/>
    </row>
    <row r="493">
      <c r="A493" s="58"/>
      <c r="B493" s="58"/>
      <c r="C493" s="58"/>
      <c r="D493" s="58"/>
      <c r="E493" s="58"/>
      <c r="F493" s="58"/>
      <c r="G493" s="58"/>
    </row>
    <row r="494">
      <c r="A494" s="58"/>
      <c r="B494" s="58"/>
      <c r="C494" s="58"/>
      <c r="D494" s="58"/>
      <c r="E494" s="58"/>
      <c r="F494" s="58"/>
      <c r="G494" s="58"/>
    </row>
    <row r="495">
      <c r="A495" s="58"/>
      <c r="B495" s="58"/>
      <c r="C495" s="58"/>
      <c r="D495" s="58"/>
      <c r="E495" s="58"/>
      <c r="F495" s="58"/>
      <c r="G495" s="58"/>
    </row>
    <row r="496">
      <c r="A496" s="58"/>
      <c r="B496" s="58"/>
      <c r="C496" s="58"/>
      <c r="D496" s="58"/>
      <c r="E496" s="58"/>
      <c r="F496" s="58"/>
      <c r="G496" s="58"/>
    </row>
    <row r="497">
      <c r="A497" s="58"/>
      <c r="B497" s="58"/>
      <c r="C497" s="58"/>
      <c r="D497" s="58"/>
      <c r="E497" s="58"/>
      <c r="F497" s="58"/>
      <c r="G497" s="58"/>
    </row>
    <row r="498">
      <c r="A498" s="58"/>
      <c r="B498" s="58"/>
      <c r="C498" s="58"/>
      <c r="D498" s="58"/>
      <c r="E498" s="58"/>
      <c r="F498" s="58"/>
      <c r="G498" s="58"/>
    </row>
    <row r="499">
      <c r="A499" s="58"/>
      <c r="B499" s="58"/>
      <c r="C499" s="58"/>
      <c r="D499" s="58"/>
      <c r="E499" s="58"/>
      <c r="F499" s="58"/>
      <c r="G499" s="58"/>
    </row>
    <row r="500">
      <c r="A500" s="58"/>
      <c r="B500" s="58"/>
      <c r="C500" s="58"/>
      <c r="D500" s="58"/>
      <c r="E500" s="58"/>
      <c r="F500" s="58"/>
      <c r="G500" s="58"/>
    </row>
    <row r="501">
      <c r="A501" s="58"/>
      <c r="B501" s="58"/>
      <c r="C501" s="58"/>
      <c r="D501" s="58"/>
      <c r="E501" s="58"/>
      <c r="F501" s="58"/>
      <c r="G501" s="58"/>
    </row>
    <row r="502">
      <c r="A502" s="58"/>
      <c r="B502" s="58"/>
      <c r="C502" s="58"/>
      <c r="D502" s="58"/>
      <c r="E502" s="58"/>
      <c r="F502" s="58"/>
      <c r="G502" s="58"/>
    </row>
    <row r="503">
      <c r="A503" s="58"/>
      <c r="B503" s="58"/>
      <c r="C503" s="58"/>
      <c r="D503" s="58"/>
      <c r="E503" s="58"/>
      <c r="F503" s="58"/>
      <c r="G503" s="58"/>
    </row>
    <row r="504">
      <c r="A504" s="58"/>
      <c r="B504" s="58"/>
      <c r="C504" s="58"/>
      <c r="D504" s="58"/>
      <c r="E504" s="58"/>
      <c r="F504" s="58"/>
      <c r="G504" s="58"/>
    </row>
    <row r="505">
      <c r="A505" s="58"/>
      <c r="B505" s="58"/>
      <c r="C505" s="58"/>
      <c r="D505" s="58"/>
      <c r="E505" s="58"/>
      <c r="F505" s="58"/>
      <c r="G505" s="58"/>
    </row>
    <row r="506">
      <c r="A506" s="58"/>
      <c r="B506" s="58"/>
      <c r="C506" s="58"/>
      <c r="D506" s="58"/>
      <c r="E506" s="58"/>
      <c r="F506" s="58"/>
      <c r="G506" s="58"/>
    </row>
    <row r="507">
      <c r="A507" s="58"/>
      <c r="B507" s="58"/>
      <c r="C507" s="58"/>
      <c r="D507" s="58"/>
      <c r="E507" s="58"/>
      <c r="F507" s="58"/>
      <c r="G507" s="58"/>
    </row>
    <row r="508">
      <c r="A508" s="58"/>
      <c r="B508" s="58"/>
      <c r="C508" s="58"/>
      <c r="D508" s="58"/>
      <c r="E508" s="58"/>
      <c r="F508" s="58"/>
      <c r="G508" s="58"/>
    </row>
    <row r="509">
      <c r="A509" s="58"/>
      <c r="B509" s="58"/>
      <c r="C509" s="58"/>
      <c r="D509" s="58"/>
      <c r="E509" s="58"/>
      <c r="F509" s="58"/>
      <c r="G509" s="58"/>
    </row>
    <row r="510">
      <c r="A510" s="58"/>
      <c r="B510" s="58"/>
      <c r="C510" s="58"/>
      <c r="D510" s="58"/>
      <c r="E510" s="58"/>
      <c r="F510" s="58"/>
      <c r="G510" s="58"/>
    </row>
    <row r="511">
      <c r="A511" s="58"/>
      <c r="B511" s="58"/>
      <c r="C511" s="58"/>
      <c r="D511" s="58"/>
      <c r="E511" s="58"/>
      <c r="F511" s="58"/>
      <c r="G511" s="58"/>
    </row>
    <row r="512">
      <c r="A512" s="58"/>
      <c r="B512" s="58"/>
      <c r="C512" s="58"/>
      <c r="D512" s="58"/>
      <c r="E512" s="58"/>
      <c r="F512" s="58"/>
      <c r="G512" s="58"/>
    </row>
    <row r="513">
      <c r="A513" s="58"/>
      <c r="B513" s="58"/>
      <c r="C513" s="58"/>
      <c r="D513" s="58"/>
      <c r="E513" s="58"/>
      <c r="F513" s="58"/>
      <c r="G513" s="58"/>
    </row>
    <row r="514">
      <c r="A514" s="58"/>
      <c r="B514" s="58"/>
      <c r="C514" s="58"/>
      <c r="D514" s="58"/>
      <c r="E514" s="58"/>
      <c r="F514" s="58"/>
      <c r="G514" s="58"/>
    </row>
    <row r="515">
      <c r="A515" s="58"/>
      <c r="B515" s="58"/>
      <c r="C515" s="58"/>
      <c r="D515" s="58"/>
      <c r="E515" s="58"/>
      <c r="F515" s="58"/>
      <c r="G515" s="58"/>
    </row>
    <row r="516">
      <c r="A516" s="58"/>
      <c r="B516" s="58"/>
      <c r="C516" s="58"/>
      <c r="D516" s="58"/>
      <c r="E516" s="58"/>
      <c r="F516" s="58"/>
      <c r="G516" s="58"/>
    </row>
    <row r="517">
      <c r="A517" s="58"/>
      <c r="B517" s="58"/>
      <c r="C517" s="58"/>
      <c r="D517" s="58"/>
      <c r="E517" s="58"/>
      <c r="F517" s="58"/>
      <c r="G517" s="58"/>
    </row>
    <row r="518">
      <c r="A518" s="58"/>
      <c r="B518" s="58"/>
      <c r="C518" s="58"/>
      <c r="D518" s="58"/>
      <c r="E518" s="58"/>
      <c r="F518" s="58"/>
      <c r="G518" s="58"/>
    </row>
    <row r="519">
      <c r="A519" s="58"/>
      <c r="B519" s="58"/>
      <c r="C519" s="58"/>
      <c r="D519" s="58"/>
      <c r="E519" s="58"/>
      <c r="F519" s="58"/>
      <c r="G519" s="58"/>
    </row>
    <row r="520">
      <c r="A520" s="58"/>
      <c r="B520" s="58"/>
      <c r="C520" s="58"/>
      <c r="D520" s="58"/>
      <c r="E520" s="58"/>
      <c r="F520" s="58"/>
      <c r="G520" s="58"/>
    </row>
    <row r="521">
      <c r="A521" s="58"/>
      <c r="B521" s="58"/>
      <c r="C521" s="58"/>
      <c r="D521" s="58"/>
      <c r="E521" s="58"/>
      <c r="F521" s="58"/>
      <c r="G521" s="58"/>
    </row>
    <row r="522">
      <c r="A522" s="58"/>
      <c r="B522" s="58"/>
      <c r="C522" s="58"/>
      <c r="D522" s="58"/>
      <c r="E522" s="58"/>
      <c r="F522" s="58"/>
      <c r="G522" s="58"/>
    </row>
    <row r="523">
      <c r="A523" s="58"/>
      <c r="B523" s="58"/>
      <c r="C523" s="58"/>
      <c r="D523" s="58"/>
      <c r="E523" s="58"/>
      <c r="F523" s="58"/>
      <c r="G523" s="58"/>
    </row>
    <row r="524">
      <c r="A524" s="58"/>
      <c r="B524" s="58"/>
      <c r="C524" s="58"/>
      <c r="D524" s="58"/>
      <c r="E524" s="58"/>
      <c r="F524" s="58"/>
      <c r="G524" s="58"/>
    </row>
    <row r="525">
      <c r="A525" s="58"/>
      <c r="B525" s="58"/>
      <c r="C525" s="58"/>
      <c r="D525" s="58"/>
      <c r="E525" s="58"/>
      <c r="F525" s="58"/>
      <c r="G525" s="58"/>
    </row>
    <row r="526">
      <c r="A526" s="58"/>
      <c r="B526" s="58"/>
      <c r="C526" s="58"/>
      <c r="D526" s="58"/>
      <c r="E526" s="58"/>
      <c r="F526" s="58"/>
      <c r="G526" s="58"/>
    </row>
    <row r="527">
      <c r="A527" s="58"/>
      <c r="B527" s="58"/>
      <c r="C527" s="58"/>
      <c r="D527" s="58"/>
      <c r="E527" s="58"/>
      <c r="F527" s="58"/>
      <c r="G527" s="58"/>
    </row>
    <row r="528">
      <c r="A528" s="58"/>
      <c r="B528" s="58"/>
      <c r="C528" s="58"/>
      <c r="D528" s="58"/>
      <c r="E528" s="58"/>
      <c r="F528" s="58"/>
      <c r="G528" s="58"/>
    </row>
    <row r="529">
      <c r="A529" s="58"/>
      <c r="B529" s="58"/>
      <c r="C529" s="58"/>
      <c r="D529" s="58"/>
      <c r="E529" s="58"/>
      <c r="F529" s="58"/>
      <c r="G529" s="58"/>
    </row>
    <row r="530">
      <c r="A530" s="58"/>
      <c r="B530" s="58"/>
      <c r="C530" s="58"/>
      <c r="D530" s="58"/>
      <c r="E530" s="58"/>
      <c r="F530" s="58"/>
      <c r="G530" s="58"/>
    </row>
    <row r="531">
      <c r="A531" s="58"/>
      <c r="B531" s="58"/>
      <c r="C531" s="58"/>
      <c r="D531" s="58"/>
      <c r="E531" s="58"/>
      <c r="F531" s="58"/>
      <c r="G531" s="58"/>
    </row>
    <row r="532">
      <c r="A532" s="58"/>
      <c r="B532" s="58"/>
      <c r="C532" s="58"/>
      <c r="D532" s="58"/>
      <c r="E532" s="58"/>
      <c r="F532" s="58"/>
      <c r="G532" s="58"/>
    </row>
    <row r="533">
      <c r="A533" s="58"/>
      <c r="B533" s="58"/>
      <c r="C533" s="58"/>
      <c r="D533" s="58"/>
      <c r="E533" s="58"/>
      <c r="F533" s="58"/>
      <c r="G533" s="58"/>
    </row>
    <row r="534">
      <c r="A534" s="58"/>
      <c r="B534" s="58"/>
      <c r="C534" s="58"/>
      <c r="D534" s="58"/>
      <c r="E534" s="58"/>
      <c r="F534" s="58"/>
      <c r="G534" s="58"/>
    </row>
    <row r="535">
      <c r="A535" s="58"/>
      <c r="B535" s="58"/>
      <c r="C535" s="58"/>
      <c r="D535" s="58"/>
      <c r="E535" s="58"/>
      <c r="F535" s="58"/>
      <c r="G535" s="58"/>
    </row>
    <row r="536">
      <c r="A536" s="58"/>
      <c r="B536" s="58"/>
      <c r="C536" s="58"/>
      <c r="D536" s="58"/>
      <c r="E536" s="58"/>
      <c r="F536" s="58"/>
      <c r="G536" s="58"/>
    </row>
    <row r="537">
      <c r="A537" s="58"/>
      <c r="B537" s="58"/>
      <c r="C537" s="58"/>
      <c r="D537" s="58"/>
      <c r="E537" s="58"/>
      <c r="F537" s="58"/>
      <c r="G537" s="58"/>
    </row>
    <row r="538">
      <c r="A538" s="58"/>
      <c r="B538" s="58"/>
      <c r="C538" s="58"/>
      <c r="D538" s="58"/>
      <c r="E538" s="58"/>
      <c r="F538" s="58"/>
      <c r="G538" s="58"/>
    </row>
    <row r="539">
      <c r="A539" s="58"/>
      <c r="B539" s="58"/>
      <c r="C539" s="58"/>
      <c r="D539" s="58"/>
      <c r="E539" s="58"/>
      <c r="F539" s="58"/>
      <c r="G539" s="58"/>
    </row>
    <row r="540">
      <c r="A540" s="58"/>
      <c r="B540" s="58"/>
      <c r="C540" s="58"/>
      <c r="D540" s="58"/>
      <c r="E540" s="58"/>
      <c r="F540" s="58"/>
      <c r="G540" s="58"/>
    </row>
    <row r="541">
      <c r="A541" s="58"/>
      <c r="B541" s="58"/>
      <c r="C541" s="58"/>
      <c r="D541" s="58"/>
      <c r="E541" s="58"/>
      <c r="F541" s="58"/>
      <c r="G541" s="58"/>
    </row>
    <row r="542">
      <c r="A542" s="58"/>
      <c r="B542" s="58"/>
      <c r="C542" s="58"/>
      <c r="D542" s="58"/>
      <c r="E542" s="58"/>
      <c r="F542" s="58"/>
      <c r="G542" s="58"/>
    </row>
    <row r="543">
      <c r="A543" s="58"/>
      <c r="B543" s="58"/>
      <c r="C543" s="58"/>
      <c r="D543" s="58"/>
      <c r="E543" s="58"/>
      <c r="F543" s="58"/>
      <c r="G543" s="58"/>
    </row>
    <row r="544">
      <c r="A544" s="58"/>
      <c r="B544" s="58"/>
      <c r="C544" s="58"/>
      <c r="D544" s="58"/>
      <c r="E544" s="58"/>
      <c r="F544" s="58"/>
      <c r="G544" s="58"/>
    </row>
    <row r="545">
      <c r="A545" s="58"/>
      <c r="B545" s="58"/>
      <c r="C545" s="58"/>
      <c r="D545" s="58"/>
      <c r="E545" s="58"/>
      <c r="F545" s="58"/>
      <c r="G545" s="58"/>
    </row>
    <row r="546">
      <c r="A546" s="58"/>
      <c r="B546" s="58"/>
      <c r="C546" s="58"/>
      <c r="D546" s="58"/>
      <c r="E546" s="58"/>
      <c r="F546" s="58"/>
      <c r="G546" s="58"/>
    </row>
    <row r="547">
      <c r="A547" s="58"/>
      <c r="B547" s="58"/>
      <c r="C547" s="58"/>
      <c r="D547" s="58"/>
      <c r="E547" s="58"/>
      <c r="F547" s="58"/>
      <c r="G547" s="58"/>
    </row>
    <row r="548">
      <c r="A548" s="58"/>
      <c r="B548" s="58"/>
      <c r="C548" s="58"/>
      <c r="D548" s="58"/>
      <c r="E548" s="58"/>
      <c r="F548" s="58"/>
      <c r="G548" s="58"/>
    </row>
    <row r="549">
      <c r="A549" s="58"/>
      <c r="B549" s="58"/>
      <c r="C549" s="58"/>
      <c r="D549" s="58"/>
      <c r="E549" s="58"/>
      <c r="F549" s="58"/>
      <c r="G549" s="58"/>
    </row>
    <row r="550">
      <c r="A550" s="58"/>
      <c r="B550" s="58"/>
      <c r="C550" s="58"/>
      <c r="D550" s="58"/>
      <c r="E550" s="58"/>
      <c r="F550" s="58"/>
      <c r="G550" s="58"/>
    </row>
    <row r="551">
      <c r="A551" s="58"/>
      <c r="B551" s="58"/>
      <c r="C551" s="58"/>
      <c r="D551" s="58"/>
      <c r="E551" s="58"/>
      <c r="F551" s="58"/>
      <c r="G551" s="58"/>
    </row>
    <row r="552">
      <c r="A552" s="58"/>
      <c r="B552" s="58"/>
      <c r="C552" s="58"/>
      <c r="D552" s="58"/>
      <c r="E552" s="58"/>
      <c r="F552" s="58"/>
      <c r="G552" s="58"/>
    </row>
    <row r="553">
      <c r="A553" s="58"/>
      <c r="B553" s="58"/>
      <c r="C553" s="58"/>
      <c r="D553" s="58"/>
      <c r="E553" s="58"/>
      <c r="F553" s="58"/>
      <c r="G553" s="58"/>
    </row>
    <row r="554">
      <c r="A554" s="58"/>
      <c r="B554" s="58"/>
      <c r="C554" s="58"/>
      <c r="D554" s="58"/>
      <c r="E554" s="58"/>
      <c r="F554" s="58"/>
      <c r="G554" s="58"/>
    </row>
    <row r="555">
      <c r="A555" s="58"/>
      <c r="B555" s="58"/>
      <c r="C555" s="58"/>
      <c r="D555" s="58"/>
      <c r="E555" s="58"/>
      <c r="F555" s="58"/>
      <c r="G555" s="58"/>
    </row>
    <row r="556">
      <c r="A556" s="58"/>
      <c r="B556" s="58"/>
      <c r="C556" s="58"/>
      <c r="D556" s="58"/>
      <c r="E556" s="58"/>
      <c r="F556" s="58"/>
      <c r="G556" s="58"/>
    </row>
    <row r="557">
      <c r="A557" s="58"/>
      <c r="B557" s="58"/>
      <c r="C557" s="58"/>
      <c r="D557" s="58"/>
      <c r="E557" s="58"/>
      <c r="F557" s="58"/>
      <c r="G557" s="58"/>
    </row>
    <row r="558">
      <c r="A558" s="58"/>
      <c r="B558" s="58"/>
      <c r="C558" s="58"/>
      <c r="D558" s="58"/>
      <c r="E558" s="58"/>
      <c r="F558" s="58"/>
      <c r="G558" s="58"/>
    </row>
    <row r="559">
      <c r="A559" s="58"/>
      <c r="B559" s="58"/>
      <c r="C559" s="58"/>
      <c r="D559" s="58"/>
      <c r="E559" s="58"/>
      <c r="F559" s="58"/>
      <c r="G559" s="58"/>
    </row>
    <row r="560">
      <c r="A560" s="58"/>
      <c r="B560" s="58"/>
      <c r="C560" s="58"/>
      <c r="D560" s="58"/>
      <c r="E560" s="58"/>
      <c r="F560" s="58"/>
      <c r="G560" s="58"/>
    </row>
    <row r="561">
      <c r="A561" s="58"/>
      <c r="B561" s="58"/>
      <c r="C561" s="58"/>
      <c r="D561" s="58"/>
      <c r="E561" s="58"/>
      <c r="F561" s="58"/>
      <c r="G561" s="58"/>
    </row>
    <row r="562">
      <c r="A562" s="58"/>
      <c r="B562" s="58"/>
      <c r="C562" s="58"/>
      <c r="D562" s="58"/>
      <c r="E562" s="58"/>
      <c r="F562" s="58"/>
      <c r="G562" s="58"/>
    </row>
    <row r="563">
      <c r="A563" s="58"/>
      <c r="B563" s="58"/>
      <c r="C563" s="58"/>
      <c r="D563" s="58"/>
      <c r="E563" s="58"/>
      <c r="F563" s="58"/>
      <c r="G563" s="58"/>
    </row>
    <row r="564">
      <c r="A564" s="58"/>
      <c r="B564" s="58"/>
      <c r="C564" s="58"/>
      <c r="D564" s="58"/>
      <c r="E564" s="58"/>
      <c r="F564" s="58"/>
      <c r="G564" s="58"/>
    </row>
    <row r="565">
      <c r="A565" s="58"/>
      <c r="B565" s="58"/>
      <c r="C565" s="58"/>
      <c r="D565" s="58"/>
      <c r="E565" s="58"/>
      <c r="F565" s="58"/>
      <c r="G565" s="58"/>
    </row>
    <row r="566">
      <c r="A566" s="58"/>
      <c r="B566" s="58"/>
      <c r="C566" s="58"/>
      <c r="D566" s="58"/>
      <c r="E566" s="58"/>
      <c r="F566" s="58"/>
      <c r="G566" s="58"/>
    </row>
    <row r="567">
      <c r="A567" s="58"/>
      <c r="B567" s="58"/>
      <c r="C567" s="58"/>
      <c r="D567" s="58"/>
      <c r="E567" s="58"/>
      <c r="F567" s="58"/>
      <c r="G567" s="58"/>
    </row>
    <row r="568">
      <c r="A568" s="58"/>
      <c r="B568" s="58"/>
      <c r="C568" s="58"/>
      <c r="D568" s="58"/>
      <c r="E568" s="58"/>
      <c r="F568" s="58"/>
      <c r="G568" s="58"/>
    </row>
    <row r="569">
      <c r="A569" s="58"/>
      <c r="B569" s="58"/>
      <c r="C569" s="58"/>
      <c r="D569" s="58"/>
      <c r="E569" s="58"/>
      <c r="F569" s="58"/>
      <c r="G569" s="58"/>
    </row>
    <row r="570">
      <c r="A570" s="58"/>
      <c r="B570" s="58"/>
      <c r="C570" s="58"/>
      <c r="D570" s="58"/>
      <c r="E570" s="58"/>
      <c r="F570" s="58"/>
      <c r="G570" s="58"/>
    </row>
    <row r="571">
      <c r="A571" s="58"/>
      <c r="B571" s="58"/>
      <c r="C571" s="58"/>
      <c r="D571" s="58"/>
      <c r="E571" s="58"/>
      <c r="F571" s="58"/>
      <c r="G571" s="58"/>
    </row>
    <row r="572">
      <c r="A572" s="58"/>
      <c r="B572" s="58"/>
      <c r="C572" s="58"/>
      <c r="D572" s="58"/>
      <c r="E572" s="58"/>
      <c r="F572" s="58"/>
      <c r="G572" s="58"/>
    </row>
    <row r="573">
      <c r="A573" s="58"/>
      <c r="B573" s="58"/>
      <c r="C573" s="58"/>
      <c r="D573" s="58"/>
      <c r="E573" s="58"/>
      <c r="F573" s="58"/>
      <c r="G573" s="58"/>
    </row>
    <row r="574">
      <c r="A574" s="58"/>
      <c r="B574" s="58"/>
      <c r="C574" s="58"/>
      <c r="D574" s="58"/>
      <c r="E574" s="58"/>
      <c r="F574" s="58"/>
      <c r="G574" s="58"/>
    </row>
    <row r="575">
      <c r="A575" s="58"/>
      <c r="B575" s="58"/>
      <c r="C575" s="58"/>
      <c r="D575" s="58"/>
      <c r="E575" s="58"/>
      <c r="F575" s="58"/>
      <c r="G575" s="58"/>
    </row>
    <row r="576">
      <c r="A576" s="58"/>
      <c r="B576" s="58"/>
      <c r="C576" s="58"/>
      <c r="D576" s="58"/>
      <c r="E576" s="58"/>
      <c r="F576" s="58"/>
      <c r="G576" s="58"/>
    </row>
    <row r="577">
      <c r="A577" s="58"/>
      <c r="B577" s="58"/>
      <c r="C577" s="58"/>
      <c r="D577" s="58"/>
      <c r="E577" s="58"/>
      <c r="F577" s="58"/>
      <c r="G577" s="58"/>
    </row>
    <row r="578">
      <c r="A578" s="58"/>
      <c r="B578" s="58"/>
      <c r="C578" s="58"/>
      <c r="D578" s="58"/>
      <c r="E578" s="58"/>
      <c r="F578" s="58"/>
      <c r="G578" s="58"/>
    </row>
    <row r="579">
      <c r="A579" s="58"/>
      <c r="B579" s="58"/>
      <c r="C579" s="58"/>
      <c r="D579" s="58"/>
      <c r="E579" s="58"/>
      <c r="F579" s="58"/>
      <c r="G579" s="58"/>
    </row>
    <row r="580">
      <c r="A580" s="58"/>
      <c r="B580" s="58"/>
      <c r="C580" s="58"/>
      <c r="D580" s="58"/>
      <c r="E580" s="58"/>
      <c r="F580" s="58"/>
      <c r="G580" s="58"/>
    </row>
    <row r="581">
      <c r="A581" s="58"/>
      <c r="B581" s="58"/>
      <c r="C581" s="58"/>
      <c r="D581" s="58"/>
      <c r="E581" s="58"/>
      <c r="F581" s="58"/>
      <c r="G581" s="58"/>
    </row>
    <row r="582">
      <c r="A582" s="58"/>
      <c r="B582" s="58"/>
      <c r="C582" s="58"/>
      <c r="D582" s="58"/>
      <c r="E582" s="58"/>
      <c r="F582" s="58"/>
      <c r="G582" s="58"/>
    </row>
    <row r="583">
      <c r="A583" s="58"/>
      <c r="B583" s="58"/>
      <c r="C583" s="58"/>
      <c r="D583" s="58"/>
      <c r="E583" s="58"/>
      <c r="F583" s="58"/>
      <c r="G583" s="58"/>
    </row>
    <row r="584">
      <c r="A584" s="58"/>
      <c r="B584" s="58"/>
      <c r="C584" s="58"/>
      <c r="D584" s="58"/>
      <c r="E584" s="58"/>
      <c r="F584" s="58"/>
      <c r="G584" s="58"/>
    </row>
    <row r="585">
      <c r="A585" s="58"/>
      <c r="B585" s="58"/>
      <c r="C585" s="58"/>
      <c r="D585" s="58"/>
      <c r="E585" s="58"/>
      <c r="F585" s="58"/>
      <c r="G585" s="58"/>
    </row>
    <row r="586">
      <c r="A586" s="58"/>
      <c r="B586" s="58"/>
      <c r="C586" s="58"/>
      <c r="D586" s="58"/>
      <c r="E586" s="58"/>
      <c r="F586" s="58"/>
      <c r="G586" s="58"/>
    </row>
    <row r="587">
      <c r="A587" s="58"/>
      <c r="B587" s="58"/>
      <c r="C587" s="58"/>
      <c r="D587" s="58"/>
      <c r="E587" s="58"/>
      <c r="F587" s="58"/>
      <c r="G587" s="58"/>
    </row>
    <row r="588">
      <c r="A588" s="58"/>
      <c r="B588" s="58"/>
      <c r="C588" s="58"/>
      <c r="D588" s="58"/>
      <c r="E588" s="58"/>
      <c r="F588" s="58"/>
      <c r="G588" s="58"/>
    </row>
    <row r="589">
      <c r="A589" s="58"/>
      <c r="B589" s="58"/>
      <c r="C589" s="58"/>
      <c r="D589" s="58"/>
      <c r="E589" s="58"/>
      <c r="F589" s="58"/>
      <c r="G589" s="58"/>
    </row>
    <row r="590">
      <c r="A590" s="58"/>
      <c r="B590" s="58"/>
      <c r="C590" s="58"/>
      <c r="D590" s="58"/>
      <c r="E590" s="58"/>
      <c r="F590" s="58"/>
      <c r="G590" s="58"/>
    </row>
    <row r="591">
      <c r="A591" s="58"/>
      <c r="B591" s="58"/>
      <c r="C591" s="58"/>
      <c r="D591" s="58"/>
      <c r="E591" s="58"/>
      <c r="F591" s="58"/>
      <c r="G591" s="58"/>
    </row>
    <row r="592">
      <c r="A592" s="58"/>
      <c r="B592" s="58"/>
      <c r="C592" s="58"/>
      <c r="D592" s="58"/>
      <c r="E592" s="58"/>
      <c r="F592" s="58"/>
      <c r="G592" s="58"/>
    </row>
    <row r="593">
      <c r="A593" s="58"/>
      <c r="B593" s="58"/>
      <c r="C593" s="58"/>
      <c r="D593" s="58"/>
      <c r="E593" s="58"/>
      <c r="F593" s="58"/>
      <c r="G593" s="58"/>
    </row>
    <row r="594">
      <c r="A594" s="58"/>
      <c r="B594" s="58"/>
      <c r="C594" s="58"/>
      <c r="D594" s="58"/>
      <c r="E594" s="58"/>
      <c r="F594" s="58"/>
      <c r="G594" s="58"/>
    </row>
    <row r="595">
      <c r="A595" s="58"/>
      <c r="B595" s="58"/>
      <c r="C595" s="58"/>
      <c r="D595" s="58"/>
      <c r="E595" s="58"/>
      <c r="F595" s="58"/>
      <c r="G595" s="58"/>
    </row>
    <row r="596">
      <c r="A596" s="58"/>
      <c r="B596" s="58"/>
      <c r="C596" s="58"/>
      <c r="D596" s="58"/>
      <c r="E596" s="58"/>
      <c r="F596" s="58"/>
      <c r="G596" s="58"/>
    </row>
    <row r="597">
      <c r="A597" s="58"/>
      <c r="B597" s="58"/>
      <c r="C597" s="58"/>
      <c r="D597" s="58"/>
      <c r="E597" s="58"/>
      <c r="F597" s="58"/>
      <c r="G597" s="58"/>
    </row>
    <row r="598">
      <c r="A598" s="58"/>
      <c r="B598" s="58"/>
      <c r="C598" s="58"/>
      <c r="D598" s="58"/>
      <c r="E598" s="58"/>
      <c r="F598" s="58"/>
      <c r="G598" s="58"/>
    </row>
    <row r="599">
      <c r="A599" s="58"/>
      <c r="B599" s="58"/>
      <c r="C599" s="58"/>
      <c r="D599" s="58"/>
      <c r="E599" s="58"/>
      <c r="F599" s="58"/>
      <c r="G599" s="58"/>
    </row>
    <row r="600">
      <c r="A600" s="58"/>
      <c r="B600" s="58"/>
      <c r="C600" s="58"/>
      <c r="D600" s="58"/>
      <c r="E600" s="58"/>
      <c r="F600" s="58"/>
      <c r="G600" s="58"/>
    </row>
    <row r="601">
      <c r="A601" s="58"/>
      <c r="B601" s="58"/>
      <c r="C601" s="58"/>
      <c r="D601" s="58"/>
      <c r="E601" s="58"/>
      <c r="F601" s="58"/>
      <c r="G601" s="58"/>
    </row>
    <row r="602">
      <c r="A602" s="58"/>
      <c r="B602" s="58"/>
      <c r="C602" s="58"/>
      <c r="D602" s="58"/>
      <c r="E602" s="58"/>
      <c r="F602" s="58"/>
      <c r="G602" s="58"/>
    </row>
    <row r="603">
      <c r="A603" s="58"/>
      <c r="B603" s="58"/>
      <c r="C603" s="58"/>
      <c r="D603" s="58"/>
      <c r="E603" s="58"/>
      <c r="F603" s="58"/>
      <c r="G603" s="58"/>
    </row>
    <row r="604">
      <c r="A604" s="58"/>
      <c r="B604" s="58"/>
      <c r="C604" s="58"/>
      <c r="D604" s="58"/>
      <c r="E604" s="58"/>
      <c r="F604" s="58"/>
      <c r="G604" s="58"/>
    </row>
    <row r="605">
      <c r="A605" s="58"/>
      <c r="B605" s="58"/>
      <c r="C605" s="58"/>
      <c r="D605" s="58"/>
      <c r="E605" s="58"/>
      <c r="F605" s="58"/>
      <c r="G605" s="58"/>
    </row>
    <row r="606">
      <c r="A606" s="58"/>
      <c r="B606" s="58"/>
      <c r="C606" s="58"/>
      <c r="D606" s="58"/>
      <c r="E606" s="58"/>
      <c r="F606" s="58"/>
      <c r="G606" s="58"/>
    </row>
    <row r="607">
      <c r="A607" s="58"/>
      <c r="B607" s="58"/>
      <c r="C607" s="58"/>
      <c r="D607" s="58"/>
      <c r="E607" s="58"/>
      <c r="F607" s="58"/>
      <c r="G607" s="58"/>
    </row>
    <row r="608">
      <c r="A608" s="58"/>
      <c r="B608" s="58"/>
      <c r="C608" s="58"/>
      <c r="D608" s="58"/>
      <c r="E608" s="58"/>
      <c r="F608" s="58"/>
      <c r="G608" s="58"/>
    </row>
    <row r="609">
      <c r="A609" s="58"/>
      <c r="B609" s="58"/>
      <c r="C609" s="58"/>
      <c r="D609" s="58"/>
      <c r="E609" s="58"/>
      <c r="F609" s="58"/>
      <c r="G609" s="58"/>
    </row>
    <row r="610">
      <c r="A610" s="58"/>
      <c r="B610" s="58"/>
      <c r="C610" s="58"/>
      <c r="D610" s="58"/>
      <c r="E610" s="58"/>
      <c r="F610" s="58"/>
      <c r="G610" s="58"/>
    </row>
    <row r="611">
      <c r="A611" s="58"/>
      <c r="B611" s="58"/>
      <c r="C611" s="58"/>
      <c r="D611" s="58"/>
      <c r="E611" s="58"/>
      <c r="F611" s="58"/>
      <c r="G611" s="58"/>
    </row>
    <row r="612">
      <c r="A612" s="58"/>
      <c r="B612" s="58"/>
      <c r="C612" s="58"/>
      <c r="D612" s="58"/>
      <c r="E612" s="58"/>
      <c r="F612" s="58"/>
      <c r="G612" s="58"/>
    </row>
    <row r="613">
      <c r="A613" s="58"/>
      <c r="B613" s="58"/>
      <c r="C613" s="58"/>
      <c r="D613" s="58"/>
      <c r="E613" s="58"/>
      <c r="F613" s="58"/>
      <c r="G613" s="58"/>
    </row>
    <row r="614">
      <c r="A614" s="58"/>
      <c r="B614" s="58"/>
      <c r="C614" s="58"/>
      <c r="D614" s="58"/>
      <c r="E614" s="58"/>
      <c r="F614" s="58"/>
      <c r="G614" s="58"/>
    </row>
    <row r="615">
      <c r="A615" s="58"/>
      <c r="B615" s="58"/>
      <c r="C615" s="58"/>
      <c r="D615" s="58"/>
      <c r="E615" s="58"/>
      <c r="F615" s="58"/>
      <c r="G615" s="58"/>
    </row>
    <row r="616">
      <c r="A616" s="58"/>
      <c r="B616" s="58"/>
      <c r="C616" s="58"/>
      <c r="D616" s="58"/>
      <c r="E616" s="58"/>
      <c r="F616" s="58"/>
      <c r="G616" s="58"/>
    </row>
    <row r="617">
      <c r="A617" s="58"/>
      <c r="B617" s="58"/>
      <c r="C617" s="58"/>
      <c r="D617" s="58"/>
      <c r="E617" s="58"/>
      <c r="F617" s="58"/>
      <c r="G617" s="58"/>
    </row>
    <row r="618">
      <c r="A618" s="58"/>
      <c r="B618" s="58"/>
      <c r="C618" s="58"/>
      <c r="D618" s="58"/>
      <c r="E618" s="58"/>
      <c r="F618" s="58"/>
      <c r="G618" s="58"/>
    </row>
    <row r="619">
      <c r="A619" s="58"/>
      <c r="B619" s="58"/>
      <c r="C619" s="58"/>
      <c r="D619" s="58"/>
      <c r="E619" s="58"/>
      <c r="F619" s="58"/>
      <c r="G619" s="58"/>
    </row>
    <row r="620">
      <c r="A620" s="58"/>
      <c r="B620" s="58"/>
      <c r="C620" s="58"/>
      <c r="D620" s="58"/>
      <c r="E620" s="58"/>
      <c r="F620" s="58"/>
      <c r="G620" s="58"/>
    </row>
    <row r="621">
      <c r="A621" s="58"/>
      <c r="B621" s="58"/>
      <c r="C621" s="58"/>
      <c r="D621" s="58"/>
      <c r="E621" s="58"/>
      <c r="F621" s="58"/>
      <c r="G621" s="58"/>
    </row>
    <row r="622">
      <c r="A622" s="58"/>
      <c r="B622" s="58"/>
      <c r="C622" s="58"/>
      <c r="D622" s="58"/>
      <c r="E622" s="58"/>
      <c r="F622" s="58"/>
      <c r="G622" s="58"/>
    </row>
    <row r="623">
      <c r="A623" s="58"/>
      <c r="B623" s="58"/>
      <c r="C623" s="58"/>
      <c r="D623" s="58"/>
      <c r="E623" s="58"/>
      <c r="F623" s="58"/>
      <c r="G623" s="58"/>
    </row>
    <row r="624">
      <c r="A624" s="58"/>
      <c r="B624" s="58"/>
      <c r="C624" s="58"/>
      <c r="D624" s="58"/>
      <c r="E624" s="58"/>
      <c r="F624" s="58"/>
      <c r="G624" s="58"/>
    </row>
    <row r="625">
      <c r="A625" s="58"/>
      <c r="B625" s="58"/>
      <c r="C625" s="58"/>
      <c r="D625" s="58"/>
      <c r="E625" s="58"/>
      <c r="F625" s="58"/>
      <c r="G625" s="58"/>
    </row>
    <row r="626">
      <c r="A626" s="58"/>
      <c r="B626" s="58"/>
      <c r="C626" s="58"/>
      <c r="D626" s="58"/>
      <c r="E626" s="58"/>
      <c r="F626" s="58"/>
      <c r="G626" s="58"/>
    </row>
    <row r="627">
      <c r="A627" s="58"/>
      <c r="B627" s="58"/>
      <c r="C627" s="58"/>
      <c r="D627" s="58"/>
      <c r="E627" s="58"/>
      <c r="F627" s="58"/>
      <c r="G627" s="58"/>
    </row>
    <row r="628">
      <c r="A628" s="58"/>
      <c r="B628" s="58"/>
      <c r="C628" s="58"/>
      <c r="D628" s="58"/>
      <c r="E628" s="58"/>
      <c r="F628" s="58"/>
      <c r="G628" s="58"/>
    </row>
    <row r="629">
      <c r="A629" s="58"/>
      <c r="B629" s="58"/>
      <c r="C629" s="58"/>
      <c r="D629" s="58"/>
      <c r="E629" s="58"/>
      <c r="F629" s="58"/>
      <c r="G629" s="58"/>
    </row>
    <row r="630">
      <c r="A630" s="58"/>
      <c r="B630" s="58"/>
      <c r="C630" s="58"/>
      <c r="D630" s="58"/>
      <c r="E630" s="58"/>
      <c r="F630" s="58"/>
      <c r="G630" s="58"/>
    </row>
    <row r="631">
      <c r="A631" s="58"/>
      <c r="B631" s="58"/>
      <c r="C631" s="58"/>
      <c r="D631" s="58"/>
      <c r="E631" s="58"/>
      <c r="F631" s="58"/>
      <c r="G631" s="58"/>
    </row>
    <row r="632">
      <c r="A632" s="58"/>
      <c r="B632" s="58"/>
      <c r="C632" s="58"/>
      <c r="D632" s="58"/>
      <c r="E632" s="58"/>
      <c r="F632" s="58"/>
      <c r="G632" s="58"/>
    </row>
    <row r="633">
      <c r="A633" s="58"/>
      <c r="B633" s="58"/>
      <c r="C633" s="58"/>
      <c r="D633" s="58"/>
      <c r="E633" s="58"/>
      <c r="F633" s="58"/>
      <c r="G633" s="58"/>
    </row>
    <row r="634">
      <c r="A634" s="58"/>
      <c r="B634" s="58"/>
      <c r="C634" s="58"/>
      <c r="D634" s="58"/>
      <c r="E634" s="58"/>
      <c r="F634" s="58"/>
      <c r="G634" s="58"/>
    </row>
    <row r="635">
      <c r="A635" s="58"/>
      <c r="B635" s="58"/>
      <c r="C635" s="58"/>
      <c r="D635" s="58"/>
      <c r="E635" s="58"/>
      <c r="F635" s="58"/>
      <c r="G635" s="58"/>
    </row>
    <row r="636">
      <c r="A636" s="58"/>
      <c r="B636" s="58"/>
      <c r="C636" s="58"/>
      <c r="D636" s="58"/>
      <c r="E636" s="58"/>
      <c r="F636" s="58"/>
      <c r="G636" s="58"/>
    </row>
    <row r="637">
      <c r="A637" s="58"/>
      <c r="B637" s="58"/>
      <c r="C637" s="58"/>
      <c r="D637" s="58"/>
      <c r="E637" s="58"/>
      <c r="F637" s="58"/>
      <c r="G637" s="58"/>
    </row>
    <row r="638">
      <c r="A638" s="58"/>
      <c r="B638" s="58"/>
      <c r="C638" s="58"/>
      <c r="D638" s="58"/>
      <c r="E638" s="58"/>
      <c r="F638" s="58"/>
      <c r="G638" s="58"/>
    </row>
    <row r="639">
      <c r="A639" s="58"/>
      <c r="B639" s="58"/>
      <c r="C639" s="58"/>
      <c r="D639" s="58"/>
      <c r="E639" s="58"/>
      <c r="F639" s="58"/>
      <c r="G639" s="58"/>
    </row>
    <row r="640">
      <c r="A640" s="58"/>
      <c r="B640" s="58"/>
      <c r="C640" s="58"/>
      <c r="D640" s="58"/>
      <c r="E640" s="58"/>
      <c r="F640" s="58"/>
      <c r="G640" s="58"/>
    </row>
    <row r="641">
      <c r="A641" s="58"/>
      <c r="B641" s="58"/>
      <c r="C641" s="58"/>
      <c r="D641" s="58"/>
      <c r="E641" s="58"/>
      <c r="F641" s="58"/>
      <c r="G641" s="58"/>
    </row>
    <row r="642">
      <c r="A642" s="58"/>
      <c r="B642" s="58"/>
      <c r="C642" s="58"/>
      <c r="D642" s="58"/>
      <c r="E642" s="58"/>
      <c r="F642" s="58"/>
      <c r="G642" s="58"/>
    </row>
    <row r="643">
      <c r="A643" s="58"/>
      <c r="B643" s="58"/>
      <c r="C643" s="58"/>
      <c r="D643" s="58"/>
      <c r="E643" s="58"/>
      <c r="F643" s="58"/>
      <c r="G643" s="58"/>
    </row>
    <row r="644">
      <c r="A644" s="58"/>
      <c r="B644" s="58"/>
      <c r="C644" s="58"/>
      <c r="D644" s="58"/>
      <c r="E644" s="58"/>
      <c r="F644" s="58"/>
      <c r="G644" s="58"/>
    </row>
    <row r="645">
      <c r="A645" s="58"/>
      <c r="B645" s="58"/>
      <c r="C645" s="58"/>
      <c r="D645" s="58"/>
      <c r="E645" s="58"/>
      <c r="F645" s="58"/>
      <c r="G645" s="58"/>
    </row>
    <row r="646">
      <c r="A646" s="58"/>
      <c r="B646" s="58"/>
      <c r="C646" s="58"/>
      <c r="D646" s="58"/>
      <c r="E646" s="58"/>
      <c r="F646" s="58"/>
      <c r="G646" s="58"/>
    </row>
    <row r="647">
      <c r="A647" s="58"/>
      <c r="B647" s="58"/>
      <c r="C647" s="58"/>
      <c r="D647" s="58"/>
      <c r="E647" s="58"/>
      <c r="F647" s="58"/>
      <c r="G647" s="58"/>
    </row>
    <row r="648">
      <c r="A648" s="58"/>
      <c r="B648" s="58"/>
      <c r="C648" s="58"/>
      <c r="D648" s="58"/>
      <c r="E648" s="58"/>
      <c r="F648" s="58"/>
      <c r="G648" s="58"/>
    </row>
    <row r="649">
      <c r="A649" s="58"/>
      <c r="B649" s="58"/>
      <c r="C649" s="58"/>
      <c r="D649" s="58"/>
      <c r="E649" s="58"/>
      <c r="F649" s="58"/>
      <c r="G649" s="58"/>
    </row>
    <row r="650">
      <c r="A650" s="58"/>
      <c r="B650" s="58"/>
      <c r="C650" s="58"/>
      <c r="D650" s="58"/>
      <c r="E650" s="58"/>
      <c r="F650" s="58"/>
      <c r="G650" s="58"/>
    </row>
    <row r="651">
      <c r="A651" s="58"/>
      <c r="B651" s="58"/>
      <c r="C651" s="58"/>
      <c r="D651" s="58"/>
      <c r="E651" s="58"/>
      <c r="F651" s="58"/>
      <c r="G651" s="58"/>
    </row>
    <row r="652">
      <c r="A652" s="58"/>
      <c r="B652" s="58"/>
      <c r="C652" s="58"/>
      <c r="D652" s="58"/>
      <c r="E652" s="58"/>
      <c r="F652" s="58"/>
      <c r="G652" s="58"/>
    </row>
    <row r="653">
      <c r="A653" s="58"/>
      <c r="B653" s="58"/>
      <c r="C653" s="58"/>
      <c r="D653" s="58"/>
      <c r="E653" s="58"/>
      <c r="F653" s="58"/>
      <c r="G653" s="58"/>
    </row>
    <row r="654">
      <c r="A654" s="58"/>
      <c r="B654" s="58"/>
      <c r="C654" s="58"/>
      <c r="D654" s="58"/>
      <c r="E654" s="58"/>
      <c r="F654" s="58"/>
      <c r="G654" s="58"/>
    </row>
    <row r="655">
      <c r="A655" s="58"/>
      <c r="B655" s="58"/>
      <c r="C655" s="58"/>
      <c r="D655" s="58"/>
      <c r="E655" s="58"/>
      <c r="F655" s="58"/>
      <c r="G655" s="58"/>
    </row>
    <row r="656">
      <c r="A656" s="58"/>
      <c r="B656" s="58"/>
      <c r="C656" s="58"/>
      <c r="D656" s="58"/>
      <c r="E656" s="58"/>
      <c r="F656" s="58"/>
      <c r="G656" s="58"/>
    </row>
    <row r="657">
      <c r="A657" s="58"/>
      <c r="B657" s="58"/>
      <c r="C657" s="58"/>
      <c r="D657" s="58"/>
      <c r="E657" s="58"/>
      <c r="F657" s="58"/>
      <c r="G657" s="58"/>
    </row>
    <row r="658">
      <c r="A658" s="58"/>
      <c r="B658" s="58"/>
      <c r="C658" s="58"/>
      <c r="D658" s="58"/>
      <c r="E658" s="58"/>
      <c r="F658" s="58"/>
      <c r="G658" s="58"/>
    </row>
    <row r="659">
      <c r="A659" s="58"/>
      <c r="B659" s="58"/>
      <c r="C659" s="58"/>
      <c r="D659" s="58"/>
      <c r="E659" s="58"/>
      <c r="F659" s="58"/>
      <c r="G659" s="58"/>
    </row>
    <row r="660">
      <c r="A660" s="58"/>
      <c r="B660" s="58"/>
      <c r="C660" s="58"/>
      <c r="D660" s="58"/>
      <c r="E660" s="58"/>
      <c r="F660" s="58"/>
      <c r="G660" s="58"/>
    </row>
    <row r="661">
      <c r="A661" s="58"/>
      <c r="B661" s="58"/>
      <c r="C661" s="58"/>
      <c r="D661" s="58"/>
      <c r="E661" s="58"/>
      <c r="F661" s="58"/>
      <c r="G661" s="58"/>
    </row>
    <row r="662">
      <c r="A662" s="58"/>
      <c r="B662" s="58"/>
      <c r="C662" s="58"/>
      <c r="D662" s="58"/>
      <c r="E662" s="58"/>
      <c r="F662" s="58"/>
      <c r="G662" s="58"/>
    </row>
    <row r="663">
      <c r="A663" s="58"/>
      <c r="B663" s="58"/>
      <c r="C663" s="58"/>
      <c r="D663" s="58"/>
      <c r="E663" s="58"/>
      <c r="F663" s="58"/>
      <c r="G663" s="58"/>
    </row>
    <row r="664">
      <c r="A664" s="58"/>
      <c r="B664" s="58"/>
      <c r="C664" s="58"/>
      <c r="D664" s="58"/>
      <c r="E664" s="58"/>
      <c r="F664" s="58"/>
      <c r="G664" s="58"/>
    </row>
    <row r="665">
      <c r="A665" s="58"/>
      <c r="B665" s="58"/>
      <c r="C665" s="58"/>
      <c r="D665" s="58"/>
      <c r="E665" s="58"/>
      <c r="F665" s="58"/>
      <c r="G665" s="58"/>
    </row>
    <row r="666">
      <c r="A666" s="58"/>
      <c r="B666" s="58"/>
      <c r="C666" s="58"/>
      <c r="D666" s="58"/>
      <c r="E666" s="58"/>
      <c r="F666" s="58"/>
      <c r="G666" s="58"/>
    </row>
    <row r="667">
      <c r="A667" s="58"/>
      <c r="B667" s="58"/>
      <c r="C667" s="58"/>
      <c r="D667" s="58"/>
      <c r="E667" s="58"/>
      <c r="F667" s="58"/>
      <c r="G667" s="58"/>
    </row>
    <row r="668">
      <c r="A668" s="58"/>
      <c r="B668" s="58"/>
      <c r="C668" s="58"/>
      <c r="D668" s="58"/>
      <c r="E668" s="58"/>
      <c r="F668" s="58"/>
      <c r="G668" s="58"/>
    </row>
    <row r="669">
      <c r="A669" s="58"/>
      <c r="B669" s="58"/>
      <c r="C669" s="58"/>
      <c r="D669" s="58"/>
      <c r="E669" s="58"/>
      <c r="F669" s="58"/>
      <c r="G669" s="58"/>
    </row>
    <row r="670">
      <c r="A670" s="58"/>
      <c r="B670" s="58"/>
      <c r="C670" s="58"/>
      <c r="D670" s="58"/>
      <c r="E670" s="58"/>
      <c r="F670" s="58"/>
      <c r="G670" s="58"/>
    </row>
    <row r="671">
      <c r="A671" s="58"/>
      <c r="B671" s="58"/>
      <c r="C671" s="58"/>
      <c r="D671" s="58"/>
      <c r="E671" s="58"/>
      <c r="F671" s="58"/>
      <c r="G671" s="58"/>
    </row>
    <row r="672">
      <c r="A672" s="58"/>
      <c r="B672" s="58"/>
      <c r="C672" s="58"/>
      <c r="D672" s="58"/>
      <c r="E672" s="58"/>
      <c r="F672" s="58"/>
      <c r="G672" s="58"/>
    </row>
    <row r="673">
      <c r="A673" s="58"/>
      <c r="B673" s="58"/>
      <c r="C673" s="58"/>
      <c r="D673" s="58"/>
      <c r="E673" s="58"/>
      <c r="F673" s="58"/>
      <c r="G673" s="58"/>
    </row>
    <row r="674">
      <c r="A674" s="58"/>
      <c r="B674" s="58"/>
      <c r="C674" s="58"/>
      <c r="D674" s="58"/>
      <c r="E674" s="58"/>
      <c r="F674" s="58"/>
      <c r="G674" s="58"/>
    </row>
    <row r="675">
      <c r="A675" s="58"/>
      <c r="B675" s="58"/>
      <c r="C675" s="58"/>
      <c r="D675" s="58"/>
      <c r="E675" s="58"/>
      <c r="F675" s="58"/>
      <c r="G675" s="58"/>
    </row>
    <row r="676">
      <c r="A676" s="58"/>
      <c r="B676" s="58"/>
      <c r="C676" s="58"/>
      <c r="D676" s="58"/>
      <c r="E676" s="58"/>
      <c r="F676" s="58"/>
      <c r="G676" s="58"/>
    </row>
    <row r="677">
      <c r="A677" s="58"/>
      <c r="B677" s="58"/>
      <c r="C677" s="58"/>
      <c r="D677" s="58"/>
      <c r="E677" s="58"/>
      <c r="F677" s="58"/>
      <c r="G677" s="58"/>
    </row>
    <row r="678">
      <c r="A678" s="58"/>
      <c r="B678" s="58"/>
      <c r="C678" s="58"/>
      <c r="D678" s="58"/>
      <c r="E678" s="58"/>
      <c r="F678" s="58"/>
      <c r="G678" s="58"/>
    </row>
    <row r="679">
      <c r="A679" s="58"/>
      <c r="B679" s="58"/>
      <c r="C679" s="58"/>
      <c r="D679" s="58"/>
      <c r="E679" s="58"/>
      <c r="F679" s="58"/>
      <c r="G679" s="58"/>
    </row>
    <row r="680">
      <c r="A680" s="58"/>
      <c r="B680" s="58"/>
      <c r="C680" s="58"/>
      <c r="D680" s="58"/>
      <c r="E680" s="58"/>
      <c r="F680" s="58"/>
      <c r="G680" s="58"/>
    </row>
    <row r="681">
      <c r="A681" s="58"/>
      <c r="B681" s="58"/>
      <c r="C681" s="58"/>
      <c r="D681" s="58"/>
      <c r="E681" s="58"/>
      <c r="F681" s="58"/>
      <c r="G681" s="58"/>
    </row>
    <row r="682">
      <c r="A682" s="58"/>
      <c r="B682" s="58"/>
      <c r="C682" s="58"/>
      <c r="D682" s="58"/>
      <c r="E682" s="58"/>
      <c r="F682" s="58"/>
      <c r="G682" s="58"/>
    </row>
    <row r="683">
      <c r="A683" s="58"/>
      <c r="B683" s="58"/>
      <c r="C683" s="58"/>
      <c r="D683" s="58"/>
      <c r="E683" s="58"/>
      <c r="F683" s="58"/>
      <c r="G683" s="58"/>
    </row>
    <row r="684">
      <c r="A684" s="58"/>
      <c r="B684" s="58"/>
      <c r="C684" s="58"/>
      <c r="D684" s="58"/>
      <c r="E684" s="58"/>
      <c r="F684" s="58"/>
      <c r="G684" s="58"/>
    </row>
    <row r="685">
      <c r="A685" s="58"/>
      <c r="B685" s="58"/>
      <c r="C685" s="58"/>
      <c r="D685" s="58"/>
      <c r="E685" s="58"/>
      <c r="F685" s="58"/>
      <c r="G685" s="58"/>
    </row>
    <row r="686">
      <c r="A686" s="58"/>
      <c r="B686" s="58"/>
      <c r="C686" s="58"/>
      <c r="D686" s="58"/>
      <c r="E686" s="58"/>
      <c r="F686" s="58"/>
      <c r="G686" s="58"/>
    </row>
    <row r="687">
      <c r="A687" s="58"/>
      <c r="B687" s="58"/>
      <c r="C687" s="58"/>
      <c r="D687" s="58"/>
      <c r="E687" s="58"/>
      <c r="F687" s="58"/>
      <c r="G687" s="58"/>
    </row>
    <row r="688">
      <c r="A688" s="58"/>
      <c r="B688" s="58"/>
      <c r="C688" s="58"/>
      <c r="D688" s="58"/>
      <c r="E688" s="58"/>
      <c r="F688" s="58"/>
      <c r="G688" s="58"/>
    </row>
    <row r="689">
      <c r="A689" s="58"/>
      <c r="B689" s="58"/>
      <c r="C689" s="58"/>
      <c r="D689" s="58"/>
      <c r="E689" s="58"/>
      <c r="F689" s="58"/>
      <c r="G689" s="58"/>
    </row>
    <row r="690">
      <c r="A690" s="58"/>
      <c r="B690" s="58"/>
      <c r="C690" s="58"/>
      <c r="D690" s="58"/>
      <c r="E690" s="58"/>
      <c r="F690" s="58"/>
      <c r="G690" s="58"/>
    </row>
    <row r="691">
      <c r="A691" s="58"/>
      <c r="B691" s="58"/>
      <c r="C691" s="58"/>
      <c r="D691" s="58"/>
      <c r="E691" s="58"/>
      <c r="F691" s="58"/>
      <c r="G691" s="58"/>
    </row>
    <row r="692">
      <c r="A692" s="58"/>
      <c r="B692" s="58"/>
      <c r="C692" s="58"/>
      <c r="D692" s="58"/>
      <c r="E692" s="58"/>
      <c r="F692" s="58"/>
      <c r="G692" s="58"/>
    </row>
    <row r="693">
      <c r="A693" s="58"/>
      <c r="B693" s="58"/>
      <c r="C693" s="58"/>
      <c r="D693" s="58"/>
      <c r="E693" s="58"/>
      <c r="F693" s="58"/>
      <c r="G693" s="58"/>
    </row>
    <row r="694">
      <c r="A694" s="58"/>
      <c r="B694" s="58"/>
      <c r="C694" s="58"/>
      <c r="D694" s="58"/>
      <c r="E694" s="58"/>
      <c r="F694" s="58"/>
      <c r="G694" s="58"/>
    </row>
    <row r="695">
      <c r="A695" s="58"/>
      <c r="B695" s="58"/>
      <c r="C695" s="58"/>
      <c r="D695" s="58"/>
      <c r="E695" s="58"/>
      <c r="F695" s="58"/>
      <c r="G695" s="58"/>
    </row>
    <row r="696">
      <c r="A696" s="58"/>
      <c r="B696" s="58"/>
      <c r="C696" s="58"/>
      <c r="D696" s="58"/>
      <c r="E696" s="58"/>
      <c r="F696" s="58"/>
      <c r="G696" s="58"/>
    </row>
    <row r="697">
      <c r="A697" s="58"/>
      <c r="B697" s="58"/>
      <c r="C697" s="58"/>
      <c r="D697" s="58"/>
      <c r="E697" s="58"/>
      <c r="F697" s="58"/>
      <c r="G697" s="58"/>
    </row>
    <row r="698">
      <c r="A698" s="58"/>
      <c r="B698" s="58"/>
      <c r="C698" s="58"/>
      <c r="D698" s="58"/>
      <c r="E698" s="58"/>
      <c r="F698" s="58"/>
      <c r="G698" s="58"/>
    </row>
    <row r="699">
      <c r="A699" s="58"/>
      <c r="B699" s="58"/>
      <c r="C699" s="58"/>
      <c r="D699" s="58"/>
      <c r="E699" s="58"/>
      <c r="F699" s="58"/>
      <c r="G699" s="58"/>
    </row>
    <row r="700">
      <c r="A700" s="58"/>
      <c r="B700" s="58"/>
      <c r="C700" s="58"/>
      <c r="D700" s="58"/>
      <c r="E700" s="58"/>
      <c r="F700" s="58"/>
      <c r="G700" s="58"/>
    </row>
    <row r="701">
      <c r="A701" s="58"/>
      <c r="B701" s="58"/>
      <c r="C701" s="58"/>
      <c r="D701" s="58"/>
      <c r="E701" s="58"/>
      <c r="F701" s="58"/>
      <c r="G701" s="58"/>
    </row>
    <row r="702">
      <c r="A702" s="58"/>
      <c r="B702" s="58"/>
      <c r="C702" s="58"/>
      <c r="D702" s="58"/>
      <c r="E702" s="58"/>
      <c r="F702" s="58"/>
      <c r="G702" s="58"/>
    </row>
    <row r="703">
      <c r="A703" s="58"/>
      <c r="B703" s="58"/>
      <c r="C703" s="58"/>
      <c r="D703" s="58"/>
      <c r="E703" s="58"/>
      <c r="F703" s="58"/>
      <c r="G703" s="58"/>
    </row>
    <row r="704">
      <c r="A704" s="58"/>
      <c r="B704" s="58"/>
      <c r="C704" s="58"/>
      <c r="D704" s="58"/>
      <c r="E704" s="58"/>
      <c r="F704" s="58"/>
      <c r="G704" s="58"/>
    </row>
    <row r="705">
      <c r="A705" s="58"/>
      <c r="B705" s="58"/>
      <c r="C705" s="58"/>
      <c r="D705" s="58"/>
      <c r="E705" s="58"/>
      <c r="F705" s="58"/>
      <c r="G705" s="58"/>
    </row>
    <row r="706">
      <c r="A706" s="58"/>
      <c r="B706" s="58"/>
      <c r="C706" s="58"/>
      <c r="D706" s="58"/>
      <c r="E706" s="58"/>
      <c r="F706" s="58"/>
      <c r="G706" s="58"/>
    </row>
    <row r="707">
      <c r="A707" s="58"/>
      <c r="B707" s="58"/>
      <c r="C707" s="58"/>
      <c r="D707" s="58"/>
      <c r="E707" s="58"/>
      <c r="F707" s="58"/>
      <c r="G707" s="58"/>
    </row>
    <row r="708">
      <c r="A708" s="58"/>
      <c r="B708" s="58"/>
      <c r="C708" s="58"/>
      <c r="D708" s="58"/>
      <c r="E708" s="58"/>
      <c r="F708" s="58"/>
      <c r="G708" s="58"/>
    </row>
    <row r="709">
      <c r="A709" s="58"/>
      <c r="B709" s="58"/>
      <c r="C709" s="58"/>
      <c r="D709" s="58"/>
      <c r="E709" s="58"/>
      <c r="F709" s="58"/>
      <c r="G709" s="58"/>
    </row>
    <row r="710">
      <c r="A710" s="58"/>
      <c r="B710" s="58"/>
      <c r="C710" s="58"/>
      <c r="D710" s="58"/>
      <c r="E710" s="58"/>
      <c r="F710" s="58"/>
      <c r="G710" s="58"/>
    </row>
    <row r="711">
      <c r="A711" s="58"/>
      <c r="B711" s="58"/>
      <c r="C711" s="58"/>
      <c r="D711" s="58"/>
      <c r="E711" s="58"/>
      <c r="F711" s="58"/>
      <c r="G711" s="58"/>
    </row>
    <row r="712">
      <c r="A712" s="58"/>
      <c r="B712" s="58"/>
      <c r="C712" s="58"/>
      <c r="D712" s="58"/>
      <c r="E712" s="58"/>
      <c r="F712" s="58"/>
      <c r="G712" s="58"/>
    </row>
    <row r="713">
      <c r="A713" s="58"/>
      <c r="B713" s="58"/>
      <c r="C713" s="58"/>
      <c r="D713" s="58"/>
      <c r="E713" s="58"/>
      <c r="F713" s="58"/>
      <c r="G713" s="58"/>
    </row>
    <row r="714">
      <c r="A714" s="58"/>
      <c r="B714" s="58"/>
      <c r="C714" s="58"/>
      <c r="D714" s="58"/>
      <c r="E714" s="58"/>
      <c r="F714" s="58"/>
      <c r="G714" s="58"/>
    </row>
    <row r="715">
      <c r="A715" s="58"/>
      <c r="B715" s="58"/>
      <c r="C715" s="58"/>
      <c r="D715" s="58"/>
      <c r="E715" s="58"/>
      <c r="F715" s="58"/>
      <c r="G715" s="58"/>
    </row>
    <row r="716">
      <c r="A716" s="58"/>
      <c r="B716" s="58"/>
      <c r="C716" s="58"/>
      <c r="D716" s="58"/>
      <c r="E716" s="58"/>
      <c r="F716" s="58"/>
      <c r="G716" s="58"/>
    </row>
    <row r="717">
      <c r="A717" s="58"/>
      <c r="B717" s="58"/>
      <c r="C717" s="58"/>
      <c r="D717" s="58"/>
      <c r="E717" s="58"/>
      <c r="F717" s="58"/>
      <c r="G717" s="58"/>
    </row>
    <row r="718">
      <c r="A718" s="58"/>
      <c r="B718" s="58"/>
      <c r="C718" s="58"/>
      <c r="D718" s="58"/>
      <c r="E718" s="58"/>
      <c r="F718" s="58"/>
      <c r="G718" s="58"/>
    </row>
    <row r="719">
      <c r="A719" s="58"/>
      <c r="B719" s="58"/>
      <c r="C719" s="58"/>
      <c r="D719" s="58"/>
      <c r="E719" s="58"/>
      <c r="F719" s="58"/>
      <c r="G719" s="58"/>
    </row>
    <row r="720">
      <c r="A720" s="58"/>
      <c r="B720" s="58"/>
      <c r="C720" s="58"/>
      <c r="D720" s="58"/>
      <c r="E720" s="58"/>
      <c r="F720" s="58"/>
      <c r="G720" s="58"/>
    </row>
    <row r="721">
      <c r="A721" s="58"/>
      <c r="B721" s="58"/>
      <c r="C721" s="58"/>
      <c r="D721" s="58"/>
      <c r="E721" s="58"/>
      <c r="F721" s="58"/>
      <c r="G721" s="58"/>
    </row>
    <row r="722">
      <c r="A722" s="58"/>
      <c r="B722" s="58"/>
      <c r="C722" s="58"/>
      <c r="D722" s="58"/>
      <c r="E722" s="58"/>
      <c r="F722" s="58"/>
      <c r="G722" s="58"/>
    </row>
    <row r="723">
      <c r="A723" s="58"/>
      <c r="B723" s="58"/>
      <c r="C723" s="58"/>
      <c r="D723" s="58"/>
      <c r="E723" s="58"/>
      <c r="F723" s="58"/>
      <c r="G723" s="58"/>
    </row>
    <row r="724">
      <c r="A724" s="58"/>
      <c r="B724" s="58"/>
      <c r="C724" s="58"/>
      <c r="D724" s="58"/>
      <c r="E724" s="58"/>
      <c r="F724" s="58"/>
      <c r="G724" s="58"/>
    </row>
    <row r="725">
      <c r="A725" s="58"/>
      <c r="B725" s="58"/>
      <c r="C725" s="58"/>
      <c r="D725" s="58"/>
      <c r="E725" s="58"/>
      <c r="F725" s="58"/>
      <c r="G725" s="58"/>
    </row>
    <row r="726">
      <c r="A726" s="58"/>
      <c r="B726" s="58"/>
      <c r="C726" s="58"/>
      <c r="D726" s="58"/>
      <c r="E726" s="58"/>
      <c r="F726" s="58"/>
      <c r="G726" s="58"/>
    </row>
    <row r="727">
      <c r="A727" s="58"/>
      <c r="B727" s="58"/>
      <c r="C727" s="58"/>
      <c r="D727" s="58"/>
      <c r="E727" s="58"/>
      <c r="F727" s="58"/>
      <c r="G727" s="58"/>
    </row>
    <row r="728">
      <c r="A728" s="58"/>
      <c r="B728" s="58"/>
      <c r="C728" s="58"/>
      <c r="D728" s="58"/>
      <c r="E728" s="58"/>
      <c r="F728" s="58"/>
      <c r="G728" s="58"/>
    </row>
    <row r="729">
      <c r="A729" s="58"/>
      <c r="B729" s="58"/>
      <c r="C729" s="58"/>
      <c r="D729" s="58"/>
      <c r="E729" s="58"/>
      <c r="F729" s="58"/>
      <c r="G729" s="58"/>
    </row>
    <row r="730">
      <c r="A730" s="58"/>
      <c r="B730" s="58"/>
      <c r="C730" s="58"/>
      <c r="D730" s="58"/>
      <c r="E730" s="58"/>
      <c r="F730" s="58"/>
      <c r="G730" s="58"/>
    </row>
    <row r="731">
      <c r="A731" s="58"/>
      <c r="B731" s="58"/>
      <c r="C731" s="58"/>
      <c r="D731" s="58"/>
      <c r="E731" s="58"/>
      <c r="F731" s="58"/>
      <c r="G731" s="58"/>
    </row>
    <row r="732">
      <c r="A732" s="58"/>
      <c r="B732" s="58"/>
      <c r="C732" s="58"/>
      <c r="D732" s="58"/>
      <c r="E732" s="58"/>
      <c r="F732" s="58"/>
      <c r="G732" s="58"/>
    </row>
    <row r="733">
      <c r="A733" s="58"/>
      <c r="B733" s="58"/>
      <c r="C733" s="58"/>
      <c r="D733" s="58"/>
      <c r="E733" s="58"/>
      <c r="F733" s="58"/>
      <c r="G733" s="58"/>
    </row>
    <row r="734">
      <c r="A734" s="58"/>
      <c r="B734" s="58"/>
      <c r="C734" s="58"/>
      <c r="D734" s="58"/>
      <c r="E734" s="58"/>
      <c r="F734" s="58"/>
      <c r="G734" s="58"/>
    </row>
    <row r="735">
      <c r="A735" s="58"/>
      <c r="B735" s="58"/>
      <c r="C735" s="58"/>
      <c r="D735" s="58"/>
      <c r="E735" s="58"/>
      <c r="F735" s="58"/>
      <c r="G735" s="58"/>
    </row>
    <row r="736">
      <c r="A736" s="58"/>
      <c r="B736" s="58"/>
      <c r="C736" s="58"/>
      <c r="D736" s="58"/>
      <c r="E736" s="58"/>
      <c r="F736" s="58"/>
      <c r="G736" s="58"/>
    </row>
    <row r="737">
      <c r="A737" s="58"/>
      <c r="B737" s="58"/>
      <c r="C737" s="58"/>
      <c r="D737" s="58"/>
      <c r="E737" s="58"/>
      <c r="F737" s="58"/>
      <c r="G737" s="58"/>
    </row>
    <row r="738">
      <c r="A738" s="58"/>
      <c r="B738" s="58"/>
      <c r="C738" s="58"/>
      <c r="D738" s="58"/>
      <c r="E738" s="58"/>
      <c r="F738" s="58"/>
      <c r="G738" s="58"/>
    </row>
    <row r="739">
      <c r="A739" s="58"/>
      <c r="B739" s="58"/>
      <c r="C739" s="58"/>
      <c r="D739" s="58"/>
      <c r="E739" s="58"/>
      <c r="F739" s="58"/>
      <c r="G739" s="58"/>
    </row>
    <row r="740">
      <c r="A740" s="58"/>
      <c r="B740" s="58"/>
      <c r="C740" s="58"/>
      <c r="D740" s="58"/>
      <c r="E740" s="58"/>
      <c r="F740" s="58"/>
      <c r="G740" s="58"/>
    </row>
    <row r="741">
      <c r="A741" s="58"/>
      <c r="B741" s="58"/>
      <c r="C741" s="58"/>
      <c r="D741" s="58"/>
      <c r="E741" s="58"/>
      <c r="F741" s="58"/>
      <c r="G741" s="58"/>
    </row>
    <row r="742">
      <c r="A742" s="58"/>
      <c r="B742" s="58"/>
      <c r="C742" s="58"/>
      <c r="D742" s="58"/>
      <c r="E742" s="58"/>
      <c r="F742" s="58"/>
      <c r="G742" s="58"/>
    </row>
    <row r="743">
      <c r="A743" s="58"/>
      <c r="B743" s="58"/>
      <c r="C743" s="58"/>
      <c r="D743" s="58"/>
      <c r="E743" s="58"/>
      <c r="F743" s="58"/>
      <c r="G743" s="58"/>
    </row>
    <row r="744">
      <c r="A744" s="58"/>
      <c r="B744" s="58"/>
      <c r="C744" s="58"/>
      <c r="D744" s="58"/>
      <c r="E744" s="58"/>
      <c r="F744" s="58"/>
      <c r="G744" s="58"/>
    </row>
    <row r="745">
      <c r="A745" s="58"/>
      <c r="B745" s="58"/>
      <c r="C745" s="58"/>
      <c r="D745" s="58"/>
      <c r="E745" s="58"/>
      <c r="F745" s="58"/>
      <c r="G745" s="58"/>
    </row>
    <row r="746">
      <c r="A746" s="58"/>
      <c r="B746" s="58"/>
      <c r="C746" s="58"/>
      <c r="D746" s="58"/>
      <c r="E746" s="58"/>
      <c r="F746" s="58"/>
      <c r="G746" s="58"/>
    </row>
    <row r="747">
      <c r="A747" s="58"/>
      <c r="B747" s="58"/>
      <c r="C747" s="58"/>
      <c r="D747" s="58"/>
      <c r="E747" s="58"/>
      <c r="F747" s="58"/>
      <c r="G747" s="58"/>
    </row>
    <row r="748">
      <c r="A748" s="58"/>
      <c r="B748" s="58"/>
      <c r="C748" s="58"/>
      <c r="D748" s="58"/>
      <c r="E748" s="58"/>
      <c r="F748" s="58"/>
      <c r="G748" s="58"/>
    </row>
    <row r="749">
      <c r="A749" s="58"/>
      <c r="B749" s="58"/>
      <c r="C749" s="58"/>
      <c r="D749" s="58"/>
      <c r="E749" s="58"/>
      <c r="F749" s="58"/>
      <c r="G749" s="58"/>
    </row>
    <row r="750">
      <c r="A750" s="58"/>
      <c r="B750" s="58"/>
      <c r="C750" s="58"/>
      <c r="D750" s="58"/>
      <c r="E750" s="58"/>
      <c r="F750" s="58"/>
      <c r="G750" s="58"/>
    </row>
    <row r="751">
      <c r="A751" s="58"/>
      <c r="B751" s="58"/>
      <c r="C751" s="58"/>
      <c r="D751" s="58"/>
      <c r="E751" s="58"/>
      <c r="F751" s="58"/>
      <c r="G751" s="58"/>
    </row>
    <row r="752">
      <c r="A752" s="58"/>
      <c r="B752" s="58"/>
      <c r="C752" s="58"/>
      <c r="D752" s="58"/>
      <c r="E752" s="58"/>
      <c r="F752" s="58"/>
      <c r="G752" s="58"/>
    </row>
    <row r="753">
      <c r="A753" s="58"/>
      <c r="B753" s="58"/>
      <c r="C753" s="58"/>
      <c r="D753" s="58"/>
      <c r="E753" s="58"/>
      <c r="F753" s="58"/>
      <c r="G753" s="58"/>
    </row>
    <row r="754">
      <c r="A754" s="58"/>
      <c r="B754" s="58"/>
      <c r="C754" s="58"/>
      <c r="D754" s="58"/>
      <c r="E754" s="58"/>
      <c r="F754" s="58"/>
      <c r="G754" s="58"/>
    </row>
    <row r="755">
      <c r="A755" s="58"/>
      <c r="B755" s="58"/>
      <c r="C755" s="58"/>
      <c r="D755" s="58"/>
      <c r="E755" s="58"/>
      <c r="F755" s="58"/>
      <c r="G755" s="58"/>
    </row>
    <row r="756">
      <c r="A756" s="58"/>
      <c r="B756" s="58"/>
      <c r="C756" s="58"/>
      <c r="D756" s="58"/>
      <c r="E756" s="58"/>
      <c r="F756" s="58"/>
      <c r="G756" s="58"/>
    </row>
    <row r="757">
      <c r="A757" s="58"/>
      <c r="B757" s="58"/>
      <c r="C757" s="58"/>
      <c r="D757" s="58"/>
      <c r="E757" s="58"/>
      <c r="F757" s="58"/>
      <c r="G757" s="58"/>
    </row>
    <row r="758">
      <c r="A758" s="58"/>
      <c r="B758" s="58"/>
      <c r="C758" s="58"/>
      <c r="D758" s="58"/>
      <c r="E758" s="58"/>
      <c r="F758" s="58"/>
      <c r="G758" s="58"/>
    </row>
    <row r="759">
      <c r="A759" s="58"/>
      <c r="B759" s="58"/>
      <c r="C759" s="58"/>
      <c r="D759" s="58"/>
      <c r="E759" s="58"/>
      <c r="F759" s="58"/>
      <c r="G759" s="58"/>
    </row>
    <row r="760">
      <c r="A760" s="58"/>
      <c r="B760" s="58"/>
      <c r="C760" s="58"/>
      <c r="D760" s="58"/>
      <c r="E760" s="58"/>
      <c r="F760" s="58"/>
      <c r="G760" s="58"/>
    </row>
    <row r="761">
      <c r="A761" s="58"/>
      <c r="B761" s="58"/>
      <c r="C761" s="58"/>
      <c r="D761" s="58"/>
      <c r="E761" s="58"/>
      <c r="F761" s="58"/>
      <c r="G761" s="58"/>
    </row>
    <row r="762">
      <c r="A762" s="58"/>
      <c r="B762" s="58"/>
      <c r="C762" s="58"/>
      <c r="D762" s="58"/>
      <c r="E762" s="58"/>
      <c r="F762" s="58"/>
      <c r="G762" s="58"/>
    </row>
    <row r="763">
      <c r="A763" s="58"/>
      <c r="B763" s="58"/>
      <c r="C763" s="58"/>
      <c r="D763" s="58"/>
      <c r="E763" s="58"/>
      <c r="F763" s="58"/>
      <c r="G763" s="58"/>
    </row>
    <row r="764">
      <c r="A764" s="58"/>
      <c r="B764" s="58"/>
      <c r="C764" s="58"/>
      <c r="D764" s="58"/>
      <c r="E764" s="58"/>
      <c r="F764" s="58"/>
      <c r="G764" s="58"/>
    </row>
    <row r="765">
      <c r="A765" s="58"/>
      <c r="B765" s="58"/>
      <c r="C765" s="58"/>
      <c r="D765" s="58"/>
      <c r="E765" s="58"/>
      <c r="F765" s="58"/>
      <c r="G765" s="58"/>
    </row>
    <row r="766">
      <c r="A766" s="58"/>
      <c r="B766" s="58"/>
      <c r="C766" s="58"/>
      <c r="D766" s="58"/>
      <c r="E766" s="58"/>
      <c r="F766" s="58"/>
      <c r="G766" s="58"/>
    </row>
    <row r="767">
      <c r="A767" s="58"/>
      <c r="B767" s="58"/>
      <c r="C767" s="58"/>
      <c r="D767" s="58"/>
      <c r="E767" s="58"/>
      <c r="F767" s="58"/>
      <c r="G767" s="58"/>
    </row>
    <row r="768">
      <c r="A768" s="58"/>
      <c r="B768" s="58"/>
      <c r="C768" s="58"/>
      <c r="D768" s="58"/>
      <c r="E768" s="58"/>
      <c r="F768" s="58"/>
      <c r="G768" s="58"/>
    </row>
    <row r="769">
      <c r="A769" s="58"/>
      <c r="B769" s="58"/>
      <c r="C769" s="58"/>
      <c r="D769" s="58"/>
      <c r="E769" s="58"/>
      <c r="F769" s="58"/>
      <c r="G769" s="58"/>
    </row>
    <row r="770">
      <c r="A770" s="58"/>
      <c r="B770" s="58"/>
      <c r="C770" s="58"/>
      <c r="D770" s="58"/>
      <c r="E770" s="58"/>
      <c r="F770" s="58"/>
      <c r="G770" s="58"/>
    </row>
    <row r="771">
      <c r="A771" s="58"/>
      <c r="B771" s="58"/>
      <c r="C771" s="58"/>
      <c r="D771" s="58"/>
      <c r="E771" s="58"/>
      <c r="F771" s="58"/>
      <c r="G771" s="58"/>
    </row>
    <row r="772">
      <c r="A772" s="58"/>
      <c r="B772" s="58"/>
      <c r="C772" s="58"/>
      <c r="D772" s="58"/>
      <c r="E772" s="58"/>
      <c r="F772" s="58"/>
      <c r="G772" s="58"/>
    </row>
    <row r="773">
      <c r="A773" s="58"/>
      <c r="B773" s="58"/>
      <c r="C773" s="58"/>
      <c r="D773" s="58"/>
      <c r="E773" s="58"/>
      <c r="F773" s="58"/>
      <c r="G773" s="58"/>
    </row>
    <row r="774">
      <c r="A774" s="58"/>
      <c r="B774" s="58"/>
      <c r="C774" s="58"/>
      <c r="D774" s="58"/>
      <c r="E774" s="58"/>
      <c r="F774" s="58"/>
      <c r="G774" s="58"/>
    </row>
    <row r="775">
      <c r="A775" s="58"/>
      <c r="B775" s="58"/>
      <c r="C775" s="58"/>
      <c r="D775" s="58"/>
      <c r="E775" s="58"/>
      <c r="F775" s="58"/>
      <c r="G775" s="58"/>
    </row>
    <row r="776">
      <c r="A776" s="58"/>
      <c r="B776" s="58"/>
      <c r="C776" s="58"/>
      <c r="D776" s="58"/>
      <c r="E776" s="58"/>
      <c r="F776" s="58"/>
      <c r="G776" s="58"/>
    </row>
    <row r="777">
      <c r="A777" s="58"/>
      <c r="B777" s="58"/>
      <c r="C777" s="58"/>
      <c r="D777" s="58"/>
      <c r="E777" s="58"/>
      <c r="F777" s="58"/>
      <c r="G777" s="58"/>
    </row>
    <row r="778">
      <c r="A778" s="58"/>
      <c r="B778" s="58"/>
      <c r="C778" s="58"/>
      <c r="D778" s="58"/>
      <c r="E778" s="58"/>
      <c r="F778" s="58"/>
      <c r="G778" s="58"/>
    </row>
    <row r="779">
      <c r="A779" s="58"/>
      <c r="B779" s="58"/>
      <c r="C779" s="58"/>
      <c r="D779" s="58"/>
      <c r="E779" s="58"/>
      <c r="F779" s="58"/>
      <c r="G779" s="58"/>
    </row>
    <row r="780">
      <c r="A780" s="58"/>
      <c r="B780" s="58"/>
      <c r="C780" s="58"/>
      <c r="D780" s="58"/>
      <c r="E780" s="58"/>
      <c r="F780" s="58"/>
      <c r="G780" s="58"/>
    </row>
    <row r="781">
      <c r="A781" s="58"/>
      <c r="B781" s="58"/>
      <c r="C781" s="58"/>
      <c r="D781" s="58"/>
      <c r="E781" s="58"/>
      <c r="F781" s="58"/>
      <c r="G781" s="58"/>
    </row>
    <row r="782">
      <c r="A782" s="58"/>
      <c r="B782" s="58"/>
      <c r="C782" s="58"/>
      <c r="D782" s="58"/>
      <c r="E782" s="58"/>
      <c r="F782" s="58"/>
      <c r="G782" s="58"/>
    </row>
    <row r="783">
      <c r="A783" s="58"/>
      <c r="B783" s="58"/>
      <c r="C783" s="58"/>
      <c r="D783" s="58"/>
      <c r="E783" s="58"/>
      <c r="F783" s="58"/>
      <c r="G783" s="58"/>
    </row>
    <row r="784">
      <c r="A784" s="58"/>
      <c r="B784" s="58"/>
      <c r="C784" s="58"/>
      <c r="D784" s="58"/>
      <c r="E784" s="58"/>
      <c r="F784" s="58"/>
      <c r="G784" s="58"/>
    </row>
    <row r="785">
      <c r="A785" s="58"/>
      <c r="B785" s="58"/>
      <c r="C785" s="58"/>
      <c r="D785" s="58"/>
      <c r="E785" s="58"/>
      <c r="F785" s="58"/>
      <c r="G785" s="58"/>
    </row>
    <row r="786">
      <c r="A786" s="58"/>
      <c r="B786" s="58"/>
      <c r="C786" s="58"/>
      <c r="D786" s="58"/>
      <c r="E786" s="58"/>
      <c r="F786" s="58"/>
      <c r="G786" s="58"/>
    </row>
    <row r="787">
      <c r="A787" s="58"/>
      <c r="B787" s="58"/>
      <c r="C787" s="58"/>
      <c r="D787" s="58"/>
      <c r="E787" s="58"/>
      <c r="F787" s="58"/>
      <c r="G787" s="58"/>
    </row>
    <row r="788">
      <c r="A788" s="58"/>
      <c r="B788" s="58"/>
      <c r="C788" s="58"/>
      <c r="D788" s="58"/>
      <c r="E788" s="58"/>
      <c r="F788" s="58"/>
      <c r="G788" s="58"/>
    </row>
    <row r="789">
      <c r="A789" s="58"/>
      <c r="B789" s="58"/>
      <c r="C789" s="58"/>
      <c r="D789" s="58"/>
      <c r="E789" s="58"/>
      <c r="F789" s="58"/>
      <c r="G789" s="58"/>
    </row>
    <row r="790">
      <c r="A790" s="58"/>
      <c r="B790" s="58"/>
      <c r="C790" s="58"/>
      <c r="D790" s="58"/>
      <c r="E790" s="58"/>
      <c r="F790" s="58"/>
      <c r="G790" s="58"/>
    </row>
    <row r="791">
      <c r="A791" s="58"/>
      <c r="B791" s="58"/>
      <c r="C791" s="58"/>
      <c r="D791" s="58"/>
      <c r="E791" s="58"/>
      <c r="F791" s="58"/>
      <c r="G791" s="58"/>
    </row>
    <row r="792">
      <c r="A792" s="58"/>
      <c r="B792" s="58"/>
      <c r="C792" s="58"/>
      <c r="D792" s="58"/>
      <c r="E792" s="58"/>
      <c r="F792" s="58"/>
      <c r="G792" s="58"/>
    </row>
    <row r="793">
      <c r="A793" s="58"/>
      <c r="B793" s="58"/>
      <c r="C793" s="58"/>
      <c r="D793" s="58"/>
      <c r="E793" s="58"/>
      <c r="F793" s="58"/>
      <c r="G793" s="58"/>
    </row>
    <row r="794">
      <c r="A794" s="58"/>
      <c r="B794" s="58"/>
      <c r="C794" s="58"/>
      <c r="D794" s="58"/>
      <c r="E794" s="58"/>
      <c r="F794" s="58"/>
      <c r="G794" s="58"/>
    </row>
    <row r="795">
      <c r="A795" s="58"/>
      <c r="B795" s="58"/>
      <c r="C795" s="58"/>
      <c r="D795" s="58"/>
      <c r="E795" s="58"/>
      <c r="F795" s="58"/>
      <c r="G795" s="58"/>
    </row>
    <row r="796">
      <c r="A796" s="58"/>
      <c r="B796" s="58"/>
      <c r="C796" s="58"/>
      <c r="D796" s="58"/>
      <c r="E796" s="58"/>
      <c r="F796" s="58"/>
      <c r="G796" s="58"/>
    </row>
    <row r="797">
      <c r="A797" s="58"/>
      <c r="B797" s="58"/>
      <c r="C797" s="58"/>
      <c r="D797" s="58"/>
      <c r="E797" s="58"/>
      <c r="F797" s="58"/>
      <c r="G797" s="58"/>
    </row>
    <row r="798">
      <c r="A798" s="58"/>
      <c r="B798" s="58"/>
      <c r="C798" s="58"/>
      <c r="D798" s="58"/>
      <c r="E798" s="58"/>
      <c r="F798" s="58"/>
      <c r="G798" s="58"/>
    </row>
    <row r="799">
      <c r="A799" s="58"/>
      <c r="B799" s="58"/>
      <c r="C799" s="58"/>
      <c r="D799" s="58"/>
      <c r="E799" s="58"/>
      <c r="F799" s="58"/>
      <c r="G799" s="58"/>
    </row>
    <row r="800">
      <c r="A800" s="58"/>
      <c r="B800" s="58"/>
      <c r="C800" s="58"/>
      <c r="D800" s="58"/>
      <c r="E800" s="58"/>
      <c r="F800" s="58"/>
      <c r="G800" s="58"/>
    </row>
    <row r="801">
      <c r="A801" s="58"/>
      <c r="B801" s="58"/>
      <c r="C801" s="58"/>
      <c r="D801" s="58"/>
      <c r="E801" s="58"/>
      <c r="F801" s="58"/>
      <c r="G801" s="58"/>
    </row>
    <row r="802">
      <c r="A802" s="58"/>
      <c r="B802" s="58"/>
      <c r="C802" s="58"/>
      <c r="D802" s="58"/>
      <c r="E802" s="58"/>
      <c r="F802" s="58"/>
      <c r="G802" s="58"/>
    </row>
    <row r="803">
      <c r="A803" s="58"/>
      <c r="B803" s="58"/>
      <c r="C803" s="58"/>
      <c r="D803" s="58"/>
      <c r="E803" s="58"/>
      <c r="F803" s="58"/>
      <c r="G803" s="58"/>
    </row>
    <row r="804">
      <c r="A804" s="58"/>
      <c r="B804" s="58"/>
      <c r="C804" s="58"/>
      <c r="D804" s="58"/>
      <c r="E804" s="58"/>
      <c r="F804" s="58"/>
      <c r="G804" s="58"/>
    </row>
    <row r="805">
      <c r="A805" s="58"/>
      <c r="B805" s="58"/>
      <c r="C805" s="58"/>
      <c r="D805" s="58"/>
      <c r="E805" s="58"/>
      <c r="F805" s="58"/>
      <c r="G805" s="58"/>
    </row>
    <row r="806">
      <c r="A806" s="58"/>
      <c r="B806" s="58"/>
      <c r="C806" s="58"/>
      <c r="D806" s="58"/>
      <c r="E806" s="58"/>
      <c r="F806" s="58"/>
      <c r="G806" s="58"/>
    </row>
    <row r="807">
      <c r="A807" s="58"/>
      <c r="B807" s="58"/>
      <c r="C807" s="58"/>
      <c r="D807" s="58"/>
      <c r="E807" s="58"/>
      <c r="F807" s="58"/>
      <c r="G807" s="58"/>
    </row>
    <row r="808">
      <c r="A808" s="58"/>
      <c r="B808" s="58"/>
      <c r="C808" s="58"/>
      <c r="D808" s="58"/>
      <c r="E808" s="58"/>
      <c r="F808" s="58"/>
      <c r="G808" s="58"/>
    </row>
    <row r="809">
      <c r="A809" s="58"/>
      <c r="B809" s="58"/>
      <c r="C809" s="58"/>
      <c r="D809" s="58"/>
      <c r="E809" s="58"/>
      <c r="F809" s="58"/>
      <c r="G809" s="58"/>
    </row>
    <row r="810">
      <c r="A810" s="58"/>
      <c r="B810" s="58"/>
      <c r="C810" s="58"/>
      <c r="D810" s="58"/>
      <c r="E810" s="58"/>
      <c r="F810" s="58"/>
      <c r="G810" s="58"/>
    </row>
    <row r="811">
      <c r="A811" s="58"/>
      <c r="B811" s="58"/>
      <c r="C811" s="58"/>
      <c r="D811" s="58"/>
      <c r="E811" s="58"/>
      <c r="F811" s="58"/>
      <c r="G811" s="58"/>
    </row>
    <row r="812">
      <c r="A812" s="58"/>
      <c r="B812" s="58"/>
      <c r="C812" s="58"/>
      <c r="D812" s="58"/>
      <c r="E812" s="58"/>
      <c r="F812" s="58"/>
      <c r="G812" s="58"/>
    </row>
    <row r="813">
      <c r="A813" s="58"/>
      <c r="B813" s="58"/>
      <c r="C813" s="58"/>
      <c r="D813" s="58"/>
      <c r="E813" s="58"/>
      <c r="F813" s="58"/>
      <c r="G813" s="58"/>
    </row>
    <row r="814">
      <c r="A814" s="58"/>
      <c r="B814" s="58"/>
      <c r="C814" s="58"/>
      <c r="D814" s="58"/>
      <c r="E814" s="58"/>
      <c r="F814" s="58"/>
      <c r="G814" s="58"/>
    </row>
    <row r="815">
      <c r="A815" s="58"/>
      <c r="B815" s="58"/>
      <c r="C815" s="58"/>
      <c r="D815" s="58"/>
      <c r="E815" s="58"/>
      <c r="F815" s="58"/>
      <c r="G815" s="58"/>
    </row>
    <row r="816">
      <c r="A816" s="58"/>
      <c r="B816" s="58"/>
      <c r="C816" s="58"/>
      <c r="D816" s="58"/>
      <c r="E816" s="58"/>
      <c r="F816" s="58"/>
      <c r="G816" s="58"/>
    </row>
    <row r="817">
      <c r="A817" s="58"/>
      <c r="B817" s="58"/>
      <c r="C817" s="58"/>
      <c r="D817" s="58"/>
      <c r="E817" s="58"/>
      <c r="F817" s="58"/>
      <c r="G817" s="58"/>
    </row>
    <row r="818">
      <c r="A818" s="58"/>
      <c r="B818" s="58"/>
      <c r="C818" s="58"/>
      <c r="D818" s="58"/>
      <c r="E818" s="58"/>
      <c r="F818" s="58"/>
      <c r="G818" s="58"/>
    </row>
    <row r="819">
      <c r="A819" s="58"/>
      <c r="B819" s="58"/>
      <c r="C819" s="58"/>
      <c r="D819" s="58"/>
      <c r="E819" s="58"/>
      <c r="F819" s="58"/>
      <c r="G819" s="58"/>
    </row>
    <row r="820">
      <c r="A820" s="58"/>
      <c r="B820" s="58"/>
      <c r="C820" s="58"/>
      <c r="D820" s="58"/>
      <c r="E820" s="58"/>
      <c r="F820" s="58"/>
      <c r="G820" s="58"/>
    </row>
    <row r="821">
      <c r="A821" s="58"/>
      <c r="B821" s="58"/>
      <c r="C821" s="58"/>
      <c r="D821" s="58"/>
      <c r="E821" s="58"/>
      <c r="F821" s="58"/>
      <c r="G821" s="58"/>
    </row>
    <row r="822">
      <c r="A822" s="58"/>
      <c r="B822" s="58"/>
      <c r="C822" s="58"/>
      <c r="D822" s="58"/>
      <c r="E822" s="58"/>
      <c r="F822" s="58"/>
      <c r="G822" s="58"/>
    </row>
    <row r="823">
      <c r="A823" s="58"/>
      <c r="B823" s="58"/>
      <c r="C823" s="58"/>
      <c r="D823" s="58"/>
      <c r="E823" s="58"/>
      <c r="F823" s="58"/>
      <c r="G823" s="58"/>
    </row>
    <row r="824">
      <c r="A824" s="58"/>
      <c r="B824" s="58"/>
      <c r="C824" s="58"/>
      <c r="D824" s="58"/>
      <c r="E824" s="58"/>
      <c r="F824" s="58"/>
      <c r="G824" s="58"/>
    </row>
    <row r="825">
      <c r="A825" s="58"/>
      <c r="B825" s="58"/>
      <c r="C825" s="58"/>
      <c r="D825" s="58"/>
      <c r="E825" s="58"/>
      <c r="F825" s="58"/>
      <c r="G825" s="58"/>
    </row>
    <row r="826">
      <c r="A826" s="58"/>
      <c r="B826" s="58"/>
      <c r="C826" s="58"/>
      <c r="D826" s="58"/>
      <c r="E826" s="58"/>
      <c r="F826" s="58"/>
      <c r="G826" s="58"/>
    </row>
    <row r="827">
      <c r="A827" s="58"/>
      <c r="B827" s="58"/>
      <c r="C827" s="58"/>
      <c r="D827" s="58"/>
      <c r="E827" s="58"/>
      <c r="F827" s="58"/>
      <c r="G827" s="58"/>
    </row>
    <row r="828">
      <c r="A828" s="58"/>
      <c r="B828" s="58"/>
      <c r="C828" s="58"/>
      <c r="D828" s="58"/>
      <c r="E828" s="58"/>
      <c r="F828" s="58"/>
      <c r="G828" s="58"/>
    </row>
    <row r="829">
      <c r="A829" s="58"/>
      <c r="B829" s="58"/>
      <c r="C829" s="58"/>
      <c r="D829" s="58"/>
      <c r="E829" s="58"/>
      <c r="F829" s="58"/>
      <c r="G829" s="58"/>
    </row>
    <row r="830">
      <c r="A830" s="58"/>
      <c r="B830" s="58"/>
      <c r="C830" s="58"/>
      <c r="D830" s="58"/>
      <c r="E830" s="58"/>
      <c r="F830" s="58"/>
      <c r="G830" s="58"/>
    </row>
    <row r="831">
      <c r="A831" s="58"/>
      <c r="B831" s="58"/>
      <c r="C831" s="58"/>
      <c r="D831" s="58"/>
      <c r="E831" s="58"/>
      <c r="F831" s="58"/>
      <c r="G831" s="58"/>
    </row>
    <row r="832">
      <c r="A832" s="58"/>
      <c r="B832" s="58"/>
      <c r="C832" s="58"/>
      <c r="D832" s="58"/>
      <c r="E832" s="58"/>
      <c r="F832" s="58"/>
      <c r="G832" s="58"/>
    </row>
    <row r="833">
      <c r="A833" s="58"/>
      <c r="B833" s="58"/>
      <c r="C833" s="58"/>
      <c r="D833" s="58"/>
      <c r="E833" s="58"/>
      <c r="F833" s="58"/>
      <c r="G833" s="58"/>
    </row>
    <row r="834">
      <c r="A834" s="58"/>
      <c r="B834" s="58"/>
      <c r="C834" s="58"/>
      <c r="D834" s="58"/>
      <c r="E834" s="58"/>
      <c r="F834" s="58"/>
      <c r="G834" s="58"/>
    </row>
    <row r="835">
      <c r="A835" s="58"/>
      <c r="B835" s="58"/>
      <c r="C835" s="58"/>
      <c r="D835" s="58"/>
      <c r="E835" s="58"/>
      <c r="F835" s="58"/>
      <c r="G835" s="58"/>
    </row>
    <row r="836">
      <c r="A836" s="58"/>
      <c r="B836" s="58"/>
      <c r="C836" s="58"/>
      <c r="D836" s="58"/>
      <c r="E836" s="58"/>
      <c r="F836" s="58"/>
      <c r="G836" s="58"/>
    </row>
    <row r="837">
      <c r="A837" s="58"/>
      <c r="B837" s="58"/>
      <c r="C837" s="58"/>
      <c r="D837" s="58"/>
      <c r="E837" s="58"/>
      <c r="F837" s="58"/>
      <c r="G837" s="58"/>
    </row>
    <row r="838">
      <c r="A838" s="58"/>
      <c r="B838" s="58"/>
      <c r="C838" s="58"/>
      <c r="D838" s="58"/>
      <c r="E838" s="58"/>
      <c r="F838" s="58"/>
      <c r="G838" s="58"/>
    </row>
    <row r="839">
      <c r="A839" s="58"/>
      <c r="B839" s="58"/>
      <c r="C839" s="58"/>
      <c r="D839" s="58"/>
      <c r="E839" s="58"/>
      <c r="F839" s="58"/>
      <c r="G839" s="58"/>
    </row>
    <row r="840">
      <c r="A840" s="58"/>
      <c r="B840" s="58"/>
      <c r="C840" s="58"/>
      <c r="D840" s="58"/>
      <c r="E840" s="58"/>
      <c r="F840" s="58"/>
      <c r="G840" s="58"/>
    </row>
    <row r="841">
      <c r="A841" s="58"/>
      <c r="B841" s="58"/>
      <c r="C841" s="58"/>
      <c r="D841" s="58"/>
      <c r="E841" s="58"/>
      <c r="F841" s="58"/>
      <c r="G841" s="58"/>
    </row>
    <row r="842">
      <c r="A842" s="58"/>
      <c r="B842" s="58"/>
      <c r="C842" s="58"/>
      <c r="D842" s="58"/>
      <c r="E842" s="58"/>
      <c r="F842" s="58"/>
      <c r="G842" s="58"/>
    </row>
    <row r="843">
      <c r="A843" s="58"/>
      <c r="B843" s="58"/>
      <c r="C843" s="58"/>
      <c r="D843" s="58"/>
      <c r="E843" s="58"/>
      <c r="F843" s="58"/>
      <c r="G843" s="58"/>
    </row>
    <row r="844">
      <c r="A844" s="58"/>
      <c r="B844" s="58"/>
      <c r="C844" s="58"/>
      <c r="D844" s="58"/>
      <c r="E844" s="58"/>
      <c r="F844" s="58"/>
      <c r="G844" s="58"/>
    </row>
    <row r="845">
      <c r="A845" s="58"/>
      <c r="B845" s="58"/>
      <c r="C845" s="58"/>
      <c r="D845" s="58"/>
      <c r="E845" s="58"/>
      <c r="F845" s="58"/>
      <c r="G845" s="58"/>
    </row>
    <row r="846">
      <c r="A846" s="58"/>
      <c r="B846" s="58"/>
      <c r="C846" s="58"/>
      <c r="D846" s="58"/>
      <c r="E846" s="58"/>
      <c r="F846" s="58"/>
      <c r="G846" s="58"/>
    </row>
    <row r="847">
      <c r="A847" s="58"/>
      <c r="B847" s="58"/>
      <c r="C847" s="58"/>
      <c r="D847" s="58"/>
      <c r="E847" s="58"/>
      <c r="F847" s="58"/>
      <c r="G847" s="58"/>
    </row>
    <row r="848">
      <c r="A848" s="58"/>
      <c r="B848" s="58"/>
      <c r="C848" s="58"/>
      <c r="D848" s="58"/>
      <c r="E848" s="58"/>
      <c r="F848" s="58"/>
      <c r="G848" s="58"/>
    </row>
    <row r="849">
      <c r="A849" s="58"/>
      <c r="B849" s="58"/>
      <c r="C849" s="58"/>
      <c r="D849" s="58"/>
      <c r="E849" s="58"/>
      <c r="F849" s="58"/>
      <c r="G849" s="58"/>
    </row>
    <row r="850">
      <c r="A850" s="58"/>
      <c r="B850" s="58"/>
      <c r="C850" s="58"/>
      <c r="D850" s="58"/>
      <c r="E850" s="58"/>
      <c r="F850" s="58"/>
      <c r="G850" s="58"/>
    </row>
    <row r="851">
      <c r="A851" s="58"/>
      <c r="B851" s="58"/>
      <c r="C851" s="58"/>
      <c r="D851" s="58"/>
      <c r="E851" s="58"/>
      <c r="F851" s="58"/>
      <c r="G851" s="58"/>
    </row>
    <row r="852">
      <c r="A852" s="58"/>
      <c r="B852" s="58"/>
      <c r="C852" s="58"/>
      <c r="D852" s="58"/>
      <c r="E852" s="58"/>
      <c r="F852" s="58"/>
      <c r="G852" s="58"/>
    </row>
    <row r="853">
      <c r="A853" s="58"/>
      <c r="B853" s="58"/>
      <c r="C853" s="58"/>
      <c r="D853" s="58"/>
      <c r="E853" s="58"/>
      <c r="F853" s="58"/>
      <c r="G853" s="58"/>
    </row>
    <row r="854">
      <c r="A854" s="58"/>
      <c r="B854" s="58"/>
      <c r="C854" s="58"/>
      <c r="D854" s="58"/>
      <c r="E854" s="58"/>
      <c r="F854" s="58"/>
      <c r="G854" s="58"/>
    </row>
    <row r="855">
      <c r="A855" s="58"/>
      <c r="B855" s="58"/>
      <c r="C855" s="58"/>
      <c r="D855" s="58"/>
      <c r="E855" s="58"/>
      <c r="F855" s="58"/>
      <c r="G855" s="58"/>
    </row>
    <row r="856">
      <c r="A856" s="58"/>
      <c r="B856" s="58"/>
      <c r="C856" s="58"/>
      <c r="D856" s="58"/>
      <c r="E856" s="58"/>
      <c r="F856" s="58"/>
      <c r="G856" s="58"/>
    </row>
    <row r="857">
      <c r="A857" s="58"/>
      <c r="B857" s="58"/>
      <c r="C857" s="58"/>
      <c r="D857" s="58"/>
      <c r="E857" s="58"/>
      <c r="F857" s="58"/>
      <c r="G857" s="58"/>
    </row>
    <row r="858">
      <c r="A858" s="58"/>
      <c r="B858" s="58"/>
      <c r="C858" s="58"/>
      <c r="D858" s="58"/>
      <c r="E858" s="58"/>
      <c r="F858" s="58"/>
      <c r="G858" s="58"/>
    </row>
    <row r="859">
      <c r="A859" s="58"/>
      <c r="B859" s="58"/>
      <c r="C859" s="58"/>
      <c r="D859" s="58"/>
      <c r="E859" s="58"/>
      <c r="F859" s="58"/>
      <c r="G859" s="58"/>
    </row>
    <row r="860">
      <c r="A860" s="58"/>
      <c r="B860" s="58"/>
      <c r="C860" s="58"/>
      <c r="D860" s="58"/>
      <c r="E860" s="58"/>
      <c r="F860" s="58"/>
      <c r="G860" s="58"/>
    </row>
    <row r="861">
      <c r="A861" s="58"/>
      <c r="B861" s="58"/>
      <c r="C861" s="58"/>
      <c r="D861" s="58"/>
      <c r="E861" s="58"/>
      <c r="F861" s="58"/>
      <c r="G861" s="58"/>
    </row>
    <row r="862">
      <c r="A862" s="58"/>
      <c r="B862" s="58"/>
      <c r="C862" s="58"/>
      <c r="D862" s="58"/>
      <c r="E862" s="58"/>
      <c r="F862" s="58"/>
      <c r="G862" s="58"/>
    </row>
    <row r="863">
      <c r="A863" s="58"/>
      <c r="B863" s="58"/>
      <c r="C863" s="58"/>
      <c r="D863" s="58"/>
      <c r="E863" s="58"/>
      <c r="F863" s="58"/>
      <c r="G863" s="58"/>
    </row>
    <row r="864">
      <c r="A864" s="58"/>
      <c r="B864" s="58"/>
      <c r="C864" s="58"/>
      <c r="D864" s="58"/>
      <c r="E864" s="58"/>
      <c r="F864" s="58"/>
      <c r="G864" s="58"/>
    </row>
    <row r="865">
      <c r="A865" s="58"/>
      <c r="B865" s="58"/>
      <c r="C865" s="58"/>
      <c r="D865" s="58"/>
      <c r="E865" s="58"/>
      <c r="F865" s="58"/>
      <c r="G865" s="58"/>
    </row>
    <row r="866">
      <c r="A866" s="58"/>
      <c r="B866" s="58"/>
      <c r="C866" s="58"/>
      <c r="D866" s="58"/>
      <c r="E866" s="58"/>
      <c r="F866" s="58"/>
      <c r="G866" s="58"/>
    </row>
    <row r="867">
      <c r="A867" s="58"/>
      <c r="B867" s="58"/>
      <c r="C867" s="58"/>
      <c r="D867" s="58"/>
      <c r="E867" s="58"/>
      <c r="F867" s="58"/>
      <c r="G867" s="58"/>
    </row>
    <row r="868">
      <c r="A868" s="58"/>
      <c r="B868" s="58"/>
      <c r="C868" s="58"/>
      <c r="D868" s="58"/>
      <c r="E868" s="58"/>
      <c r="F868" s="58"/>
      <c r="G868" s="58"/>
    </row>
    <row r="869">
      <c r="A869" s="58"/>
      <c r="B869" s="58"/>
      <c r="C869" s="58"/>
      <c r="D869" s="58"/>
      <c r="E869" s="58"/>
      <c r="F869" s="58"/>
      <c r="G869" s="58"/>
    </row>
    <row r="870">
      <c r="A870" s="58"/>
      <c r="B870" s="58"/>
      <c r="C870" s="58"/>
      <c r="D870" s="58"/>
      <c r="E870" s="58"/>
      <c r="F870" s="58"/>
      <c r="G870" s="58"/>
    </row>
    <row r="871">
      <c r="A871" s="58"/>
      <c r="B871" s="58"/>
      <c r="C871" s="58"/>
      <c r="D871" s="58"/>
      <c r="E871" s="58"/>
      <c r="F871" s="58"/>
      <c r="G871" s="58"/>
    </row>
    <row r="872">
      <c r="A872" s="58"/>
      <c r="B872" s="58"/>
      <c r="C872" s="58"/>
      <c r="D872" s="58"/>
      <c r="E872" s="58"/>
      <c r="F872" s="58"/>
      <c r="G872" s="58"/>
    </row>
    <row r="873">
      <c r="A873" s="58"/>
      <c r="B873" s="58"/>
      <c r="C873" s="58"/>
      <c r="D873" s="58"/>
      <c r="E873" s="58"/>
      <c r="F873" s="58"/>
      <c r="G873" s="58"/>
    </row>
    <row r="874">
      <c r="A874" s="58"/>
      <c r="B874" s="58"/>
      <c r="C874" s="58"/>
      <c r="D874" s="58"/>
      <c r="E874" s="58"/>
      <c r="F874" s="58"/>
      <c r="G874" s="58"/>
    </row>
    <row r="875">
      <c r="A875" s="58"/>
      <c r="B875" s="58"/>
      <c r="C875" s="58"/>
      <c r="D875" s="58"/>
      <c r="E875" s="58"/>
      <c r="F875" s="58"/>
      <c r="G875" s="58"/>
    </row>
    <row r="876">
      <c r="A876" s="58"/>
      <c r="B876" s="58"/>
      <c r="C876" s="58"/>
      <c r="D876" s="58"/>
      <c r="E876" s="58"/>
      <c r="F876" s="58"/>
      <c r="G876" s="58"/>
    </row>
    <row r="877">
      <c r="A877" s="58"/>
      <c r="B877" s="58"/>
      <c r="C877" s="58"/>
      <c r="D877" s="58"/>
      <c r="E877" s="58"/>
      <c r="F877" s="58"/>
      <c r="G877" s="58"/>
    </row>
    <row r="878">
      <c r="A878" s="58"/>
      <c r="B878" s="58"/>
      <c r="C878" s="58"/>
      <c r="D878" s="58"/>
      <c r="E878" s="58"/>
      <c r="F878" s="58"/>
      <c r="G878" s="58"/>
    </row>
    <row r="879">
      <c r="A879" s="58"/>
      <c r="B879" s="58"/>
      <c r="C879" s="58"/>
      <c r="D879" s="58"/>
      <c r="E879" s="58"/>
      <c r="F879" s="58"/>
      <c r="G879" s="58"/>
    </row>
    <row r="880">
      <c r="A880" s="58"/>
      <c r="B880" s="58"/>
      <c r="C880" s="58"/>
      <c r="D880" s="58"/>
      <c r="E880" s="58"/>
      <c r="F880" s="58"/>
      <c r="G880" s="58"/>
    </row>
    <row r="881">
      <c r="A881" s="58"/>
      <c r="B881" s="58"/>
      <c r="C881" s="58"/>
      <c r="D881" s="58"/>
      <c r="E881" s="58"/>
      <c r="F881" s="58"/>
      <c r="G881" s="58"/>
    </row>
    <row r="882">
      <c r="A882" s="58"/>
      <c r="B882" s="58"/>
      <c r="C882" s="58"/>
      <c r="D882" s="58"/>
      <c r="E882" s="58"/>
      <c r="F882" s="58"/>
      <c r="G882" s="58"/>
    </row>
    <row r="883">
      <c r="A883" s="58"/>
      <c r="B883" s="58"/>
      <c r="C883" s="58"/>
      <c r="D883" s="58"/>
      <c r="E883" s="58"/>
      <c r="F883" s="58"/>
      <c r="G883" s="58"/>
    </row>
    <row r="884">
      <c r="A884" s="58"/>
      <c r="B884" s="58"/>
      <c r="C884" s="58"/>
      <c r="D884" s="58"/>
      <c r="E884" s="58"/>
      <c r="F884" s="58"/>
      <c r="G884" s="58"/>
    </row>
    <row r="885">
      <c r="A885" s="58"/>
      <c r="B885" s="58"/>
      <c r="C885" s="58"/>
      <c r="D885" s="58"/>
      <c r="E885" s="58"/>
      <c r="F885" s="58"/>
      <c r="G885" s="58"/>
    </row>
    <row r="886">
      <c r="A886" s="58"/>
      <c r="B886" s="58"/>
      <c r="C886" s="58"/>
      <c r="D886" s="58"/>
      <c r="E886" s="58"/>
      <c r="F886" s="58"/>
      <c r="G886" s="58"/>
    </row>
    <row r="887">
      <c r="A887" s="58"/>
      <c r="B887" s="58"/>
      <c r="C887" s="58"/>
      <c r="D887" s="58"/>
      <c r="E887" s="58"/>
      <c r="F887" s="58"/>
      <c r="G887" s="58"/>
    </row>
    <row r="888">
      <c r="A888" s="58"/>
      <c r="B888" s="58"/>
      <c r="C888" s="58"/>
      <c r="D888" s="58"/>
      <c r="E888" s="58"/>
      <c r="F888" s="58"/>
      <c r="G888" s="58"/>
    </row>
    <row r="889">
      <c r="A889" s="58"/>
      <c r="B889" s="58"/>
      <c r="C889" s="58"/>
      <c r="D889" s="58"/>
      <c r="E889" s="58"/>
      <c r="F889" s="58"/>
      <c r="G889" s="58"/>
    </row>
    <row r="890">
      <c r="A890" s="58"/>
      <c r="B890" s="58"/>
      <c r="C890" s="58"/>
      <c r="D890" s="58"/>
      <c r="E890" s="58"/>
      <c r="F890" s="58"/>
      <c r="G890" s="58"/>
    </row>
    <row r="891">
      <c r="A891" s="58"/>
      <c r="B891" s="58"/>
      <c r="C891" s="58"/>
      <c r="D891" s="58"/>
      <c r="E891" s="58"/>
      <c r="F891" s="58"/>
      <c r="G891" s="58"/>
    </row>
    <row r="892">
      <c r="A892" s="58"/>
      <c r="B892" s="58"/>
      <c r="C892" s="58"/>
      <c r="D892" s="58"/>
      <c r="E892" s="58"/>
      <c r="F892" s="58"/>
      <c r="G892" s="58"/>
    </row>
    <row r="893">
      <c r="A893" s="58"/>
      <c r="B893" s="58"/>
      <c r="C893" s="58"/>
      <c r="D893" s="58"/>
      <c r="E893" s="58"/>
      <c r="F893" s="58"/>
      <c r="G893" s="58"/>
    </row>
    <row r="894">
      <c r="A894" s="58"/>
      <c r="B894" s="58"/>
      <c r="C894" s="58"/>
      <c r="D894" s="58"/>
      <c r="E894" s="58"/>
      <c r="F894" s="58"/>
      <c r="G894" s="58"/>
    </row>
    <row r="895">
      <c r="A895" s="58"/>
      <c r="B895" s="58"/>
      <c r="C895" s="58"/>
      <c r="D895" s="58"/>
      <c r="E895" s="58"/>
      <c r="F895" s="58"/>
      <c r="G895" s="58"/>
    </row>
    <row r="896">
      <c r="A896" s="58"/>
      <c r="B896" s="58"/>
      <c r="C896" s="58"/>
      <c r="D896" s="58"/>
      <c r="E896" s="58"/>
      <c r="F896" s="58"/>
      <c r="G896" s="58"/>
    </row>
    <row r="897">
      <c r="A897" s="58"/>
      <c r="B897" s="58"/>
      <c r="C897" s="58"/>
      <c r="D897" s="58"/>
      <c r="E897" s="58"/>
      <c r="F897" s="58"/>
      <c r="G897" s="58"/>
    </row>
    <row r="898">
      <c r="A898" s="58"/>
      <c r="B898" s="58"/>
      <c r="C898" s="58"/>
      <c r="D898" s="58"/>
      <c r="E898" s="58"/>
      <c r="F898" s="58"/>
      <c r="G898" s="58"/>
    </row>
    <row r="899">
      <c r="A899" s="58"/>
      <c r="B899" s="58"/>
      <c r="C899" s="58"/>
      <c r="D899" s="58"/>
      <c r="E899" s="58"/>
      <c r="F899" s="58"/>
      <c r="G899" s="58"/>
    </row>
    <row r="900">
      <c r="A900" s="58"/>
      <c r="B900" s="58"/>
      <c r="C900" s="58"/>
      <c r="D900" s="58"/>
      <c r="E900" s="58"/>
      <c r="F900" s="58"/>
      <c r="G900" s="58"/>
    </row>
    <row r="901">
      <c r="A901" s="58"/>
      <c r="B901" s="58"/>
      <c r="C901" s="58"/>
      <c r="D901" s="58"/>
      <c r="E901" s="58"/>
      <c r="F901" s="58"/>
      <c r="G901" s="58"/>
    </row>
    <row r="902">
      <c r="A902" s="58"/>
      <c r="B902" s="58"/>
      <c r="C902" s="58"/>
      <c r="D902" s="58"/>
      <c r="E902" s="58"/>
      <c r="F902" s="58"/>
      <c r="G902" s="58"/>
    </row>
    <row r="903">
      <c r="A903" s="58"/>
      <c r="B903" s="58"/>
      <c r="C903" s="58"/>
      <c r="D903" s="58"/>
      <c r="E903" s="58"/>
      <c r="F903" s="58"/>
      <c r="G903" s="58"/>
    </row>
    <row r="904">
      <c r="A904" s="58"/>
      <c r="B904" s="58"/>
      <c r="C904" s="58"/>
      <c r="D904" s="58"/>
      <c r="E904" s="58"/>
      <c r="F904" s="58"/>
      <c r="G904" s="58"/>
    </row>
    <row r="905">
      <c r="A905" s="58"/>
      <c r="B905" s="58"/>
      <c r="C905" s="58"/>
      <c r="D905" s="58"/>
      <c r="E905" s="58"/>
      <c r="F905" s="58"/>
      <c r="G905" s="58"/>
    </row>
    <row r="906">
      <c r="A906" s="58"/>
      <c r="B906" s="58"/>
      <c r="C906" s="58"/>
      <c r="D906" s="58"/>
      <c r="E906" s="58"/>
      <c r="F906" s="58"/>
      <c r="G906" s="58"/>
    </row>
    <row r="907">
      <c r="A907" s="58"/>
      <c r="B907" s="58"/>
      <c r="C907" s="58"/>
      <c r="D907" s="58"/>
      <c r="E907" s="58"/>
      <c r="F907" s="58"/>
      <c r="G907" s="58"/>
    </row>
    <row r="908">
      <c r="A908" s="58"/>
      <c r="B908" s="58"/>
      <c r="C908" s="58"/>
      <c r="D908" s="58"/>
      <c r="E908" s="58"/>
      <c r="F908" s="58"/>
      <c r="G908" s="58"/>
    </row>
    <row r="909">
      <c r="A909" s="58"/>
      <c r="B909" s="58"/>
      <c r="C909" s="58"/>
      <c r="D909" s="58"/>
      <c r="E909" s="58"/>
      <c r="F909" s="58"/>
      <c r="G909" s="58"/>
    </row>
    <row r="910">
      <c r="A910" s="58"/>
      <c r="B910" s="58"/>
      <c r="C910" s="58"/>
      <c r="D910" s="58"/>
      <c r="E910" s="58"/>
      <c r="F910" s="58"/>
      <c r="G910" s="58"/>
    </row>
    <row r="911">
      <c r="A911" s="58"/>
      <c r="B911" s="58"/>
      <c r="C911" s="58"/>
      <c r="D911" s="58"/>
      <c r="E911" s="58"/>
      <c r="F911" s="58"/>
      <c r="G911" s="58"/>
    </row>
    <row r="912">
      <c r="A912" s="58"/>
      <c r="B912" s="58"/>
      <c r="C912" s="58"/>
      <c r="D912" s="58"/>
      <c r="E912" s="58"/>
      <c r="F912" s="58"/>
      <c r="G912" s="58"/>
    </row>
    <row r="913">
      <c r="A913" s="58"/>
      <c r="B913" s="58"/>
      <c r="C913" s="58"/>
      <c r="D913" s="58"/>
      <c r="E913" s="58"/>
      <c r="F913" s="58"/>
      <c r="G913" s="58"/>
    </row>
    <row r="914">
      <c r="A914" s="58"/>
      <c r="B914" s="58"/>
      <c r="C914" s="58"/>
      <c r="D914" s="58"/>
      <c r="E914" s="58"/>
      <c r="F914" s="58"/>
      <c r="G914" s="58"/>
    </row>
    <row r="915">
      <c r="A915" s="58"/>
      <c r="B915" s="58"/>
      <c r="C915" s="58"/>
      <c r="D915" s="58"/>
      <c r="E915" s="58"/>
      <c r="F915" s="58"/>
      <c r="G915" s="58"/>
    </row>
    <row r="916">
      <c r="A916" s="58"/>
      <c r="B916" s="58"/>
      <c r="C916" s="58"/>
      <c r="D916" s="58"/>
      <c r="E916" s="58"/>
      <c r="F916" s="58"/>
      <c r="G916" s="58"/>
    </row>
    <row r="917">
      <c r="A917" s="58"/>
      <c r="B917" s="58"/>
      <c r="C917" s="58"/>
      <c r="D917" s="58"/>
      <c r="E917" s="58"/>
      <c r="F917" s="58"/>
      <c r="G917" s="58"/>
    </row>
    <row r="918">
      <c r="A918" s="58"/>
      <c r="B918" s="58"/>
      <c r="C918" s="58"/>
      <c r="D918" s="58"/>
      <c r="E918" s="58"/>
      <c r="F918" s="58"/>
      <c r="G918" s="58"/>
    </row>
    <row r="919">
      <c r="A919" s="58"/>
      <c r="B919" s="58"/>
      <c r="C919" s="58"/>
      <c r="D919" s="58"/>
      <c r="E919" s="58"/>
      <c r="F919" s="58"/>
      <c r="G919" s="58"/>
    </row>
    <row r="920">
      <c r="A920" s="58"/>
      <c r="B920" s="58"/>
      <c r="C920" s="58"/>
      <c r="D920" s="58"/>
      <c r="E920" s="58"/>
      <c r="F920" s="58"/>
      <c r="G920" s="58"/>
    </row>
    <row r="921">
      <c r="A921" s="58"/>
      <c r="B921" s="58"/>
      <c r="C921" s="58"/>
      <c r="D921" s="58"/>
      <c r="E921" s="58"/>
      <c r="F921" s="58"/>
      <c r="G921" s="58"/>
    </row>
    <row r="922">
      <c r="A922" s="58"/>
      <c r="B922" s="58"/>
      <c r="C922" s="58"/>
      <c r="D922" s="58"/>
      <c r="E922" s="58"/>
      <c r="F922" s="58"/>
      <c r="G922" s="58"/>
    </row>
    <row r="923">
      <c r="A923" s="58"/>
      <c r="B923" s="58"/>
      <c r="C923" s="58"/>
      <c r="D923" s="58"/>
      <c r="E923" s="58"/>
      <c r="F923" s="58"/>
      <c r="G923" s="58"/>
    </row>
    <row r="924">
      <c r="A924" s="58"/>
      <c r="B924" s="58"/>
      <c r="C924" s="58"/>
      <c r="D924" s="58"/>
      <c r="E924" s="58"/>
      <c r="F924" s="58"/>
      <c r="G924" s="58"/>
    </row>
    <row r="925">
      <c r="A925" s="58"/>
      <c r="B925" s="58"/>
      <c r="C925" s="58"/>
      <c r="D925" s="58"/>
      <c r="E925" s="58"/>
      <c r="F925" s="58"/>
      <c r="G925" s="58"/>
    </row>
    <row r="926">
      <c r="A926" s="58"/>
      <c r="B926" s="58"/>
      <c r="C926" s="58"/>
      <c r="D926" s="58"/>
      <c r="E926" s="58"/>
      <c r="F926" s="58"/>
      <c r="G926" s="58"/>
    </row>
    <row r="927">
      <c r="A927" s="58"/>
      <c r="B927" s="58"/>
      <c r="C927" s="58"/>
      <c r="D927" s="58"/>
      <c r="E927" s="58"/>
      <c r="F927" s="58"/>
      <c r="G927" s="58"/>
    </row>
    <row r="928">
      <c r="A928" s="58"/>
      <c r="B928" s="58"/>
      <c r="C928" s="58"/>
      <c r="D928" s="58"/>
      <c r="E928" s="58"/>
      <c r="F928" s="58"/>
      <c r="G928" s="58"/>
    </row>
    <row r="929">
      <c r="A929" s="58"/>
      <c r="B929" s="58"/>
      <c r="C929" s="58"/>
      <c r="D929" s="58"/>
      <c r="E929" s="58"/>
      <c r="F929" s="58"/>
      <c r="G929" s="58"/>
    </row>
    <row r="930">
      <c r="A930" s="58"/>
      <c r="B930" s="58"/>
      <c r="C930" s="58"/>
      <c r="D930" s="58"/>
      <c r="E930" s="58"/>
      <c r="F930" s="58"/>
      <c r="G930" s="58"/>
    </row>
    <row r="931">
      <c r="A931" s="58"/>
      <c r="B931" s="58"/>
      <c r="C931" s="58"/>
      <c r="D931" s="58"/>
      <c r="E931" s="58"/>
      <c r="F931" s="58"/>
      <c r="G931" s="58"/>
    </row>
    <row r="932">
      <c r="A932" s="58"/>
      <c r="B932" s="58"/>
      <c r="C932" s="58"/>
      <c r="D932" s="58"/>
      <c r="E932" s="58"/>
      <c r="F932" s="58"/>
      <c r="G932" s="58"/>
    </row>
    <row r="933">
      <c r="A933" s="58"/>
      <c r="B933" s="58"/>
      <c r="C933" s="58"/>
      <c r="D933" s="58"/>
      <c r="E933" s="58"/>
      <c r="F933" s="58"/>
      <c r="G933" s="58"/>
    </row>
    <row r="934">
      <c r="A934" s="58"/>
      <c r="B934" s="58"/>
      <c r="C934" s="58"/>
      <c r="D934" s="58"/>
      <c r="E934" s="58"/>
      <c r="F934" s="58"/>
      <c r="G934" s="58"/>
    </row>
    <row r="935">
      <c r="A935" s="58"/>
      <c r="B935" s="58"/>
      <c r="C935" s="58"/>
      <c r="D935" s="58"/>
      <c r="E935" s="58"/>
      <c r="F935" s="58"/>
      <c r="G935" s="58"/>
    </row>
    <row r="936">
      <c r="A936" s="58"/>
      <c r="B936" s="58"/>
      <c r="C936" s="58"/>
      <c r="D936" s="58"/>
      <c r="E936" s="58"/>
      <c r="F936" s="58"/>
      <c r="G936" s="58"/>
    </row>
    <row r="937">
      <c r="A937" s="58"/>
      <c r="B937" s="58"/>
      <c r="C937" s="58"/>
      <c r="D937" s="58"/>
      <c r="E937" s="58"/>
      <c r="F937" s="58"/>
      <c r="G937" s="58"/>
    </row>
    <row r="938">
      <c r="A938" s="58"/>
      <c r="B938" s="58"/>
      <c r="C938" s="58"/>
      <c r="D938" s="58"/>
      <c r="E938" s="58"/>
      <c r="F938" s="58"/>
      <c r="G938" s="58"/>
    </row>
    <row r="939">
      <c r="A939" s="58"/>
      <c r="B939" s="58"/>
      <c r="C939" s="58"/>
      <c r="D939" s="58"/>
      <c r="E939" s="58"/>
      <c r="F939" s="58"/>
      <c r="G939" s="58"/>
    </row>
    <row r="940">
      <c r="A940" s="58"/>
      <c r="B940" s="58"/>
      <c r="C940" s="58"/>
      <c r="D940" s="58"/>
      <c r="E940" s="58"/>
      <c r="F940" s="58"/>
      <c r="G940" s="58"/>
    </row>
    <row r="941">
      <c r="A941" s="58"/>
      <c r="B941" s="58"/>
      <c r="C941" s="58"/>
      <c r="D941" s="58"/>
      <c r="E941" s="58"/>
      <c r="F941" s="58"/>
      <c r="G941" s="58"/>
    </row>
    <row r="942">
      <c r="A942" s="58"/>
      <c r="B942" s="58"/>
      <c r="C942" s="58"/>
      <c r="D942" s="58"/>
      <c r="E942" s="58"/>
      <c r="F942" s="58"/>
      <c r="G942" s="58"/>
    </row>
    <row r="943">
      <c r="A943" s="58"/>
      <c r="B943" s="58"/>
      <c r="C943" s="58"/>
      <c r="D943" s="58"/>
      <c r="E943" s="58"/>
      <c r="F943" s="58"/>
      <c r="G943" s="58"/>
    </row>
    <row r="944">
      <c r="A944" s="58"/>
      <c r="B944" s="58"/>
      <c r="C944" s="58"/>
      <c r="D944" s="58"/>
      <c r="E944" s="58"/>
      <c r="F944" s="58"/>
      <c r="G944" s="58"/>
    </row>
    <row r="945">
      <c r="A945" s="58"/>
      <c r="B945" s="58"/>
      <c r="C945" s="58"/>
      <c r="D945" s="58"/>
      <c r="E945" s="58"/>
      <c r="F945" s="58"/>
      <c r="G945" s="58"/>
    </row>
    <row r="946">
      <c r="A946" s="58"/>
      <c r="B946" s="58"/>
      <c r="C946" s="58"/>
      <c r="D946" s="58"/>
      <c r="E946" s="58"/>
      <c r="F946" s="58"/>
      <c r="G946" s="58"/>
    </row>
    <row r="947">
      <c r="A947" s="58"/>
      <c r="B947" s="58"/>
      <c r="C947" s="58"/>
      <c r="D947" s="58"/>
      <c r="E947" s="58"/>
      <c r="F947" s="58"/>
      <c r="G947" s="58"/>
    </row>
    <row r="948">
      <c r="A948" s="58"/>
      <c r="B948" s="58"/>
      <c r="C948" s="58"/>
      <c r="D948" s="58"/>
      <c r="E948" s="58"/>
      <c r="F948" s="58"/>
      <c r="G948" s="58"/>
    </row>
    <row r="949">
      <c r="A949" s="58"/>
      <c r="B949" s="58"/>
      <c r="C949" s="58"/>
      <c r="D949" s="58"/>
      <c r="E949" s="58"/>
      <c r="F949" s="58"/>
      <c r="G949" s="58"/>
    </row>
    <row r="950">
      <c r="A950" s="58"/>
      <c r="B950" s="58"/>
      <c r="C950" s="58"/>
      <c r="D950" s="58"/>
      <c r="E950" s="58"/>
      <c r="F950" s="58"/>
      <c r="G950" s="58"/>
    </row>
    <row r="951">
      <c r="A951" s="58"/>
      <c r="B951" s="58"/>
      <c r="C951" s="58"/>
      <c r="D951" s="58"/>
      <c r="E951" s="58"/>
      <c r="F951" s="58"/>
      <c r="G951" s="58"/>
    </row>
    <row r="952">
      <c r="A952" s="58"/>
      <c r="B952" s="58"/>
      <c r="C952" s="58"/>
      <c r="D952" s="58"/>
      <c r="E952" s="58"/>
      <c r="F952" s="58"/>
      <c r="G952" s="58"/>
    </row>
    <row r="953">
      <c r="A953" s="58"/>
      <c r="B953" s="58"/>
      <c r="C953" s="58"/>
      <c r="D953" s="58"/>
      <c r="E953" s="58"/>
      <c r="F953" s="58"/>
      <c r="G953" s="58"/>
    </row>
    <row r="954">
      <c r="A954" s="58"/>
      <c r="B954" s="58"/>
      <c r="C954" s="58"/>
      <c r="D954" s="58"/>
      <c r="E954" s="58"/>
      <c r="F954" s="58"/>
      <c r="G954" s="58"/>
    </row>
    <row r="955">
      <c r="A955" s="58"/>
      <c r="B955" s="58"/>
      <c r="C955" s="58"/>
      <c r="D955" s="58"/>
      <c r="E955" s="58"/>
      <c r="F955" s="58"/>
      <c r="G955" s="58"/>
    </row>
    <row r="956">
      <c r="A956" s="58"/>
      <c r="B956" s="58"/>
      <c r="C956" s="58"/>
      <c r="D956" s="58"/>
      <c r="E956" s="58"/>
      <c r="F956" s="58"/>
      <c r="G956" s="58"/>
    </row>
    <row r="957">
      <c r="A957" s="58"/>
      <c r="B957" s="58"/>
      <c r="C957" s="58"/>
      <c r="D957" s="58"/>
      <c r="E957" s="58"/>
      <c r="F957" s="58"/>
      <c r="G957" s="58"/>
    </row>
    <row r="958">
      <c r="A958" s="58"/>
      <c r="B958" s="58"/>
      <c r="C958" s="58"/>
      <c r="D958" s="58"/>
      <c r="E958" s="58"/>
      <c r="F958" s="58"/>
      <c r="G958" s="58"/>
    </row>
    <row r="959">
      <c r="A959" s="58"/>
      <c r="B959" s="58"/>
      <c r="C959" s="58"/>
      <c r="D959" s="58"/>
      <c r="E959" s="58"/>
      <c r="F959" s="58"/>
      <c r="G959" s="58"/>
    </row>
    <row r="960">
      <c r="A960" s="58"/>
      <c r="B960" s="58"/>
      <c r="C960" s="58"/>
      <c r="D960" s="58"/>
      <c r="E960" s="58"/>
      <c r="F960" s="58"/>
      <c r="G960" s="58"/>
    </row>
    <row r="961">
      <c r="A961" s="58"/>
      <c r="B961" s="58"/>
      <c r="C961" s="58"/>
      <c r="D961" s="58"/>
      <c r="E961" s="58"/>
      <c r="F961" s="58"/>
      <c r="G961" s="58"/>
    </row>
    <row r="962">
      <c r="A962" s="58"/>
      <c r="B962" s="58"/>
      <c r="C962" s="58"/>
      <c r="D962" s="58"/>
      <c r="E962" s="58"/>
      <c r="F962" s="58"/>
      <c r="G962" s="58"/>
    </row>
    <row r="963">
      <c r="A963" s="58"/>
      <c r="B963" s="58"/>
      <c r="C963" s="58"/>
      <c r="D963" s="58"/>
      <c r="E963" s="58"/>
      <c r="F963" s="58"/>
      <c r="G963" s="58"/>
    </row>
    <row r="964">
      <c r="A964" s="58"/>
      <c r="B964" s="58"/>
      <c r="C964" s="58"/>
      <c r="D964" s="58"/>
      <c r="E964" s="58"/>
      <c r="F964" s="58"/>
      <c r="G964" s="58"/>
    </row>
    <row r="965">
      <c r="A965" s="58"/>
      <c r="B965" s="58"/>
      <c r="C965" s="58"/>
      <c r="D965" s="58"/>
      <c r="E965" s="58"/>
      <c r="F965" s="58"/>
      <c r="G965" s="58"/>
    </row>
    <row r="966">
      <c r="A966" s="58"/>
      <c r="B966" s="58"/>
      <c r="C966" s="58"/>
      <c r="D966" s="58"/>
      <c r="E966" s="58"/>
      <c r="F966" s="58"/>
      <c r="G966" s="58"/>
    </row>
    <row r="967">
      <c r="A967" s="58"/>
      <c r="B967" s="58"/>
      <c r="C967" s="58"/>
      <c r="D967" s="58"/>
      <c r="E967" s="58"/>
      <c r="F967" s="58"/>
      <c r="G967" s="58"/>
    </row>
    <row r="968">
      <c r="A968" s="58"/>
      <c r="B968" s="58"/>
      <c r="C968" s="58"/>
      <c r="D968" s="58"/>
      <c r="E968" s="58"/>
      <c r="F968" s="58"/>
      <c r="G968" s="58"/>
    </row>
    <row r="969">
      <c r="A969" s="58"/>
      <c r="B969" s="58"/>
      <c r="C969" s="58"/>
      <c r="D969" s="58"/>
      <c r="E969" s="58"/>
      <c r="F969" s="58"/>
      <c r="G969" s="58"/>
    </row>
    <row r="970">
      <c r="A970" s="58"/>
      <c r="B970" s="58"/>
      <c r="C970" s="58"/>
      <c r="D970" s="58"/>
      <c r="E970" s="58"/>
      <c r="F970" s="58"/>
      <c r="G970" s="58"/>
    </row>
    <row r="971">
      <c r="A971" s="58"/>
      <c r="B971" s="58"/>
      <c r="C971" s="58"/>
      <c r="D971" s="58"/>
      <c r="E971" s="58"/>
      <c r="F971" s="58"/>
      <c r="G971" s="58"/>
    </row>
    <row r="972">
      <c r="A972" s="58"/>
      <c r="B972" s="58"/>
      <c r="C972" s="58"/>
      <c r="D972" s="58"/>
      <c r="E972" s="58"/>
      <c r="F972" s="58"/>
      <c r="G972" s="58"/>
    </row>
    <row r="973">
      <c r="A973" s="58"/>
      <c r="B973" s="58"/>
      <c r="C973" s="58"/>
      <c r="D973" s="58"/>
      <c r="E973" s="58"/>
      <c r="F973" s="58"/>
      <c r="G973" s="58"/>
    </row>
    <row r="974">
      <c r="A974" s="58"/>
      <c r="B974" s="58"/>
      <c r="C974" s="58"/>
      <c r="D974" s="58"/>
      <c r="E974" s="58"/>
      <c r="F974" s="58"/>
      <c r="G974" s="58"/>
    </row>
    <row r="975">
      <c r="A975" s="58"/>
      <c r="B975" s="58"/>
      <c r="C975" s="58"/>
      <c r="D975" s="58"/>
      <c r="E975" s="58"/>
      <c r="F975" s="58"/>
      <c r="G975" s="58"/>
    </row>
    <row r="976">
      <c r="A976" s="58"/>
      <c r="B976" s="58"/>
      <c r="C976" s="58"/>
      <c r="D976" s="58"/>
      <c r="E976" s="58"/>
      <c r="F976" s="58"/>
      <c r="G976" s="58"/>
    </row>
    <row r="977">
      <c r="A977" s="58"/>
      <c r="B977" s="58"/>
      <c r="C977" s="58"/>
      <c r="D977" s="58"/>
      <c r="E977" s="58"/>
      <c r="F977" s="58"/>
      <c r="G977" s="58"/>
    </row>
    <row r="978">
      <c r="A978" s="58"/>
      <c r="B978" s="58"/>
      <c r="C978" s="58"/>
      <c r="D978" s="58"/>
      <c r="E978" s="58"/>
      <c r="F978" s="58"/>
      <c r="G978" s="58"/>
    </row>
    <row r="979">
      <c r="A979" s="58"/>
      <c r="B979" s="58"/>
      <c r="C979" s="58"/>
      <c r="D979" s="58"/>
      <c r="E979" s="58"/>
      <c r="F979" s="58"/>
      <c r="G979" s="58"/>
    </row>
    <row r="980">
      <c r="A980" s="58"/>
      <c r="B980" s="58"/>
      <c r="C980" s="58"/>
      <c r="D980" s="58"/>
      <c r="E980" s="58"/>
      <c r="F980" s="58"/>
      <c r="G980" s="58"/>
    </row>
    <row r="981">
      <c r="A981" s="58"/>
      <c r="B981" s="58"/>
      <c r="C981" s="58"/>
      <c r="D981" s="58"/>
      <c r="E981" s="58"/>
      <c r="F981" s="58"/>
      <c r="G981" s="58"/>
    </row>
    <row r="982">
      <c r="A982" s="58"/>
      <c r="B982" s="58"/>
      <c r="C982" s="58"/>
      <c r="D982" s="58"/>
      <c r="E982" s="58"/>
      <c r="F982" s="58"/>
      <c r="G982" s="58"/>
    </row>
    <row r="983">
      <c r="A983" s="58"/>
      <c r="B983" s="58"/>
      <c r="C983" s="58"/>
      <c r="D983" s="58"/>
      <c r="E983" s="58"/>
      <c r="F983" s="58"/>
      <c r="G983" s="58"/>
    </row>
    <row r="984">
      <c r="A984" s="58"/>
      <c r="B984" s="58"/>
      <c r="C984" s="58"/>
      <c r="D984" s="58"/>
      <c r="E984" s="58"/>
      <c r="F984" s="58"/>
      <c r="G984" s="58"/>
    </row>
    <row r="985">
      <c r="A985" s="58"/>
      <c r="B985" s="58"/>
      <c r="C985" s="58"/>
      <c r="D985" s="58"/>
      <c r="E985" s="58"/>
      <c r="F985" s="58"/>
      <c r="G985" s="58"/>
    </row>
    <row r="986">
      <c r="A986" s="58"/>
      <c r="B986" s="58"/>
      <c r="C986" s="58"/>
      <c r="D986" s="58"/>
      <c r="E986" s="58"/>
      <c r="F986" s="58"/>
      <c r="G986" s="58"/>
    </row>
    <row r="987">
      <c r="A987" s="58"/>
      <c r="B987" s="58"/>
      <c r="C987" s="58"/>
      <c r="D987" s="58"/>
      <c r="E987" s="58"/>
      <c r="F987" s="58"/>
      <c r="G987" s="58"/>
    </row>
    <row r="988">
      <c r="A988" s="58"/>
      <c r="B988" s="58"/>
      <c r="C988" s="58"/>
      <c r="D988" s="58"/>
      <c r="E988" s="58"/>
      <c r="F988" s="58"/>
      <c r="G988" s="58"/>
    </row>
    <row r="989">
      <c r="A989" s="58"/>
      <c r="B989" s="58"/>
      <c r="C989" s="58"/>
      <c r="D989" s="58"/>
      <c r="E989" s="58"/>
      <c r="F989" s="58"/>
      <c r="G989" s="58"/>
    </row>
    <row r="990">
      <c r="A990" s="58"/>
      <c r="B990" s="58"/>
      <c r="C990" s="58"/>
      <c r="D990" s="58"/>
      <c r="E990" s="58"/>
      <c r="F990" s="58"/>
      <c r="G990" s="58"/>
    </row>
    <row r="991">
      <c r="A991" s="58"/>
      <c r="B991" s="58"/>
      <c r="C991" s="58"/>
      <c r="D991" s="58"/>
      <c r="E991" s="58"/>
      <c r="F991" s="58"/>
      <c r="G991" s="58"/>
    </row>
    <row r="992">
      <c r="A992" s="58"/>
      <c r="B992" s="58"/>
      <c r="C992" s="58"/>
      <c r="D992" s="58"/>
      <c r="E992" s="58"/>
      <c r="F992" s="58"/>
      <c r="G992" s="58"/>
    </row>
    <row r="993">
      <c r="A993" s="58"/>
      <c r="B993" s="58"/>
      <c r="C993" s="58"/>
      <c r="D993" s="58"/>
      <c r="E993" s="58"/>
      <c r="F993" s="58"/>
      <c r="G993" s="58"/>
    </row>
    <row r="994">
      <c r="A994" s="58"/>
      <c r="B994" s="58"/>
      <c r="C994" s="58"/>
      <c r="D994" s="58"/>
      <c r="E994" s="58"/>
      <c r="F994" s="58"/>
      <c r="G994" s="58"/>
    </row>
    <row r="995">
      <c r="A995" s="58"/>
      <c r="B995" s="58"/>
      <c r="C995" s="58"/>
      <c r="D995" s="58"/>
      <c r="E995" s="58"/>
      <c r="F995" s="58"/>
      <c r="G995" s="58"/>
    </row>
    <row r="996">
      <c r="A996" s="58"/>
      <c r="B996" s="58"/>
      <c r="C996" s="58"/>
      <c r="D996" s="58"/>
      <c r="E996" s="58"/>
      <c r="F996" s="58"/>
      <c r="G996" s="58"/>
    </row>
    <row r="997">
      <c r="A997" s="58"/>
      <c r="B997" s="58"/>
      <c r="C997" s="58"/>
      <c r="D997" s="58"/>
      <c r="E997" s="58"/>
      <c r="F997" s="58"/>
      <c r="G997" s="58"/>
    </row>
    <row r="998">
      <c r="A998" s="58"/>
      <c r="B998" s="58"/>
      <c r="C998" s="58"/>
      <c r="D998" s="58"/>
      <c r="E998" s="58"/>
      <c r="F998" s="58"/>
      <c r="G998" s="58"/>
    </row>
  </sheetData>
  <mergeCells count="1">
    <mergeCell ref="A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14"/>
    <col customWidth="1" min="2" max="2" width="25.43"/>
    <col customWidth="1" min="3" max="3" width="29.43"/>
    <col customWidth="1" min="4" max="4" width="28.14"/>
    <col customWidth="1" min="5" max="7" width="20.57"/>
    <col customWidth="1" min="8" max="8" width="23.14"/>
    <col customWidth="1" min="9" max="9" width="24.14"/>
  </cols>
  <sheetData>
    <row r="1">
      <c r="A1" s="1169"/>
      <c r="B1" s="2"/>
      <c r="C1" s="2"/>
      <c r="D1" s="2"/>
      <c r="E1" s="2"/>
      <c r="F1" s="2"/>
      <c r="G1" s="2"/>
      <c r="H1" s="2"/>
      <c r="I1" s="3"/>
    </row>
    <row r="2">
      <c r="A2" s="1170" t="s">
        <v>1824</v>
      </c>
      <c r="B2" s="1170" t="s">
        <v>5942</v>
      </c>
      <c r="C2" s="1170" t="s">
        <v>5943</v>
      </c>
      <c r="D2" s="1170" t="s">
        <v>1440</v>
      </c>
      <c r="E2" s="1171" t="s">
        <v>5944</v>
      </c>
      <c r="F2" s="1170" t="s">
        <v>5945</v>
      </c>
      <c r="G2" s="1171" t="s">
        <v>5946</v>
      </c>
      <c r="H2" s="1170" t="s">
        <v>6</v>
      </c>
      <c r="I2" s="1170" t="s">
        <v>5947</v>
      </c>
    </row>
    <row r="3">
      <c r="A3" s="1172">
        <v>1.0</v>
      </c>
      <c r="B3" s="1172" t="s">
        <v>5948</v>
      </c>
      <c r="C3" s="1172" t="s">
        <v>5949</v>
      </c>
      <c r="D3" s="1172" t="s">
        <v>5950</v>
      </c>
      <c r="E3" s="1173">
        <v>44727.0</v>
      </c>
      <c r="F3" s="1172" t="s">
        <v>5951</v>
      </c>
      <c r="G3" s="1174"/>
      <c r="H3" s="1175"/>
      <c r="I3" s="1175"/>
    </row>
    <row r="4">
      <c r="A4" s="1172">
        <v>2.0</v>
      </c>
      <c r="B4" s="1172" t="s">
        <v>5948</v>
      </c>
      <c r="C4" s="1172" t="s">
        <v>5949</v>
      </c>
      <c r="D4" s="1172" t="s">
        <v>5952</v>
      </c>
      <c r="E4" s="1173">
        <v>44727.0</v>
      </c>
      <c r="F4" s="1172" t="s">
        <v>5951</v>
      </c>
      <c r="G4" s="1174"/>
      <c r="H4" s="1175"/>
      <c r="I4" s="1175"/>
    </row>
    <row r="5">
      <c r="A5" s="1176">
        <v>3.0</v>
      </c>
      <c r="B5" s="1176" t="s">
        <v>5948</v>
      </c>
      <c r="C5" s="1176" t="s">
        <v>5949</v>
      </c>
      <c r="D5" s="1176" t="s">
        <v>5953</v>
      </c>
      <c r="E5" s="1177">
        <v>44732.0</v>
      </c>
      <c r="F5" s="1178" t="s">
        <v>5954</v>
      </c>
      <c r="G5" s="1177">
        <v>44733.0</v>
      </c>
      <c r="H5" s="1178" t="s">
        <v>5955</v>
      </c>
      <c r="I5" s="1178" t="s">
        <v>5956</v>
      </c>
    </row>
    <row r="6">
      <c r="A6" s="1176">
        <v>4.0</v>
      </c>
      <c r="B6" s="1176" t="s">
        <v>5948</v>
      </c>
      <c r="C6" s="1176" t="s">
        <v>5949</v>
      </c>
      <c r="D6" s="1176" t="s">
        <v>5957</v>
      </c>
      <c r="E6" s="186"/>
      <c r="F6" s="186"/>
      <c r="G6" s="186"/>
      <c r="H6" s="186"/>
      <c r="I6" s="186"/>
    </row>
    <row r="7">
      <c r="A7" s="1176">
        <v>5.0</v>
      </c>
      <c r="B7" s="1176" t="s">
        <v>5948</v>
      </c>
      <c r="C7" s="1176" t="s">
        <v>5949</v>
      </c>
      <c r="D7" s="1176" t="s">
        <v>5958</v>
      </c>
      <c r="E7" s="186"/>
      <c r="F7" s="186"/>
      <c r="G7" s="186"/>
      <c r="H7" s="186"/>
      <c r="I7" s="186"/>
    </row>
    <row r="8">
      <c r="A8" s="1176">
        <v>6.0</v>
      </c>
      <c r="B8" s="1176" t="s">
        <v>5948</v>
      </c>
      <c r="C8" s="1176" t="s">
        <v>5949</v>
      </c>
      <c r="D8" s="1176" t="s">
        <v>5959</v>
      </c>
      <c r="E8" s="186"/>
      <c r="F8" s="186"/>
      <c r="G8" s="186"/>
      <c r="H8" s="186"/>
      <c r="I8" s="186"/>
    </row>
    <row r="9">
      <c r="A9" s="1176">
        <v>7.0</v>
      </c>
      <c r="B9" s="1176" t="s">
        <v>5948</v>
      </c>
      <c r="C9" s="1176" t="s">
        <v>5949</v>
      </c>
      <c r="D9" s="1176" t="s">
        <v>5960</v>
      </c>
      <c r="E9" s="186"/>
      <c r="F9" s="186"/>
      <c r="G9" s="186"/>
      <c r="H9" s="186"/>
      <c r="I9" s="186"/>
    </row>
    <row r="10">
      <c r="A10" s="1176">
        <v>8.0</v>
      </c>
      <c r="B10" s="1176" t="s">
        <v>5948</v>
      </c>
      <c r="C10" s="1176" t="s">
        <v>5949</v>
      </c>
      <c r="D10" s="1176" t="s">
        <v>5961</v>
      </c>
      <c r="E10" s="186"/>
      <c r="F10" s="186"/>
      <c r="G10" s="185"/>
      <c r="H10" s="185"/>
      <c r="I10" s="185"/>
    </row>
    <row r="11">
      <c r="A11" s="1172">
        <v>9.0</v>
      </c>
      <c r="B11" s="1172" t="s">
        <v>5962</v>
      </c>
      <c r="C11" s="1172" t="s">
        <v>5963</v>
      </c>
      <c r="D11" s="1172" t="s">
        <v>5964</v>
      </c>
      <c r="E11" s="186"/>
      <c r="F11" s="186"/>
      <c r="G11" s="1174"/>
      <c r="H11" s="1175"/>
      <c r="I11" s="1175"/>
    </row>
    <row r="12">
      <c r="A12" s="1176">
        <v>10.0</v>
      </c>
      <c r="B12" s="1176" t="s">
        <v>5962</v>
      </c>
      <c r="C12" s="1176" t="s">
        <v>5963</v>
      </c>
      <c r="D12" s="1176" t="s">
        <v>5965</v>
      </c>
      <c r="E12" s="186"/>
      <c r="F12" s="186"/>
      <c r="G12" s="1173">
        <v>44763.0</v>
      </c>
      <c r="H12" s="1172" t="s">
        <v>5966</v>
      </c>
      <c r="I12" s="1172" t="s">
        <v>5967</v>
      </c>
    </row>
    <row r="13">
      <c r="A13" s="1176">
        <v>11.0</v>
      </c>
      <c r="B13" s="1176" t="s">
        <v>5962</v>
      </c>
      <c r="C13" s="1176" t="s">
        <v>5963</v>
      </c>
      <c r="D13" s="1176" t="s">
        <v>5968</v>
      </c>
      <c r="E13" s="186"/>
      <c r="F13" s="186"/>
      <c r="G13" s="1173">
        <v>44749.0</v>
      </c>
      <c r="H13" s="1172" t="s">
        <v>5969</v>
      </c>
      <c r="I13" s="1172" t="s">
        <v>5970</v>
      </c>
    </row>
    <row r="14">
      <c r="A14" s="1176">
        <v>12.0</v>
      </c>
      <c r="B14" s="1176" t="s">
        <v>5962</v>
      </c>
      <c r="C14" s="1176" t="s">
        <v>5963</v>
      </c>
      <c r="D14" s="1176" t="s">
        <v>5971</v>
      </c>
      <c r="E14" s="186"/>
      <c r="F14" s="186"/>
      <c r="G14" s="1173">
        <v>44750.0</v>
      </c>
      <c r="H14" s="1172" t="s">
        <v>5972</v>
      </c>
      <c r="I14" s="1172" t="s">
        <v>5967</v>
      </c>
    </row>
    <row r="15">
      <c r="A15" s="1176">
        <v>13.0</v>
      </c>
      <c r="B15" s="1176" t="s">
        <v>5962</v>
      </c>
      <c r="C15" s="1176" t="s">
        <v>5963</v>
      </c>
      <c r="D15" s="1176" t="s">
        <v>5973</v>
      </c>
      <c r="E15" s="186"/>
      <c r="F15" s="186"/>
      <c r="G15" s="1173">
        <v>44763.0</v>
      </c>
      <c r="H15" s="1172" t="s">
        <v>5974</v>
      </c>
      <c r="I15" s="1172" t="s">
        <v>5975</v>
      </c>
    </row>
    <row r="16">
      <c r="A16" s="1176">
        <v>14.0</v>
      </c>
      <c r="B16" s="1176" t="s">
        <v>5962</v>
      </c>
      <c r="C16" s="1176" t="s">
        <v>5963</v>
      </c>
      <c r="D16" s="1176" t="s">
        <v>5976</v>
      </c>
      <c r="E16" s="186"/>
      <c r="F16" s="186"/>
      <c r="G16" s="1173">
        <v>44763.0</v>
      </c>
      <c r="H16" s="1172" t="s">
        <v>5966</v>
      </c>
      <c r="I16" s="1172" t="s">
        <v>5967</v>
      </c>
    </row>
    <row r="17">
      <c r="A17" s="1176">
        <v>15.0</v>
      </c>
      <c r="B17" s="1176" t="s">
        <v>5962</v>
      </c>
      <c r="C17" s="1176" t="s">
        <v>5963</v>
      </c>
      <c r="D17" s="1176" t="s">
        <v>5977</v>
      </c>
      <c r="E17" s="186"/>
      <c r="F17" s="186"/>
      <c r="G17" s="1173">
        <v>44786.0</v>
      </c>
      <c r="H17" s="1172" t="s">
        <v>5978</v>
      </c>
      <c r="I17" s="1172" t="s">
        <v>5975</v>
      </c>
    </row>
    <row r="18">
      <c r="A18" s="1176">
        <v>16.0</v>
      </c>
      <c r="B18" s="1176" t="s">
        <v>5979</v>
      </c>
      <c r="C18" s="1176" t="s">
        <v>5963</v>
      </c>
      <c r="D18" s="1176" t="s">
        <v>5980</v>
      </c>
      <c r="E18" s="186"/>
      <c r="F18" s="186"/>
      <c r="G18" s="1173">
        <v>44765.0</v>
      </c>
      <c r="H18" s="26" t="s">
        <v>5981</v>
      </c>
      <c r="I18" s="1172" t="s">
        <v>1163</v>
      </c>
    </row>
    <row r="19">
      <c r="A19" s="1176">
        <v>17.0</v>
      </c>
      <c r="B19" s="1176" t="s">
        <v>5979</v>
      </c>
      <c r="C19" s="1176" t="s">
        <v>5963</v>
      </c>
      <c r="D19" s="1176" t="s">
        <v>5982</v>
      </c>
      <c r="E19" s="186"/>
      <c r="F19" s="186"/>
      <c r="G19" s="1173">
        <v>44751.0</v>
      </c>
      <c r="H19" s="1172" t="s">
        <v>5983</v>
      </c>
      <c r="I19" s="1172" t="s">
        <v>5970</v>
      </c>
    </row>
    <row r="20">
      <c r="A20" s="1176">
        <v>18.0</v>
      </c>
      <c r="B20" s="1176" t="s">
        <v>5979</v>
      </c>
      <c r="C20" s="1176" t="s">
        <v>5963</v>
      </c>
      <c r="D20" s="1176" t="s">
        <v>5984</v>
      </c>
      <c r="E20" s="186"/>
      <c r="F20" s="186"/>
      <c r="G20" s="1177">
        <v>44732.0</v>
      </c>
      <c r="H20" s="1172" t="s">
        <v>5985</v>
      </c>
      <c r="I20" s="1178" t="s">
        <v>1163</v>
      </c>
    </row>
    <row r="21">
      <c r="A21" s="1176">
        <v>19.0</v>
      </c>
      <c r="B21" s="1176" t="s">
        <v>5986</v>
      </c>
      <c r="C21" s="1176" t="s">
        <v>5963</v>
      </c>
      <c r="D21" s="1176">
        <v>2.000084620405E12</v>
      </c>
      <c r="E21" s="186"/>
      <c r="F21" s="186"/>
      <c r="G21" s="186"/>
      <c r="H21" s="1172" t="s">
        <v>5987</v>
      </c>
      <c r="I21" s="186"/>
      <c r="J21" s="929"/>
      <c r="K21" s="929"/>
      <c r="L21" s="929"/>
      <c r="M21" s="929"/>
      <c r="N21" s="929"/>
      <c r="O21" s="929"/>
    </row>
    <row r="22">
      <c r="A22" s="1176">
        <v>20.0</v>
      </c>
      <c r="B22" s="1176" t="s">
        <v>5986</v>
      </c>
      <c r="C22" s="1176" t="s">
        <v>5963</v>
      </c>
      <c r="D22" s="1176" t="s">
        <v>5984</v>
      </c>
      <c r="E22" s="186"/>
      <c r="F22" s="186"/>
      <c r="G22" s="185"/>
      <c r="H22" s="1172" t="s">
        <v>5988</v>
      </c>
      <c r="I22" s="185"/>
    </row>
    <row r="23">
      <c r="A23" s="1176">
        <v>21.0</v>
      </c>
      <c r="B23" s="1176" t="s">
        <v>5986</v>
      </c>
      <c r="C23" s="1176" t="s">
        <v>5963</v>
      </c>
      <c r="D23" s="1176" t="s">
        <v>5989</v>
      </c>
      <c r="E23" s="186"/>
      <c r="F23" s="186"/>
      <c r="G23" s="1173">
        <v>44735.0</v>
      </c>
      <c r="H23" s="1172" t="s">
        <v>5990</v>
      </c>
      <c r="I23" s="1175"/>
    </row>
    <row r="24">
      <c r="A24" s="1176">
        <v>22.0</v>
      </c>
      <c r="B24" s="1176" t="s">
        <v>5986</v>
      </c>
      <c r="C24" s="1176" t="s">
        <v>5963</v>
      </c>
      <c r="D24" s="1176" t="s">
        <v>5991</v>
      </c>
      <c r="E24" s="186"/>
      <c r="F24" s="186"/>
      <c r="G24" s="1173">
        <v>44806.0</v>
      </c>
      <c r="H24" s="1172" t="s">
        <v>5992</v>
      </c>
      <c r="I24" s="1172" t="s">
        <v>1163</v>
      </c>
    </row>
    <row r="25">
      <c r="A25" s="1172">
        <v>23.0</v>
      </c>
      <c r="B25" s="1176" t="s">
        <v>5986</v>
      </c>
      <c r="C25" s="1176" t="s">
        <v>5963</v>
      </c>
      <c r="D25" s="1176">
        <v>2.000000350724E12</v>
      </c>
      <c r="E25" s="186"/>
      <c r="F25" s="186"/>
      <c r="G25" s="1173">
        <v>44756.0</v>
      </c>
      <c r="H25" s="1172" t="s">
        <v>5993</v>
      </c>
      <c r="I25" s="1172" t="s">
        <v>1163</v>
      </c>
    </row>
    <row r="26">
      <c r="A26" s="1176">
        <v>24.0</v>
      </c>
      <c r="B26" s="1176" t="s">
        <v>5986</v>
      </c>
      <c r="C26" s="1176" t="s">
        <v>5963</v>
      </c>
      <c r="D26" s="1176" t="s">
        <v>5994</v>
      </c>
      <c r="E26" s="186"/>
      <c r="F26" s="186"/>
      <c r="G26" s="1173">
        <v>44747.0</v>
      </c>
      <c r="H26" s="1172" t="s">
        <v>5995</v>
      </c>
      <c r="I26" s="1172" t="s">
        <v>1163</v>
      </c>
    </row>
    <row r="27">
      <c r="A27" s="1176">
        <v>25.0</v>
      </c>
      <c r="B27" s="1176" t="s">
        <v>5986</v>
      </c>
      <c r="C27" s="1176" t="s">
        <v>5963</v>
      </c>
      <c r="D27" s="1176" t="s">
        <v>5996</v>
      </c>
      <c r="E27" s="186"/>
      <c r="F27" s="186"/>
      <c r="G27" s="1177">
        <v>44741.0</v>
      </c>
      <c r="H27" s="1178" t="s">
        <v>5997</v>
      </c>
      <c r="I27" s="1178" t="s">
        <v>5998</v>
      </c>
    </row>
    <row r="28">
      <c r="A28" s="1176">
        <v>26.0</v>
      </c>
      <c r="B28" s="1176" t="s">
        <v>5986</v>
      </c>
      <c r="C28" s="1176" t="s">
        <v>5963</v>
      </c>
      <c r="D28" s="1176" t="s">
        <v>5999</v>
      </c>
      <c r="E28" s="186"/>
      <c r="F28" s="186"/>
      <c r="G28" s="185"/>
      <c r="H28" s="185"/>
      <c r="I28" s="185"/>
    </row>
    <row r="29">
      <c r="A29" s="1176">
        <v>27.0</v>
      </c>
      <c r="B29" s="1176" t="s">
        <v>5986</v>
      </c>
      <c r="C29" s="1176" t="s">
        <v>5963</v>
      </c>
      <c r="D29" s="1176">
        <v>2.000084620643E12</v>
      </c>
      <c r="E29" s="186"/>
      <c r="F29" s="186"/>
      <c r="G29" s="1173">
        <v>44747.0</v>
      </c>
      <c r="H29" s="1172" t="s">
        <v>6000</v>
      </c>
      <c r="I29" s="1172" t="s">
        <v>1163</v>
      </c>
    </row>
    <row r="30">
      <c r="A30" s="1172">
        <v>28.0</v>
      </c>
      <c r="B30" s="1172" t="s">
        <v>5986</v>
      </c>
      <c r="C30" s="1172" t="s">
        <v>5963</v>
      </c>
      <c r="D30" s="1172" t="s">
        <v>6001</v>
      </c>
      <c r="E30" s="186"/>
      <c r="F30" s="186"/>
      <c r="G30" s="1174"/>
      <c r="H30" s="1175"/>
      <c r="I30" s="1175"/>
    </row>
    <row r="31">
      <c r="A31" s="1172">
        <v>29.0</v>
      </c>
      <c r="B31" s="1176" t="s">
        <v>6002</v>
      </c>
      <c r="C31" s="1179"/>
      <c r="D31" s="1179"/>
      <c r="E31" s="186"/>
      <c r="F31" s="186"/>
      <c r="G31" s="1177">
        <v>44733.0</v>
      </c>
      <c r="H31" s="1180" t="s">
        <v>5955</v>
      </c>
      <c r="I31" s="1178" t="s">
        <v>5956</v>
      </c>
    </row>
    <row r="32">
      <c r="A32" s="1172">
        <v>30.0</v>
      </c>
      <c r="B32" s="1176" t="s">
        <v>6002</v>
      </c>
      <c r="C32" s="1179"/>
      <c r="D32" s="1179"/>
      <c r="E32" s="186"/>
      <c r="F32" s="186"/>
      <c r="G32" s="186"/>
      <c r="H32" s="247"/>
      <c r="I32" s="186"/>
    </row>
    <row r="33">
      <c r="A33" s="1172">
        <v>31.0</v>
      </c>
      <c r="B33" s="1176" t="s">
        <v>6002</v>
      </c>
      <c r="C33" s="1179"/>
      <c r="D33" s="1179"/>
      <c r="E33" s="186"/>
      <c r="F33" s="186"/>
      <c r="G33" s="185"/>
      <c r="H33" s="294"/>
      <c r="I33" s="185"/>
    </row>
    <row r="34">
      <c r="A34" s="1172">
        <v>32.0</v>
      </c>
      <c r="B34" s="1176" t="s">
        <v>6002</v>
      </c>
      <c r="C34" s="1179"/>
      <c r="D34" s="1179"/>
      <c r="E34" s="185"/>
      <c r="F34" s="185"/>
      <c r="G34" s="1174"/>
      <c r="H34" s="1175"/>
      <c r="I34" s="1175"/>
    </row>
    <row r="35">
      <c r="A35" s="1172">
        <v>33.0</v>
      </c>
      <c r="B35" s="1176" t="s">
        <v>5948</v>
      </c>
      <c r="C35" s="1176" t="s">
        <v>5949</v>
      </c>
      <c r="D35" s="1176" t="s">
        <v>6003</v>
      </c>
      <c r="E35" s="1177">
        <v>44733.0</v>
      </c>
      <c r="F35" s="1178" t="s">
        <v>5954</v>
      </c>
      <c r="G35" s="1173">
        <v>44735.0</v>
      </c>
      <c r="H35" s="1172" t="s">
        <v>6004</v>
      </c>
      <c r="I35" s="1172" t="s">
        <v>5975</v>
      </c>
    </row>
    <row r="36">
      <c r="A36" s="1172">
        <v>34.0</v>
      </c>
      <c r="B36" s="1181" t="s">
        <v>5948</v>
      </c>
      <c r="C36" s="1182" t="s">
        <v>5949</v>
      </c>
      <c r="D36" s="1176" t="s">
        <v>6005</v>
      </c>
      <c r="E36" s="186"/>
      <c r="F36" s="186"/>
      <c r="G36" s="1173">
        <v>44734.0</v>
      </c>
      <c r="H36" s="1172" t="s">
        <v>6006</v>
      </c>
      <c r="I36" s="1172" t="s">
        <v>5975</v>
      </c>
    </row>
    <row r="37">
      <c r="A37" s="1172">
        <v>35.0</v>
      </c>
      <c r="B37" s="1176" t="s">
        <v>6002</v>
      </c>
      <c r="C37" s="1179"/>
      <c r="D37" s="1179"/>
      <c r="E37" s="185"/>
      <c r="F37" s="185"/>
      <c r="G37" s="1173">
        <v>44735.0</v>
      </c>
      <c r="H37" s="1172" t="s">
        <v>6007</v>
      </c>
      <c r="I37" s="1172" t="s">
        <v>5975</v>
      </c>
    </row>
    <row r="38">
      <c r="A38" s="1172">
        <v>36.0</v>
      </c>
      <c r="B38" s="1172" t="s">
        <v>6008</v>
      </c>
      <c r="C38" s="1172" t="s">
        <v>6009</v>
      </c>
      <c r="D38" s="1183" t="s">
        <v>6010</v>
      </c>
      <c r="E38" s="1177">
        <v>44736.0</v>
      </c>
      <c r="F38" s="1184" t="s">
        <v>5954</v>
      </c>
      <c r="G38" s="1174"/>
      <c r="H38" s="1175"/>
      <c r="I38" s="1175"/>
    </row>
    <row r="39">
      <c r="A39" s="1172">
        <v>37.0</v>
      </c>
      <c r="B39" s="1172" t="s">
        <v>6008</v>
      </c>
      <c r="C39" s="1172" t="s">
        <v>6009</v>
      </c>
      <c r="D39" s="1183" t="s">
        <v>6011</v>
      </c>
      <c r="E39" s="186"/>
      <c r="F39" s="247"/>
      <c r="G39" s="1174"/>
      <c r="H39" s="1175"/>
      <c r="I39" s="1175"/>
    </row>
    <row r="40">
      <c r="A40" s="1172">
        <v>38.0</v>
      </c>
      <c r="B40" s="1172" t="s">
        <v>6008</v>
      </c>
      <c r="C40" s="1172" t="s">
        <v>6009</v>
      </c>
      <c r="D40" s="1183" t="s">
        <v>6012</v>
      </c>
      <c r="E40" s="186"/>
      <c r="F40" s="247"/>
      <c r="G40" s="1174"/>
      <c r="H40" s="1175"/>
      <c r="I40" s="1175"/>
    </row>
    <row r="41">
      <c r="A41" s="1172">
        <v>39.0</v>
      </c>
      <c r="B41" s="1172" t="s">
        <v>6008</v>
      </c>
      <c r="C41" s="1172" t="s">
        <v>6009</v>
      </c>
      <c r="D41" s="1183" t="s">
        <v>6013</v>
      </c>
      <c r="E41" s="186"/>
      <c r="F41" s="247"/>
      <c r="G41" s="1174"/>
      <c r="H41" s="1175"/>
      <c r="I41" s="1175"/>
    </row>
    <row r="42">
      <c r="A42" s="1172">
        <v>40.0</v>
      </c>
      <c r="B42" s="1176" t="s">
        <v>6014</v>
      </c>
      <c r="C42" s="1176" t="s">
        <v>6015</v>
      </c>
      <c r="D42" s="1176" t="s">
        <v>6016</v>
      </c>
      <c r="E42" s="186"/>
      <c r="F42" s="247"/>
      <c r="G42" s="1173">
        <v>44769.0</v>
      </c>
      <c r="H42" s="1172" t="s">
        <v>6017</v>
      </c>
      <c r="I42" s="1172" t="s">
        <v>5970</v>
      </c>
    </row>
    <row r="43">
      <c r="A43" s="1172">
        <v>41.0</v>
      </c>
      <c r="B43" s="1176" t="s">
        <v>6014</v>
      </c>
      <c r="C43" s="1176" t="s">
        <v>6015</v>
      </c>
      <c r="D43" s="1176" t="s">
        <v>6018</v>
      </c>
      <c r="E43" s="185"/>
      <c r="F43" s="294"/>
      <c r="G43" s="1173">
        <v>44771.0</v>
      </c>
      <c r="H43" s="1172" t="s">
        <v>6019</v>
      </c>
      <c r="I43" s="1172" t="s">
        <v>6020</v>
      </c>
    </row>
    <row r="44">
      <c r="A44" s="1172">
        <v>42.0</v>
      </c>
      <c r="B44" s="1176" t="s">
        <v>6021</v>
      </c>
      <c r="C44" s="1185" t="s">
        <v>6022</v>
      </c>
      <c r="D44" s="1179"/>
      <c r="E44" s="1186"/>
      <c r="F44" s="1174"/>
      <c r="G44" s="1173">
        <v>44739.0</v>
      </c>
      <c r="H44" s="1172" t="s">
        <v>6023</v>
      </c>
      <c r="I44" s="1172" t="s">
        <v>6024</v>
      </c>
    </row>
    <row r="45">
      <c r="A45" s="1172">
        <v>43.0</v>
      </c>
      <c r="B45" s="1172" t="s">
        <v>6025</v>
      </c>
      <c r="C45" s="1172" t="s">
        <v>6026</v>
      </c>
      <c r="D45" s="1183" t="s">
        <v>6027</v>
      </c>
      <c r="E45" s="1177">
        <v>44749.0</v>
      </c>
      <c r="F45" s="1184" t="s">
        <v>5954</v>
      </c>
      <c r="G45" s="1174"/>
      <c r="H45" s="1175"/>
      <c r="I45" s="1175"/>
    </row>
    <row r="46">
      <c r="A46" s="1172">
        <v>44.0</v>
      </c>
      <c r="B46" s="1172" t="s">
        <v>6025</v>
      </c>
      <c r="C46" s="1172" t="s">
        <v>6026</v>
      </c>
      <c r="D46" s="1183" t="s">
        <v>6028</v>
      </c>
      <c r="E46" s="185"/>
      <c r="F46" s="294"/>
      <c r="G46" s="1174"/>
      <c r="H46" s="1175"/>
      <c r="I46" s="1175"/>
    </row>
    <row r="47">
      <c r="A47" s="1187">
        <v>45.0</v>
      </c>
      <c r="B47" s="207" t="s">
        <v>6021</v>
      </c>
      <c r="C47" s="1176" t="s">
        <v>6026</v>
      </c>
      <c r="D47" s="207" t="s">
        <v>6029</v>
      </c>
      <c r="E47" s="1174"/>
      <c r="F47" s="1174"/>
      <c r="G47" s="1173">
        <v>44756.0</v>
      </c>
      <c r="H47" s="1172" t="s">
        <v>6030</v>
      </c>
      <c r="I47" s="1172" t="s">
        <v>6024</v>
      </c>
    </row>
    <row r="48">
      <c r="A48" s="1176">
        <v>46.0</v>
      </c>
      <c r="B48" s="1176" t="s">
        <v>6008</v>
      </c>
      <c r="C48" s="1176" t="s">
        <v>6026</v>
      </c>
      <c r="D48" s="1176" t="s">
        <v>6031</v>
      </c>
      <c r="E48" s="1177">
        <v>44762.0</v>
      </c>
      <c r="F48" s="1178" t="s">
        <v>1122</v>
      </c>
      <c r="G48" s="1177">
        <v>44762.0</v>
      </c>
      <c r="H48" s="1178" t="s">
        <v>6032</v>
      </c>
      <c r="I48" s="1178" t="s">
        <v>6033</v>
      </c>
    </row>
    <row r="49">
      <c r="A49" s="1176">
        <v>47.0</v>
      </c>
      <c r="B49" s="1176" t="s">
        <v>6008</v>
      </c>
      <c r="C49" s="1176" t="s">
        <v>6026</v>
      </c>
      <c r="D49" s="1176" t="s">
        <v>6034</v>
      </c>
      <c r="E49" s="186"/>
      <c r="F49" s="186"/>
      <c r="G49" s="186"/>
      <c r="H49" s="186"/>
      <c r="I49" s="186"/>
    </row>
    <row r="50">
      <c r="A50" s="1176">
        <v>48.0</v>
      </c>
      <c r="B50" s="1176" t="s">
        <v>6008</v>
      </c>
      <c r="C50" s="1176" t="s">
        <v>6026</v>
      </c>
      <c r="D50" s="1176" t="s">
        <v>6035</v>
      </c>
      <c r="E50" s="186"/>
      <c r="F50" s="186"/>
      <c r="G50" s="186"/>
      <c r="H50" s="186"/>
      <c r="I50" s="186"/>
    </row>
    <row r="51">
      <c r="A51" s="1176">
        <v>49.0</v>
      </c>
      <c r="B51" s="1176" t="s">
        <v>6008</v>
      </c>
      <c r="C51" s="1176" t="s">
        <v>6026</v>
      </c>
      <c r="D51" s="1176" t="s">
        <v>6036</v>
      </c>
      <c r="E51" s="186"/>
      <c r="F51" s="186"/>
      <c r="G51" s="186"/>
      <c r="H51" s="186"/>
      <c r="I51" s="186"/>
    </row>
    <row r="52">
      <c r="A52" s="1176">
        <v>50.0</v>
      </c>
      <c r="B52" s="1176" t="s">
        <v>6008</v>
      </c>
      <c r="C52" s="1176" t="s">
        <v>6026</v>
      </c>
      <c r="D52" s="1176" t="s">
        <v>6037</v>
      </c>
      <c r="E52" s="186"/>
      <c r="F52" s="186"/>
      <c r="G52" s="186"/>
      <c r="H52" s="186"/>
      <c r="I52" s="186"/>
    </row>
    <row r="53">
      <c r="A53" s="1176">
        <v>51.0</v>
      </c>
      <c r="B53" s="1176" t="s">
        <v>6008</v>
      </c>
      <c r="C53" s="1176" t="s">
        <v>6026</v>
      </c>
      <c r="D53" s="1176" t="s">
        <v>6038</v>
      </c>
      <c r="E53" s="186"/>
      <c r="F53" s="186"/>
      <c r="G53" s="186"/>
      <c r="H53" s="186"/>
      <c r="I53" s="186"/>
    </row>
    <row r="54">
      <c r="A54" s="1176">
        <v>52.0</v>
      </c>
      <c r="B54" s="1176" t="s">
        <v>6008</v>
      </c>
      <c r="C54" s="1176" t="s">
        <v>6026</v>
      </c>
      <c r="D54" s="1176" t="s">
        <v>6039</v>
      </c>
      <c r="E54" s="186"/>
      <c r="F54" s="186"/>
      <c r="G54" s="186"/>
      <c r="H54" s="186"/>
      <c r="I54" s="186"/>
    </row>
    <row r="55">
      <c r="A55" s="1176">
        <v>53.0</v>
      </c>
      <c r="B55" s="1176" t="s">
        <v>6008</v>
      </c>
      <c r="C55" s="1176" t="s">
        <v>6026</v>
      </c>
      <c r="D55" s="1176" t="s">
        <v>6040</v>
      </c>
      <c r="E55" s="186"/>
      <c r="F55" s="186"/>
      <c r="G55" s="186"/>
      <c r="H55" s="186"/>
      <c r="I55" s="186"/>
    </row>
    <row r="56">
      <c r="A56" s="1176">
        <v>54.0</v>
      </c>
      <c r="B56" s="1176" t="s">
        <v>6008</v>
      </c>
      <c r="C56" s="1176" t="s">
        <v>6026</v>
      </c>
      <c r="D56" s="1176" t="s">
        <v>6041</v>
      </c>
      <c r="E56" s="186"/>
      <c r="F56" s="186"/>
      <c r="G56" s="186"/>
      <c r="H56" s="186"/>
      <c r="I56" s="186"/>
    </row>
    <row r="57">
      <c r="A57" s="1176">
        <v>55.0</v>
      </c>
      <c r="B57" s="1176" t="s">
        <v>6008</v>
      </c>
      <c r="C57" s="1176" t="s">
        <v>6026</v>
      </c>
      <c r="D57" s="1176" t="s">
        <v>6042</v>
      </c>
      <c r="E57" s="186"/>
      <c r="F57" s="186"/>
      <c r="G57" s="186"/>
      <c r="H57" s="186"/>
      <c r="I57" s="186"/>
    </row>
    <row r="58">
      <c r="A58" s="1176">
        <v>56.0</v>
      </c>
      <c r="B58" s="1176" t="s">
        <v>6014</v>
      </c>
      <c r="C58" s="1176" t="s">
        <v>6015</v>
      </c>
      <c r="D58" s="1176" t="s">
        <v>6043</v>
      </c>
      <c r="E58" s="186"/>
      <c r="F58" s="186"/>
      <c r="G58" s="186"/>
      <c r="H58" s="186"/>
      <c r="I58" s="186"/>
    </row>
    <row r="59">
      <c r="A59" s="1176">
        <v>57.0</v>
      </c>
      <c r="B59" s="1176" t="s">
        <v>6014</v>
      </c>
      <c r="C59" s="1176" t="s">
        <v>6015</v>
      </c>
      <c r="D59" s="1176" t="s">
        <v>6044</v>
      </c>
      <c r="E59" s="186"/>
      <c r="F59" s="186"/>
      <c r="G59" s="186"/>
      <c r="H59" s="186"/>
      <c r="I59" s="186"/>
    </row>
    <row r="60">
      <c r="A60" s="1176">
        <v>58.0</v>
      </c>
      <c r="B60" s="1176" t="s">
        <v>6014</v>
      </c>
      <c r="C60" s="1176" t="s">
        <v>6015</v>
      </c>
      <c r="D60" s="1176" t="s">
        <v>6045</v>
      </c>
      <c r="E60" s="186"/>
      <c r="F60" s="186"/>
      <c r="G60" s="186"/>
      <c r="H60" s="186"/>
      <c r="I60" s="186"/>
    </row>
    <row r="61">
      <c r="A61" s="1176">
        <v>59.0</v>
      </c>
      <c r="B61" s="1176" t="s">
        <v>6046</v>
      </c>
      <c r="C61" s="1176" t="s">
        <v>6047</v>
      </c>
      <c r="D61" s="1176" t="s">
        <v>6048</v>
      </c>
      <c r="E61" s="186"/>
      <c r="F61" s="186"/>
      <c r="G61" s="186"/>
      <c r="H61" s="186"/>
      <c r="I61" s="186"/>
    </row>
    <row r="62">
      <c r="A62" s="1176">
        <v>60.0</v>
      </c>
      <c r="B62" s="1176" t="s">
        <v>6046</v>
      </c>
      <c r="C62" s="1176" t="s">
        <v>6047</v>
      </c>
      <c r="D62" s="1176" t="s">
        <v>6049</v>
      </c>
      <c r="E62" s="186"/>
      <c r="F62" s="186"/>
      <c r="G62" s="186"/>
      <c r="H62" s="186"/>
      <c r="I62" s="186"/>
    </row>
    <row r="63">
      <c r="A63" s="1176">
        <v>61.0</v>
      </c>
      <c r="B63" s="1176" t="s">
        <v>6050</v>
      </c>
      <c r="C63" s="1176" t="s">
        <v>6026</v>
      </c>
      <c r="D63" s="1176" t="s">
        <v>6051</v>
      </c>
      <c r="E63" s="186"/>
      <c r="F63" s="186"/>
      <c r="G63" s="186"/>
      <c r="H63" s="186"/>
      <c r="I63" s="186"/>
    </row>
    <row r="64">
      <c r="A64" s="1176">
        <v>62.0</v>
      </c>
      <c r="B64" s="1176" t="s">
        <v>6050</v>
      </c>
      <c r="C64" s="1176" t="s">
        <v>6026</v>
      </c>
      <c r="D64" s="1176" t="s">
        <v>6052</v>
      </c>
      <c r="E64" s="185"/>
      <c r="F64" s="185"/>
      <c r="G64" s="185"/>
      <c r="H64" s="185"/>
      <c r="I64" s="185"/>
    </row>
    <row r="65">
      <c r="A65" s="1176">
        <v>63.0</v>
      </c>
      <c r="B65" s="1176" t="s">
        <v>5962</v>
      </c>
      <c r="C65" s="1176" t="s">
        <v>6053</v>
      </c>
      <c r="D65" s="1176" t="s">
        <v>6054</v>
      </c>
      <c r="E65" s="1177">
        <v>44765.0</v>
      </c>
      <c r="F65" s="1172" t="s">
        <v>1122</v>
      </c>
      <c r="G65" s="1173">
        <v>44765.0</v>
      </c>
      <c r="H65" s="1172" t="s">
        <v>6055</v>
      </c>
      <c r="I65" s="1172" t="s">
        <v>1122</v>
      </c>
    </row>
    <row r="66">
      <c r="A66" s="1176">
        <v>64.0</v>
      </c>
      <c r="B66" s="1176" t="s">
        <v>5962</v>
      </c>
      <c r="C66" s="1176" t="s">
        <v>6053</v>
      </c>
      <c r="D66" s="1176" t="s">
        <v>6056</v>
      </c>
      <c r="E66" s="186"/>
      <c r="F66" s="1174"/>
      <c r="G66" s="1173">
        <v>44859.0</v>
      </c>
      <c r="H66" s="1172" t="s">
        <v>6057</v>
      </c>
      <c r="I66" s="1172" t="s">
        <v>6058</v>
      </c>
    </row>
    <row r="67">
      <c r="A67" s="1172">
        <v>65.0</v>
      </c>
      <c r="B67" s="1188" t="s">
        <v>5962</v>
      </c>
      <c r="C67" s="1188" t="s">
        <v>6053</v>
      </c>
      <c r="D67" s="1188" t="s">
        <v>6059</v>
      </c>
      <c r="E67" s="186"/>
      <c r="F67" s="1174"/>
      <c r="G67" s="1173">
        <v>44775.0</v>
      </c>
      <c r="H67" s="1172"/>
      <c r="I67" s="1172"/>
    </row>
    <row r="68">
      <c r="A68" s="1172">
        <v>66.0</v>
      </c>
      <c r="B68" s="1188" t="s">
        <v>5962</v>
      </c>
      <c r="C68" s="1188" t="s">
        <v>6053</v>
      </c>
      <c r="D68" s="1188" t="s">
        <v>6060</v>
      </c>
      <c r="E68" s="186"/>
      <c r="F68" s="1174"/>
      <c r="G68" s="1173">
        <v>44775.0</v>
      </c>
      <c r="H68" s="1172"/>
      <c r="I68" s="1172"/>
    </row>
    <row r="69">
      <c r="A69" s="1172">
        <v>67.0</v>
      </c>
      <c r="B69" s="1172" t="s">
        <v>5962</v>
      </c>
      <c r="C69" s="1172" t="s">
        <v>6053</v>
      </c>
      <c r="D69" s="1172" t="s">
        <v>6061</v>
      </c>
      <c r="E69" s="186"/>
      <c r="F69" s="1174"/>
      <c r="G69" s="1173">
        <v>44769.0</v>
      </c>
      <c r="H69" s="1172" t="s">
        <v>6062</v>
      </c>
      <c r="I69" s="1172" t="s">
        <v>6063</v>
      </c>
    </row>
    <row r="70">
      <c r="A70" s="1172">
        <v>68.0</v>
      </c>
      <c r="B70" s="1172" t="s">
        <v>5962</v>
      </c>
      <c r="C70" s="1172" t="s">
        <v>6053</v>
      </c>
      <c r="D70" s="1172" t="s">
        <v>6064</v>
      </c>
      <c r="E70" s="186"/>
      <c r="F70" s="1174"/>
      <c r="G70" s="1174"/>
      <c r="H70" s="1175"/>
      <c r="I70" s="1175"/>
    </row>
    <row r="71">
      <c r="A71" s="1172">
        <v>69.0</v>
      </c>
      <c r="B71" s="1172" t="s">
        <v>5962</v>
      </c>
      <c r="C71" s="1172" t="s">
        <v>6053</v>
      </c>
      <c r="D71" s="1172" t="s">
        <v>6065</v>
      </c>
      <c r="E71" s="186"/>
      <c r="F71" s="1174"/>
      <c r="G71" s="1174"/>
      <c r="H71" s="1175"/>
      <c r="I71" s="1175"/>
    </row>
    <row r="72">
      <c r="A72" s="1172">
        <v>70.0</v>
      </c>
      <c r="B72" s="1176" t="s">
        <v>5962</v>
      </c>
      <c r="C72" s="1176" t="s">
        <v>6053</v>
      </c>
      <c r="D72" s="1176" t="s">
        <v>6066</v>
      </c>
      <c r="E72" s="186"/>
      <c r="F72" s="1174"/>
      <c r="G72" s="1173">
        <v>44776.0</v>
      </c>
      <c r="H72" s="1172" t="s">
        <v>6067</v>
      </c>
      <c r="I72" s="1172" t="s">
        <v>6024</v>
      </c>
    </row>
    <row r="73">
      <c r="A73" s="1172">
        <v>71.0</v>
      </c>
      <c r="B73" s="1176" t="s">
        <v>5962</v>
      </c>
      <c r="C73" s="1176" t="s">
        <v>6053</v>
      </c>
      <c r="D73" s="1176" t="s">
        <v>6068</v>
      </c>
      <c r="E73" s="186"/>
      <c r="F73" s="1174"/>
      <c r="G73" s="1173">
        <v>44775.0</v>
      </c>
      <c r="H73" s="1172" t="s">
        <v>6069</v>
      </c>
      <c r="I73" s="1172" t="s">
        <v>6020</v>
      </c>
    </row>
    <row r="74">
      <c r="A74" s="1172">
        <v>72.0</v>
      </c>
      <c r="B74" s="1176" t="s">
        <v>5962</v>
      </c>
      <c r="C74" s="1176" t="s">
        <v>6053</v>
      </c>
      <c r="D74" s="1176" t="s">
        <v>6070</v>
      </c>
      <c r="E74" s="185"/>
      <c r="F74" s="1174"/>
      <c r="G74" s="1173">
        <v>44771.0</v>
      </c>
      <c r="H74" s="1172" t="s">
        <v>6071</v>
      </c>
      <c r="I74" s="1172" t="s">
        <v>5970</v>
      </c>
    </row>
    <row r="75">
      <c r="A75" s="1172">
        <v>73.0</v>
      </c>
      <c r="B75" s="1176" t="s">
        <v>6072</v>
      </c>
      <c r="C75" s="1176" t="s">
        <v>6073</v>
      </c>
      <c r="D75" s="1176"/>
      <c r="E75" s="1173">
        <v>44765.0</v>
      </c>
      <c r="F75" s="1172" t="s">
        <v>1122</v>
      </c>
      <c r="G75" s="1173">
        <v>44765.0</v>
      </c>
      <c r="H75" s="1172" t="s">
        <v>6055</v>
      </c>
      <c r="I75" s="1172" t="s">
        <v>1122</v>
      </c>
    </row>
    <row r="76">
      <c r="A76" s="1172">
        <v>74.0</v>
      </c>
      <c r="B76" s="1176" t="s">
        <v>6072</v>
      </c>
      <c r="C76" s="1176" t="s">
        <v>6073</v>
      </c>
      <c r="D76" s="1176"/>
      <c r="E76" s="1173">
        <v>44765.0</v>
      </c>
      <c r="F76" s="1172" t="s">
        <v>1122</v>
      </c>
      <c r="G76" s="1173">
        <v>44767.0</v>
      </c>
      <c r="H76" s="1172" t="s">
        <v>6074</v>
      </c>
      <c r="I76" s="1172" t="s">
        <v>6063</v>
      </c>
    </row>
    <row r="77">
      <c r="A77" s="1172">
        <v>75.0</v>
      </c>
      <c r="B77" s="1176" t="s">
        <v>6072</v>
      </c>
      <c r="C77" s="1176" t="s">
        <v>6073</v>
      </c>
      <c r="D77" s="1179"/>
      <c r="E77" s="1173">
        <v>44765.0</v>
      </c>
      <c r="F77" s="1172" t="s">
        <v>1122</v>
      </c>
      <c r="G77" s="1173">
        <v>44769.0</v>
      </c>
      <c r="H77" s="1172" t="s">
        <v>6075</v>
      </c>
      <c r="I77" s="1172" t="s">
        <v>5970</v>
      </c>
    </row>
    <row r="78">
      <c r="A78" s="1172">
        <v>76.0</v>
      </c>
      <c r="B78" s="1176" t="s">
        <v>6072</v>
      </c>
      <c r="C78" s="1176" t="s">
        <v>6073</v>
      </c>
      <c r="D78" s="1179"/>
      <c r="E78" s="1173">
        <v>44765.0</v>
      </c>
      <c r="F78" s="1172" t="s">
        <v>1122</v>
      </c>
      <c r="G78" s="1173">
        <v>44768.0</v>
      </c>
      <c r="H78" s="1172" t="s">
        <v>6076</v>
      </c>
      <c r="I78" s="1172" t="s">
        <v>5970</v>
      </c>
    </row>
    <row r="79">
      <c r="A79" s="1172">
        <v>77.0</v>
      </c>
      <c r="B79" s="1172" t="s">
        <v>6072</v>
      </c>
      <c r="C79" s="1172" t="s">
        <v>6073</v>
      </c>
      <c r="D79" s="1175"/>
      <c r="E79" s="1173">
        <v>44765.0</v>
      </c>
      <c r="F79" s="1172" t="s">
        <v>1122</v>
      </c>
      <c r="G79" s="1174"/>
      <c r="H79" s="1175"/>
      <c r="I79" s="1175"/>
    </row>
    <row r="80">
      <c r="A80" s="1172">
        <v>78.0</v>
      </c>
      <c r="B80" s="1176" t="s">
        <v>6077</v>
      </c>
      <c r="C80" s="1176" t="s">
        <v>6078</v>
      </c>
      <c r="D80" s="1179"/>
      <c r="E80" s="1173">
        <v>44765.0</v>
      </c>
      <c r="F80" s="1172" t="s">
        <v>1122</v>
      </c>
      <c r="G80" s="1173">
        <v>44771.0</v>
      </c>
      <c r="H80" s="1172" t="s">
        <v>6079</v>
      </c>
      <c r="I80" s="1172" t="s">
        <v>5970</v>
      </c>
    </row>
    <row r="81">
      <c r="A81" s="1172">
        <v>79.0</v>
      </c>
      <c r="B81" s="1172" t="s">
        <v>6077</v>
      </c>
      <c r="C81" s="1172" t="s">
        <v>6078</v>
      </c>
      <c r="D81" s="1175"/>
      <c r="E81" s="1173">
        <v>44765.0</v>
      </c>
      <c r="F81" s="1172" t="s">
        <v>1122</v>
      </c>
      <c r="G81" s="1174"/>
      <c r="H81" s="1175"/>
      <c r="I81" s="1175"/>
    </row>
    <row r="82">
      <c r="A82" s="1172">
        <v>80.0</v>
      </c>
      <c r="B82" s="1172" t="s">
        <v>6077</v>
      </c>
      <c r="C82" s="1172" t="s">
        <v>6078</v>
      </c>
      <c r="D82" s="1175"/>
      <c r="E82" s="1173">
        <v>44765.0</v>
      </c>
      <c r="F82" s="1172" t="s">
        <v>1122</v>
      </c>
      <c r="G82" s="1174"/>
      <c r="H82" s="1175"/>
      <c r="I82" s="1175"/>
    </row>
    <row r="83">
      <c r="A83" s="1172">
        <v>81.0</v>
      </c>
      <c r="B83" s="1172" t="s">
        <v>6077</v>
      </c>
      <c r="C83" s="1172" t="s">
        <v>6078</v>
      </c>
      <c r="D83" s="1175"/>
      <c r="E83" s="1173">
        <v>44765.0</v>
      </c>
      <c r="F83" s="1172" t="s">
        <v>1122</v>
      </c>
      <c r="G83" s="1174"/>
      <c r="H83" s="1175"/>
      <c r="I83" s="1175"/>
    </row>
    <row r="84">
      <c r="A84" s="1172">
        <v>82.0</v>
      </c>
      <c r="B84" s="1172" t="s">
        <v>6077</v>
      </c>
      <c r="C84" s="1172" t="s">
        <v>6078</v>
      </c>
      <c r="D84" s="1175"/>
      <c r="E84" s="1173">
        <v>44765.0</v>
      </c>
      <c r="F84" s="1172" t="s">
        <v>1122</v>
      </c>
      <c r="G84" s="1174"/>
      <c r="H84" s="1175"/>
      <c r="I84" s="1175"/>
    </row>
    <row r="85">
      <c r="A85" s="1172">
        <v>83.0</v>
      </c>
      <c r="B85" s="1176" t="s">
        <v>6080</v>
      </c>
      <c r="C85" s="1176" t="s">
        <v>6081</v>
      </c>
      <c r="D85" s="1176" t="s">
        <v>6082</v>
      </c>
      <c r="E85" s="1173">
        <v>44771.0</v>
      </c>
      <c r="F85" s="1172" t="s">
        <v>1122</v>
      </c>
      <c r="G85" s="1173">
        <v>44771.0</v>
      </c>
      <c r="H85" s="1172" t="s">
        <v>6083</v>
      </c>
      <c r="I85" s="1172" t="s">
        <v>1122</v>
      </c>
    </row>
    <row r="86">
      <c r="A86" s="1172">
        <v>84.0</v>
      </c>
      <c r="B86" s="1176" t="s">
        <v>6080</v>
      </c>
      <c r="C86" s="1176" t="s">
        <v>6081</v>
      </c>
      <c r="D86" s="1176" t="s">
        <v>6084</v>
      </c>
      <c r="E86" s="1173">
        <v>44771.0</v>
      </c>
      <c r="F86" s="1172" t="s">
        <v>1122</v>
      </c>
      <c r="G86" s="1173">
        <v>44771.0</v>
      </c>
      <c r="H86" s="1172" t="s">
        <v>6085</v>
      </c>
      <c r="I86" s="1172" t="s">
        <v>1122</v>
      </c>
    </row>
    <row r="87">
      <c r="A87" s="1172">
        <v>85.0</v>
      </c>
      <c r="B87" s="207" t="s">
        <v>6021</v>
      </c>
      <c r="C87" s="1185" t="s">
        <v>6022</v>
      </c>
      <c r="D87" s="1176" t="s">
        <v>6086</v>
      </c>
      <c r="E87" s="1189"/>
      <c r="F87" s="1189"/>
      <c r="G87" s="1190">
        <v>44823.0</v>
      </c>
      <c r="H87" s="1188" t="s">
        <v>6087</v>
      </c>
      <c r="I87" s="1172" t="s">
        <v>6058</v>
      </c>
    </row>
    <row r="88">
      <c r="A88" s="1172">
        <v>86.0</v>
      </c>
      <c r="B88" s="1172" t="s">
        <v>6088</v>
      </c>
      <c r="C88" s="1191" t="s">
        <v>6022</v>
      </c>
      <c r="D88" s="1172" t="s">
        <v>6089</v>
      </c>
      <c r="E88" s="1173">
        <v>44786.0</v>
      </c>
      <c r="F88" s="1174"/>
      <c r="G88" s="1174"/>
      <c r="H88" s="1172" t="s">
        <v>6090</v>
      </c>
      <c r="I88" s="1172" t="s">
        <v>6058</v>
      </c>
    </row>
    <row r="89">
      <c r="A89" s="1176">
        <v>87.0</v>
      </c>
      <c r="B89" s="1176" t="s">
        <v>6088</v>
      </c>
      <c r="C89" s="1176" t="s">
        <v>6091</v>
      </c>
      <c r="D89" s="1176" t="s">
        <v>6092</v>
      </c>
      <c r="E89" s="1177">
        <v>44796.0</v>
      </c>
      <c r="F89" s="1178" t="s">
        <v>6058</v>
      </c>
      <c r="G89" s="1177">
        <v>44806.0</v>
      </c>
      <c r="H89" s="1178" t="s">
        <v>5992</v>
      </c>
      <c r="I89" s="1178" t="s">
        <v>1163</v>
      </c>
    </row>
    <row r="90">
      <c r="A90" s="1176">
        <v>88.0</v>
      </c>
      <c r="B90" s="1176" t="s">
        <v>6088</v>
      </c>
      <c r="C90" s="1176" t="s">
        <v>6091</v>
      </c>
      <c r="D90" s="1176" t="s">
        <v>6093</v>
      </c>
      <c r="E90" s="186"/>
      <c r="F90" s="186"/>
      <c r="G90" s="185"/>
      <c r="H90" s="185"/>
      <c r="I90" s="185"/>
    </row>
    <row r="91">
      <c r="A91" s="1172">
        <v>89.0</v>
      </c>
      <c r="B91" s="1172" t="s">
        <v>6088</v>
      </c>
      <c r="C91" s="1172" t="s">
        <v>6091</v>
      </c>
      <c r="D91" s="1172" t="s">
        <v>6094</v>
      </c>
      <c r="E91" s="186"/>
      <c r="F91" s="186"/>
      <c r="G91" s="1174"/>
      <c r="H91" s="1192"/>
      <c r="I91" s="1175"/>
    </row>
    <row r="92">
      <c r="A92" s="1172">
        <v>90.0</v>
      </c>
      <c r="B92" s="1176" t="s">
        <v>6088</v>
      </c>
      <c r="C92" s="1176" t="s">
        <v>6091</v>
      </c>
      <c r="D92" s="1176" t="s">
        <v>6095</v>
      </c>
      <c r="E92" s="186"/>
      <c r="F92" s="186"/>
      <c r="G92" s="1173">
        <v>44797.0</v>
      </c>
      <c r="H92" s="1172" t="s">
        <v>6096</v>
      </c>
      <c r="I92" s="1172" t="s">
        <v>5970</v>
      </c>
    </row>
    <row r="93">
      <c r="A93" s="1172">
        <v>91.0</v>
      </c>
      <c r="B93" s="1176" t="s">
        <v>6097</v>
      </c>
      <c r="C93" s="1176" t="s">
        <v>6022</v>
      </c>
      <c r="D93" s="1176" t="s">
        <v>6098</v>
      </c>
      <c r="E93" s="186"/>
      <c r="F93" s="186"/>
      <c r="G93" s="1173">
        <v>44796.0</v>
      </c>
      <c r="H93" s="1172" t="s">
        <v>6099</v>
      </c>
      <c r="I93" s="1172" t="s">
        <v>6024</v>
      </c>
    </row>
    <row r="94">
      <c r="A94" s="1172">
        <v>92.0</v>
      </c>
      <c r="B94" s="1176" t="s">
        <v>6097</v>
      </c>
      <c r="C94" s="1176" t="s">
        <v>6022</v>
      </c>
      <c r="D94" s="1176" t="s">
        <v>6100</v>
      </c>
      <c r="E94" s="186"/>
      <c r="F94" s="186"/>
      <c r="G94" s="1173">
        <v>44801.0</v>
      </c>
      <c r="H94" s="23" t="s">
        <v>6101</v>
      </c>
      <c r="I94" s="1172" t="s">
        <v>6102</v>
      </c>
    </row>
    <row r="95">
      <c r="A95" s="1172">
        <v>93.0</v>
      </c>
      <c r="B95" s="1176" t="s">
        <v>6097</v>
      </c>
      <c r="C95" s="1176" t="s">
        <v>6022</v>
      </c>
      <c r="D95" s="1176" t="s">
        <v>6103</v>
      </c>
      <c r="E95" s="186"/>
      <c r="F95" s="186"/>
      <c r="G95" s="1173">
        <v>44796.0</v>
      </c>
      <c r="H95" s="1193"/>
      <c r="I95" s="1172" t="s">
        <v>6024</v>
      </c>
    </row>
    <row r="96">
      <c r="A96" s="1172">
        <v>94.0</v>
      </c>
      <c r="B96" s="1172" t="s">
        <v>6097</v>
      </c>
      <c r="C96" s="1172" t="s">
        <v>6022</v>
      </c>
      <c r="D96" s="1172" t="s">
        <v>6104</v>
      </c>
      <c r="E96" s="186"/>
      <c r="F96" s="186"/>
      <c r="G96" s="1174"/>
      <c r="H96" s="1193"/>
      <c r="I96" s="1175"/>
    </row>
    <row r="97">
      <c r="A97" s="1172">
        <v>95.0</v>
      </c>
      <c r="B97" s="1172" t="s">
        <v>6097</v>
      </c>
      <c r="C97" s="1172" t="s">
        <v>6022</v>
      </c>
      <c r="D97" s="1172" t="s">
        <v>6105</v>
      </c>
      <c r="E97" s="185"/>
      <c r="F97" s="185"/>
      <c r="G97" s="1174"/>
      <c r="H97" s="1193"/>
      <c r="I97" s="1175"/>
    </row>
    <row r="98">
      <c r="A98" s="1172">
        <v>96.0</v>
      </c>
      <c r="B98" s="1176" t="s">
        <v>6088</v>
      </c>
      <c r="C98" s="1176" t="s">
        <v>6091</v>
      </c>
      <c r="D98" s="1176" t="s">
        <v>6106</v>
      </c>
      <c r="E98" s="1174"/>
      <c r="F98" s="1174"/>
      <c r="G98" s="1173">
        <v>44806.0</v>
      </c>
      <c r="H98" s="1172" t="s">
        <v>5992</v>
      </c>
      <c r="I98" s="1172" t="s">
        <v>1163</v>
      </c>
    </row>
    <row r="99">
      <c r="A99" s="1172">
        <v>97.0</v>
      </c>
      <c r="B99" s="1176" t="s">
        <v>6107</v>
      </c>
      <c r="C99" s="1179"/>
      <c r="D99" s="1176" t="s">
        <v>6108</v>
      </c>
      <c r="E99" s="1194">
        <v>44810.0</v>
      </c>
      <c r="F99" s="1195" t="s">
        <v>6109</v>
      </c>
      <c r="G99" s="1194">
        <v>44813.0</v>
      </c>
      <c r="H99" s="1195" t="s">
        <v>6110</v>
      </c>
      <c r="I99" s="1195" t="s">
        <v>6102</v>
      </c>
    </row>
    <row r="100">
      <c r="A100" s="1172">
        <v>98.0</v>
      </c>
      <c r="B100" s="1176" t="s">
        <v>6107</v>
      </c>
      <c r="C100" s="1179"/>
      <c r="D100" s="1176" t="s">
        <v>6111</v>
      </c>
      <c r="E100" s="186"/>
      <c r="F100" s="186"/>
      <c r="G100" s="186"/>
      <c r="H100" s="186"/>
      <c r="I100" s="186"/>
    </row>
    <row r="101">
      <c r="A101" s="1172">
        <v>99.0</v>
      </c>
      <c r="B101" s="1176" t="s">
        <v>6107</v>
      </c>
      <c r="C101" s="1179"/>
      <c r="D101" s="1176">
        <v>2.000086710622E12</v>
      </c>
      <c r="E101" s="186"/>
      <c r="F101" s="186"/>
      <c r="G101" s="186"/>
      <c r="H101" s="186"/>
      <c r="I101" s="186"/>
    </row>
    <row r="102">
      <c r="A102" s="1172">
        <v>100.0</v>
      </c>
      <c r="B102" s="1176" t="s">
        <v>6107</v>
      </c>
      <c r="C102" s="1179"/>
      <c r="D102" s="1176">
        <v>2.000083110883E12</v>
      </c>
      <c r="E102" s="186"/>
      <c r="F102" s="186"/>
      <c r="G102" s="185"/>
      <c r="H102" s="185"/>
      <c r="I102" s="185"/>
    </row>
    <row r="103">
      <c r="A103" s="1175"/>
      <c r="B103" s="1188" t="s">
        <v>6112</v>
      </c>
      <c r="C103" s="1172" t="s">
        <v>6113</v>
      </c>
      <c r="D103" s="1172" t="s">
        <v>6114</v>
      </c>
      <c r="E103" s="186"/>
      <c r="F103" s="186"/>
      <c r="G103" s="1174"/>
      <c r="H103" s="1175"/>
      <c r="I103" s="1175"/>
    </row>
    <row r="104">
      <c r="A104" s="1175"/>
      <c r="B104" s="1188" t="s">
        <v>6107</v>
      </c>
      <c r="C104" s="1172" t="s">
        <v>6115</v>
      </c>
      <c r="D104" s="1172">
        <v>2.000088331445E12</v>
      </c>
      <c r="E104" s="186"/>
      <c r="F104" s="186"/>
      <c r="G104" s="1174"/>
      <c r="H104" s="1175"/>
      <c r="I104" s="1175"/>
    </row>
    <row r="105">
      <c r="A105" s="1175"/>
      <c r="B105" s="1188" t="s">
        <v>6107</v>
      </c>
      <c r="C105" s="1172" t="s">
        <v>6115</v>
      </c>
      <c r="D105" s="1172" t="s">
        <v>6116</v>
      </c>
      <c r="E105" s="186"/>
      <c r="F105" s="186"/>
      <c r="G105" s="1174"/>
      <c r="H105" s="1175"/>
      <c r="I105" s="1175"/>
    </row>
    <row r="106">
      <c r="A106" s="1175"/>
      <c r="B106" s="1188" t="s">
        <v>6107</v>
      </c>
      <c r="C106" s="1172" t="s">
        <v>6117</v>
      </c>
      <c r="D106" s="1172">
        <v>2.000029101472E12</v>
      </c>
      <c r="E106" s="186"/>
      <c r="F106" s="186"/>
      <c r="G106" s="1174"/>
      <c r="H106" s="1175"/>
      <c r="I106" s="1175"/>
    </row>
    <row r="107">
      <c r="A107" s="1175"/>
      <c r="B107" s="1188" t="s">
        <v>6107</v>
      </c>
      <c r="C107" s="1172" t="s">
        <v>6117</v>
      </c>
      <c r="D107" s="1172">
        <v>2.000084290681E12</v>
      </c>
      <c r="E107" s="186"/>
      <c r="F107" s="186"/>
      <c r="G107" s="1174"/>
      <c r="H107" s="1175"/>
      <c r="I107" s="1175"/>
    </row>
    <row r="108">
      <c r="A108" s="1175"/>
      <c r="B108" s="1188" t="s">
        <v>6107</v>
      </c>
      <c r="C108" s="1172" t="s">
        <v>6117</v>
      </c>
      <c r="D108" s="1172" t="s">
        <v>6118</v>
      </c>
      <c r="E108" s="186"/>
      <c r="F108" s="186"/>
      <c r="G108" s="1174"/>
      <c r="H108" s="1175"/>
      <c r="I108" s="1175"/>
    </row>
    <row r="109">
      <c r="A109" s="1175"/>
      <c r="B109" s="1172" t="s">
        <v>6097</v>
      </c>
      <c r="C109" s="1172" t="s">
        <v>6022</v>
      </c>
      <c r="D109" s="1172" t="s">
        <v>6119</v>
      </c>
      <c r="E109" s="186"/>
      <c r="F109" s="186"/>
      <c r="G109" s="1174"/>
      <c r="H109" s="1175"/>
      <c r="I109" s="1175"/>
    </row>
    <row r="110">
      <c r="A110" s="1179"/>
      <c r="B110" s="1176" t="s">
        <v>6097</v>
      </c>
      <c r="C110" s="1176" t="s">
        <v>6022</v>
      </c>
      <c r="D110" s="1176" t="s">
        <v>6120</v>
      </c>
      <c r="E110" s="186"/>
      <c r="F110" s="186"/>
      <c r="G110" s="1173">
        <v>44817.0</v>
      </c>
      <c r="H110" s="1172" t="s">
        <v>6121</v>
      </c>
      <c r="I110" s="1172" t="s">
        <v>6058</v>
      </c>
    </row>
    <row r="111">
      <c r="A111" s="1175"/>
      <c r="B111" s="1172" t="s">
        <v>6097</v>
      </c>
      <c r="C111" s="1172" t="s">
        <v>6022</v>
      </c>
      <c r="D111" s="1172" t="s">
        <v>6122</v>
      </c>
      <c r="E111" s="186"/>
      <c r="F111" s="186"/>
      <c r="G111" s="1174"/>
      <c r="H111" s="1175"/>
      <c r="I111" s="1175"/>
    </row>
    <row r="112">
      <c r="A112" s="1175"/>
      <c r="B112" s="1172" t="s">
        <v>6097</v>
      </c>
      <c r="C112" s="1172" t="s">
        <v>6022</v>
      </c>
      <c r="D112" s="1172" t="s">
        <v>6123</v>
      </c>
      <c r="E112" s="186"/>
      <c r="F112" s="186"/>
      <c r="G112" s="1174"/>
      <c r="H112" s="1175"/>
      <c r="I112" s="1175"/>
    </row>
    <row r="113">
      <c r="A113" s="1175"/>
      <c r="B113" s="1176" t="s">
        <v>6097</v>
      </c>
      <c r="C113" s="1176" t="s">
        <v>6022</v>
      </c>
      <c r="D113" s="1179"/>
      <c r="E113" s="186"/>
      <c r="F113" s="186"/>
      <c r="G113" s="1174"/>
      <c r="H113" s="1175"/>
      <c r="I113" s="1175"/>
    </row>
    <row r="114">
      <c r="A114" s="1175"/>
      <c r="B114" s="1176" t="s">
        <v>6097</v>
      </c>
      <c r="C114" s="1176" t="s">
        <v>6022</v>
      </c>
      <c r="D114" s="1179"/>
      <c r="E114" s="186"/>
      <c r="F114" s="186"/>
      <c r="G114" s="1174"/>
      <c r="H114" s="1175"/>
      <c r="I114" s="1175"/>
    </row>
    <row r="115">
      <c r="A115" s="1175"/>
      <c r="B115" s="1176" t="s">
        <v>6097</v>
      </c>
      <c r="C115" s="1176" t="s">
        <v>6022</v>
      </c>
      <c r="D115" s="1179"/>
      <c r="E115" s="186"/>
      <c r="F115" s="186"/>
      <c r="G115" s="1174"/>
      <c r="H115" s="1175"/>
      <c r="I115" s="1175"/>
    </row>
    <row r="116">
      <c r="A116" s="1175"/>
      <c r="B116" s="1176" t="s">
        <v>6097</v>
      </c>
      <c r="C116" s="1176" t="s">
        <v>6022</v>
      </c>
      <c r="D116" s="1179"/>
      <c r="E116" s="186"/>
      <c r="F116" s="186"/>
      <c r="G116" s="1174"/>
      <c r="H116" s="1175"/>
      <c r="I116" s="1175"/>
    </row>
    <row r="117">
      <c r="A117" s="1175"/>
      <c r="B117" s="1176" t="s">
        <v>6097</v>
      </c>
      <c r="C117" s="1176" t="s">
        <v>6022</v>
      </c>
      <c r="D117" s="1179"/>
      <c r="E117" s="186"/>
      <c r="F117" s="186"/>
      <c r="G117" s="1174"/>
      <c r="H117" s="1175"/>
      <c r="I117" s="1175"/>
    </row>
    <row r="118">
      <c r="A118" s="1175"/>
      <c r="B118" s="1176" t="s">
        <v>6097</v>
      </c>
      <c r="C118" s="1176" t="s">
        <v>6022</v>
      </c>
      <c r="D118" s="1179"/>
      <c r="E118" s="185"/>
      <c r="F118" s="185"/>
      <c r="G118" s="1174"/>
      <c r="H118" s="1175"/>
      <c r="I118" s="1175"/>
    </row>
    <row r="119">
      <c r="A119" s="1175"/>
      <c r="B119" s="1196" t="s">
        <v>6097</v>
      </c>
      <c r="C119" s="1196" t="s">
        <v>6022</v>
      </c>
      <c r="D119" s="1196" t="s">
        <v>6124</v>
      </c>
      <c r="E119" s="1197">
        <v>44817.0</v>
      </c>
      <c r="F119" s="1196" t="s">
        <v>6102</v>
      </c>
      <c r="G119" s="1198"/>
      <c r="H119" s="1196" t="s">
        <v>6125</v>
      </c>
      <c r="I119" s="1196" t="s">
        <v>6126</v>
      </c>
    </row>
    <row r="120">
      <c r="A120" s="1175"/>
      <c r="B120" s="1188" t="s">
        <v>6127</v>
      </c>
      <c r="C120" s="1172" t="s">
        <v>6128</v>
      </c>
      <c r="D120" s="1172" t="s">
        <v>6129</v>
      </c>
      <c r="E120" s="1173">
        <v>44823.0</v>
      </c>
      <c r="F120" s="1172" t="s">
        <v>6102</v>
      </c>
      <c r="G120" s="1174"/>
      <c r="H120" s="1172" t="s">
        <v>6130</v>
      </c>
      <c r="I120" s="1175"/>
    </row>
    <row r="121">
      <c r="A121" s="1175"/>
      <c r="B121" s="1176" t="s">
        <v>6097</v>
      </c>
      <c r="C121" s="1176" t="s">
        <v>6022</v>
      </c>
      <c r="D121" s="1176" t="s">
        <v>6131</v>
      </c>
      <c r="E121" s="1199"/>
      <c r="F121" s="1176"/>
      <c r="G121" s="1176" t="s">
        <v>6132</v>
      </c>
      <c r="H121" s="1176" t="s">
        <v>6133</v>
      </c>
      <c r="I121" s="1176" t="s">
        <v>6102</v>
      </c>
    </row>
    <row r="122">
      <c r="A122" s="1175"/>
      <c r="B122" s="1200" t="s">
        <v>6021</v>
      </c>
      <c r="C122" s="1201" t="s">
        <v>6022</v>
      </c>
      <c r="D122" s="1172" t="s">
        <v>6134</v>
      </c>
      <c r="E122" s="1172" t="s">
        <v>6132</v>
      </c>
      <c r="F122" s="1172" t="s">
        <v>6102</v>
      </c>
      <c r="G122" s="1174"/>
      <c r="H122" s="1172" t="s">
        <v>6135</v>
      </c>
      <c r="I122" s="1175"/>
    </row>
    <row r="123">
      <c r="A123" s="1175"/>
      <c r="B123" s="1176" t="s">
        <v>6136</v>
      </c>
      <c r="C123" s="1202" t="s">
        <v>6022</v>
      </c>
      <c r="D123" s="1176" t="s">
        <v>6137</v>
      </c>
      <c r="E123" s="1199"/>
      <c r="F123" s="1176"/>
      <c r="G123" s="1199">
        <v>44848.0</v>
      </c>
      <c r="H123" s="1176" t="s">
        <v>6138</v>
      </c>
      <c r="I123" s="1176" t="s">
        <v>6102</v>
      </c>
    </row>
    <row r="124">
      <c r="A124" s="1175"/>
      <c r="B124" s="1176" t="s">
        <v>6136</v>
      </c>
      <c r="C124" s="1202" t="s">
        <v>6022</v>
      </c>
      <c r="D124" s="1176" t="s">
        <v>6139</v>
      </c>
      <c r="E124" s="1199"/>
      <c r="F124" s="1176"/>
      <c r="G124" s="1199">
        <v>44848.0</v>
      </c>
      <c r="H124" s="1176" t="s">
        <v>6140</v>
      </c>
      <c r="I124" s="1176" t="s">
        <v>6102</v>
      </c>
    </row>
    <row r="125">
      <c r="A125" s="1175"/>
      <c r="B125" s="1176" t="s">
        <v>6136</v>
      </c>
      <c r="C125" s="1202" t="s">
        <v>6022</v>
      </c>
      <c r="D125" s="1176" t="s">
        <v>6141</v>
      </c>
      <c r="E125" s="1199"/>
      <c r="F125" s="1176"/>
      <c r="G125" s="1199">
        <v>44848.0</v>
      </c>
      <c r="H125" s="1176" t="s">
        <v>6142</v>
      </c>
      <c r="I125" s="1176" t="s">
        <v>6102</v>
      </c>
    </row>
    <row r="126">
      <c r="A126" s="1175"/>
      <c r="B126" s="1176" t="s">
        <v>6136</v>
      </c>
      <c r="C126" s="1202" t="s">
        <v>6022</v>
      </c>
      <c r="D126" s="1176" t="s">
        <v>6143</v>
      </c>
      <c r="E126" s="1199"/>
      <c r="F126" s="1176"/>
      <c r="G126" s="1199">
        <v>44848.0</v>
      </c>
      <c r="H126" s="1176" t="s">
        <v>6144</v>
      </c>
      <c r="I126" s="1176" t="s">
        <v>6102</v>
      </c>
    </row>
    <row r="127">
      <c r="A127" s="1175"/>
      <c r="B127" s="1178" t="s">
        <v>6145</v>
      </c>
      <c r="C127" s="1178" t="s">
        <v>6146</v>
      </c>
      <c r="D127" s="1172" t="s">
        <v>6147</v>
      </c>
      <c r="E127" s="1177">
        <v>44855.0</v>
      </c>
      <c r="F127" s="1178" t="s">
        <v>6148</v>
      </c>
      <c r="G127" s="1174"/>
      <c r="H127" s="1175"/>
      <c r="I127" s="1175"/>
    </row>
    <row r="128">
      <c r="A128" s="1175"/>
      <c r="B128" s="186"/>
      <c r="C128" s="186"/>
      <c r="D128" s="1172" t="s">
        <v>6149</v>
      </c>
      <c r="E128" s="186"/>
      <c r="F128" s="186"/>
      <c r="G128" s="1174"/>
      <c r="H128" s="1175"/>
      <c r="I128" s="1175"/>
    </row>
    <row r="129">
      <c r="A129" s="1175"/>
      <c r="B129" s="186"/>
      <c r="C129" s="186"/>
      <c r="D129" s="1172" t="s">
        <v>6150</v>
      </c>
      <c r="E129" s="186"/>
      <c r="F129" s="186"/>
      <c r="G129" s="1174"/>
      <c r="H129" s="1175"/>
      <c r="I129" s="1175"/>
    </row>
    <row r="130">
      <c r="A130" s="1175"/>
      <c r="B130" s="186"/>
      <c r="C130" s="186"/>
      <c r="D130" s="1172" t="s">
        <v>6151</v>
      </c>
      <c r="E130" s="186"/>
      <c r="F130" s="186"/>
      <c r="G130" s="1174"/>
      <c r="H130" s="1175"/>
      <c r="I130" s="1175"/>
    </row>
    <row r="131">
      <c r="A131" s="1175"/>
      <c r="B131" s="186"/>
      <c r="C131" s="186"/>
      <c r="D131" s="1176" t="s">
        <v>6152</v>
      </c>
      <c r="E131" s="186"/>
      <c r="F131" s="186"/>
      <c r="G131" s="1199">
        <v>44855.0</v>
      </c>
      <c r="H131" s="1172" t="s">
        <v>6153</v>
      </c>
      <c r="I131" s="344" t="s">
        <v>6063</v>
      </c>
    </row>
    <row r="132">
      <c r="A132" s="1175"/>
      <c r="B132" s="186"/>
      <c r="C132" s="186"/>
      <c r="D132" s="1176" t="s">
        <v>6154</v>
      </c>
      <c r="E132" s="186"/>
      <c r="F132" s="186"/>
      <c r="G132" s="1199">
        <v>44855.0</v>
      </c>
      <c r="H132" s="1172" t="s">
        <v>6153</v>
      </c>
      <c r="I132" s="514" t="s">
        <v>6063</v>
      </c>
    </row>
    <row r="133">
      <c r="A133" s="1175"/>
      <c r="B133" s="186"/>
      <c r="C133" s="186"/>
      <c r="D133" s="1172" t="s">
        <v>6155</v>
      </c>
      <c r="E133" s="186"/>
      <c r="F133" s="186"/>
      <c r="G133" s="1174"/>
      <c r="H133" s="1175"/>
      <c r="I133" s="1175"/>
    </row>
    <row r="134">
      <c r="A134" s="1175"/>
      <c r="B134" s="186"/>
      <c r="C134" s="186"/>
      <c r="D134" s="1172" t="s">
        <v>6156</v>
      </c>
      <c r="E134" s="186"/>
      <c r="F134" s="186"/>
      <c r="G134" s="1174"/>
      <c r="H134" s="1175"/>
      <c r="I134" s="1175"/>
    </row>
    <row r="135">
      <c r="A135" s="1175"/>
      <c r="B135" s="186"/>
      <c r="C135" s="186"/>
      <c r="D135" s="1172" t="s">
        <v>6157</v>
      </c>
      <c r="E135" s="186"/>
      <c r="F135" s="186"/>
      <c r="G135" s="1174"/>
      <c r="H135" s="1175"/>
      <c r="I135" s="1175"/>
    </row>
    <row r="136">
      <c r="A136" s="1175"/>
      <c r="B136" s="185"/>
      <c r="C136" s="185"/>
      <c r="D136" s="1176" t="s">
        <v>6158</v>
      </c>
      <c r="E136" s="186"/>
      <c r="F136" s="186"/>
      <c r="G136" s="1199">
        <v>44855.0</v>
      </c>
      <c r="H136" s="1172" t="s">
        <v>6153</v>
      </c>
      <c r="I136" s="514" t="s">
        <v>6063</v>
      </c>
    </row>
    <row r="137">
      <c r="A137" s="1175"/>
      <c r="B137" s="1178" t="s">
        <v>6159</v>
      </c>
      <c r="C137" s="1172" t="s">
        <v>6160</v>
      </c>
      <c r="D137" s="1175"/>
      <c r="E137" s="186"/>
      <c r="F137" s="186"/>
      <c r="G137" s="1174"/>
      <c r="H137" s="1175"/>
      <c r="I137" s="1175"/>
    </row>
    <row r="138">
      <c r="A138" s="1175"/>
      <c r="B138" s="186"/>
      <c r="C138" s="1172" t="s">
        <v>6160</v>
      </c>
      <c r="D138" s="1175"/>
      <c r="E138" s="186"/>
      <c r="F138" s="186"/>
      <c r="G138" s="1174"/>
      <c r="H138" s="1175"/>
      <c r="I138" s="1175"/>
    </row>
    <row r="139">
      <c r="A139" s="1175"/>
      <c r="B139" s="186"/>
      <c r="C139" s="1172" t="s">
        <v>6160</v>
      </c>
      <c r="D139" s="1175"/>
      <c r="E139" s="186"/>
      <c r="F139" s="186"/>
      <c r="G139" s="1174"/>
      <c r="H139" s="1175"/>
      <c r="I139" s="1175"/>
    </row>
    <row r="140">
      <c r="A140" s="1175"/>
      <c r="B140" s="186"/>
      <c r="C140" s="1172" t="s">
        <v>6160</v>
      </c>
      <c r="D140" s="1175"/>
      <c r="E140" s="186"/>
      <c r="F140" s="186"/>
      <c r="G140" s="1174"/>
      <c r="H140" s="1175"/>
      <c r="I140" s="1175"/>
    </row>
    <row r="141">
      <c r="A141" s="1175"/>
      <c r="B141" s="186"/>
      <c r="C141" s="1172" t="s">
        <v>6160</v>
      </c>
      <c r="D141" s="1175"/>
      <c r="E141" s="186"/>
      <c r="F141" s="186"/>
      <c r="G141" s="1174"/>
      <c r="H141" s="1175"/>
      <c r="I141" s="1175"/>
    </row>
    <row r="142">
      <c r="A142" s="1175"/>
      <c r="B142" s="186"/>
      <c r="C142" s="1176" t="s">
        <v>6161</v>
      </c>
      <c r="D142" s="1179"/>
      <c r="E142" s="186"/>
      <c r="F142" s="186"/>
      <c r="G142" s="1199">
        <v>44855.0</v>
      </c>
      <c r="H142" s="1176" t="s">
        <v>6153</v>
      </c>
      <c r="I142" s="1203" t="s">
        <v>6063</v>
      </c>
    </row>
    <row r="143">
      <c r="A143" s="1175"/>
      <c r="B143" s="186"/>
      <c r="C143" s="1176" t="s">
        <v>6161</v>
      </c>
      <c r="D143" s="1179"/>
      <c r="E143" s="186"/>
      <c r="F143" s="186"/>
      <c r="G143" s="1199">
        <v>44855.0</v>
      </c>
      <c r="H143" s="1176" t="s">
        <v>6153</v>
      </c>
      <c r="I143" s="294"/>
    </row>
    <row r="144">
      <c r="A144" s="1175"/>
      <c r="B144" s="186"/>
      <c r="C144" s="1172" t="s">
        <v>6161</v>
      </c>
      <c r="D144" s="1175"/>
      <c r="E144" s="186"/>
      <c r="F144" s="186"/>
      <c r="G144" s="1174"/>
      <c r="H144" s="1175"/>
      <c r="I144" s="1175"/>
    </row>
    <row r="145">
      <c r="A145" s="1175"/>
      <c r="B145" s="186"/>
      <c r="C145" s="1172" t="s">
        <v>6161</v>
      </c>
      <c r="D145" s="1175"/>
      <c r="E145" s="186"/>
      <c r="F145" s="186"/>
      <c r="G145" s="1174"/>
      <c r="H145" s="1175"/>
      <c r="I145" s="1175"/>
    </row>
    <row r="146">
      <c r="A146" s="1175"/>
      <c r="B146" s="185"/>
      <c r="C146" s="1172" t="s">
        <v>6161</v>
      </c>
      <c r="D146" s="1175"/>
      <c r="E146" s="185"/>
      <c r="F146" s="185"/>
      <c r="G146" s="1174"/>
      <c r="H146" s="1175"/>
      <c r="I146" s="1175"/>
    </row>
    <row r="147">
      <c r="A147" s="1204"/>
      <c r="B147" s="1196" t="s">
        <v>6162</v>
      </c>
      <c r="C147" s="1196" t="s">
        <v>6163</v>
      </c>
      <c r="D147" s="1196" t="s">
        <v>6164</v>
      </c>
      <c r="E147" s="1198"/>
      <c r="F147" s="1198"/>
      <c r="G147" s="1197">
        <v>44859.0</v>
      </c>
      <c r="H147" s="1196" t="s">
        <v>6165</v>
      </c>
      <c r="I147" s="1196" t="s">
        <v>6102</v>
      </c>
    </row>
    <row r="148">
      <c r="A148" s="1175"/>
      <c r="B148" s="1175"/>
      <c r="C148" s="1175"/>
      <c r="D148" s="1175"/>
      <c r="E148" s="1174"/>
      <c r="F148" s="1174"/>
      <c r="G148" s="1174"/>
      <c r="H148" s="1175"/>
      <c r="I148" s="1175"/>
    </row>
    <row r="149">
      <c r="A149" s="1205"/>
      <c r="B149" s="1205"/>
      <c r="C149" s="1205"/>
      <c r="D149" s="1205"/>
      <c r="E149" s="1206"/>
      <c r="F149" s="1206"/>
      <c r="G149" s="1206"/>
      <c r="H149" s="1205"/>
      <c r="I149" s="1205"/>
    </row>
    <row r="150">
      <c r="A150" s="1205"/>
      <c r="B150" s="1205"/>
      <c r="C150" s="1205"/>
      <c r="D150" s="1205"/>
      <c r="E150" s="1206"/>
      <c r="F150" s="1206"/>
      <c r="G150" s="1206"/>
      <c r="H150" s="1205"/>
      <c r="I150" s="1205"/>
    </row>
    <row r="151">
      <c r="A151" s="1205"/>
      <c r="B151" s="1205"/>
      <c r="C151" s="1205"/>
      <c r="D151" s="1205"/>
      <c r="E151" s="1206"/>
      <c r="F151" s="1206"/>
      <c r="G151" s="1206"/>
      <c r="H151" s="1205"/>
      <c r="I151" s="1205"/>
    </row>
    <row r="152">
      <c r="A152" s="1205"/>
      <c r="B152" s="1205"/>
      <c r="C152" s="1205"/>
      <c r="D152" s="1205"/>
      <c r="E152" s="1206"/>
      <c r="F152" s="1206"/>
      <c r="G152" s="1206"/>
      <c r="H152" s="1205"/>
      <c r="I152" s="1205"/>
    </row>
    <row r="153">
      <c r="A153" s="1205"/>
      <c r="B153" s="1205"/>
      <c r="C153" s="1205"/>
      <c r="D153" s="1205"/>
      <c r="E153" s="1206"/>
      <c r="F153" s="1206"/>
      <c r="G153" s="1206"/>
      <c r="H153" s="1205"/>
      <c r="I153" s="1205"/>
    </row>
    <row r="154">
      <c r="A154" s="1205"/>
      <c r="B154" s="1205"/>
      <c r="C154" s="1205"/>
      <c r="D154" s="1205"/>
      <c r="E154" s="1206"/>
      <c r="F154" s="1206"/>
      <c r="G154" s="1206"/>
      <c r="H154" s="1205"/>
      <c r="I154" s="1205"/>
    </row>
    <row r="155">
      <c r="A155" s="1205"/>
      <c r="B155" s="1205"/>
      <c r="C155" s="1205"/>
      <c r="D155" s="1205"/>
      <c r="E155" s="1206"/>
      <c r="F155" s="1206"/>
      <c r="G155" s="1206"/>
      <c r="H155" s="1205"/>
      <c r="I155" s="1205"/>
    </row>
    <row r="156">
      <c r="A156" s="1205"/>
      <c r="B156" s="1205"/>
      <c r="C156" s="1205"/>
      <c r="D156" s="1205"/>
      <c r="E156" s="1206"/>
      <c r="F156" s="1206"/>
      <c r="G156" s="1206"/>
      <c r="H156" s="1205"/>
      <c r="I156" s="1205"/>
    </row>
    <row r="157">
      <c r="A157" s="1205"/>
      <c r="B157" s="1205"/>
      <c r="C157" s="1205"/>
      <c r="D157" s="1205"/>
      <c r="E157" s="1206"/>
      <c r="F157" s="1206"/>
      <c r="G157" s="1206"/>
      <c r="H157" s="1205"/>
      <c r="I157" s="1205"/>
    </row>
    <row r="158">
      <c r="A158" s="1205"/>
      <c r="B158" s="1205"/>
      <c r="C158" s="1205"/>
      <c r="D158" s="1205"/>
      <c r="E158" s="1206"/>
      <c r="F158" s="1206"/>
      <c r="G158" s="1206"/>
      <c r="H158" s="1205"/>
      <c r="I158" s="1205"/>
    </row>
    <row r="159">
      <c r="A159" s="1205"/>
      <c r="B159" s="1205"/>
      <c r="C159" s="1205"/>
      <c r="D159" s="1205"/>
      <c r="E159" s="1206"/>
      <c r="F159" s="1206"/>
      <c r="G159" s="1206"/>
      <c r="H159" s="1205"/>
      <c r="I159" s="1205"/>
    </row>
    <row r="160">
      <c r="A160" s="1205"/>
      <c r="B160" s="1205"/>
      <c r="C160" s="1205"/>
      <c r="D160" s="1205"/>
      <c r="E160" s="1206"/>
      <c r="F160" s="1206"/>
      <c r="G160" s="1206"/>
      <c r="H160" s="1205"/>
      <c r="I160" s="1205"/>
    </row>
    <row r="161">
      <c r="A161" s="1205"/>
      <c r="B161" s="1205"/>
      <c r="C161" s="1205"/>
      <c r="D161" s="1205"/>
      <c r="E161" s="1206"/>
      <c r="F161" s="1206"/>
      <c r="G161" s="1206"/>
      <c r="H161" s="1205"/>
      <c r="I161" s="1205"/>
    </row>
    <row r="162">
      <c r="A162" s="1205"/>
      <c r="B162" s="1205"/>
      <c r="C162" s="1205"/>
      <c r="D162" s="1205"/>
      <c r="E162" s="1206"/>
      <c r="F162" s="1206"/>
      <c r="G162" s="1206"/>
      <c r="H162" s="1205"/>
      <c r="I162" s="1205"/>
    </row>
    <row r="163">
      <c r="A163" s="1205"/>
      <c r="B163" s="1205"/>
      <c r="C163" s="1205"/>
      <c r="D163" s="1205"/>
      <c r="E163" s="1206"/>
      <c r="F163" s="1206"/>
      <c r="G163" s="1206"/>
      <c r="H163" s="1205"/>
      <c r="I163" s="1205"/>
    </row>
    <row r="164">
      <c r="A164" s="1205"/>
      <c r="B164" s="1205"/>
      <c r="C164" s="1205"/>
      <c r="D164" s="1205"/>
      <c r="E164" s="1206"/>
      <c r="F164" s="1206"/>
      <c r="G164" s="1206"/>
      <c r="H164" s="1205"/>
      <c r="I164" s="1205"/>
    </row>
    <row r="165">
      <c r="A165" s="1205"/>
      <c r="B165" s="1205"/>
      <c r="C165" s="1205"/>
      <c r="D165" s="1205"/>
      <c r="E165" s="1206"/>
      <c r="F165" s="1206"/>
      <c r="G165" s="1206"/>
      <c r="H165" s="1205"/>
      <c r="I165" s="1205"/>
    </row>
    <row r="166">
      <c r="A166" s="1205"/>
      <c r="B166" s="1205"/>
      <c r="C166" s="1205"/>
      <c r="D166" s="1205"/>
      <c r="E166" s="1206"/>
      <c r="F166" s="1206"/>
      <c r="G166" s="1206"/>
      <c r="H166" s="1205"/>
      <c r="I166" s="1205"/>
    </row>
    <row r="167">
      <c r="A167" s="1205"/>
      <c r="B167" s="1205"/>
      <c r="C167" s="1205"/>
      <c r="D167" s="1205"/>
      <c r="E167" s="1206"/>
      <c r="F167" s="1206"/>
      <c r="G167" s="1206"/>
      <c r="H167" s="1205"/>
      <c r="I167" s="1205"/>
    </row>
    <row r="168">
      <c r="A168" s="1205"/>
      <c r="B168" s="1205"/>
      <c r="C168" s="1205"/>
      <c r="D168" s="1205"/>
      <c r="E168" s="1206"/>
      <c r="F168" s="1206"/>
      <c r="G168" s="1206"/>
      <c r="H168" s="1205"/>
      <c r="I168" s="1205"/>
    </row>
    <row r="169">
      <c r="A169" s="1205"/>
      <c r="B169" s="1205"/>
      <c r="C169" s="1205"/>
      <c r="D169" s="1205"/>
      <c r="E169" s="1206"/>
      <c r="F169" s="1206"/>
      <c r="G169" s="1206"/>
      <c r="H169" s="1205"/>
      <c r="I169" s="1205"/>
    </row>
    <row r="170">
      <c r="A170" s="1205"/>
      <c r="B170" s="1205"/>
      <c r="C170" s="1205"/>
      <c r="D170" s="1205"/>
      <c r="E170" s="1206"/>
      <c r="F170" s="1206"/>
      <c r="G170" s="1206"/>
      <c r="H170" s="1205"/>
      <c r="I170" s="1205"/>
    </row>
    <row r="171">
      <c r="A171" s="1205"/>
      <c r="B171" s="1205"/>
      <c r="C171" s="1205"/>
      <c r="D171" s="1205"/>
      <c r="E171" s="1206"/>
      <c r="F171" s="1206"/>
      <c r="G171" s="1206"/>
      <c r="H171" s="1205"/>
      <c r="I171" s="1205"/>
    </row>
    <row r="172">
      <c r="A172" s="1205"/>
      <c r="B172" s="1205"/>
      <c r="C172" s="1205"/>
      <c r="D172" s="1205"/>
      <c r="E172" s="1206"/>
      <c r="F172" s="1206"/>
      <c r="G172" s="1206"/>
      <c r="H172" s="1205"/>
      <c r="I172" s="1205"/>
    </row>
    <row r="173">
      <c r="A173" s="1205"/>
      <c r="B173" s="1205"/>
      <c r="C173" s="1205"/>
      <c r="D173" s="1205"/>
      <c r="E173" s="1206"/>
      <c r="F173" s="1206"/>
      <c r="G173" s="1206"/>
      <c r="H173" s="1205"/>
      <c r="I173" s="1205"/>
    </row>
    <row r="174">
      <c r="A174" s="1205"/>
      <c r="B174" s="1205"/>
      <c r="C174" s="1205"/>
      <c r="D174" s="1205"/>
      <c r="E174" s="1206"/>
      <c r="F174" s="1206"/>
      <c r="G174" s="1206"/>
      <c r="H174" s="1205"/>
      <c r="I174" s="1205"/>
    </row>
    <row r="175">
      <c r="A175" s="1205"/>
      <c r="B175" s="1205"/>
      <c r="C175" s="1205"/>
      <c r="D175" s="1205"/>
      <c r="E175" s="1206"/>
      <c r="F175" s="1206"/>
      <c r="G175" s="1206"/>
      <c r="H175" s="1205"/>
      <c r="I175" s="1205"/>
    </row>
    <row r="176">
      <c r="A176" s="1205"/>
      <c r="B176" s="1205"/>
      <c r="C176" s="1205"/>
      <c r="D176" s="1205"/>
      <c r="E176" s="1206"/>
      <c r="F176" s="1206"/>
      <c r="G176" s="1206"/>
      <c r="H176" s="1205"/>
      <c r="I176" s="1205"/>
    </row>
    <row r="177">
      <c r="A177" s="1205"/>
      <c r="B177" s="1205"/>
      <c r="C177" s="1205"/>
      <c r="D177" s="1205"/>
      <c r="E177" s="1206"/>
      <c r="F177" s="1206"/>
      <c r="G177" s="1206"/>
      <c r="H177" s="1205"/>
      <c r="I177" s="1205"/>
    </row>
    <row r="178">
      <c r="A178" s="1205"/>
      <c r="B178" s="1205"/>
      <c r="C178" s="1205"/>
      <c r="D178" s="1205"/>
      <c r="E178" s="1206"/>
      <c r="F178" s="1206"/>
      <c r="G178" s="1206"/>
      <c r="H178" s="1205"/>
      <c r="I178" s="1205"/>
    </row>
    <row r="179">
      <c r="A179" s="1205"/>
      <c r="B179" s="1205"/>
      <c r="C179" s="1205"/>
      <c r="D179" s="1205"/>
      <c r="E179" s="1206"/>
      <c r="F179" s="1206"/>
      <c r="G179" s="1206"/>
      <c r="H179" s="1205"/>
      <c r="I179" s="1205"/>
    </row>
    <row r="180">
      <c r="A180" s="1205"/>
      <c r="B180" s="1205"/>
      <c r="C180" s="1205"/>
      <c r="D180" s="1205"/>
      <c r="E180" s="1206"/>
      <c r="F180" s="1206"/>
      <c r="G180" s="1206"/>
      <c r="H180" s="1205"/>
      <c r="I180" s="1205"/>
    </row>
    <row r="181">
      <c r="A181" s="1205"/>
      <c r="B181" s="1205"/>
      <c r="C181" s="1205"/>
      <c r="D181" s="1205"/>
      <c r="E181" s="1206"/>
      <c r="F181" s="1206"/>
      <c r="G181" s="1206"/>
      <c r="H181" s="1205"/>
      <c r="I181" s="1205"/>
    </row>
    <row r="182">
      <c r="A182" s="1205"/>
      <c r="B182" s="1205"/>
      <c r="C182" s="1205"/>
      <c r="D182" s="1205"/>
      <c r="E182" s="1206"/>
      <c r="F182" s="1206"/>
      <c r="G182" s="1206"/>
      <c r="H182" s="1205"/>
      <c r="I182" s="1205"/>
    </row>
    <row r="183">
      <c r="A183" s="1205"/>
      <c r="B183" s="1205"/>
      <c r="C183" s="1205"/>
      <c r="D183" s="1205"/>
      <c r="E183" s="1206"/>
      <c r="F183" s="1206"/>
      <c r="G183" s="1206"/>
      <c r="H183" s="1205"/>
      <c r="I183" s="1205"/>
    </row>
    <row r="184">
      <c r="A184" s="1205"/>
      <c r="B184" s="1205"/>
      <c r="C184" s="1205"/>
      <c r="D184" s="1205"/>
      <c r="E184" s="1206"/>
      <c r="F184" s="1206"/>
      <c r="G184" s="1206"/>
      <c r="H184" s="1205"/>
      <c r="I184" s="1205"/>
    </row>
    <row r="185">
      <c r="A185" s="1205"/>
      <c r="B185" s="1205"/>
      <c r="C185" s="1205"/>
      <c r="D185" s="1205"/>
      <c r="E185" s="1206"/>
      <c r="F185" s="1206"/>
      <c r="G185" s="1206"/>
      <c r="H185" s="1205"/>
      <c r="I185" s="1205"/>
    </row>
    <row r="186">
      <c r="A186" s="1205"/>
      <c r="B186" s="1205"/>
      <c r="C186" s="1205"/>
      <c r="D186" s="1205"/>
      <c r="E186" s="1206"/>
      <c r="F186" s="1206"/>
      <c r="G186" s="1206"/>
      <c r="H186" s="1205"/>
      <c r="I186" s="1205"/>
    </row>
    <row r="187">
      <c r="A187" s="1205"/>
      <c r="B187" s="1205"/>
      <c r="C187" s="1205"/>
      <c r="D187" s="1205"/>
      <c r="E187" s="1206"/>
      <c r="F187" s="1206"/>
      <c r="G187" s="1206"/>
      <c r="H187" s="1205"/>
      <c r="I187" s="1205"/>
    </row>
    <row r="188">
      <c r="A188" s="1205"/>
      <c r="B188" s="1205"/>
      <c r="C188" s="1205"/>
      <c r="D188" s="1205"/>
      <c r="E188" s="1206"/>
      <c r="F188" s="1206"/>
      <c r="G188" s="1206"/>
      <c r="H188" s="1205"/>
      <c r="I188" s="1205"/>
    </row>
    <row r="189">
      <c r="A189" s="1205"/>
      <c r="B189" s="1205"/>
      <c r="C189" s="1205"/>
      <c r="D189" s="1205"/>
      <c r="E189" s="1206"/>
      <c r="F189" s="1206"/>
      <c r="G189" s="1206"/>
      <c r="H189" s="1205"/>
      <c r="I189" s="1205"/>
    </row>
    <row r="190">
      <c r="A190" s="1205"/>
      <c r="B190" s="1205"/>
      <c r="C190" s="1205"/>
      <c r="D190" s="1205"/>
      <c r="E190" s="1206"/>
      <c r="F190" s="1206"/>
      <c r="G190" s="1206"/>
      <c r="H190" s="1205"/>
      <c r="I190" s="1205"/>
    </row>
    <row r="191">
      <c r="A191" s="1205"/>
      <c r="B191" s="1205"/>
      <c r="C191" s="1205"/>
      <c r="D191" s="1205"/>
      <c r="E191" s="1206"/>
      <c r="F191" s="1206"/>
      <c r="G191" s="1206"/>
      <c r="H191" s="1205"/>
      <c r="I191" s="1205"/>
    </row>
    <row r="192">
      <c r="A192" s="1205"/>
      <c r="B192" s="1205"/>
      <c r="C192" s="1205"/>
      <c r="D192" s="1205"/>
      <c r="E192" s="1206"/>
      <c r="F192" s="1206"/>
      <c r="G192" s="1206"/>
      <c r="H192" s="1205"/>
      <c r="I192" s="1205"/>
    </row>
    <row r="193">
      <c r="A193" s="1205"/>
      <c r="B193" s="1205"/>
      <c r="C193" s="1205"/>
      <c r="D193" s="1205"/>
      <c r="E193" s="1206"/>
      <c r="F193" s="1206"/>
      <c r="G193" s="1206"/>
      <c r="H193" s="1205"/>
      <c r="I193" s="1205"/>
    </row>
    <row r="194">
      <c r="A194" s="1205"/>
      <c r="B194" s="1205"/>
      <c r="C194" s="1205"/>
      <c r="D194" s="1205"/>
      <c r="E194" s="1206"/>
      <c r="F194" s="1206"/>
      <c r="G194" s="1206"/>
      <c r="H194" s="1205"/>
      <c r="I194" s="1205"/>
    </row>
    <row r="195">
      <c r="A195" s="1205"/>
      <c r="B195" s="1205"/>
      <c r="C195" s="1205"/>
      <c r="D195" s="1205"/>
      <c r="E195" s="1206"/>
      <c r="F195" s="1206"/>
      <c r="G195" s="1206"/>
      <c r="H195" s="1205"/>
      <c r="I195" s="1205"/>
    </row>
    <row r="196">
      <c r="A196" s="1205"/>
      <c r="B196" s="1205"/>
      <c r="C196" s="1205"/>
      <c r="D196" s="1205"/>
      <c r="E196" s="1206"/>
      <c r="F196" s="1206"/>
      <c r="G196" s="1206"/>
      <c r="H196" s="1205"/>
      <c r="I196" s="1205"/>
    </row>
    <row r="197">
      <c r="A197" s="1205"/>
      <c r="B197" s="1205"/>
      <c r="C197" s="1205"/>
      <c r="D197" s="1205"/>
      <c r="E197" s="1206"/>
      <c r="F197" s="1206"/>
      <c r="G197" s="1206"/>
      <c r="H197" s="1205"/>
      <c r="I197" s="1205"/>
    </row>
    <row r="198">
      <c r="A198" s="1205"/>
      <c r="B198" s="1205"/>
      <c r="C198" s="1205"/>
      <c r="D198" s="1205"/>
      <c r="E198" s="1206"/>
      <c r="F198" s="1206"/>
      <c r="G198" s="1206"/>
      <c r="H198" s="1205"/>
      <c r="I198" s="1205"/>
    </row>
    <row r="199">
      <c r="A199" s="1205"/>
      <c r="B199" s="1205"/>
      <c r="C199" s="1205"/>
      <c r="D199" s="1205"/>
      <c r="E199" s="1206"/>
      <c r="F199" s="1206"/>
      <c r="G199" s="1206"/>
      <c r="H199" s="1205"/>
      <c r="I199" s="1205"/>
    </row>
    <row r="200">
      <c r="A200" s="1205"/>
      <c r="B200" s="1205"/>
      <c r="C200" s="1205"/>
      <c r="D200" s="1205"/>
      <c r="E200" s="1206"/>
      <c r="F200" s="1206"/>
      <c r="G200" s="1206"/>
      <c r="H200" s="1205"/>
      <c r="I200" s="1205"/>
    </row>
    <row r="201">
      <c r="A201" s="1205"/>
      <c r="B201" s="1205"/>
      <c r="C201" s="1205"/>
      <c r="D201" s="1205"/>
      <c r="E201" s="1206"/>
      <c r="F201" s="1206"/>
      <c r="G201" s="1206"/>
      <c r="H201" s="1205"/>
      <c r="I201" s="1205"/>
    </row>
    <row r="202">
      <c r="A202" s="1205"/>
      <c r="B202" s="1205"/>
      <c r="C202" s="1205"/>
      <c r="D202" s="1205"/>
      <c r="E202" s="1206"/>
      <c r="F202" s="1206"/>
      <c r="G202" s="1206"/>
      <c r="H202" s="1205"/>
      <c r="I202" s="1205"/>
    </row>
    <row r="203">
      <c r="A203" s="1205"/>
      <c r="B203" s="1205"/>
      <c r="C203" s="1205"/>
      <c r="D203" s="1205"/>
      <c r="E203" s="1206"/>
      <c r="F203" s="1206"/>
      <c r="G203" s="1206"/>
      <c r="H203" s="1205"/>
      <c r="I203" s="1205"/>
    </row>
    <row r="204">
      <c r="A204" s="1205"/>
      <c r="B204" s="1205"/>
      <c r="C204" s="1205"/>
      <c r="D204" s="1205"/>
      <c r="E204" s="1206"/>
      <c r="F204" s="1206"/>
      <c r="G204" s="1206"/>
      <c r="H204" s="1205"/>
      <c r="I204" s="1205"/>
    </row>
    <row r="205">
      <c r="A205" s="1205"/>
      <c r="B205" s="1205"/>
      <c r="C205" s="1205"/>
      <c r="D205" s="1205"/>
      <c r="E205" s="1206"/>
      <c r="F205" s="1206"/>
      <c r="G205" s="1206"/>
      <c r="H205" s="1205"/>
      <c r="I205" s="1205"/>
    </row>
    <row r="206">
      <c r="A206" s="1205"/>
      <c r="B206" s="1205"/>
      <c r="C206" s="1205"/>
      <c r="D206" s="1205"/>
      <c r="E206" s="1206"/>
      <c r="F206" s="1206"/>
      <c r="G206" s="1206"/>
      <c r="H206" s="1205"/>
      <c r="I206" s="1205"/>
    </row>
    <row r="207">
      <c r="A207" s="1205"/>
      <c r="B207" s="1205"/>
      <c r="C207" s="1205"/>
      <c r="D207" s="1205"/>
      <c r="E207" s="1206"/>
      <c r="F207" s="1206"/>
      <c r="G207" s="1206"/>
      <c r="H207" s="1205"/>
      <c r="I207" s="1205"/>
    </row>
    <row r="208">
      <c r="A208" s="1205"/>
      <c r="B208" s="1205"/>
      <c r="C208" s="1205"/>
      <c r="D208" s="1205"/>
      <c r="E208" s="1206"/>
      <c r="F208" s="1206"/>
      <c r="G208" s="1206"/>
      <c r="H208" s="1205"/>
      <c r="I208" s="1205"/>
    </row>
    <row r="209">
      <c r="A209" s="1205"/>
      <c r="B209" s="1205"/>
      <c r="C209" s="1205"/>
      <c r="D209" s="1205"/>
      <c r="E209" s="1206"/>
      <c r="F209" s="1206"/>
      <c r="G209" s="1206"/>
      <c r="H209" s="1205"/>
      <c r="I209" s="1205"/>
    </row>
    <row r="210">
      <c r="A210" s="1205"/>
      <c r="B210" s="1205"/>
      <c r="C210" s="1205"/>
      <c r="D210" s="1205"/>
      <c r="E210" s="1206"/>
      <c r="F210" s="1206"/>
      <c r="G210" s="1206"/>
      <c r="H210" s="1205"/>
      <c r="I210" s="1205"/>
    </row>
    <row r="211">
      <c r="A211" s="1205"/>
      <c r="B211" s="1205"/>
      <c r="C211" s="1205"/>
      <c r="D211" s="1205"/>
      <c r="E211" s="1206"/>
      <c r="F211" s="1206"/>
      <c r="G211" s="1206"/>
      <c r="H211" s="1205"/>
      <c r="I211" s="1205"/>
    </row>
    <row r="212">
      <c r="A212" s="1205"/>
      <c r="B212" s="1205"/>
      <c r="C212" s="1205"/>
      <c r="D212" s="1205"/>
      <c r="E212" s="1206"/>
      <c r="F212" s="1206"/>
      <c r="G212" s="1206"/>
      <c r="H212" s="1205"/>
      <c r="I212" s="1205"/>
    </row>
    <row r="213">
      <c r="A213" s="1205"/>
      <c r="B213" s="1205"/>
      <c r="C213" s="1205"/>
      <c r="D213" s="1205"/>
      <c r="E213" s="1206"/>
      <c r="F213" s="1206"/>
      <c r="G213" s="1206"/>
      <c r="H213" s="1205"/>
      <c r="I213" s="1205"/>
    </row>
    <row r="214">
      <c r="A214" s="1205"/>
      <c r="B214" s="1205"/>
      <c r="C214" s="1205"/>
      <c r="D214" s="1205"/>
      <c r="E214" s="1206"/>
      <c r="F214" s="1206"/>
      <c r="G214" s="1206"/>
      <c r="H214" s="1205"/>
      <c r="I214" s="1205"/>
    </row>
    <row r="215">
      <c r="A215" s="1205"/>
      <c r="B215" s="1205"/>
      <c r="C215" s="1205"/>
      <c r="D215" s="1205"/>
      <c r="E215" s="1206"/>
      <c r="F215" s="1206"/>
      <c r="G215" s="1206"/>
      <c r="H215" s="1205"/>
      <c r="I215" s="1205"/>
    </row>
    <row r="216">
      <c r="A216" s="1205"/>
      <c r="B216" s="1205"/>
      <c r="C216" s="1205"/>
      <c r="D216" s="1205"/>
      <c r="E216" s="1206"/>
      <c r="F216" s="1206"/>
      <c r="G216" s="1206"/>
      <c r="H216" s="1205"/>
      <c r="I216" s="1205"/>
    </row>
    <row r="217">
      <c r="A217" s="1205"/>
      <c r="B217" s="1205"/>
      <c r="C217" s="1205"/>
      <c r="D217" s="1205"/>
      <c r="E217" s="1206"/>
      <c r="F217" s="1206"/>
      <c r="G217" s="1206"/>
      <c r="H217" s="1205"/>
      <c r="I217" s="1205"/>
    </row>
    <row r="218">
      <c r="A218" s="1205"/>
      <c r="B218" s="1205"/>
      <c r="C218" s="1205"/>
      <c r="D218" s="1205"/>
      <c r="E218" s="1206"/>
      <c r="F218" s="1206"/>
      <c r="G218" s="1206"/>
      <c r="H218" s="1205"/>
      <c r="I218" s="1205"/>
    </row>
    <row r="219">
      <c r="A219" s="1205"/>
      <c r="B219" s="1205"/>
      <c r="C219" s="1205"/>
      <c r="D219" s="1205"/>
      <c r="E219" s="1206"/>
      <c r="F219" s="1206"/>
      <c r="G219" s="1206"/>
      <c r="H219" s="1205"/>
      <c r="I219" s="1205"/>
    </row>
    <row r="220">
      <c r="A220" s="1205"/>
      <c r="B220" s="1205"/>
      <c r="C220" s="1205"/>
      <c r="D220" s="1205"/>
      <c r="E220" s="1206"/>
      <c r="F220" s="1206"/>
      <c r="G220" s="1206"/>
      <c r="H220" s="1205"/>
      <c r="I220" s="1205"/>
    </row>
    <row r="221">
      <c r="A221" s="1205"/>
      <c r="B221" s="1205"/>
      <c r="C221" s="1205"/>
      <c r="D221" s="1205"/>
      <c r="E221" s="1206"/>
      <c r="F221" s="1206"/>
      <c r="G221" s="1206"/>
      <c r="H221" s="1205"/>
      <c r="I221" s="1205"/>
    </row>
    <row r="222">
      <c r="A222" s="1205"/>
      <c r="B222" s="1205"/>
      <c r="C222" s="1205"/>
      <c r="D222" s="1205"/>
      <c r="E222" s="1206"/>
      <c r="F222" s="1206"/>
      <c r="G222" s="1206"/>
      <c r="H222" s="1205"/>
      <c r="I222" s="1205"/>
    </row>
    <row r="223">
      <c r="A223" s="1205"/>
      <c r="B223" s="1205"/>
      <c r="C223" s="1205"/>
      <c r="D223" s="1205"/>
      <c r="E223" s="1206"/>
      <c r="F223" s="1206"/>
      <c r="G223" s="1206"/>
      <c r="H223" s="1205"/>
      <c r="I223" s="1205"/>
    </row>
    <row r="224">
      <c r="A224" s="1205"/>
      <c r="B224" s="1205"/>
      <c r="C224" s="1205"/>
      <c r="D224" s="1205"/>
      <c r="E224" s="1206"/>
      <c r="F224" s="1206"/>
      <c r="G224" s="1206"/>
      <c r="H224" s="1205"/>
      <c r="I224" s="1205"/>
    </row>
    <row r="225">
      <c r="A225" s="1205"/>
      <c r="B225" s="1205"/>
      <c r="C225" s="1205"/>
      <c r="D225" s="1205"/>
      <c r="E225" s="1206"/>
      <c r="F225" s="1206"/>
      <c r="G225" s="1206"/>
      <c r="H225" s="1205"/>
      <c r="I225" s="1205"/>
    </row>
    <row r="226">
      <c r="A226" s="1205"/>
      <c r="B226" s="1205"/>
      <c r="C226" s="1205"/>
      <c r="D226" s="1205"/>
      <c r="E226" s="1206"/>
      <c r="F226" s="1206"/>
      <c r="G226" s="1206"/>
      <c r="H226" s="1205"/>
      <c r="I226" s="1205"/>
    </row>
    <row r="227">
      <c r="A227" s="1205"/>
      <c r="B227" s="1205"/>
      <c r="C227" s="1205"/>
      <c r="D227" s="1205"/>
      <c r="E227" s="1206"/>
      <c r="F227" s="1206"/>
      <c r="G227" s="1206"/>
      <c r="H227" s="1205"/>
      <c r="I227" s="1205"/>
    </row>
    <row r="228">
      <c r="A228" s="1205"/>
      <c r="B228" s="1205"/>
      <c r="C228" s="1205"/>
      <c r="D228" s="1205"/>
      <c r="E228" s="1206"/>
      <c r="F228" s="1206"/>
      <c r="G228" s="1206"/>
      <c r="H228" s="1205"/>
      <c r="I228" s="1205"/>
    </row>
    <row r="229">
      <c r="A229" s="1205"/>
      <c r="B229" s="1205"/>
      <c r="C229" s="1205"/>
      <c r="D229" s="1205"/>
      <c r="E229" s="1206"/>
      <c r="F229" s="1206"/>
      <c r="G229" s="1206"/>
      <c r="H229" s="1205"/>
      <c r="I229" s="1205"/>
    </row>
    <row r="230">
      <c r="A230" s="1205"/>
      <c r="B230" s="1205"/>
      <c r="C230" s="1205"/>
      <c r="D230" s="1205"/>
      <c r="E230" s="1206"/>
      <c r="F230" s="1206"/>
      <c r="G230" s="1206"/>
      <c r="H230" s="1205"/>
      <c r="I230" s="1205"/>
    </row>
    <row r="231">
      <c r="A231" s="1205"/>
      <c r="B231" s="1205"/>
      <c r="C231" s="1205"/>
      <c r="D231" s="1205"/>
      <c r="E231" s="1206"/>
      <c r="F231" s="1206"/>
      <c r="G231" s="1206"/>
      <c r="H231" s="1205"/>
      <c r="I231" s="1205"/>
    </row>
    <row r="232">
      <c r="A232" s="1205"/>
      <c r="B232" s="1205"/>
      <c r="C232" s="1205"/>
      <c r="D232" s="1205"/>
      <c r="E232" s="1206"/>
      <c r="F232" s="1206"/>
      <c r="G232" s="1206"/>
      <c r="H232" s="1205"/>
      <c r="I232" s="1205"/>
    </row>
    <row r="233">
      <c r="A233" s="1205"/>
      <c r="B233" s="1205"/>
      <c r="C233" s="1205"/>
      <c r="D233" s="1205"/>
      <c r="E233" s="1206"/>
      <c r="F233" s="1206"/>
      <c r="G233" s="1206"/>
      <c r="H233" s="1205"/>
      <c r="I233" s="1205"/>
    </row>
    <row r="234">
      <c r="A234" s="1205"/>
      <c r="B234" s="1205"/>
      <c r="C234" s="1205"/>
      <c r="D234" s="1205"/>
      <c r="E234" s="1206"/>
      <c r="F234" s="1206"/>
      <c r="G234" s="1206"/>
      <c r="H234" s="1205"/>
      <c r="I234" s="1205"/>
    </row>
    <row r="235">
      <c r="A235" s="1205"/>
      <c r="B235" s="1205"/>
      <c r="C235" s="1205"/>
      <c r="D235" s="1205"/>
      <c r="E235" s="1206"/>
      <c r="F235" s="1206"/>
      <c r="G235" s="1206"/>
      <c r="H235" s="1205"/>
      <c r="I235" s="1205"/>
    </row>
    <row r="236">
      <c r="A236" s="1205"/>
      <c r="B236" s="1205"/>
      <c r="C236" s="1205"/>
      <c r="D236" s="1205"/>
      <c r="E236" s="1206"/>
      <c r="F236" s="1206"/>
      <c r="G236" s="1206"/>
      <c r="H236" s="1205"/>
      <c r="I236" s="1205"/>
    </row>
    <row r="237">
      <c r="A237" s="1205"/>
      <c r="B237" s="1205"/>
      <c r="C237" s="1205"/>
      <c r="D237" s="1205"/>
      <c r="E237" s="1206"/>
      <c r="F237" s="1206"/>
      <c r="G237" s="1206"/>
      <c r="H237" s="1205"/>
      <c r="I237" s="1205"/>
    </row>
    <row r="238">
      <c r="A238" s="1205"/>
      <c r="B238" s="1205"/>
      <c r="C238" s="1205"/>
      <c r="D238" s="1205"/>
      <c r="E238" s="1206"/>
      <c r="F238" s="1206"/>
      <c r="G238" s="1206"/>
      <c r="H238" s="1205"/>
      <c r="I238" s="1205"/>
    </row>
    <row r="239">
      <c r="A239" s="1205"/>
      <c r="B239" s="1205"/>
      <c r="C239" s="1205"/>
      <c r="D239" s="1205"/>
      <c r="E239" s="1206"/>
      <c r="F239" s="1206"/>
      <c r="G239" s="1206"/>
      <c r="H239" s="1205"/>
      <c r="I239" s="1205"/>
    </row>
    <row r="240">
      <c r="A240" s="1205"/>
      <c r="B240" s="1205"/>
      <c r="C240" s="1205"/>
      <c r="D240" s="1205"/>
      <c r="E240" s="1206"/>
      <c r="F240" s="1206"/>
      <c r="G240" s="1206"/>
      <c r="H240" s="1205"/>
      <c r="I240" s="1205"/>
    </row>
    <row r="241">
      <c r="A241" s="1205"/>
      <c r="B241" s="1205"/>
      <c r="C241" s="1205"/>
      <c r="D241" s="1205"/>
      <c r="E241" s="1206"/>
      <c r="F241" s="1206"/>
      <c r="G241" s="1206"/>
      <c r="H241" s="1205"/>
      <c r="I241" s="1205"/>
    </row>
    <row r="242">
      <c r="A242" s="1205"/>
      <c r="B242" s="1205"/>
      <c r="C242" s="1205"/>
      <c r="D242" s="1205"/>
      <c r="E242" s="1206"/>
      <c r="F242" s="1206"/>
      <c r="G242" s="1206"/>
      <c r="H242" s="1205"/>
      <c r="I242" s="1205"/>
    </row>
    <row r="243">
      <c r="A243" s="1205"/>
      <c r="B243" s="1205"/>
      <c r="C243" s="1205"/>
      <c r="D243" s="1205"/>
      <c r="E243" s="1206"/>
      <c r="F243" s="1206"/>
      <c r="G243" s="1206"/>
      <c r="H243" s="1205"/>
      <c r="I243" s="1205"/>
    </row>
    <row r="244">
      <c r="A244" s="1205"/>
      <c r="B244" s="1205"/>
      <c r="C244" s="1205"/>
      <c r="D244" s="1205"/>
      <c r="E244" s="1206"/>
      <c r="F244" s="1206"/>
      <c r="G244" s="1206"/>
      <c r="H244" s="1205"/>
      <c r="I244" s="1205"/>
    </row>
    <row r="245">
      <c r="A245" s="1205"/>
      <c r="B245" s="1205"/>
      <c r="C245" s="1205"/>
      <c r="D245" s="1205"/>
      <c r="E245" s="1206"/>
      <c r="F245" s="1206"/>
      <c r="G245" s="1206"/>
      <c r="H245" s="1205"/>
      <c r="I245" s="1205"/>
    </row>
    <row r="246">
      <c r="A246" s="1205"/>
      <c r="B246" s="1205"/>
      <c r="C246" s="1205"/>
      <c r="D246" s="1205"/>
      <c r="E246" s="1206"/>
      <c r="F246" s="1206"/>
      <c r="G246" s="1206"/>
      <c r="H246" s="1205"/>
      <c r="I246" s="1205"/>
    </row>
    <row r="247">
      <c r="A247" s="1205"/>
      <c r="B247" s="1205"/>
      <c r="C247" s="1205"/>
      <c r="D247" s="1205"/>
      <c r="E247" s="1206"/>
      <c r="F247" s="1206"/>
      <c r="G247" s="1206"/>
      <c r="H247" s="1205"/>
      <c r="I247" s="1205"/>
    </row>
    <row r="248">
      <c r="A248" s="1205"/>
      <c r="B248" s="1205"/>
      <c r="C248" s="1205"/>
      <c r="D248" s="1205"/>
      <c r="E248" s="1206"/>
      <c r="F248" s="1206"/>
      <c r="G248" s="1206"/>
      <c r="H248" s="1205"/>
      <c r="I248" s="1205"/>
    </row>
    <row r="249">
      <c r="A249" s="1205"/>
      <c r="B249" s="1205"/>
      <c r="C249" s="1205"/>
      <c r="D249" s="1205"/>
      <c r="E249" s="1206"/>
      <c r="F249" s="1206"/>
      <c r="G249" s="1206"/>
      <c r="H249" s="1205"/>
      <c r="I249" s="1205"/>
    </row>
    <row r="250">
      <c r="A250" s="1205"/>
      <c r="B250" s="1205"/>
      <c r="C250" s="1205"/>
      <c r="D250" s="1205"/>
      <c r="E250" s="1206"/>
      <c r="F250" s="1206"/>
      <c r="G250" s="1206"/>
      <c r="H250" s="1205"/>
      <c r="I250" s="1205"/>
    </row>
    <row r="251">
      <c r="A251" s="1205"/>
      <c r="B251" s="1205"/>
      <c r="C251" s="1205"/>
      <c r="D251" s="1205"/>
      <c r="E251" s="1206"/>
      <c r="F251" s="1206"/>
      <c r="G251" s="1206"/>
      <c r="H251" s="1205"/>
      <c r="I251" s="1205"/>
    </row>
    <row r="252">
      <c r="A252" s="1205"/>
      <c r="B252" s="1205"/>
      <c r="C252" s="1205"/>
      <c r="D252" s="1205"/>
      <c r="E252" s="1206"/>
      <c r="F252" s="1206"/>
      <c r="G252" s="1206"/>
      <c r="H252" s="1205"/>
      <c r="I252" s="1205"/>
    </row>
    <row r="253">
      <c r="A253" s="1205"/>
      <c r="B253" s="1205"/>
      <c r="C253" s="1205"/>
      <c r="D253" s="1205"/>
      <c r="E253" s="1206"/>
      <c r="F253" s="1206"/>
      <c r="G253" s="1206"/>
      <c r="H253" s="1205"/>
      <c r="I253" s="1205"/>
    </row>
    <row r="254">
      <c r="A254" s="1205"/>
      <c r="B254" s="1205"/>
      <c r="C254" s="1205"/>
      <c r="D254" s="1205"/>
      <c r="E254" s="1206"/>
      <c r="F254" s="1206"/>
      <c r="G254" s="1206"/>
      <c r="H254" s="1205"/>
      <c r="I254" s="1205"/>
    </row>
    <row r="255">
      <c r="A255" s="1205"/>
      <c r="B255" s="1205"/>
      <c r="C255" s="1205"/>
      <c r="D255" s="1205"/>
      <c r="E255" s="1206"/>
      <c r="F255" s="1206"/>
      <c r="G255" s="1206"/>
      <c r="H255" s="1205"/>
      <c r="I255" s="1205"/>
    </row>
    <row r="256">
      <c r="A256" s="1205"/>
      <c r="B256" s="1205"/>
      <c r="C256" s="1205"/>
      <c r="D256" s="1205"/>
      <c r="E256" s="1206"/>
      <c r="F256" s="1206"/>
      <c r="G256" s="1206"/>
      <c r="H256" s="1205"/>
      <c r="I256" s="1205"/>
    </row>
    <row r="257">
      <c r="A257" s="1205"/>
      <c r="B257" s="1205"/>
      <c r="C257" s="1205"/>
      <c r="D257" s="1205"/>
      <c r="E257" s="1206"/>
      <c r="F257" s="1206"/>
      <c r="G257" s="1206"/>
      <c r="H257" s="1205"/>
      <c r="I257" s="1205"/>
    </row>
    <row r="258">
      <c r="A258" s="1205"/>
      <c r="B258" s="1205"/>
      <c r="C258" s="1205"/>
      <c r="D258" s="1205"/>
      <c r="E258" s="1206"/>
      <c r="F258" s="1206"/>
      <c r="G258" s="1206"/>
      <c r="H258" s="1205"/>
      <c r="I258" s="1205"/>
    </row>
    <row r="259">
      <c r="A259" s="1205"/>
      <c r="B259" s="1205"/>
      <c r="C259" s="1205"/>
      <c r="D259" s="1205"/>
      <c r="E259" s="1206"/>
      <c r="F259" s="1206"/>
      <c r="G259" s="1206"/>
      <c r="H259" s="1205"/>
      <c r="I259" s="1205"/>
    </row>
    <row r="260">
      <c r="A260" s="1205"/>
      <c r="B260" s="1205"/>
      <c r="C260" s="1205"/>
      <c r="D260" s="1205"/>
      <c r="E260" s="1206"/>
      <c r="F260" s="1206"/>
      <c r="G260" s="1206"/>
      <c r="H260" s="1205"/>
      <c r="I260" s="1205"/>
    </row>
    <row r="261">
      <c r="A261" s="1205"/>
      <c r="B261" s="1205"/>
      <c r="C261" s="1205"/>
      <c r="D261" s="1205"/>
      <c r="E261" s="1206"/>
      <c r="F261" s="1206"/>
      <c r="G261" s="1206"/>
      <c r="H261" s="1205"/>
      <c r="I261" s="1205"/>
    </row>
    <row r="262">
      <c r="A262" s="1205"/>
      <c r="B262" s="1205"/>
      <c r="C262" s="1205"/>
      <c r="D262" s="1205"/>
      <c r="E262" s="1206"/>
      <c r="F262" s="1206"/>
      <c r="G262" s="1206"/>
      <c r="H262" s="1205"/>
      <c r="I262" s="1205"/>
    </row>
    <row r="263">
      <c r="A263" s="1205"/>
      <c r="B263" s="1205"/>
      <c r="C263" s="1205"/>
      <c r="D263" s="1205"/>
      <c r="E263" s="1206"/>
      <c r="F263" s="1206"/>
      <c r="G263" s="1206"/>
      <c r="H263" s="1205"/>
      <c r="I263" s="1205"/>
    </row>
    <row r="264">
      <c r="A264" s="1205"/>
      <c r="B264" s="1205"/>
      <c r="C264" s="1205"/>
      <c r="D264" s="1205"/>
      <c r="E264" s="1206"/>
      <c r="F264" s="1206"/>
      <c r="G264" s="1206"/>
      <c r="H264" s="1205"/>
      <c r="I264" s="1205"/>
    </row>
    <row r="265">
      <c r="A265" s="1205"/>
      <c r="B265" s="1205"/>
      <c r="C265" s="1205"/>
      <c r="D265" s="1205"/>
      <c r="E265" s="1206"/>
      <c r="F265" s="1206"/>
      <c r="G265" s="1206"/>
      <c r="H265" s="1205"/>
      <c r="I265" s="1205"/>
    </row>
    <row r="266">
      <c r="A266" s="1205"/>
      <c r="B266" s="1205"/>
      <c r="C266" s="1205"/>
      <c r="D266" s="1205"/>
      <c r="E266" s="1206"/>
      <c r="F266" s="1206"/>
      <c r="G266" s="1206"/>
      <c r="H266" s="1205"/>
      <c r="I266" s="1205"/>
    </row>
    <row r="267">
      <c r="A267" s="1205"/>
      <c r="B267" s="1205"/>
      <c r="C267" s="1205"/>
      <c r="D267" s="1205"/>
      <c r="E267" s="1206"/>
      <c r="F267" s="1206"/>
      <c r="G267" s="1206"/>
      <c r="H267" s="1205"/>
      <c r="I267" s="1205"/>
    </row>
    <row r="268">
      <c r="A268" s="1205"/>
      <c r="B268" s="1205"/>
      <c r="C268" s="1205"/>
      <c r="D268" s="1205"/>
      <c r="E268" s="1206"/>
      <c r="F268" s="1206"/>
      <c r="G268" s="1206"/>
      <c r="H268" s="1205"/>
      <c r="I268" s="1205"/>
    </row>
    <row r="269">
      <c r="A269" s="1205"/>
      <c r="B269" s="1205"/>
      <c r="C269" s="1205"/>
      <c r="D269" s="1205"/>
      <c r="E269" s="1206"/>
      <c r="F269" s="1206"/>
      <c r="G269" s="1206"/>
      <c r="H269" s="1205"/>
      <c r="I269" s="1205"/>
    </row>
    <row r="270">
      <c r="A270" s="1205"/>
      <c r="B270" s="1205"/>
      <c r="C270" s="1205"/>
      <c r="D270" s="1205"/>
      <c r="E270" s="1206"/>
      <c r="F270" s="1206"/>
      <c r="G270" s="1206"/>
      <c r="H270" s="1205"/>
      <c r="I270" s="1205"/>
    </row>
    <row r="271">
      <c r="A271" s="1205"/>
      <c r="B271" s="1205"/>
      <c r="C271" s="1205"/>
      <c r="D271" s="1205"/>
      <c r="E271" s="1206"/>
      <c r="F271" s="1206"/>
      <c r="G271" s="1206"/>
      <c r="H271" s="1205"/>
      <c r="I271" s="1205"/>
    </row>
    <row r="272">
      <c r="A272" s="1205"/>
      <c r="B272" s="1205"/>
      <c r="C272" s="1205"/>
      <c r="D272" s="1205"/>
      <c r="E272" s="1206"/>
      <c r="F272" s="1206"/>
      <c r="G272" s="1206"/>
      <c r="H272" s="1205"/>
      <c r="I272" s="1205"/>
    </row>
    <row r="273">
      <c r="A273" s="1205"/>
      <c r="B273" s="1205"/>
      <c r="C273" s="1205"/>
      <c r="D273" s="1205"/>
      <c r="E273" s="1206"/>
      <c r="F273" s="1206"/>
      <c r="G273" s="1206"/>
      <c r="H273" s="1205"/>
      <c r="I273" s="1205"/>
    </row>
    <row r="274">
      <c r="A274" s="1205"/>
      <c r="B274" s="1205"/>
      <c r="C274" s="1205"/>
      <c r="D274" s="1205"/>
      <c r="E274" s="1206"/>
      <c r="F274" s="1206"/>
      <c r="G274" s="1206"/>
      <c r="H274" s="1205"/>
      <c r="I274" s="1205"/>
    </row>
    <row r="275">
      <c r="A275" s="1205"/>
      <c r="B275" s="1205"/>
      <c r="C275" s="1205"/>
      <c r="D275" s="1205"/>
      <c r="E275" s="1206"/>
      <c r="F275" s="1206"/>
      <c r="G275" s="1206"/>
      <c r="H275" s="1205"/>
      <c r="I275" s="1205"/>
    </row>
    <row r="276">
      <c r="A276" s="1205"/>
      <c r="B276" s="1205"/>
      <c r="C276" s="1205"/>
      <c r="D276" s="1205"/>
      <c r="E276" s="1206"/>
      <c r="F276" s="1206"/>
      <c r="G276" s="1206"/>
      <c r="H276" s="1205"/>
      <c r="I276" s="1205"/>
    </row>
    <row r="277">
      <c r="A277" s="1205"/>
      <c r="B277" s="1205"/>
      <c r="C277" s="1205"/>
      <c r="D277" s="1205"/>
      <c r="E277" s="1206"/>
      <c r="F277" s="1206"/>
      <c r="G277" s="1206"/>
      <c r="H277" s="1205"/>
      <c r="I277" s="1205"/>
    </row>
    <row r="278">
      <c r="A278" s="1205"/>
      <c r="B278" s="1205"/>
      <c r="C278" s="1205"/>
      <c r="D278" s="1205"/>
      <c r="E278" s="1206"/>
      <c r="F278" s="1206"/>
      <c r="G278" s="1206"/>
      <c r="H278" s="1205"/>
      <c r="I278" s="1205"/>
    </row>
    <row r="279">
      <c r="A279" s="1205"/>
      <c r="B279" s="1205"/>
      <c r="C279" s="1205"/>
      <c r="D279" s="1205"/>
      <c r="E279" s="1206"/>
      <c r="F279" s="1206"/>
      <c r="G279" s="1206"/>
      <c r="H279" s="1205"/>
      <c r="I279" s="1205"/>
    </row>
    <row r="280">
      <c r="A280" s="1205"/>
      <c r="B280" s="1205"/>
      <c r="C280" s="1205"/>
      <c r="D280" s="1205"/>
      <c r="E280" s="1206"/>
      <c r="F280" s="1206"/>
      <c r="G280" s="1206"/>
      <c r="H280" s="1205"/>
      <c r="I280" s="1205"/>
    </row>
    <row r="281">
      <c r="A281" s="1205"/>
      <c r="B281" s="1205"/>
      <c r="C281" s="1205"/>
      <c r="D281" s="1205"/>
      <c r="E281" s="1206"/>
      <c r="F281" s="1206"/>
      <c r="G281" s="1206"/>
      <c r="H281" s="1205"/>
      <c r="I281" s="1205"/>
    </row>
    <row r="282">
      <c r="A282" s="1205"/>
      <c r="B282" s="1205"/>
      <c r="C282" s="1205"/>
      <c r="D282" s="1205"/>
      <c r="E282" s="1206"/>
      <c r="F282" s="1206"/>
      <c r="G282" s="1206"/>
      <c r="H282" s="1205"/>
      <c r="I282" s="1205"/>
    </row>
    <row r="283">
      <c r="A283" s="1205"/>
      <c r="B283" s="1205"/>
      <c r="C283" s="1205"/>
      <c r="D283" s="1205"/>
      <c r="E283" s="1206"/>
      <c r="F283" s="1206"/>
      <c r="G283" s="1206"/>
      <c r="H283" s="1205"/>
      <c r="I283" s="1205"/>
    </row>
    <row r="284">
      <c r="A284" s="1205"/>
      <c r="B284" s="1205"/>
      <c r="C284" s="1205"/>
      <c r="D284" s="1205"/>
      <c r="E284" s="1206"/>
      <c r="F284" s="1206"/>
      <c r="G284" s="1206"/>
      <c r="H284" s="1205"/>
      <c r="I284" s="1205"/>
    </row>
    <row r="285">
      <c r="A285" s="1205"/>
      <c r="B285" s="1205"/>
      <c r="C285" s="1205"/>
      <c r="D285" s="1205"/>
      <c r="E285" s="1206"/>
      <c r="F285" s="1206"/>
      <c r="G285" s="1206"/>
      <c r="H285" s="1205"/>
      <c r="I285" s="1205"/>
    </row>
    <row r="286">
      <c r="A286" s="1205"/>
      <c r="B286" s="1205"/>
      <c r="C286" s="1205"/>
      <c r="D286" s="1205"/>
      <c r="E286" s="1206"/>
      <c r="F286" s="1206"/>
      <c r="G286" s="1206"/>
      <c r="H286" s="1205"/>
      <c r="I286" s="1205"/>
    </row>
    <row r="287">
      <c r="A287" s="1205"/>
      <c r="B287" s="1205"/>
      <c r="C287" s="1205"/>
      <c r="D287" s="1205"/>
      <c r="E287" s="1206"/>
      <c r="F287" s="1206"/>
      <c r="G287" s="1206"/>
      <c r="H287" s="1205"/>
      <c r="I287" s="1205"/>
    </row>
    <row r="288">
      <c r="A288" s="1205"/>
      <c r="B288" s="1205"/>
      <c r="C288" s="1205"/>
      <c r="D288" s="1205"/>
      <c r="E288" s="1206"/>
      <c r="F288" s="1206"/>
      <c r="G288" s="1206"/>
      <c r="H288" s="1205"/>
      <c r="I288" s="1205"/>
    </row>
    <row r="289">
      <c r="A289" s="1205"/>
      <c r="B289" s="1205"/>
      <c r="C289" s="1205"/>
      <c r="D289" s="1205"/>
      <c r="E289" s="1206"/>
      <c r="F289" s="1206"/>
      <c r="G289" s="1206"/>
      <c r="H289" s="1205"/>
      <c r="I289" s="1205"/>
    </row>
    <row r="290">
      <c r="A290" s="1205"/>
      <c r="B290" s="1205"/>
      <c r="C290" s="1205"/>
      <c r="D290" s="1205"/>
      <c r="E290" s="1206"/>
      <c r="F290" s="1206"/>
      <c r="G290" s="1206"/>
      <c r="H290" s="1205"/>
      <c r="I290" s="1205"/>
    </row>
    <row r="291">
      <c r="A291" s="1205"/>
      <c r="B291" s="1205"/>
      <c r="C291" s="1205"/>
      <c r="D291" s="1205"/>
      <c r="E291" s="1206"/>
      <c r="F291" s="1206"/>
      <c r="G291" s="1206"/>
      <c r="H291" s="1205"/>
      <c r="I291" s="1205"/>
    </row>
    <row r="292">
      <c r="A292" s="1205"/>
      <c r="B292" s="1205"/>
      <c r="C292" s="1205"/>
      <c r="D292" s="1205"/>
      <c r="E292" s="1206"/>
      <c r="F292" s="1206"/>
      <c r="G292" s="1206"/>
      <c r="H292" s="1205"/>
      <c r="I292" s="1205"/>
    </row>
    <row r="293">
      <c r="A293" s="1205"/>
      <c r="B293" s="1205"/>
      <c r="C293" s="1205"/>
      <c r="D293" s="1205"/>
      <c r="E293" s="1206"/>
      <c r="F293" s="1206"/>
      <c r="G293" s="1206"/>
      <c r="H293" s="1205"/>
      <c r="I293" s="1205"/>
    </row>
    <row r="294">
      <c r="A294" s="1205"/>
      <c r="B294" s="1205"/>
      <c r="C294" s="1205"/>
      <c r="D294" s="1205"/>
      <c r="E294" s="1206"/>
      <c r="F294" s="1206"/>
      <c r="G294" s="1206"/>
      <c r="H294" s="1205"/>
      <c r="I294" s="1205"/>
    </row>
    <row r="295">
      <c r="A295" s="1205"/>
      <c r="B295" s="1205"/>
      <c r="C295" s="1205"/>
      <c r="D295" s="1205"/>
      <c r="E295" s="1206"/>
      <c r="F295" s="1206"/>
      <c r="G295" s="1206"/>
      <c r="H295" s="1205"/>
      <c r="I295" s="1205"/>
    </row>
    <row r="296">
      <c r="A296" s="1205"/>
      <c r="B296" s="1205"/>
      <c r="C296" s="1205"/>
      <c r="D296" s="1205"/>
      <c r="E296" s="1206"/>
      <c r="F296" s="1206"/>
      <c r="G296" s="1206"/>
      <c r="H296" s="1205"/>
      <c r="I296" s="1205"/>
    </row>
    <row r="297">
      <c r="A297" s="1205"/>
      <c r="B297" s="1205"/>
      <c r="C297" s="1205"/>
      <c r="D297" s="1205"/>
      <c r="E297" s="1206"/>
      <c r="F297" s="1206"/>
      <c r="G297" s="1206"/>
      <c r="H297" s="1205"/>
      <c r="I297" s="1205"/>
    </row>
    <row r="298">
      <c r="A298" s="1205"/>
      <c r="B298" s="1205"/>
      <c r="C298" s="1205"/>
      <c r="D298" s="1205"/>
      <c r="E298" s="1206"/>
      <c r="F298" s="1206"/>
      <c r="G298" s="1206"/>
      <c r="H298" s="1205"/>
      <c r="I298" s="1205"/>
    </row>
    <row r="299">
      <c r="A299" s="1205"/>
      <c r="B299" s="1205"/>
      <c r="C299" s="1205"/>
      <c r="D299" s="1205"/>
      <c r="E299" s="1206"/>
      <c r="F299" s="1206"/>
      <c r="G299" s="1206"/>
      <c r="H299" s="1205"/>
      <c r="I299" s="1205"/>
    </row>
    <row r="300">
      <c r="A300" s="1205"/>
      <c r="B300" s="1205"/>
      <c r="C300" s="1205"/>
      <c r="D300" s="1205"/>
      <c r="E300" s="1206"/>
      <c r="F300" s="1206"/>
      <c r="G300" s="1206"/>
      <c r="H300" s="1205"/>
      <c r="I300" s="1205"/>
    </row>
    <row r="301">
      <c r="A301" s="1205"/>
      <c r="B301" s="1205"/>
      <c r="C301" s="1205"/>
      <c r="D301" s="1205"/>
      <c r="E301" s="1206"/>
      <c r="F301" s="1206"/>
      <c r="G301" s="1206"/>
      <c r="H301" s="1205"/>
      <c r="I301" s="1205"/>
    </row>
    <row r="302">
      <c r="A302" s="1205"/>
      <c r="B302" s="1205"/>
      <c r="C302" s="1205"/>
      <c r="D302" s="1205"/>
      <c r="E302" s="1206"/>
      <c r="F302" s="1206"/>
      <c r="G302" s="1206"/>
      <c r="H302" s="1205"/>
      <c r="I302" s="1205"/>
    </row>
    <row r="303">
      <c r="A303" s="1205"/>
      <c r="B303" s="1205"/>
      <c r="C303" s="1205"/>
      <c r="D303" s="1205"/>
      <c r="E303" s="1206"/>
      <c r="F303" s="1206"/>
      <c r="G303" s="1206"/>
      <c r="H303" s="1205"/>
      <c r="I303" s="1205"/>
    </row>
    <row r="304">
      <c r="A304" s="1205"/>
      <c r="B304" s="1205"/>
      <c r="C304" s="1205"/>
      <c r="D304" s="1205"/>
      <c r="E304" s="1206"/>
      <c r="F304" s="1206"/>
      <c r="G304" s="1206"/>
      <c r="H304" s="1205"/>
      <c r="I304" s="1205"/>
    </row>
    <row r="305">
      <c r="A305" s="1205"/>
      <c r="B305" s="1205"/>
      <c r="C305" s="1205"/>
      <c r="D305" s="1205"/>
      <c r="E305" s="1206"/>
      <c r="F305" s="1206"/>
      <c r="G305" s="1206"/>
      <c r="H305" s="1205"/>
      <c r="I305" s="1205"/>
    </row>
    <row r="306">
      <c r="A306" s="1205"/>
      <c r="B306" s="1205"/>
      <c r="C306" s="1205"/>
      <c r="D306" s="1205"/>
      <c r="E306" s="1206"/>
      <c r="F306" s="1206"/>
      <c r="G306" s="1206"/>
      <c r="H306" s="1205"/>
      <c r="I306" s="1205"/>
    </row>
    <row r="307">
      <c r="A307" s="1205"/>
      <c r="B307" s="1205"/>
      <c r="C307" s="1205"/>
      <c r="D307" s="1205"/>
      <c r="E307" s="1206"/>
      <c r="F307" s="1206"/>
      <c r="G307" s="1206"/>
      <c r="H307" s="1205"/>
      <c r="I307" s="1205"/>
    </row>
    <row r="308">
      <c r="A308" s="1205"/>
      <c r="B308" s="1205"/>
      <c r="C308" s="1205"/>
      <c r="D308" s="1205"/>
      <c r="E308" s="1206"/>
      <c r="F308" s="1206"/>
      <c r="G308" s="1206"/>
      <c r="H308" s="1205"/>
      <c r="I308" s="1205"/>
    </row>
    <row r="309">
      <c r="A309" s="1205"/>
      <c r="B309" s="1205"/>
      <c r="C309" s="1205"/>
      <c r="D309" s="1205"/>
      <c r="E309" s="1206"/>
      <c r="F309" s="1206"/>
      <c r="G309" s="1206"/>
      <c r="H309" s="1205"/>
      <c r="I309" s="1205"/>
    </row>
    <row r="310">
      <c r="A310" s="1205"/>
      <c r="B310" s="1205"/>
      <c r="C310" s="1205"/>
      <c r="D310" s="1205"/>
      <c r="E310" s="1206"/>
      <c r="F310" s="1206"/>
      <c r="G310" s="1206"/>
      <c r="H310" s="1205"/>
      <c r="I310" s="1205"/>
    </row>
    <row r="311">
      <c r="A311" s="1205"/>
      <c r="B311" s="1205"/>
      <c r="C311" s="1205"/>
      <c r="D311" s="1205"/>
      <c r="E311" s="1206"/>
      <c r="F311" s="1206"/>
      <c r="G311" s="1206"/>
      <c r="H311" s="1205"/>
      <c r="I311" s="1205"/>
    </row>
    <row r="312">
      <c r="A312" s="1205"/>
      <c r="B312" s="1205"/>
      <c r="C312" s="1205"/>
      <c r="D312" s="1205"/>
      <c r="E312" s="1206"/>
      <c r="F312" s="1206"/>
      <c r="G312" s="1206"/>
      <c r="H312" s="1205"/>
      <c r="I312" s="1205"/>
    </row>
    <row r="313">
      <c r="A313" s="1205"/>
      <c r="B313" s="1205"/>
      <c r="C313" s="1205"/>
      <c r="D313" s="1205"/>
      <c r="E313" s="1206"/>
      <c r="F313" s="1206"/>
      <c r="G313" s="1206"/>
      <c r="H313" s="1205"/>
      <c r="I313" s="1205"/>
    </row>
    <row r="314">
      <c r="A314" s="1205"/>
      <c r="B314" s="1205"/>
      <c r="C314" s="1205"/>
      <c r="D314" s="1205"/>
      <c r="E314" s="1206"/>
      <c r="F314" s="1206"/>
      <c r="G314" s="1206"/>
      <c r="H314" s="1205"/>
      <c r="I314" s="1205"/>
    </row>
    <row r="315">
      <c r="A315" s="1205"/>
      <c r="B315" s="1205"/>
      <c r="C315" s="1205"/>
      <c r="D315" s="1205"/>
      <c r="E315" s="1206"/>
      <c r="F315" s="1206"/>
      <c r="G315" s="1206"/>
      <c r="H315" s="1205"/>
      <c r="I315" s="1205"/>
    </row>
    <row r="316">
      <c r="A316" s="1205"/>
      <c r="B316" s="1205"/>
      <c r="C316" s="1205"/>
      <c r="D316" s="1205"/>
      <c r="E316" s="1206"/>
      <c r="F316" s="1206"/>
      <c r="G316" s="1206"/>
      <c r="H316" s="1205"/>
      <c r="I316" s="1205"/>
    </row>
    <row r="317">
      <c r="A317" s="1205"/>
      <c r="B317" s="1205"/>
      <c r="C317" s="1205"/>
      <c r="D317" s="1205"/>
      <c r="E317" s="1206"/>
      <c r="F317" s="1206"/>
      <c r="G317" s="1206"/>
      <c r="H317" s="1205"/>
      <c r="I317" s="1205"/>
    </row>
    <row r="318">
      <c r="A318" s="1205"/>
      <c r="B318" s="1205"/>
      <c r="C318" s="1205"/>
      <c r="D318" s="1205"/>
      <c r="E318" s="1206"/>
      <c r="F318" s="1206"/>
      <c r="G318" s="1206"/>
      <c r="H318" s="1205"/>
      <c r="I318" s="1205"/>
    </row>
    <row r="319">
      <c r="A319" s="1205"/>
      <c r="B319" s="1205"/>
      <c r="C319" s="1205"/>
      <c r="D319" s="1205"/>
      <c r="E319" s="1206"/>
      <c r="F319" s="1206"/>
      <c r="G319" s="1206"/>
      <c r="H319" s="1205"/>
      <c r="I319" s="1205"/>
    </row>
    <row r="320">
      <c r="A320" s="1205"/>
      <c r="B320" s="1205"/>
      <c r="C320" s="1205"/>
      <c r="D320" s="1205"/>
      <c r="E320" s="1206"/>
      <c r="F320" s="1206"/>
      <c r="G320" s="1206"/>
      <c r="H320" s="1205"/>
      <c r="I320" s="1205"/>
    </row>
    <row r="321">
      <c r="A321" s="1205"/>
      <c r="B321" s="1205"/>
      <c r="C321" s="1205"/>
      <c r="D321" s="1205"/>
      <c r="E321" s="1206"/>
      <c r="F321" s="1206"/>
      <c r="G321" s="1206"/>
      <c r="H321" s="1205"/>
      <c r="I321" s="1205"/>
    </row>
    <row r="322">
      <c r="A322" s="1205"/>
      <c r="B322" s="1205"/>
      <c r="C322" s="1205"/>
      <c r="D322" s="1205"/>
      <c r="E322" s="1206"/>
      <c r="F322" s="1206"/>
      <c r="G322" s="1206"/>
      <c r="H322" s="1205"/>
      <c r="I322" s="1205"/>
    </row>
    <row r="323">
      <c r="A323" s="1205"/>
      <c r="B323" s="1205"/>
      <c r="C323" s="1205"/>
      <c r="D323" s="1205"/>
      <c r="E323" s="1206"/>
      <c r="F323" s="1206"/>
      <c r="G323" s="1206"/>
      <c r="H323" s="1205"/>
      <c r="I323" s="1205"/>
    </row>
    <row r="324">
      <c r="A324" s="1205"/>
      <c r="B324" s="1205"/>
      <c r="C324" s="1205"/>
      <c r="D324" s="1205"/>
      <c r="E324" s="1206"/>
      <c r="F324" s="1206"/>
      <c r="G324" s="1206"/>
      <c r="H324" s="1205"/>
      <c r="I324" s="1205"/>
    </row>
    <row r="325">
      <c r="A325" s="1205"/>
      <c r="B325" s="1205"/>
      <c r="C325" s="1205"/>
      <c r="D325" s="1205"/>
      <c r="E325" s="1206"/>
      <c r="F325" s="1206"/>
      <c r="G325" s="1206"/>
      <c r="H325" s="1205"/>
      <c r="I325" s="1205"/>
    </row>
    <row r="326">
      <c r="A326" s="1205"/>
      <c r="B326" s="1205"/>
      <c r="C326" s="1205"/>
      <c r="D326" s="1205"/>
      <c r="E326" s="1206"/>
      <c r="F326" s="1206"/>
      <c r="G326" s="1206"/>
      <c r="H326" s="1205"/>
      <c r="I326" s="1205"/>
    </row>
    <row r="327">
      <c r="A327" s="1205"/>
      <c r="B327" s="1205"/>
      <c r="C327" s="1205"/>
      <c r="D327" s="1205"/>
      <c r="E327" s="1206"/>
      <c r="F327" s="1206"/>
      <c r="G327" s="1206"/>
      <c r="H327" s="1205"/>
      <c r="I327" s="1205"/>
    </row>
    <row r="328">
      <c r="A328" s="1205"/>
      <c r="B328" s="1205"/>
      <c r="C328" s="1205"/>
      <c r="D328" s="1205"/>
      <c r="E328" s="1206"/>
      <c r="F328" s="1206"/>
      <c r="G328" s="1206"/>
      <c r="H328" s="1205"/>
      <c r="I328" s="1205"/>
    </row>
    <row r="329">
      <c r="A329" s="1205"/>
      <c r="B329" s="1205"/>
      <c r="C329" s="1205"/>
      <c r="D329" s="1205"/>
      <c r="E329" s="1206"/>
      <c r="F329" s="1206"/>
      <c r="G329" s="1206"/>
      <c r="H329" s="1205"/>
      <c r="I329" s="1205"/>
    </row>
    <row r="330">
      <c r="A330" s="1205"/>
      <c r="B330" s="1205"/>
      <c r="C330" s="1205"/>
      <c r="D330" s="1205"/>
      <c r="E330" s="1206"/>
      <c r="F330" s="1206"/>
      <c r="G330" s="1206"/>
      <c r="H330" s="1205"/>
      <c r="I330" s="1205"/>
    </row>
    <row r="331">
      <c r="A331" s="1205"/>
      <c r="B331" s="1205"/>
      <c r="C331" s="1205"/>
      <c r="D331" s="1205"/>
      <c r="E331" s="1206"/>
      <c r="F331" s="1206"/>
      <c r="G331" s="1206"/>
      <c r="H331" s="1205"/>
      <c r="I331" s="1205"/>
    </row>
    <row r="332">
      <c r="A332" s="1205"/>
      <c r="B332" s="1205"/>
      <c r="C332" s="1205"/>
      <c r="D332" s="1205"/>
      <c r="E332" s="1206"/>
      <c r="F332" s="1206"/>
      <c r="G332" s="1206"/>
      <c r="H332" s="1205"/>
      <c r="I332" s="1205"/>
    </row>
    <row r="333">
      <c r="A333" s="1205"/>
      <c r="B333" s="1205"/>
      <c r="C333" s="1205"/>
      <c r="D333" s="1205"/>
      <c r="E333" s="1206"/>
      <c r="F333" s="1206"/>
      <c r="G333" s="1206"/>
      <c r="H333" s="1205"/>
      <c r="I333" s="1205"/>
    </row>
    <row r="334">
      <c r="A334" s="1205"/>
      <c r="B334" s="1205"/>
      <c r="C334" s="1205"/>
      <c r="D334" s="1205"/>
      <c r="E334" s="1206"/>
      <c r="F334" s="1206"/>
      <c r="G334" s="1206"/>
      <c r="H334" s="1205"/>
      <c r="I334" s="1205"/>
    </row>
    <row r="335">
      <c r="A335" s="1205"/>
      <c r="B335" s="1205"/>
      <c r="C335" s="1205"/>
      <c r="D335" s="1205"/>
      <c r="E335" s="1206"/>
      <c r="F335" s="1206"/>
      <c r="G335" s="1206"/>
      <c r="H335" s="1205"/>
      <c r="I335" s="1205"/>
    </row>
    <row r="336">
      <c r="A336" s="1205"/>
      <c r="B336" s="1205"/>
      <c r="C336" s="1205"/>
      <c r="D336" s="1205"/>
      <c r="E336" s="1206"/>
      <c r="F336" s="1206"/>
      <c r="G336" s="1206"/>
      <c r="H336" s="1205"/>
      <c r="I336" s="1205"/>
    </row>
    <row r="337">
      <c r="A337" s="1205"/>
      <c r="B337" s="1205"/>
      <c r="C337" s="1205"/>
      <c r="D337" s="1205"/>
      <c r="E337" s="1206"/>
      <c r="F337" s="1206"/>
      <c r="G337" s="1206"/>
      <c r="H337" s="1205"/>
      <c r="I337" s="1205"/>
    </row>
    <row r="338">
      <c r="A338" s="1205"/>
      <c r="B338" s="1205"/>
      <c r="C338" s="1205"/>
      <c r="D338" s="1205"/>
      <c r="E338" s="1206"/>
      <c r="F338" s="1206"/>
      <c r="G338" s="1206"/>
      <c r="H338" s="1205"/>
      <c r="I338" s="1205"/>
    </row>
    <row r="339">
      <c r="A339" s="1205"/>
      <c r="B339" s="1205"/>
      <c r="C339" s="1205"/>
      <c r="D339" s="1205"/>
      <c r="E339" s="1206"/>
      <c r="F339" s="1206"/>
      <c r="G339" s="1206"/>
      <c r="H339" s="1205"/>
      <c r="I339" s="1205"/>
    </row>
    <row r="340">
      <c r="A340" s="1205"/>
      <c r="B340" s="1205"/>
      <c r="C340" s="1205"/>
      <c r="D340" s="1205"/>
      <c r="E340" s="1206"/>
      <c r="F340" s="1206"/>
      <c r="G340" s="1206"/>
      <c r="H340" s="1205"/>
      <c r="I340" s="1205"/>
    </row>
    <row r="341">
      <c r="A341" s="1205"/>
      <c r="B341" s="1205"/>
      <c r="C341" s="1205"/>
      <c r="D341" s="1205"/>
      <c r="E341" s="1206"/>
      <c r="F341" s="1206"/>
      <c r="G341" s="1206"/>
      <c r="H341" s="1205"/>
      <c r="I341" s="1205"/>
    </row>
    <row r="342">
      <c r="A342" s="1205"/>
      <c r="B342" s="1205"/>
      <c r="C342" s="1205"/>
      <c r="D342" s="1205"/>
      <c r="E342" s="1206"/>
      <c r="F342" s="1206"/>
      <c r="G342" s="1206"/>
      <c r="H342" s="1205"/>
      <c r="I342" s="1205"/>
    </row>
    <row r="343">
      <c r="A343" s="1205"/>
      <c r="B343" s="1205"/>
      <c r="C343" s="1205"/>
      <c r="D343" s="1205"/>
      <c r="E343" s="1206"/>
      <c r="F343" s="1206"/>
      <c r="G343" s="1206"/>
      <c r="H343" s="1205"/>
      <c r="I343" s="1205"/>
    </row>
    <row r="344">
      <c r="A344" s="1205"/>
      <c r="B344" s="1205"/>
      <c r="C344" s="1205"/>
      <c r="D344" s="1205"/>
      <c r="E344" s="1206"/>
      <c r="F344" s="1206"/>
      <c r="G344" s="1206"/>
      <c r="H344" s="1205"/>
      <c r="I344" s="1205"/>
    </row>
    <row r="345">
      <c r="A345" s="1205"/>
      <c r="B345" s="1205"/>
      <c r="C345" s="1205"/>
      <c r="D345" s="1205"/>
      <c r="E345" s="1206"/>
      <c r="F345" s="1206"/>
      <c r="G345" s="1206"/>
      <c r="H345" s="1205"/>
      <c r="I345" s="1205"/>
    </row>
    <row r="346">
      <c r="A346" s="1205"/>
      <c r="B346" s="1205"/>
      <c r="C346" s="1205"/>
      <c r="D346" s="1205"/>
      <c r="E346" s="1206"/>
      <c r="F346" s="1206"/>
      <c r="G346" s="1206"/>
      <c r="H346" s="1205"/>
      <c r="I346" s="1205"/>
    </row>
    <row r="347">
      <c r="A347" s="1205"/>
      <c r="B347" s="1205"/>
      <c r="C347" s="1205"/>
      <c r="D347" s="1205"/>
      <c r="E347" s="1206"/>
      <c r="F347" s="1206"/>
      <c r="G347" s="1206"/>
      <c r="H347" s="1205"/>
      <c r="I347" s="1205"/>
    </row>
    <row r="348">
      <c r="A348" s="1205"/>
      <c r="B348" s="1205"/>
      <c r="C348" s="1205"/>
      <c r="D348" s="1205"/>
      <c r="E348" s="1206"/>
      <c r="F348" s="1206"/>
      <c r="G348" s="1206"/>
      <c r="H348" s="1205"/>
      <c r="I348" s="1205"/>
    </row>
    <row r="349">
      <c r="A349" s="1205"/>
      <c r="B349" s="1205"/>
      <c r="C349" s="1205"/>
      <c r="D349" s="1205"/>
      <c r="E349" s="1206"/>
      <c r="F349" s="1206"/>
      <c r="G349" s="1206"/>
      <c r="H349" s="1205"/>
      <c r="I349" s="1205"/>
    </row>
    <row r="350">
      <c r="A350" s="1205"/>
      <c r="B350" s="1205"/>
      <c r="C350" s="1205"/>
      <c r="D350" s="1205"/>
      <c r="E350" s="1206"/>
      <c r="F350" s="1206"/>
      <c r="G350" s="1206"/>
      <c r="H350" s="1205"/>
      <c r="I350" s="1205"/>
    </row>
    <row r="351">
      <c r="A351" s="1205"/>
      <c r="B351" s="1205"/>
      <c r="C351" s="1205"/>
      <c r="D351" s="1205"/>
      <c r="E351" s="1206"/>
      <c r="F351" s="1206"/>
      <c r="G351" s="1206"/>
      <c r="H351" s="1205"/>
      <c r="I351" s="1205"/>
    </row>
    <row r="352">
      <c r="A352" s="1205"/>
      <c r="B352" s="1205"/>
      <c r="C352" s="1205"/>
      <c r="D352" s="1205"/>
      <c r="E352" s="1206"/>
      <c r="F352" s="1206"/>
      <c r="G352" s="1206"/>
      <c r="H352" s="1205"/>
      <c r="I352" s="1205"/>
    </row>
    <row r="353">
      <c r="A353" s="1205"/>
      <c r="B353" s="1205"/>
      <c r="C353" s="1205"/>
      <c r="D353" s="1205"/>
      <c r="E353" s="1206"/>
      <c r="F353" s="1206"/>
      <c r="G353" s="1206"/>
      <c r="H353" s="1205"/>
      <c r="I353" s="1205"/>
    </row>
    <row r="354">
      <c r="A354" s="1205"/>
      <c r="B354" s="1205"/>
      <c r="C354" s="1205"/>
      <c r="D354" s="1205"/>
      <c r="E354" s="1206"/>
      <c r="F354" s="1206"/>
      <c r="G354" s="1206"/>
      <c r="H354" s="1205"/>
      <c r="I354" s="1205"/>
    </row>
    <row r="355">
      <c r="A355" s="1205"/>
      <c r="B355" s="1205"/>
      <c r="C355" s="1205"/>
      <c r="D355" s="1205"/>
      <c r="E355" s="1206"/>
      <c r="F355" s="1206"/>
      <c r="G355" s="1206"/>
      <c r="H355" s="1205"/>
      <c r="I355" s="1205"/>
    </row>
    <row r="356">
      <c r="A356" s="1205"/>
      <c r="B356" s="1205"/>
      <c r="C356" s="1205"/>
      <c r="D356" s="1205"/>
      <c r="E356" s="1206"/>
      <c r="F356" s="1206"/>
      <c r="G356" s="1206"/>
      <c r="H356" s="1205"/>
      <c r="I356" s="1205"/>
    </row>
    <row r="357">
      <c r="A357" s="1205"/>
      <c r="B357" s="1205"/>
      <c r="C357" s="1205"/>
      <c r="D357" s="1205"/>
      <c r="E357" s="1206"/>
      <c r="F357" s="1206"/>
      <c r="G357" s="1206"/>
      <c r="H357" s="1205"/>
      <c r="I357" s="1205"/>
    </row>
    <row r="358">
      <c r="A358" s="1205"/>
      <c r="B358" s="1205"/>
      <c r="C358" s="1205"/>
      <c r="D358" s="1205"/>
      <c r="E358" s="1206"/>
      <c r="F358" s="1206"/>
      <c r="G358" s="1206"/>
      <c r="H358" s="1205"/>
      <c r="I358" s="1205"/>
    </row>
    <row r="359">
      <c r="A359" s="1205"/>
      <c r="B359" s="1205"/>
      <c r="C359" s="1205"/>
      <c r="D359" s="1205"/>
      <c r="E359" s="1206"/>
      <c r="F359" s="1206"/>
      <c r="G359" s="1206"/>
      <c r="H359" s="1205"/>
      <c r="I359" s="1205"/>
    </row>
    <row r="360">
      <c r="A360" s="1205"/>
      <c r="B360" s="1205"/>
      <c r="C360" s="1205"/>
      <c r="D360" s="1205"/>
      <c r="E360" s="1206"/>
      <c r="F360" s="1206"/>
      <c r="G360" s="1206"/>
      <c r="H360" s="1205"/>
      <c r="I360" s="1205"/>
    </row>
    <row r="361">
      <c r="A361" s="1205"/>
      <c r="B361" s="1205"/>
      <c r="C361" s="1205"/>
      <c r="D361" s="1205"/>
      <c r="E361" s="1206"/>
      <c r="F361" s="1206"/>
      <c r="G361" s="1206"/>
      <c r="H361" s="1205"/>
      <c r="I361" s="1205"/>
    </row>
    <row r="362">
      <c r="A362" s="1205"/>
      <c r="B362" s="1205"/>
      <c r="C362" s="1205"/>
      <c r="D362" s="1205"/>
      <c r="E362" s="1206"/>
      <c r="F362" s="1206"/>
      <c r="G362" s="1206"/>
      <c r="H362" s="1205"/>
      <c r="I362" s="1205"/>
    </row>
    <row r="363">
      <c r="A363" s="1205"/>
      <c r="B363" s="1205"/>
      <c r="C363" s="1205"/>
      <c r="D363" s="1205"/>
      <c r="E363" s="1206"/>
      <c r="F363" s="1206"/>
      <c r="G363" s="1206"/>
      <c r="H363" s="1205"/>
      <c r="I363" s="1205"/>
    </row>
    <row r="364">
      <c r="A364" s="1205"/>
      <c r="B364" s="1205"/>
      <c r="C364" s="1205"/>
      <c r="D364" s="1205"/>
      <c r="E364" s="1206"/>
      <c r="F364" s="1206"/>
      <c r="G364" s="1206"/>
      <c r="H364" s="1205"/>
      <c r="I364" s="1205"/>
    </row>
    <row r="365">
      <c r="A365" s="1205"/>
      <c r="B365" s="1205"/>
      <c r="C365" s="1205"/>
      <c r="D365" s="1205"/>
      <c r="E365" s="1206"/>
      <c r="F365" s="1206"/>
      <c r="G365" s="1206"/>
      <c r="H365" s="1205"/>
      <c r="I365" s="1205"/>
    </row>
    <row r="366">
      <c r="A366" s="1205"/>
      <c r="B366" s="1205"/>
      <c r="C366" s="1205"/>
      <c r="D366" s="1205"/>
      <c r="E366" s="1206"/>
      <c r="F366" s="1206"/>
      <c r="G366" s="1206"/>
      <c r="H366" s="1205"/>
      <c r="I366" s="1205"/>
    </row>
    <row r="367">
      <c r="A367" s="1205"/>
      <c r="B367" s="1205"/>
      <c r="C367" s="1205"/>
      <c r="D367" s="1205"/>
      <c r="E367" s="1206"/>
      <c r="F367" s="1206"/>
      <c r="G367" s="1206"/>
      <c r="H367" s="1205"/>
      <c r="I367" s="1205"/>
    </row>
    <row r="368">
      <c r="A368" s="1205"/>
      <c r="B368" s="1205"/>
      <c r="C368" s="1205"/>
      <c r="D368" s="1205"/>
      <c r="E368" s="1206"/>
      <c r="F368" s="1206"/>
      <c r="G368" s="1206"/>
      <c r="H368" s="1205"/>
      <c r="I368" s="1205"/>
    </row>
    <row r="369">
      <c r="A369" s="1205"/>
      <c r="B369" s="1205"/>
      <c r="C369" s="1205"/>
      <c r="D369" s="1205"/>
      <c r="E369" s="1206"/>
      <c r="F369" s="1206"/>
      <c r="G369" s="1206"/>
      <c r="H369" s="1205"/>
      <c r="I369" s="1205"/>
    </row>
    <row r="370">
      <c r="A370" s="1205"/>
      <c r="B370" s="1205"/>
      <c r="C370" s="1205"/>
      <c r="D370" s="1205"/>
      <c r="E370" s="1206"/>
      <c r="F370" s="1206"/>
      <c r="G370" s="1206"/>
      <c r="H370" s="1205"/>
      <c r="I370" s="1205"/>
    </row>
    <row r="371">
      <c r="A371" s="1205"/>
      <c r="B371" s="1205"/>
      <c r="C371" s="1205"/>
      <c r="D371" s="1205"/>
      <c r="E371" s="1206"/>
      <c r="F371" s="1206"/>
      <c r="G371" s="1206"/>
      <c r="H371" s="1205"/>
      <c r="I371" s="1205"/>
    </row>
    <row r="372">
      <c r="A372" s="1205"/>
      <c r="B372" s="1205"/>
      <c r="C372" s="1205"/>
      <c r="D372" s="1205"/>
      <c r="E372" s="1206"/>
      <c r="F372" s="1206"/>
      <c r="G372" s="1206"/>
      <c r="H372" s="1205"/>
      <c r="I372" s="1205"/>
    </row>
    <row r="373">
      <c r="A373" s="1205"/>
      <c r="B373" s="1205"/>
      <c r="C373" s="1205"/>
      <c r="D373" s="1205"/>
      <c r="E373" s="1206"/>
      <c r="F373" s="1206"/>
      <c r="G373" s="1206"/>
      <c r="H373" s="1205"/>
      <c r="I373" s="1205"/>
    </row>
    <row r="374">
      <c r="A374" s="1205"/>
      <c r="B374" s="1205"/>
      <c r="C374" s="1205"/>
      <c r="D374" s="1205"/>
      <c r="E374" s="1206"/>
      <c r="F374" s="1206"/>
      <c r="G374" s="1206"/>
      <c r="H374" s="1205"/>
      <c r="I374" s="1205"/>
    </row>
    <row r="375">
      <c r="A375" s="1205"/>
      <c r="B375" s="1205"/>
      <c r="C375" s="1205"/>
      <c r="D375" s="1205"/>
      <c r="E375" s="1206"/>
      <c r="F375" s="1206"/>
      <c r="G375" s="1206"/>
      <c r="H375" s="1205"/>
      <c r="I375" s="1205"/>
    </row>
    <row r="376">
      <c r="A376" s="1205"/>
      <c r="B376" s="1205"/>
      <c r="C376" s="1205"/>
      <c r="D376" s="1205"/>
      <c r="E376" s="1206"/>
      <c r="F376" s="1206"/>
      <c r="G376" s="1206"/>
      <c r="H376" s="1205"/>
      <c r="I376" s="1205"/>
    </row>
    <row r="377">
      <c r="A377" s="1205"/>
      <c r="B377" s="1205"/>
      <c r="C377" s="1205"/>
      <c r="D377" s="1205"/>
      <c r="E377" s="1206"/>
      <c r="F377" s="1206"/>
      <c r="G377" s="1206"/>
      <c r="H377" s="1205"/>
      <c r="I377" s="1205"/>
    </row>
    <row r="378">
      <c r="A378" s="1205"/>
      <c r="B378" s="1205"/>
      <c r="C378" s="1205"/>
      <c r="D378" s="1205"/>
      <c r="E378" s="1206"/>
      <c r="F378" s="1206"/>
      <c r="G378" s="1206"/>
      <c r="H378" s="1205"/>
      <c r="I378" s="1205"/>
    </row>
    <row r="379">
      <c r="A379" s="1205"/>
      <c r="B379" s="1205"/>
      <c r="C379" s="1205"/>
      <c r="D379" s="1205"/>
      <c r="E379" s="1206"/>
      <c r="F379" s="1206"/>
      <c r="G379" s="1206"/>
      <c r="H379" s="1205"/>
      <c r="I379" s="1205"/>
    </row>
    <row r="380">
      <c r="A380" s="1205"/>
      <c r="B380" s="1205"/>
      <c r="C380" s="1205"/>
      <c r="D380" s="1205"/>
      <c r="E380" s="1206"/>
      <c r="F380" s="1206"/>
      <c r="G380" s="1206"/>
      <c r="H380" s="1205"/>
      <c r="I380" s="1205"/>
    </row>
    <row r="381">
      <c r="A381" s="1205"/>
      <c r="B381" s="1205"/>
      <c r="C381" s="1205"/>
      <c r="D381" s="1205"/>
      <c r="E381" s="1206"/>
      <c r="F381" s="1206"/>
      <c r="G381" s="1206"/>
      <c r="H381" s="1205"/>
      <c r="I381" s="1205"/>
    </row>
    <row r="382">
      <c r="A382" s="1205"/>
      <c r="B382" s="1205"/>
      <c r="C382" s="1205"/>
      <c r="D382" s="1205"/>
      <c r="E382" s="1206"/>
      <c r="F382" s="1206"/>
      <c r="G382" s="1206"/>
      <c r="H382" s="1205"/>
      <c r="I382" s="1205"/>
    </row>
    <row r="383">
      <c r="A383" s="1205"/>
      <c r="B383" s="1205"/>
      <c r="C383" s="1205"/>
      <c r="D383" s="1205"/>
      <c r="E383" s="1206"/>
      <c r="F383" s="1206"/>
      <c r="G383" s="1206"/>
      <c r="H383" s="1205"/>
      <c r="I383" s="1205"/>
    </row>
    <row r="384">
      <c r="A384" s="1205"/>
      <c r="B384" s="1205"/>
      <c r="C384" s="1205"/>
      <c r="D384" s="1205"/>
      <c r="E384" s="1206"/>
      <c r="F384" s="1206"/>
      <c r="G384" s="1206"/>
      <c r="H384" s="1205"/>
      <c r="I384" s="1205"/>
    </row>
    <row r="385">
      <c r="A385" s="1205"/>
      <c r="B385" s="1205"/>
      <c r="C385" s="1205"/>
      <c r="D385" s="1205"/>
      <c r="E385" s="1206"/>
      <c r="F385" s="1206"/>
      <c r="G385" s="1206"/>
      <c r="H385" s="1205"/>
      <c r="I385" s="1205"/>
    </row>
    <row r="386">
      <c r="A386" s="1205"/>
      <c r="B386" s="1205"/>
      <c r="C386" s="1205"/>
      <c r="D386" s="1205"/>
      <c r="E386" s="1206"/>
      <c r="F386" s="1206"/>
      <c r="G386" s="1206"/>
      <c r="H386" s="1205"/>
      <c r="I386" s="1205"/>
    </row>
    <row r="387">
      <c r="A387" s="1205"/>
      <c r="B387" s="1205"/>
      <c r="C387" s="1205"/>
      <c r="D387" s="1205"/>
      <c r="E387" s="1206"/>
      <c r="F387" s="1206"/>
      <c r="G387" s="1206"/>
      <c r="H387" s="1205"/>
      <c r="I387" s="1205"/>
    </row>
    <row r="388">
      <c r="A388" s="1205"/>
      <c r="B388" s="1205"/>
      <c r="C388" s="1205"/>
      <c r="D388" s="1205"/>
      <c r="E388" s="1206"/>
      <c r="F388" s="1206"/>
      <c r="G388" s="1206"/>
      <c r="H388" s="1205"/>
      <c r="I388" s="1205"/>
    </row>
    <row r="389">
      <c r="A389" s="1205"/>
      <c r="B389" s="1205"/>
      <c r="C389" s="1205"/>
      <c r="D389" s="1205"/>
      <c r="E389" s="1206"/>
      <c r="F389" s="1206"/>
      <c r="G389" s="1206"/>
      <c r="H389" s="1205"/>
      <c r="I389" s="1205"/>
    </row>
    <row r="390">
      <c r="A390" s="1205"/>
      <c r="B390" s="1205"/>
      <c r="C390" s="1205"/>
      <c r="D390" s="1205"/>
      <c r="E390" s="1206"/>
      <c r="F390" s="1206"/>
      <c r="G390" s="1206"/>
      <c r="H390" s="1205"/>
      <c r="I390" s="1205"/>
    </row>
    <row r="391">
      <c r="A391" s="1205"/>
      <c r="B391" s="1205"/>
      <c r="C391" s="1205"/>
      <c r="D391" s="1205"/>
      <c r="E391" s="1206"/>
      <c r="F391" s="1206"/>
      <c r="G391" s="1206"/>
      <c r="H391" s="1205"/>
      <c r="I391" s="1205"/>
    </row>
    <row r="392">
      <c r="A392" s="1205"/>
      <c r="B392" s="1205"/>
      <c r="C392" s="1205"/>
      <c r="D392" s="1205"/>
      <c r="E392" s="1206"/>
      <c r="F392" s="1206"/>
      <c r="G392" s="1206"/>
      <c r="H392" s="1205"/>
      <c r="I392" s="1205"/>
    </row>
    <row r="393">
      <c r="A393" s="1205"/>
      <c r="B393" s="1205"/>
      <c r="C393" s="1205"/>
      <c r="D393" s="1205"/>
      <c r="E393" s="1206"/>
      <c r="F393" s="1206"/>
      <c r="G393" s="1206"/>
      <c r="H393" s="1205"/>
      <c r="I393" s="1205"/>
    </row>
    <row r="394">
      <c r="A394" s="1205"/>
      <c r="B394" s="1205"/>
      <c r="C394" s="1205"/>
      <c r="D394" s="1205"/>
      <c r="E394" s="1206"/>
      <c r="F394" s="1206"/>
      <c r="G394" s="1206"/>
      <c r="H394" s="1205"/>
      <c r="I394" s="1205"/>
    </row>
    <row r="395">
      <c r="A395" s="1205"/>
      <c r="B395" s="1205"/>
      <c r="C395" s="1205"/>
      <c r="D395" s="1205"/>
      <c r="E395" s="1206"/>
      <c r="F395" s="1206"/>
      <c r="G395" s="1206"/>
      <c r="H395" s="1205"/>
      <c r="I395" s="1205"/>
    </row>
    <row r="396">
      <c r="A396" s="1205"/>
      <c r="B396" s="1205"/>
      <c r="C396" s="1205"/>
      <c r="D396" s="1205"/>
      <c r="E396" s="1206"/>
      <c r="F396" s="1206"/>
      <c r="G396" s="1206"/>
      <c r="H396" s="1205"/>
      <c r="I396" s="1205"/>
    </row>
    <row r="397">
      <c r="A397" s="1205"/>
      <c r="B397" s="1205"/>
      <c r="C397" s="1205"/>
      <c r="D397" s="1205"/>
      <c r="E397" s="1206"/>
      <c r="F397" s="1206"/>
      <c r="G397" s="1206"/>
      <c r="H397" s="1205"/>
      <c r="I397" s="1205"/>
    </row>
    <row r="398">
      <c r="A398" s="1205"/>
      <c r="B398" s="1205"/>
      <c r="C398" s="1205"/>
      <c r="D398" s="1205"/>
      <c r="E398" s="1206"/>
      <c r="F398" s="1206"/>
      <c r="G398" s="1206"/>
      <c r="H398" s="1205"/>
      <c r="I398" s="1205"/>
    </row>
    <row r="399">
      <c r="A399" s="1205"/>
      <c r="B399" s="1205"/>
      <c r="C399" s="1205"/>
      <c r="D399" s="1205"/>
      <c r="E399" s="1206"/>
      <c r="F399" s="1206"/>
      <c r="G399" s="1206"/>
      <c r="H399" s="1205"/>
      <c r="I399" s="1205"/>
    </row>
    <row r="400">
      <c r="A400" s="1205"/>
      <c r="B400" s="1205"/>
      <c r="C400" s="1205"/>
      <c r="D400" s="1205"/>
      <c r="E400" s="1206"/>
      <c r="F400" s="1206"/>
      <c r="G400" s="1206"/>
      <c r="H400" s="1205"/>
      <c r="I400" s="1205"/>
    </row>
    <row r="401">
      <c r="A401" s="1205"/>
      <c r="B401" s="1205"/>
      <c r="C401" s="1205"/>
      <c r="D401" s="1205"/>
      <c r="E401" s="1206"/>
      <c r="F401" s="1206"/>
      <c r="G401" s="1206"/>
      <c r="H401" s="1205"/>
      <c r="I401" s="1205"/>
    </row>
    <row r="402">
      <c r="A402" s="1205"/>
      <c r="B402" s="1205"/>
      <c r="C402" s="1205"/>
      <c r="D402" s="1205"/>
      <c r="E402" s="1206"/>
      <c r="F402" s="1206"/>
      <c r="G402" s="1206"/>
      <c r="H402" s="1205"/>
      <c r="I402" s="1205"/>
    </row>
    <row r="403">
      <c r="A403" s="1205"/>
      <c r="B403" s="1205"/>
      <c r="C403" s="1205"/>
      <c r="D403" s="1205"/>
      <c r="E403" s="1206"/>
      <c r="F403" s="1206"/>
      <c r="G403" s="1206"/>
      <c r="H403" s="1205"/>
      <c r="I403" s="1205"/>
    </row>
    <row r="404">
      <c r="A404" s="1205"/>
      <c r="B404" s="1205"/>
      <c r="C404" s="1205"/>
      <c r="D404" s="1205"/>
      <c r="E404" s="1206"/>
      <c r="F404" s="1206"/>
      <c r="G404" s="1206"/>
      <c r="H404" s="1205"/>
      <c r="I404" s="1205"/>
    </row>
    <row r="405">
      <c r="A405" s="1205"/>
      <c r="B405" s="1205"/>
      <c r="C405" s="1205"/>
      <c r="D405" s="1205"/>
      <c r="E405" s="1206"/>
      <c r="F405" s="1206"/>
      <c r="G405" s="1206"/>
      <c r="H405" s="1205"/>
      <c r="I405" s="1205"/>
    </row>
    <row r="406">
      <c r="A406" s="1205"/>
      <c r="B406" s="1205"/>
      <c r="C406" s="1205"/>
      <c r="D406" s="1205"/>
      <c r="E406" s="1206"/>
      <c r="F406" s="1206"/>
      <c r="G406" s="1206"/>
      <c r="H406" s="1205"/>
      <c r="I406" s="1205"/>
    </row>
    <row r="407">
      <c r="A407" s="1205"/>
      <c r="B407" s="1205"/>
      <c r="C407" s="1205"/>
      <c r="D407" s="1205"/>
      <c r="E407" s="1206"/>
      <c r="F407" s="1206"/>
      <c r="G407" s="1206"/>
      <c r="H407" s="1205"/>
      <c r="I407" s="1205"/>
    </row>
    <row r="408">
      <c r="A408" s="1205"/>
      <c r="B408" s="1205"/>
      <c r="C408" s="1205"/>
      <c r="D408" s="1205"/>
      <c r="E408" s="1206"/>
      <c r="F408" s="1206"/>
      <c r="G408" s="1206"/>
      <c r="H408" s="1205"/>
      <c r="I408" s="1205"/>
    </row>
    <row r="409">
      <c r="A409" s="1205"/>
      <c r="B409" s="1205"/>
      <c r="C409" s="1205"/>
      <c r="D409" s="1205"/>
      <c r="E409" s="1206"/>
      <c r="F409" s="1206"/>
      <c r="G409" s="1206"/>
      <c r="H409" s="1205"/>
      <c r="I409" s="1205"/>
    </row>
    <row r="410">
      <c r="A410" s="1205"/>
      <c r="B410" s="1205"/>
      <c r="C410" s="1205"/>
      <c r="D410" s="1205"/>
      <c r="E410" s="1206"/>
      <c r="F410" s="1206"/>
      <c r="G410" s="1206"/>
      <c r="H410" s="1205"/>
      <c r="I410" s="1205"/>
    </row>
    <row r="411">
      <c r="A411" s="1205"/>
      <c r="B411" s="1205"/>
      <c r="C411" s="1205"/>
      <c r="D411" s="1205"/>
      <c r="E411" s="1206"/>
      <c r="F411" s="1206"/>
      <c r="G411" s="1206"/>
      <c r="H411" s="1205"/>
      <c r="I411" s="1205"/>
    </row>
    <row r="412">
      <c r="A412" s="1205"/>
      <c r="B412" s="1205"/>
      <c r="C412" s="1205"/>
      <c r="D412" s="1205"/>
      <c r="E412" s="1206"/>
      <c r="F412" s="1206"/>
      <c r="G412" s="1206"/>
      <c r="H412" s="1205"/>
      <c r="I412" s="1205"/>
    </row>
    <row r="413">
      <c r="A413" s="1205"/>
      <c r="B413" s="1205"/>
      <c r="C413" s="1205"/>
      <c r="D413" s="1205"/>
      <c r="E413" s="1206"/>
      <c r="F413" s="1206"/>
      <c r="G413" s="1206"/>
      <c r="H413" s="1205"/>
      <c r="I413" s="1205"/>
    </row>
    <row r="414">
      <c r="A414" s="1205"/>
      <c r="B414" s="1205"/>
      <c r="C414" s="1205"/>
      <c r="D414" s="1205"/>
      <c r="E414" s="1206"/>
      <c r="F414" s="1206"/>
      <c r="G414" s="1206"/>
      <c r="H414" s="1205"/>
      <c r="I414" s="1205"/>
    </row>
    <row r="415">
      <c r="A415" s="1205"/>
      <c r="B415" s="1205"/>
      <c r="C415" s="1205"/>
      <c r="D415" s="1205"/>
      <c r="E415" s="1206"/>
      <c r="F415" s="1206"/>
      <c r="G415" s="1206"/>
      <c r="H415" s="1205"/>
      <c r="I415" s="1205"/>
    </row>
    <row r="416">
      <c r="A416" s="1205"/>
      <c r="B416" s="1205"/>
      <c r="C416" s="1205"/>
      <c r="D416" s="1205"/>
      <c r="E416" s="1206"/>
      <c r="F416" s="1206"/>
      <c r="G416" s="1206"/>
      <c r="H416" s="1205"/>
      <c r="I416" s="1205"/>
    </row>
    <row r="417">
      <c r="A417" s="1205"/>
      <c r="B417" s="1205"/>
      <c r="C417" s="1205"/>
      <c r="D417" s="1205"/>
      <c r="E417" s="1206"/>
      <c r="F417" s="1206"/>
      <c r="G417" s="1206"/>
      <c r="H417" s="1205"/>
      <c r="I417" s="1205"/>
    </row>
    <row r="418">
      <c r="A418" s="1205"/>
      <c r="B418" s="1205"/>
      <c r="C418" s="1205"/>
      <c r="D418" s="1205"/>
      <c r="E418" s="1206"/>
      <c r="F418" s="1206"/>
      <c r="G418" s="1206"/>
      <c r="H418" s="1205"/>
      <c r="I418" s="1205"/>
    </row>
    <row r="419">
      <c r="A419" s="1205"/>
      <c r="B419" s="1205"/>
      <c r="C419" s="1205"/>
      <c r="D419" s="1205"/>
      <c r="E419" s="1206"/>
      <c r="F419" s="1206"/>
      <c r="G419" s="1206"/>
      <c r="H419" s="1205"/>
      <c r="I419" s="1205"/>
    </row>
    <row r="420">
      <c r="A420" s="1205"/>
      <c r="B420" s="1205"/>
      <c r="C420" s="1205"/>
      <c r="D420" s="1205"/>
      <c r="E420" s="1206"/>
      <c r="F420" s="1206"/>
      <c r="G420" s="1206"/>
      <c r="H420" s="1205"/>
      <c r="I420" s="1205"/>
    </row>
    <row r="421">
      <c r="A421" s="1205"/>
      <c r="B421" s="1205"/>
      <c r="C421" s="1205"/>
      <c r="D421" s="1205"/>
      <c r="E421" s="1206"/>
      <c r="F421" s="1206"/>
      <c r="G421" s="1206"/>
      <c r="H421" s="1205"/>
      <c r="I421" s="1205"/>
    </row>
    <row r="422">
      <c r="A422" s="1205"/>
      <c r="B422" s="1205"/>
      <c r="C422" s="1205"/>
      <c r="D422" s="1205"/>
      <c r="E422" s="1206"/>
      <c r="F422" s="1206"/>
      <c r="G422" s="1206"/>
      <c r="H422" s="1205"/>
      <c r="I422" s="1205"/>
    </row>
    <row r="423">
      <c r="A423" s="1205"/>
      <c r="B423" s="1205"/>
      <c r="C423" s="1205"/>
      <c r="D423" s="1205"/>
      <c r="E423" s="1206"/>
      <c r="F423" s="1206"/>
      <c r="G423" s="1206"/>
      <c r="H423" s="1205"/>
      <c r="I423" s="1205"/>
    </row>
    <row r="424">
      <c r="A424" s="1205"/>
      <c r="B424" s="1205"/>
      <c r="C424" s="1205"/>
      <c r="D424" s="1205"/>
      <c r="E424" s="1206"/>
      <c r="F424" s="1206"/>
      <c r="G424" s="1206"/>
      <c r="H424" s="1205"/>
      <c r="I424" s="1205"/>
    </row>
    <row r="425">
      <c r="A425" s="1205"/>
      <c r="B425" s="1205"/>
      <c r="C425" s="1205"/>
      <c r="D425" s="1205"/>
      <c r="E425" s="1206"/>
      <c r="F425" s="1206"/>
      <c r="G425" s="1206"/>
      <c r="H425" s="1205"/>
      <c r="I425" s="1205"/>
    </row>
    <row r="426">
      <c r="A426" s="1205"/>
      <c r="B426" s="1205"/>
      <c r="C426" s="1205"/>
      <c r="D426" s="1205"/>
      <c r="E426" s="1206"/>
      <c r="F426" s="1206"/>
      <c r="G426" s="1206"/>
      <c r="H426" s="1205"/>
      <c r="I426" s="1205"/>
    </row>
    <row r="427">
      <c r="A427" s="1205"/>
      <c r="B427" s="1205"/>
      <c r="C427" s="1205"/>
      <c r="D427" s="1205"/>
      <c r="E427" s="1206"/>
      <c r="F427" s="1206"/>
      <c r="G427" s="1206"/>
      <c r="H427" s="1205"/>
      <c r="I427" s="1205"/>
    </row>
    <row r="428">
      <c r="A428" s="1205"/>
      <c r="B428" s="1205"/>
      <c r="C428" s="1205"/>
      <c r="D428" s="1205"/>
      <c r="E428" s="1206"/>
      <c r="F428" s="1206"/>
      <c r="G428" s="1206"/>
      <c r="H428" s="1205"/>
      <c r="I428" s="1205"/>
    </row>
    <row r="429">
      <c r="A429" s="1205"/>
      <c r="B429" s="1205"/>
      <c r="C429" s="1205"/>
      <c r="D429" s="1205"/>
      <c r="E429" s="1206"/>
      <c r="F429" s="1206"/>
      <c r="G429" s="1206"/>
      <c r="H429" s="1205"/>
      <c r="I429" s="1205"/>
    </row>
    <row r="430">
      <c r="A430" s="1205"/>
      <c r="B430" s="1205"/>
      <c r="C430" s="1205"/>
      <c r="D430" s="1205"/>
      <c r="E430" s="1206"/>
      <c r="F430" s="1206"/>
      <c r="G430" s="1206"/>
      <c r="H430" s="1205"/>
      <c r="I430" s="1205"/>
    </row>
    <row r="431">
      <c r="A431" s="1205"/>
      <c r="B431" s="1205"/>
      <c r="C431" s="1205"/>
      <c r="D431" s="1205"/>
      <c r="E431" s="1206"/>
      <c r="F431" s="1206"/>
      <c r="G431" s="1206"/>
      <c r="H431" s="1205"/>
      <c r="I431" s="1205"/>
    </row>
    <row r="432">
      <c r="A432" s="1205"/>
      <c r="B432" s="1205"/>
      <c r="C432" s="1205"/>
      <c r="D432" s="1205"/>
      <c r="E432" s="1206"/>
      <c r="F432" s="1206"/>
      <c r="G432" s="1206"/>
      <c r="H432" s="1205"/>
      <c r="I432" s="1205"/>
    </row>
    <row r="433">
      <c r="A433" s="1205"/>
      <c r="B433" s="1205"/>
      <c r="C433" s="1205"/>
      <c r="D433" s="1205"/>
      <c r="E433" s="1206"/>
      <c r="F433" s="1206"/>
      <c r="G433" s="1206"/>
      <c r="H433" s="1205"/>
      <c r="I433" s="1205"/>
    </row>
    <row r="434">
      <c r="A434" s="1205"/>
      <c r="B434" s="1205"/>
      <c r="C434" s="1205"/>
      <c r="D434" s="1205"/>
      <c r="E434" s="1206"/>
      <c r="F434" s="1206"/>
      <c r="G434" s="1206"/>
      <c r="H434" s="1205"/>
      <c r="I434" s="1205"/>
    </row>
    <row r="435">
      <c r="A435" s="1205"/>
      <c r="B435" s="1205"/>
      <c r="C435" s="1205"/>
      <c r="D435" s="1205"/>
      <c r="E435" s="1206"/>
      <c r="F435" s="1206"/>
      <c r="G435" s="1206"/>
      <c r="H435" s="1205"/>
      <c r="I435" s="1205"/>
    </row>
    <row r="436">
      <c r="A436" s="1205"/>
      <c r="B436" s="1205"/>
      <c r="C436" s="1205"/>
      <c r="D436" s="1205"/>
      <c r="E436" s="1206"/>
      <c r="F436" s="1206"/>
      <c r="G436" s="1206"/>
      <c r="H436" s="1205"/>
      <c r="I436" s="1205"/>
    </row>
    <row r="437">
      <c r="A437" s="1205"/>
      <c r="B437" s="1205"/>
      <c r="C437" s="1205"/>
      <c r="D437" s="1205"/>
      <c r="E437" s="1206"/>
      <c r="F437" s="1206"/>
      <c r="G437" s="1206"/>
      <c r="H437" s="1205"/>
      <c r="I437" s="1205"/>
    </row>
    <row r="438">
      <c r="A438" s="1205"/>
      <c r="B438" s="1205"/>
      <c r="C438" s="1205"/>
      <c r="D438" s="1205"/>
      <c r="E438" s="1206"/>
      <c r="F438" s="1206"/>
      <c r="G438" s="1206"/>
      <c r="H438" s="1205"/>
      <c r="I438" s="1205"/>
    </row>
    <row r="439">
      <c r="A439" s="1205"/>
      <c r="B439" s="1205"/>
      <c r="C439" s="1205"/>
      <c r="D439" s="1205"/>
      <c r="E439" s="1206"/>
      <c r="F439" s="1206"/>
      <c r="G439" s="1206"/>
      <c r="H439" s="1205"/>
      <c r="I439" s="1205"/>
    </row>
    <row r="440">
      <c r="A440" s="1205"/>
      <c r="B440" s="1205"/>
      <c r="C440" s="1205"/>
      <c r="D440" s="1205"/>
      <c r="E440" s="1206"/>
      <c r="F440" s="1206"/>
      <c r="G440" s="1206"/>
      <c r="H440" s="1205"/>
      <c r="I440" s="1205"/>
    </row>
    <row r="441">
      <c r="A441" s="1205"/>
      <c r="B441" s="1205"/>
      <c r="C441" s="1205"/>
      <c r="D441" s="1205"/>
      <c r="E441" s="1206"/>
      <c r="F441" s="1206"/>
      <c r="G441" s="1206"/>
      <c r="H441" s="1205"/>
      <c r="I441" s="1205"/>
    </row>
    <row r="442">
      <c r="A442" s="1205"/>
      <c r="B442" s="1205"/>
      <c r="C442" s="1205"/>
      <c r="D442" s="1205"/>
      <c r="E442" s="1206"/>
      <c r="F442" s="1206"/>
      <c r="G442" s="1206"/>
      <c r="H442" s="1205"/>
      <c r="I442" s="1205"/>
    </row>
    <row r="443">
      <c r="A443" s="1205"/>
      <c r="B443" s="1205"/>
      <c r="C443" s="1205"/>
      <c r="D443" s="1205"/>
      <c r="E443" s="1206"/>
      <c r="F443" s="1206"/>
      <c r="G443" s="1206"/>
      <c r="H443" s="1205"/>
      <c r="I443" s="1205"/>
    </row>
    <row r="444">
      <c r="A444" s="1205"/>
      <c r="B444" s="1205"/>
      <c r="C444" s="1205"/>
      <c r="D444" s="1205"/>
      <c r="E444" s="1206"/>
      <c r="F444" s="1206"/>
      <c r="G444" s="1206"/>
      <c r="H444" s="1205"/>
      <c r="I444" s="1205"/>
    </row>
    <row r="445">
      <c r="A445" s="1205"/>
      <c r="B445" s="1205"/>
      <c r="C445" s="1205"/>
      <c r="D445" s="1205"/>
      <c r="E445" s="1206"/>
      <c r="F445" s="1206"/>
      <c r="G445" s="1206"/>
      <c r="H445" s="1205"/>
      <c r="I445" s="1205"/>
    </row>
    <row r="446">
      <c r="A446" s="1205"/>
      <c r="B446" s="1205"/>
      <c r="C446" s="1205"/>
      <c r="D446" s="1205"/>
      <c r="E446" s="1206"/>
      <c r="F446" s="1206"/>
      <c r="G446" s="1206"/>
      <c r="H446" s="1205"/>
      <c r="I446" s="1205"/>
    </row>
    <row r="447">
      <c r="A447" s="1205"/>
      <c r="B447" s="1205"/>
      <c r="C447" s="1205"/>
      <c r="D447" s="1205"/>
      <c r="E447" s="1206"/>
      <c r="F447" s="1206"/>
      <c r="G447" s="1206"/>
      <c r="H447" s="1205"/>
      <c r="I447" s="1205"/>
    </row>
    <row r="448">
      <c r="A448" s="1205"/>
      <c r="B448" s="1205"/>
      <c r="C448" s="1205"/>
      <c r="D448" s="1205"/>
      <c r="E448" s="1206"/>
      <c r="F448" s="1206"/>
      <c r="G448" s="1206"/>
      <c r="H448" s="1205"/>
      <c r="I448" s="1205"/>
    </row>
    <row r="449">
      <c r="A449" s="1205"/>
      <c r="B449" s="1205"/>
      <c r="C449" s="1205"/>
      <c r="D449" s="1205"/>
      <c r="E449" s="1206"/>
      <c r="F449" s="1206"/>
      <c r="G449" s="1206"/>
      <c r="H449" s="1205"/>
      <c r="I449" s="1205"/>
    </row>
    <row r="450">
      <c r="A450" s="1205"/>
      <c r="B450" s="1205"/>
      <c r="C450" s="1205"/>
      <c r="D450" s="1205"/>
      <c r="E450" s="1206"/>
      <c r="F450" s="1206"/>
      <c r="G450" s="1206"/>
      <c r="H450" s="1205"/>
      <c r="I450" s="1205"/>
    </row>
    <row r="451">
      <c r="A451" s="1205"/>
      <c r="B451" s="1205"/>
      <c r="C451" s="1205"/>
      <c r="D451" s="1205"/>
      <c r="E451" s="1206"/>
      <c r="F451" s="1206"/>
      <c r="G451" s="1206"/>
      <c r="H451" s="1205"/>
      <c r="I451" s="1205"/>
    </row>
    <row r="452">
      <c r="A452" s="1205"/>
      <c r="B452" s="1205"/>
      <c r="C452" s="1205"/>
      <c r="D452" s="1205"/>
      <c r="E452" s="1206"/>
      <c r="F452" s="1206"/>
      <c r="G452" s="1206"/>
      <c r="H452" s="1205"/>
      <c r="I452" s="1205"/>
    </row>
    <row r="453">
      <c r="A453" s="1205"/>
      <c r="B453" s="1205"/>
      <c r="C453" s="1205"/>
      <c r="D453" s="1205"/>
      <c r="E453" s="1206"/>
      <c r="F453" s="1206"/>
      <c r="G453" s="1206"/>
      <c r="H453" s="1205"/>
      <c r="I453" s="1205"/>
    </row>
    <row r="454">
      <c r="A454" s="1205"/>
      <c r="B454" s="1205"/>
      <c r="C454" s="1205"/>
      <c r="D454" s="1205"/>
      <c r="E454" s="1206"/>
      <c r="F454" s="1206"/>
      <c r="G454" s="1206"/>
      <c r="H454" s="1205"/>
      <c r="I454" s="1205"/>
    </row>
    <row r="455">
      <c r="A455" s="1205"/>
      <c r="B455" s="1205"/>
      <c r="C455" s="1205"/>
      <c r="D455" s="1205"/>
      <c r="E455" s="1206"/>
      <c r="F455" s="1206"/>
      <c r="G455" s="1206"/>
      <c r="H455" s="1205"/>
      <c r="I455" s="1205"/>
    </row>
    <row r="456">
      <c r="A456" s="1205"/>
      <c r="B456" s="1205"/>
      <c r="C456" s="1205"/>
      <c r="D456" s="1205"/>
      <c r="E456" s="1206"/>
      <c r="F456" s="1206"/>
      <c r="G456" s="1206"/>
      <c r="H456" s="1205"/>
      <c r="I456" s="1205"/>
    </row>
    <row r="457">
      <c r="A457" s="1205"/>
      <c r="B457" s="1205"/>
      <c r="C457" s="1205"/>
      <c r="D457" s="1205"/>
      <c r="E457" s="1206"/>
      <c r="F457" s="1206"/>
      <c r="G457" s="1206"/>
      <c r="H457" s="1205"/>
      <c r="I457" s="1205"/>
    </row>
    <row r="458">
      <c r="A458" s="1205"/>
      <c r="B458" s="1205"/>
      <c r="C458" s="1205"/>
      <c r="D458" s="1205"/>
      <c r="E458" s="1206"/>
      <c r="F458" s="1206"/>
      <c r="G458" s="1206"/>
      <c r="H458" s="1205"/>
      <c r="I458" s="1205"/>
    </row>
    <row r="459">
      <c r="A459" s="1205"/>
      <c r="B459" s="1205"/>
      <c r="C459" s="1205"/>
      <c r="D459" s="1205"/>
      <c r="E459" s="1206"/>
      <c r="F459" s="1206"/>
      <c r="G459" s="1206"/>
      <c r="H459" s="1205"/>
      <c r="I459" s="1205"/>
    </row>
    <row r="460">
      <c r="A460" s="1205"/>
      <c r="B460" s="1205"/>
      <c r="C460" s="1205"/>
      <c r="D460" s="1205"/>
      <c r="E460" s="1206"/>
      <c r="F460" s="1206"/>
      <c r="G460" s="1206"/>
      <c r="H460" s="1205"/>
      <c r="I460" s="1205"/>
    </row>
    <row r="461">
      <c r="A461" s="1205"/>
      <c r="B461" s="1205"/>
      <c r="C461" s="1205"/>
      <c r="D461" s="1205"/>
      <c r="E461" s="1206"/>
      <c r="F461" s="1206"/>
      <c r="G461" s="1206"/>
      <c r="H461" s="1205"/>
      <c r="I461" s="1205"/>
    </row>
    <row r="462">
      <c r="A462" s="1205"/>
      <c r="B462" s="1205"/>
      <c r="C462" s="1205"/>
      <c r="D462" s="1205"/>
      <c r="E462" s="1206"/>
      <c r="F462" s="1206"/>
      <c r="G462" s="1206"/>
      <c r="H462" s="1205"/>
      <c r="I462" s="1205"/>
    </row>
    <row r="463">
      <c r="A463" s="1205"/>
      <c r="B463" s="1205"/>
      <c r="C463" s="1205"/>
      <c r="D463" s="1205"/>
      <c r="E463" s="1206"/>
      <c r="F463" s="1206"/>
      <c r="G463" s="1206"/>
      <c r="H463" s="1205"/>
      <c r="I463" s="1205"/>
    </row>
    <row r="464">
      <c r="A464" s="1205"/>
      <c r="B464" s="1205"/>
      <c r="C464" s="1205"/>
      <c r="D464" s="1205"/>
      <c r="E464" s="1206"/>
      <c r="F464" s="1206"/>
      <c r="G464" s="1206"/>
      <c r="H464" s="1205"/>
      <c r="I464" s="1205"/>
    </row>
    <row r="465">
      <c r="A465" s="1205"/>
      <c r="B465" s="1205"/>
      <c r="C465" s="1205"/>
      <c r="D465" s="1205"/>
      <c r="E465" s="1206"/>
      <c r="F465" s="1206"/>
      <c r="G465" s="1206"/>
      <c r="H465" s="1205"/>
      <c r="I465" s="1205"/>
    </row>
    <row r="466">
      <c r="A466" s="1205"/>
      <c r="B466" s="1205"/>
      <c r="C466" s="1205"/>
      <c r="D466" s="1205"/>
      <c r="E466" s="1206"/>
      <c r="F466" s="1206"/>
      <c r="G466" s="1206"/>
      <c r="H466" s="1205"/>
      <c r="I466" s="1205"/>
    </row>
    <row r="467">
      <c r="A467" s="1205"/>
      <c r="B467" s="1205"/>
      <c r="C467" s="1205"/>
      <c r="D467" s="1205"/>
      <c r="E467" s="1206"/>
      <c r="F467" s="1206"/>
      <c r="G467" s="1206"/>
      <c r="H467" s="1205"/>
      <c r="I467" s="1205"/>
    </row>
    <row r="468">
      <c r="A468" s="1205"/>
      <c r="B468" s="1205"/>
      <c r="C468" s="1205"/>
      <c r="D468" s="1205"/>
      <c r="E468" s="1206"/>
      <c r="F468" s="1206"/>
      <c r="G468" s="1206"/>
      <c r="H468" s="1205"/>
      <c r="I468" s="1205"/>
    </row>
    <row r="469">
      <c r="A469" s="1205"/>
      <c r="B469" s="1205"/>
      <c r="C469" s="1205"/>
      <c r="D469" s="1205"/>
      <c r="E469" s="1206"/>
      <c r="F469" s="1206"/>
      <c r="G469" s="1206"/>
      <c r="H469" s="1205"/>
      <c r="I469" s="1205"/>
    </row>
    <row r="470">
      <c r="A470" s="1205"/>
      <c r="B470" s="1205"/>
      <c r="C470" s="1205"/>
      <c r="D470" s="1205"/>
      <c r="E470" s="1206"/>
      <c r="F470" s="1206"/>
      <c r="G470" s="1206"/>
      <c r="H470" s="1205"/>
      <c r="I470" s="1205"/>
    </row>
    <row r="471">
      <c r="A471" s="1205"/>
      <c r="B471" s="1205"/>
      <c r="C471" s="1205"/>
      <c r="D471" s="1205"/>
      <c r="E471" s="1206"/>
      <c r="F471" s="1206"/>
      <c r="G471" s="1206"/>
      <c r="H471" s="1205"/>
      <c r="I471" s="1205"/>
    </row>
    <row r="472">
      <c r="A472" s="1205"/>
      <c r="B472" s="1205"/>
      <c r="C472" s="1205"/>
      <c r="D472" s="1205"/>
      <c r="E472" s="1206"/>
      <c r="F472" s="1206"/>
      <c r="G472" s="1206"/>
      <c r="H472" s="1205"/>
      <c r="I472" s="1205"/>
    </row>
    <row r="473">
      <c r="A473" s="1205"/>
      <c r="B473" s="1205"/>
      <c r="C473" s="1205"/>
      <c r="D473" s="1205"/>
      <c r="E473" s="1206"/>
      <c r="F473" s="1206"/>
      <c r="G473" s="1206"/>
      <c r="H473" s="1205"/>
      <c r="I473" s="1205"/>
    </row>
    <row r="474">
      <c r="A474" s="1205"/>
      <c r="B474" s="1205"/>
      <c r="C474" s="1205"/>
      <c r="D474" s="1205"/>
      <c r="E474" s="1206"/>
      <c r="F474" s="1206"/>
      <c r="G474" s="1206"/>
      <c r="H474" s="1205"/>
      <c r="I474" s="1205"/>
    </row>
    <row r="475">
      <c r="A475" s="1205"/>
      <c r="B475" s="1205"/>
      <c r="C475" s="1205"/>
      <c r="D475" s="1205"/>
      <c r="E475" s="1206"/>
      <c r="F475" s="1206"/>
      <c r="G475" s="1206"/>
      <c r="H475" s="1205"/>
      <c r="I475" s="1205"/>
    </row>
    <row r="476">
      <c r="A476" s="1205"/>
      <c r="B476" s="1205"/>
      <c r="C476" s="1205"/>
      <c r="D476" s="1205"/>
      <c r="E476" s="1206"/>
      <c r="F476" s="1206"/>
      <c r="G476" s="1206"/>
      <c r="H476" s="1205"/>
      <c r="I476" s="1205"/>
    </row>
    <row r="477">
      <c r="A477" s="1205"/>
      <c r="B477" s="1205"/>
      <c r="C477" s="1205"/>
      <c r="D477" s="1205"/>
      <c r="E477" s="1206"/>
      <c r="F477" s="1206"/>
      <c r="G477" s="1206"/>
      <c r="H477" s="1205"/>
      <c r="I477" s="1205"/>
    </row>
    <row r="478">
      <c r="A478" s="1205"/>
      <c r="B478" s="1205"/>
      <c r="C478" s="1205"/>
      <c r="D478" s="1205"/>
      <c r="E478" s="1206"/>
      <c r="F478" s="1206"/>
      <c r="G478" s="1206"/>
      <c r="H478" s="1205"/>
      <c r="I478" s="1205"/>
    </row>
    <row r="479">
      <c r="A479" s="1205"/>
      <c r="B479" s="1205"/>
      <c r="C479" s="1205"/>
      <c r="D479" s="1205"/>
      <c r="E479" s="1206"/>
      <c r="F479" s="1206"/>
      <c r="G479" s="1206"/>
      <c r="H479" s="1205"/>
      <c r="I479" s="1205"/>
    </row>
    <row r="480">
      <c r="A480" s="1205"/>
      <c r="B480" s="1205"/>
      <c r="C480" s="1205"/>
      <c r="D480" s="1205"/>
      <c r="E480" s="1206"/>
      <c r="F480" s="1206"/>
      <c r="G480" s="1206"/>
      <c r="H480" s="1205"/>
      <c r="I480" s="1205"/>
    </row>
    <row r="481">
      <c r="A481" s="1205"/>
      <c r="B481" s="1205"/>
      <c r="C481" s="1205"/>
      <c r="D481" s="1205"/>
      <c r="E481" s="1206"/>
      <c r="F481" s="1206"/>
      <c r="G481" s="1206"/>
      <c r="H481" s="1205"/>
      <c r="I481" s="1205"/>
    </row>
    <row r="482">
      <c r="A482" s="1205"/>
      <c r="B482" s="1205"/>
      <c r="C482" s="1205"/>
      <c r="D482" s="1205"/>
      <c r="E482" s="1206"/>
      <c r="F482" s="1206"/>
      <c r="G482" s="1206"/>
      <c r="H482" s="1205"/>
      <c r="I482" s="1205"/>
    </row>
    <row r="483">
      <c r="A483" s="1205"/>
      <c r="B483" s="1205"/>
      <c r="C483" s="1205"/>
      <c r="D483" s="1205"/>
      <c r="E483" s="1206"/>
      <c r="F483" s="1206"/>
      <c r="G483" s="1206"/>
      <c r="H483" s="1205"/>
      <c r="I483" s="1205"/>
    </row>
    <row r="484">
      <c r="A484" s="1205"/>
      <c r="B484" s="1205"/>
      <c r="C484" s="1205"/>
      <c r="D484" s="1205"/>
      <c r="E484" s="1206"/>
      <c r="F484" s="1206"/>
      <c r="G484" s="1206"/>
      <c r="H484" s="1205"/>
      <c r="I484" s="1205"/>
    </row>
    <row r="485">
      <c r="A485" s="1205"/>
      <c r="B485" s="1205"/>
      <c r="C485" s="1205"/>
      <c r="D485" s="1205"/>
      <c r="E485" s="1206"/>
      <c r="F485" s="1206"/>
      <c r="G485" s="1206"/>
      <c r="H485" s="1205"/>
      <c r="I485" s="1205"/>
    </row>
    <row r="486">
      <c r="A486" s="1205"/>
      <c r="B486" s="1205"/>
      <c r="C486" s="1205"/>
      <c r="D486" s="1205"/>
      <c r="E486" s="1206"/>
      <c r="F486" s="1206"/>
      <c r="G486" s="1206"/>
      <c r="H486" s="1205"/>
      <c r="I486" s="1205"/>
    </row>
    <row r="487">
      <c r="A487" s="1205"/>
      <c r="B487" s="1205"/>
      <c r="C487" s="1205"/>
      <c r="D487" s="1205"/>
      <c r="E487" s="1206"/>
      <c r="F487" s="1206"/>
      <c r="G487" s="1206"/>
      <c r="H487" s="1205"/>
      <c r="I487" s="1205"/>
    </row>
    <row r="488">
      <c r="A488" s="1205"/>
      <c r="B488" s="1205"/>
      <c r="C488" s="1205"/>
      <c r="D488" s="1205"/>
      <c r="E488" s="1206"/>
      <c r="F488" s="1206"/>
      <c r="G488" s="1206"/>
      <c r="H488" s="1205"/>
      <c r="I488" s="1205"/>
    </row>
    <row r="489">
      <c r="A489" s="1205"/>
      <c r="B489" s="1205"/>
      <c r="C489" s="1205"/>
      <c r="D489" s="1205"/>
      <c r="E489" s="1206"/>
      <c r="F489" s="1206"/>
      <c r="G489" s="1206"/>
      <c r="H489" s="1205"/>
      <c r="I489" s="1205"/>
    </row>
    <row r="490">
      <c r="A490" s="1205"/>
      <c r="B490" s="1205"/>
      <c r="C490" s="1205"/>
      <c r="D490" s="1205"/>
      <c r="E490" s="1206"/>
      <c r="F490" s="1206"/>
      <c r="G490" s="1206"/>
      <c r="H490" s="1205"/>
      <c r="I490" s="1205"/>
    </row>
    <row r="491">
      <c r="A491" s="1205"/>
      <c r="B491" s="1205"/>
      <c r="C491" s="1205"/>
      <c r="D491" s="1205"/>
      <c r="E491" s="1206"/>
      <c r="F491" s="1206"/>
      <c r="G491" s="1206"/>
      <c r="H491" s="1205"/>
      <c r="I491" s="1205"/>
    </row>
    <row r="492">
      <c r="A492" s="1205"/>
      <c r="B492" s="1205"/>
      <c r="C492" s="1205"/>
      <c r="D492" s="1205"/>
      <c r="E492" s="1206"/>
      <c r="F492" s="1206"/>
      <c r="G492" s="1206"/>
      <c r="H492" s="1205"/>
      <c r="I492" s="1205"/>
    </row>
    <row r="493">
      <c r="A493" s="1205"/>
      <c r="B493" s="1205"/>
      <c r="C493" s="1205"/>
      <c r="D493" s="1205"/>
      <c r="E493" s="1206"/>
      <c r="F493" s="1206"/>
      <c r="G493" s="1206"/>
      <c r="H493" s="1205"/>
      <c r="I493" s="1205"/>
    </row>
    <row r="494">
      <c r="A494" s="1205"/>
      <c r="B494" s="1205"/>
      <c r="C494" s="1205"/>
      <c r="D494" s="1205"/>
      <c r="E494" s="1206"/>
      <c r="F494" s="1206"/>
      <c r="G494" s="1206"/>
      <c r="H494" s="1205"/>
      <c r="I494" s="1205"/>
    </row>
    <row r="495">
      <c r="A495" s="1205"/>
      <c r="B495" s="1205"/>
      <c r="C495" s="1205"/>
      <c r="D495" s="1205"/>
      <c r="E495" s="1206"/>
      <c r="F495" s="1206"/>
      <c r="G495" s="1206"/>
      <c r="H495" s="1205"/>
      <c r="I495" s="1205"/>
    </row>
    <row r="496">
      <c r="A496" s="1205"/>
      <c r="B496" s="1205"/>
      <c r="C496" s="1205"/>
      <c r="D496" s="1205"/>
      <c r="E496" s="1206"/>
      <c r="F496" s="1206"/>
      <c r="G496" s="1206"/>
      <c r="H496" s="1205"/>
      <c r="I496" s="1205"/>
    </row>
    <row r="497">
      <c r="A497" s="1205"/>
      <c r="B497" s="1205"/>
      <c r="C497" s="1205"/>
      <c r="D497" s="1205"/>
      <c r="E497" s="1206"/>
      <c r="F497" s="1206"/>
      <c r="G497" s="1206"/>
      <c r="H497" s="1205"/>
      <c r="I497" s="1205"/>
    </row>
    <row r="498">
      <c r="A498" s="1205"/>
      <c r="B498" s="1205"/>
      <c r="C498" s="1205"/>
      <c r="D498" s="1205"/>
      <c r="E498" s="1206"/>
      <c r="F498" s="1206"/>
      <c r="G498" s="1206"/>
      <c r="H498" s="1205"/>
      <c r="I498" s="1205"/>
    </row>
    <row r="499">
      <c r="A499" s="1205"/>
      <c r="B499" s="1205"/>
      <c r="C499" s="1205"/>
      <c r="D499" s="1205"/>
      <c r="E499" s="1206"/>
      <c r="F499" s="1206"/>
      <c r="G499" s="1206"/>
      <c r="H499" s="1205"/>
      <c r="I499" s="1205"/>
    </row>
    <row r="500">
      <c r="A500" s="1205"/>
      <c r="B500" s="1205"/>
      <c r="C500" s="1205"/>
      <c r="D500" s="1205"/>
      <c r="E500" s="1206"/>
      <c r="F500" s="1206"/>
      <c r="G500" s="1206"/>
      <c r="H500" s="1205"/>
      <c r="I500" s="1205"/>
    </row>
    <row r="501">
      <c r="A501" s="1205"/>
      <c r="B501" s="1205"/>
      <c r="C501" s="1205"/>
      <c r="D501" s="1205"/>
      <c r="E501" s="1206"/>
      <c r="F501" s="1206"/>
      <c r="G501" s="1206"/>
      <c r="H501" s="1205"/>
      <c r="I501" s="1205"/>
    </row>
    <row r="502">
      <c r="A502" s="1205"/>
      <c r="B502" s="1205"/>
      <c r="C502" s="1205"/>
      <c r="D502" s="1205"/>
      <c r="E502" s="1206"/>
      <c r="F502" s="1206"/>
      <c r="G502" s="1206"/>
      <c r="H502" s="1205"/>
      <c r="I502" s="1205"/>
    </row>
    <row r="503">
      <c r="A503" s="1205"/>
      <c r="B503" s="1205"/>
      <c r="C503" s="1205"/>
      <c r="D503" s="1205"/>
      <c r="E503" s="1206"/>
      <c r="F503" s="1206"/>
      <c r="G503" s="1206"/>
      <c r="H503" s="1205"/>
      <c r="I503" s="1205"/>
    </row>
    <row r="504">
      <c r="A504" s="1205"/>
      <c r="B504" s="1205"/>
      <c r="C504" s="1205"/>
      <c r="D504" s="1205"/>
      <c r="E504" s="1206"/>
      <c r="F504" s="1206"/>
      <c r="G504" s="1206"/>
      <c r="H504" s="1205"/>
      <c r="I504" s="1205"/>
    </row>
    <row r="505">
      <c r="A505" s="1205"/>
      <c r="B505" s="1205"/>
      <c r="C505" s="1205"/>
      <c r="D505" s="1205"/>
      <c r="E505" s="1206"/>
      <c r="F505" s="1206"/>
      <c r="G505" s="1206"/>
      <c r="H505" s="1205"/>
      <c r="I505" s="1205"/>
    </row>
    <row r="506">
      <c r="A506" s="1205"/>
      <c r="B506" s="1205"/>
      <c r="C506" s="1205"/>
      <c r="D506" s="1205"/>
      <c r="E506" s="1206"/>
      <c r="F506" s="1206"/>
      <c r="G506" s="1206"/>
      <c r="H506" s="1205"/>
      <c r="I506" s="1205"/>
    </row>
    <row r="507">
      <c r="A507" s="1205"/>
      <c r="B507" s="1205"/>
      <c r="C507" s="1205"/>
      <c r="D507" s="1205"/>
      <c r="E507" s="1206"/>
      <c r="F507" s="1206"/>
      <c r="G507" s="1206"/>
      <c r="H507" s="1205"/>
      <c r="I507" s="1205"/>
    </row>
    <row r="508">
      <c r="A508" s="1205"/>
      <c r="B508" s="1205"/>
      <c r="C508" s="1205"/>
      <c r="D508" s="1205"/>
      <c r="E508" s="1206"/>
      <c r="F508" s="1206"/>
      <c r="G508" s="1206"/>
      <c r="H508" s="1205"/>
      <c r="I508" s="1205"/>
    </row>
    <row r="509">
      <c r="A509" s="1205"/>
      <c r="B509" s="1205"/>
      <c r="C509" s="1205"/>
      <c r="D509" s="1205"/>
      <c r="E509" s="1206"/>
      <c r="F509" s="1206"/>
      <c r="G509" s="1206"/>
      <c r="H509" s="1205"/>
      <c r="I509" s="1205"/>
    </row>
    <row r="510">
      <c r="A510" s="1205"/>
      <c r="B510" s="1205"/>
      <c r="C510" s="1205"/>
      <c r="D510" s="1205"/>
      <c r="E510" s="1206"/>
      <c r="F510" s="1206"/>
      <c r="G510" s="1206"/>
      <c r="H510" s="1205"/>
      <c r="I510" s="1205"/>
    </row>
    <row r="511">
      <c r="A511" s="1205"/>
      <c r="B511" s="1205"/>
      <c r="C511" s="1205"/>
      <c r="D511" s="1205"/>
      <c r="E511" s="1206"/>
      <c r="F511" s="1206"/>
      <c r="G511" s="1206"/>
      <c r="H511" s="1205"/>
      <c r="I511" s="1205"/>
    </row>
    <row r="512">
      <c r="A512" s="1205"/>
      <c r="B512" s="1205"/>
      <c r="C512" s="1205"/>
      <c r="D512" s="1205"/>
      <c r="E512" s="1206"/>
      <c r="F512" s="1206"/>
      <c r="G512" s="1206"/>
      <c r="H512" s="1205"/>
      <c r="I512" s="1205"/>
    </row>
    <row r="513">
      <c r="A513" s="1205"/>
      <c r="B513" s="1205"/>
      <c r="C513" s="1205"/>
      <c r="D513" s="1205"/>
      <c r="E513" s="1206"/>
      <c r="F513" s="1206"/>
      <c r="G513" s="1206"/>
      <c r="H513" s="1205"/>
      <c r="I513" s="1205"/>
    </row>
    <row r="514">
      <c r="A514" s="1205"/>
      <c r="B514" s="1205"/>
      <c r="C514" s="1205"/>
      <c r="D514" s="1205"/>
      <c r="E514" s="1206"/>
      <c r="F514" s="1206"/>
      <c r="G514" s="1206"/>
      <c r="H514" s="1205"/>
      <c r="I514" s="1205"/>
    </row>
    <row r="515">
      <c r="A515" s="1205"/>
      <c r="B515" s="1205"/>
      <c r="C515" s="1205"/>
      <c r="D515" s="1205"/>
      <c r="E515" s="1206"/>
      <c r="F515" s="1206"/>
      <c r="G515" s="1206"/>
      <c r="H515" s="1205"/>
      <c r="I515" s="1205"/>
    </row>
    <row r="516">
      <c r="A516" s="1205"/>
      <c r="B516" s="1205"/>
      <c r="C516" s="1205"/>
      <c r="D516" s="1205"/>
      <c r="E516" s="1206"/>
      <c r="F516" s="1206"/>
      <c r="G516" s="1206"/>
      <c r="H516" s="1205"/>
      <c r="I516" s="1205"/>
    </row>
    <row r="517">
      <c r="A517" s="1205"/>
      <c r="B517" s="1205"/>
      <c r="C517" s="1205"/>
      <c r="D517" s="1205"/>
      <c r="E517" s="1206"/>
      <c r="F517" s="1206"/>
      <c r="G517" s="1206"/>
      <c r="H517" s="1205"/>
      <c r="I517" s="1205"/>
    </row>
    <row r="518">
      <c r="A518" s="1205"/>
      <c r="B518" s="1205"/>
      <c r="C518" s="1205"/>
      <c r="D518" s="1205"/>
      <c r="E518" s="1206"/>
      <c r="F518" s="1206"/>
      <c r="G518" s="1206"/>
      <c r="H518" s="1205"/>
      <c r="I518" s="1205"/>
    </row>
    <row r="519">
      <c r="A519" s="1205"/>
      <c r="B519" s="1205"/>
      <c r="C519" s="1205"/>
      <c r="D519" s="1205"/>
      <c r="E519" s="1206"/>
      <c r="F519" s="1206"/>
      <c r="G519" s="1206"/>
      <c r="H519" s="1205"/>
      <c r="I519" s="1205"/>
    </row>
    <row r="520">
      <c r="A520" s="1205"/>
      <c r="B520" s="1205"/>
      <c r="C520" s="1205"/>
      <c r="D520" s="1205"/>
      <c r="E520" s="1206"/>
      <c r="F520" s="1206"/>
      <c r="G520" s="1206"/>
      <c r="H520" s="1205"/>
      <c r="I520" s="1205"/>
    </row>
    <row r="521">
      <c r="A521" s="1205"/>
      <c r="B521" s="1205"/>
      <c r="C521" s="1205"/>
      <c r="D521" s="1205"/>
      <c r="E521" s="1206"/>
      <c r="F521" s="1206"/>
      <c r="G521" s="1206"/>
      <c r="H521" s="1205"/>
      <c r="I521" s="1205"/>
    </row>
    <row r="522">
      <c r="A522" s="1205"/>
      <c r="B522" s="1205"/>
      <c r="C522" s="1205"/>
      <c r="D522" s="1205"/>
      <c r="E522" s="1206"/>
      <c r="F522" s="1206"/>
      <c r="G522" s="1206"/>
      <c r="H522" s="1205"/>
      <c r="I522" s="1205"/>
    </row>
    <row r="523">
      <c r="A523" s="1205"/>
      <c r="B523" s="1205"/>
      <c r="C523" s="1205"/>
      <c r="D523" s="1205"/>
      <c r="E523" s="1206"/>
      <c r="F523" s="1206"/>
      <c r="G523" s="1206"/>
      <c r="H523" s="1205"/>
      <c r="I523" s="1205"/>
    </row>
    <row r="524">
      <c r="A524" s="1205"/>
      <c r="B524" s="1205"/>
      <c r="C524" s="1205"/>
      <c r="D524" s="1205"/>
      <c r="E524" s="1206"/>
      <c r="F524" s="1206"/>
      <c r="G524" s="1206"/>
      <c r="H524" s="1205"/>
      <c r="I524" s="1205"/>
    </row>
    <row r="525">
      <c r="A525" s="1205"/>
      <c r="B525" s="1205"/>
      <c r="C525" s="1205"/>
      <c r="D525" s="1205"/>
      <c r="E525" s="1206"/>
      <c r="F525" s="1206"/>
      <c r="G525" s="1206"/>
      <c r="H525" s="1205"/>
      <c r="I525" s="1205"/>
    </row>
    <row r="526">
      <c r="A526" s="1205"/>
      <c r="B526" s="1205"/>
      <c r="C526" s="1205"/>
      <c r="D526" s="1205"/>
      <c r="E526" s="1206"/>
      <c r="F526" s="1206"/>
      <c r="G526" s="1206"/>
      <c r="H526" s="1205"/>
      <c r="I526" s="1205"/>
    </row>
    <row r="527">
      <c r="A527" s="1205"/>
      <c r="B527" s="1205"/>
      <c r="C527" s="1205"/>
      <c r="D527" s="1205"/>
      <c r="E527" s="1206"/>
      <c r="F527" s="1206"/>
      <c r="G527" s="1206"/>
      <c r="H527" s="1205"/>
      <c r="I527" s="1205"/>
    </row>
    <row r="528">
      <c r="A528" s="1205"/>
      <c r="B528" s="1205"/>
      <c r="C528" s="1205"/>
      <c r="D528" s="1205"/>
      <c r="E528" s="1206"/>
      <c r="F528" s="1206"/>
      <c r="G528" s="1206"/>
      <c r="H528" s="1205"/>
      <c r="I528" s="1205"/>
    </row>
    <row r="529">
      <c r="A529" s="1205"/>
      <c r="B529" s="1205"/>
      <c r="C529" s="1205"/>
      <c r="D529" s="1205"/>
      <c r="E529" s="1206"/>
      <c r="F529" s="1206"/>
      <c r="G529" s="1206"/>
      <c r="H529" s="1205"/>
      <c r="I529" s="1205"/>
    </row>
    <row r="530">
      <c r="A530" s="1205"/>
      <c r="B530" s="1205"/>
      <c r="C530" s="1205"/>
      <c r="D530" s="1205"/>
      <c r="E530" s="1206"/>
      <c r="F530" s="1206"/>
      <c r="G530" s="1206"/>
      <c r="H530" s="1205"/>
      <c r="I530" s="1205"/>
    </row>
    <row r="531">
      <c r="A531" s="1205"/>
      <c r="B531" s="1205"/>
      <c r="C531" s="1205"/>
      <c r="D531" s="1205"/>
      <c r="E531" s="1206"/>
      <c r="F531" s="1206"/>
      <c r="G531" s="1206"/>
      <c r="H531" s="1205"/>
      <c r="I531" s="1205"/>
    </row>
    <row r="532">
      <c r="A532" s="1205"/>
      <c r="B532" s="1205"/>
      <c r="C532" s="1205"/>
      <c r="D532" s="1205"/>
      <c r="E532" s="1206"/>
      <c r="F532" s="1206"/>
      <c r="G532" s="1206"/>
      <c r="H532" s="1205"/>
      <c r="I532" s="1205"/>
    </row>
    <row r="533">
      <c r="A533" s="1205"/>
      <c r="B533" s="1205"/>
      <c r="C533" s="1205"/>
      <c r="D533" s="1205"/>
      <c r="E533" s="1206"/>
      <c r="F533" s="1206"/>
      <c r="G533" s="1206"/>
      <c r="H533" s="1205"/>
      <c r="I533" s="1205"/>
    </row>
    <row r="534">
      <c r="A534" s="1205"/>
      <c r="B534" s="1205"/>
      <c r="C534" s="1205"/>
      <c r="D534" s="1205"/>
      <c r="E534" s="1206"/>
      <c r="F534" s="1206"/>
      <c r="G534" s="1206"/>
      <c r="H534" s="1205"/>
      <c r="I534" s="1205"/>
    </row>
    <row r="535">
      <c r="A535" s="1205"/>
      <c r="B535" s="1205"/>
      <c r="C535" s="1205"/>
      <c r="D535" s="1205"/>
      <c r="E535" s="1206"/>
      <c r="F535" s="1206"/>
      <c r="G535" s="1206"/>
      <c r="H535" s="1205"/>
      <c r="I535" s="1205"/>
    </row>
    <row r="536">
      <c r="A536" s="1205"/>
      <c r="B536" s="1205"/>
      <c r="C536" s="1205"/>
      <c r="D536" s="1205"/>
      <c r="E536" s="1206"/>
      <c r="F536" s="1206"/>
      <c r="G536" s="1206"/>
      <c r="H536" s="1205"/>
      <c r="I536" s="1205"/>
    </row>
    <row r="537">
      <c r="A537" s="1205"/>
      <c r="B537" s="1205"/>
      <c r="C537" s="1205"/>
      <c r="D537" s="1205"/>
      <c r="E537" s="1206"/>
      <c r="F537" s="1206"/>
      <c r="G537" s="1206"/>
      <c r="H537" s="1205"/>
      <c r="I537" s="1205"/>
    </row>
    <row r="538">
      <c r="A538" s="1205"/>
      <c r="B538" s="1205"/>
      <c r="C538" s="1205"/>
      <c r="D538" s="1205"/>
      <c r="E538" s="1206"/>
      <c r="F538" s="1206"/>
      <c r="G538" s="1206"/>
      <c r="H538" s="1205"/>
      <c r="I538" s="1205"/>
    </row>
    <row r="539">
      <c r="A539" s="1205"/>
      <c r="B539" s="1205"/>
      <c r="C539" s="1205"/>
      <c r="D539" s="1205"/>
      <c r="E539" s="1206"/>
      <c r="F539" s="1206"/>
      <c r="G539" s="1206"/>
      <c r="H539" s="1205"/>
      <c r="I539" s="1205"/>
    </row>
    <row r="540">
      <c r="A540" s="1205"/>
      <c r="B540" s="1205"/>
      <c r="C540" s="1205"/>
      <c r="D540" s="1205"/>
      <c r="E540" s="1206"/>
      <c r="F540" s="1206"/>
      <c r="G540" s="1206"/>
      <c r="H540" s="1205"/>
      <c r="I540" s="1205"/>
    </row>
    <row r="541">
      <c r="A541" s="1205"/>
      <c r="B541" s="1205"/>
      <c r="C541" s="1205"/>
      <c r="D541" s="1205"/>
      <c r="E541" s="1206"/>
      <c r="F541" s="1206"/>
      <c r="G541" s="1206"/>
      <c r="H541" s="1205"/>
      <c r="I541" s="1205"/>
    </row>
    <row r="542">
      <c r="A542" s="1205"/>
      <c r="B542" s="1205"/>
      <c r="C542" s="1205"/>
      <c r="D542" s="1205"/>
      <c r="E542" s="1206"/>
      <c r="F542" s="1206"/>
      <c r="G542" s="1206"/>
      <c r="H542" s="1205"/>
      <c r="I542" s="1205"/>
    </row>
    <row r="543">
      <c r="A543" s="1205"/>
      <c r="B543" s="1205"/>
      <c r="C543" s="1205"/>
      <c r="D543" s="1205"/>
      <c r="E543" s="1206"/>
      <c r="F543" s="1206"/>
      <c r="G543" s="1206"/>
      <c r="H543" s="1205"/>
      <c r="I543" s="1205"/>
    </row>
    <row r="544">
      <c r="A544" s="1205"/>
      <c r="B544" s="1205"/>
      <c r="C544" s="1205"/>
      <c r="D544" s="1205"/>
      <c r="E544" s="1206"/>
      <c r="F544" s="1206"/>
      <c r="G544" s="1206"/>
      <c r="H544" s="1205"/>
      <c r="I544" s="1205"/>
    </row>
    <row r="545">
      <c r="A545" s="1205"/>
      <c r="B545" s="1205"/>
      <c r="C545" s="1205"/>
      <c r="D545" s="1205"/>
      <c r="E545" s="1206"/>
      <c r="F545" s="1206"/>
      <c r="G545" s="1206"/>
      <c r="H545" s="1205"/>
      <c r="I545" s="1205"/>
    </row>
    <row r="546">
      <c r="A546" s="1205"/>
      <c r="B546" s="1205"/>
      <c r="C546" s="1205"/>
      <c r="D546" s="1205"/>
      <c r="E546" s="1206"/>
      <c r="F546" s="1206"/>
      <c r="G546" s="1206"/>
      <c r="H546" s="1205"/>
      <c r="I546" s="1205"/>
    </row>
    <row r="547">
      <c r="A547" s="1205"/>
      <c r="B547" s="1205"/>
      <c r="C547" s="1205"/>
      <c r="D547" s="1205"/>
      <c r="E547" s="1206"/>
      <c r="F547" s="1206"/>
      <c r="G547" s="1206"/>
      <c r="H547" s="1205"/>
      <c r="I547" s="1205"/>
    </row>
    <row r="548">
      <c r="A548" s="1205"/>
      <c r="B548" s="1205"/>
      <c r="C548" s="1205"/>
      <c r="D548" s="1205"/>
      <c r="E548" s="1206"/>
      <c r="F548" s="1206"/>
      <c r="G548" s="1206"/>
      <c r="H548" s="1205"/>
      <c r="I548" s="1205"/>
    </row>
    <row r="549">
      <c r="A549" s="1205"/>
      <c r="B549" s="1205"/>
      <c r="C549" s="1205"/>
      <c r="D549" s="1205"/>
      <c r="E549" s="1206"/>
      <c r="F549" s="1206"/>
      <c r="G549" s="1206"/>
      <c r="H549" s="1205"/>
      <c r="I549" s="1205"/>
    </row>
    <row r="550">
      <c r="A550" s="1205"/>
      <c r="B550" s="1205"/>
      <c r="C550" s="1205"/>
      <c r="D550" s="1205"/>
      <c r="E550" s="1206"/>
      <c r="F550" s="1206"/>
      <c r="G550" s="1206"/>
      <c r="H550" s="1205"/>
      <c r="I550" s="1205"/>
    </row>
    <row r="551">
      <c r="A551" s="1205"/>
      <c r="B551" s="1205"/>
      <c r="C551" s="1205"/>
      <c r="D551" s="1205"/>
      <c r="E551" s="1206"/>
      <c r="F551" s="1206"/>
      <c r="G551" s="1206"/>
      <c r="H551" s="1205"/>
      <c r="I551" s="1205"/>
    </row>
    <row r="552">
      <c r="A552" s="1205"/>
      <c r="B552" s="1205"/>
      <c r="C552" s="1205"/>
      <c r="D552" s="1205"/>
      <c r="E552" s="1206"/>
      <c r="F552" s="1206"/>
      <c r="G552" s="1206"/>
      <c r="H552" s="1205"/>
      <c r="I552" s="1205"/>
    </row>
    <row r="553">
      <c r="A553" s="1205"/>
      <c r="B553" s="1205"/>
      <c r="C553" s="1205"/>
      <c r="D553" s="1205"/>
      <c r="E553" s="1206"/>
      <c r="F553" s="1206"/>
      <c r="G553" s="1206"/>
      <c r="H553" s="1205"/>
      <c r="I553" s="1205"/>
    </row>
    <row r="554">
      <c r="A554" s="1205"/>
      <c r="B554" s="1205"/>
      <c r="C554" s="1205"/>
      <c r="D554" s="1205"/>
      <c r="E554" s="1206"/>
      <c r="F554" s="1206"/>
      <c r="G554" s="1206"/>
      <c r="H554" s="1205"/>
      <c r="I554" s="1205"/>
    </row>
    <row r="555">
      <c r="A555" s="1205"/>
      <c r="B555" s="1205"/>
      <c r="C555" s="1205"/>
      <c r="D555" s="1205"/>
      <c r="E555" s="1206"/>
      <c r="F555" s="1206"/>
      <c r="G555" s="1206"/>
      <c r="H555" s="1205"/>
      <c r="I555" s="1205"/>
    </row>
    <row r="556">
      <c r="A556" s="1205"/>
      <c r="B556" s="1205"/>
      <c r="C556" s="1205"/>
      <c r="D556" s="1205"/>
      <c r="E556" s="1206"/>
      <c r="F556" s="1206"/>
      <c r="G556" s="1206"/>
      <c r="H556" s="1205"/>
      <c r="I556" s="1205"/>
    </row>
    <row r="557">
      <c r="A557" s="1205"/>
      <c r="B557" s="1205"/>
      <c r="C557" s="1205"/>
      <c r="D557" s="1205"/>
      <c r="E557" s="1206"/>
      <c r="F557" s="1206"/>
      <c r="G557" s="1206"/>
      <c r="H557" s="1205"/>
      <c r="I557" s="1205"/>
    </row>
    <row r="558">
      <c r="A558" s="1205"/>
      <c r="B558" s="1205"/>
      <c r="C558" s="1205"/>
      <c r="D558" s="1205"/>
      <c r="E558" s="1206"/>
      <c r="F558" s="1206"/>
      <c r="G558" s="1206"/>
      <c r="H558" s="1205"/>
      <c r="I558" s="1205"/>
    </row>
    <row r="559">
      <c r="A559" s="1205"/>
      <c r="B559" s="1205"/>
      <c r="C559" s="1205"/>
      <c r="D559" s="1205"/>
      <c r="E559" s="1206"/>
      <c r="F559" s="1206"/>
      <c r="G559" s="1206"/>
      <c r="H559" s="1205"/>
      <c r="I559" s="1205"/>
    </row>
    <row r="560">
      <c r="A560" s="1205"/>
      <c r="B560" s="1205"/>
      <c r="C560" s="1205"/>
      <c r="D560" s="1205"/>
      <c r="E560" s="1206"/>
      <c r="F560" s="1206"/>
      <c r="G560" s="1206"/>
      <c r="H560" s="1205"/>
      <c r="I560" s="1205"/>
    </row>
    <row r="561">
      <c r="A561" s="1205"/>
      <c r="B561" s="1205"/>
      <c r="C561" s="1205"/>
      <c r="D561" s="1205"/>
      <c r="E561" s="1206"/>
      <c r="F561" s="1206"/>
      <c r="G561" s="1206"/>
      <c r="H561" s="1205"/>
      <c r="I561" s="1205"/>
    </row>
    <row r="562">
      <c r="A562" s="1205"/>
      <c r="B562" s="1205"/>
      <c r="C562" s="1205"/>
      <c r="D562" s="1205"/>
      <c r="E562" s="1206"/>
      <c r="F562" s="1206"/>
      <c r="G562" s="1206"/>
      <c r="H562" s="1205"/>
      <c r="I562" s="1205"/>
    </row>
    <row r="563">
      <c r="A563" s="1205"/>
      <c r="B563" s="1205"/>
      <c r="C563" s="1205"/>
      <c r="D563" s="1205"/>
      <c r="E563" s="1206"/>
      <c r="F563" s="1206"/>
      <c r="G563" s="1206"/>
      <c r="H563" s="1205"/>
      <c r="I563" s="1205"/>
    </row>
    <row r="564">
      <c r="A564" s="1205"/>
      <c r="B564" s="1205"/>
      <c r="C564" s="1205"/>
      <c r="D564" s="1205"/>
      <c r="E564" s="1206"/>
      <c r="F564" s="1206"/>
      <c r="G564" s="1206"/>
      <c r="H564" s="1205"/>
      <c r="I564" s="1205"/>
    </row>
    <row r="565">
      <c r="A565" s="1205"/>
      <c r="B565" s="1205"/>
      <c r="C565" s="1205"/>
      <c r="D565" s="1205"/>
      <c r="E565" s="1206"/>
      <c r="F565" s="1206"/>
      <c r="G565" s="1206"/>
      <c r="H565" s="1205"/>
      <c r="I565" s="1205"/>
    </row>
    <row r="566">
      <c r="A566" s="1205"/>
      <c r="B566" s="1205"/>
      <c r="C566" s="1205"/>
      <c r="D566" s="1205"/>
      <c r="E566" s="1206"/>
      <c r="F566" s="1206"/>
      <c r="G566" s="1206"/>
      <c r="H566" s="1205"/>
      <c r="I566" s="1205"/>
    </row>
    <row r="567">
      <c r="A567" s="1205"/>
      <c r="B567" s="1205"/>
      <c r="C567" s="1205"/>
      <c r="D567" s="1205"/>
      <c r="E567" s="1206"/>
      <c r="F567" s="1206"/>
      <c r="G567" s="1206"/>
      <c r="H567" s="1205"/>
      <c r="I567" s="1205"/>
    </row>
    <row r="568">
      <c r="A568" s="1205"/>
      <c r="B568" s="1205"/>
      <c r="C568" s="1205"/>
      <c r="D568" s="1205"/>
      <c r="E568" s="1206"/>
      <c r="F568" s="1206"/>
      <c r="G568" s="1206"/>
      <c r="H568" s="1205"/>
      <c r="I568" s="1205"/>
    </row>
    <row r="569">
      <c r="A569" s="1205"/>
      <c r="B569" s="1205"/>
      <c r="C569" s="1205"/>
      <c r="D569" s="1205"/>
      <c r="E569" s="1206"/>
      <c r="F569" s="1206"/>
      <c r="G569" s="1206"/>
      <c r="H569" s="1205"/>
      <c r="I569" s="1205"/>
    </row>
    <row r="570">
      <c r="A570" s="1205"/>
      <c r="B570" s="1205"/>
      <c r="C570" s="1205"/>
      <c r="D570" s="1205"/>
      <c r="E570" s="1206"/>
      <c r="F570" s="1206"/>
      <c r="G570" s="1206"/>
      <c r="H570" s="1205"/>
      <c r="I570" s="1205"/>
    </row>
    <row r="571">
      <c r="A571" s="1205"/>
      <c r="B571" s="1205"/>
      <c r="C571" s="1205"/>
      <c r="D571" s="1205"/>
      <c r="E571" s="1206"/>
      <c r="F571" s="1206"/>
      <c r="G571" s="1206"/>
      <c r="H571" s="1205"/>
      <c r="I571" s="1205"/>
    </row>
    <row r="572">
      <c r="A572" s="1205"/>
      <c r="B572" s="1205"/>
      <c r="C572" s="1205"/>
      <c r="D572" s="1205"/>
      <c r="E572" s="1206"/>
      <c r="F572" s="1206"/>
      <c r="G572" s="1206"/>
      <c r="H572" s="1205"/>
      <c r="I572" s="1205"/>
    </row>
    <row r="573">
      <c r="A573" s="1205"/>
      <c r="B573" s="1205"/>
      <c r="C573" s="1205"/>
      <c r="D573" s="1205"/>
      <c r="E573" s="1206"/>
      <c r="F573" s="1206"/>
      <c r="G573" s="1206"/>
      <c r="H573" s="1205"/>
      <c r="I573" s="1205"/>
    </row>
    <row r="574">
      <c r="A574" s="1205"/>
      <c r="B574" s="1205"/>
      <c r="C574" s="1205"/>
      <c r="D574" s="1205"/>
      <c r="E574" s="1206"/>
      <c r="F574" s="1206"/>
      <c r="G574" s="1206"/>
      <c r="H574" s="1205"/>
      <c r="I574" s="1205"/>
    </row>
    <row r="575">
      <c r="A575" s="1205"/>
      <c r="B575" s="1205"/>
      <c r="C575" s="1205"/>
      <c r="D575" s="1205"/>
      <c r="E575" s="1206"/>
      <c r="F575" s="1206"/>
      <c r="G575" s="1206"/>
      <c r="H575" s="1205"/>
      <c r="I575" s="1205"/>
    </row>
    <row r="576">
      <c r="A576" s="1205"/>
      <c r="B576" s="1205"/>
      <c r="C576" s="1205"/>
      <c r="D576" s="1205"/>
      <c r="E576" s="1206"/>
      <c r="F576" s="1206"/>
      <c r="G576" s="1206"/>
      <c r="H576" s="1205"/>
      <c r="I576" s="1205"/>
    </row>
    <row r="577">
      <c r="A577" s="1205"/>
      <c r="B577" s="1205"/>
      <c r="C577" s="1205"/>
      <c r="D577" s="1205"/>
      <c r="E577" s="1206"/>
      <c r="F577" s="1206"/>
      <c r="G577" s="1206"/>
      <c r="H577" s="1205"/>
      <c r="I577" s="1205"/>
    </row>
    <row r="578">
      <c r="A578" s="1205"/>
      <c r="B578" s="1205"/>
      <c r="C578" s="1205"/>
      <c r="D578" s="1205"/>
      <c r="E578" s="1206"/>
      <c r="F578" s="1206"/>
      <c r="G578" s="1206"/>
      <c r="H578" s="1205"/>
      <c r="I578" s="1205"/>
    </row>
    <row r="579">
      <c r="A579" s="1205"/>
      <c r="B579" s="1205"/>
      <c r="C579" s="1205"/>
      <c r="D579" s="1205"/>
      <c r="E579" s="1206"/>
      <c r="F579" s="1206"/>
      <c r="G579" s="1206"/>
      <c r="H579" s="1205"/>
      <c r="I579" s="1205"/>
    </row>
    <row r="580">
      <c r="A580" s="1205"/>
      <c r="B580" s="1205"/>
      <c r="C580" s="1205"/>
      <c r="D580" s="1205"/>
      <c r="E580" s="1206"/>
      <c r="F580" s="1206"/>
      <c r="G580" s="1206"/>
      <c r="H580" s="1205"/>
      <c r="I580" s="1205"/>
    </row>
    <row r="581">
      <c r="A581" s="1205"/>
      <c r="B581" s="1205"/>
      <c r="C581" s="1205"/>
      <c r="D581" s="1205"/>
      <c r="E581" s="1206"/>
      <c r="F581" s="1206"/>
      <c r="G581" s="1206"/>
      <c r="H581" s="1205"/>
      <c r="I581" s="1205"/>
    </row>
    <row r="582">
      <c r="A582" s="1205"/>
      <c r="B582" s="1205"/>
      <c r="C582" s="1205"/>
      <c r="D582" s="1205"/>
      <c r="E582" s="1206"/>
      <c r="F582" s="1206"/>
      <c r="G582" s="1206"/>
      <c r="H582" s="1205"/>
      <c r="I582" s="1205"/>
    </row>
    <row r="583">
      <c r="A583" s="1205"/>
      <c r="B583" s="1205"/>
      <c r="C583" s="1205"/>
      <c r="D583" s="1205"/>
      <c r="E583" s="1206"/>
      <c r="F583" s="1206"/>
      <c r="G583" s="1206"/>
      <c r="H583" s="1205"/>
      <c r="I583" s="1205"/>
    </row>
    <row r="584">
      <c r="A584" s="1205"/>
      <c r="B584" s="1205"/>
      <c r="C584" s="1205"/>
      <c r="D584" s="1205"/>
      <c r="E584" s="1206"/>
      <c r="F584" s="1206"/>
      <c r="G584" s="1206"/>
      <c r="H584" s="1205"/>
      <c r="I584" s="1205"/>
    </row>
    <row r="585">
      <c r="A585" s="1205"/>
      <c r="B585" s="1205"/>
      <c r="C585" s="1205"/>
      <c r="D585" s="1205"/>
      <c r="E585" s="1206"/>
      <c r="F585" s="1206"/>
      <c r="G585" s="1206"/>
      <c r="H585" s="1205"/>
      <c r="I585" s="1205"/>
    </row>
    <row r="586">
      <c r="A586" s="1205"/>
      <c r="B586" s="1205"/>
      <c r="C586" s="1205"/>
      <c r="D586" s="1205"/>
      <c r="E586" s="1206"/>
      <c r="F586" s="1206"/>
      <c r="G586" s="1206"/>
      <c r="H586" s="1205"/>
      <c r="I586" s="1205"/>
    </row>
    <row r="587">
      <c r="A587" s="1205"/>
      <c r="B587" s="1205"/>
      <c r="C587" s="1205"/>
      <c r="D587" s="1205"/>
      <c r="E587" s="1206"/>
      <c r="F587" s="1206"/>
      <c r="G587" s="1206"/>
      <c r="H587" s="1205"/>
      <c r="I587" s="1205"/>
    </row>
    <row r="588">
      <c r="A588" s="1205"/>
      <c r="B588" s="1205"/>
      <c r="C588" s="1205"/>
      <c r="D588" s="1205"/>
      <c r="E588" s="1206"/>
      <c r="F588" s="1206"/>
      <c r="G588" s="1206"/>
      <c r="H588" s="1205"/>
      <c r="I588" s="1205"/>
    </row>
    <row r="589">
      <c r="A589" s="1205"/>
      <c r="B589" s="1205"/>
      <c r="C589" s="1205"/>
      <c r="D589" s="1205"/>
      <c r="E589" s="1206"/>
      <c r="F589" s="1206"/>
      <c r="G589" s="1206"/>
      <c r="H589" s="1205"/>
      <c r="I589" s="1205"/>
    </row>
    <row r="590">
      <c r="A590" s="1205"/>
      <c r="B590" s="1205"/>
      <c r="C590" s="1205"/>
      <c r="D590" s="1205"/>
      <c r="E590" s="1206"/>
      <c r="F590" s="1206"/>
      <c r="G590" s="1206"/>
      <c r="H590" s="1205"/>
      <c r="I590" s="1205"/>
    </row>
    <row r="591">
      <c r="A591" s="1205"/>
      <c r="B591" s="1205"/>
      <c r="C591" s="1205"/>
      <c r="D591" s="1205"/>
      <c r="E591" s="1206"/>
      <c r="F591" s="1206"/>
      <c r="G591" s="1206"/>
      <c r="H591" s="1205"/>
      <c r="I591" s="1205"/>
    </row>
    <row r="592">
      <c r="A592" s="1205"/>
      <c r="B592" s="1205"/>
      <c r="C592" s="1205"/>
      <c r="D592" s="1205"/>
      <c r="E592" s="1206"/>
      <c r="F592" s="1206"/>
      <c r="G592" s="1206"/>
      <c r="H592" s="1205"/>
      <c r="I592" s="1205"/>
    </row>
    <row r="593">
      <c r="A593" s="1205"/>
      <c r="B593" s="1205"/>
      <c r="C593" s="1205"/>
      <c r="D593" s="1205"/>
      <c r="E593" s="1206"/>
      <c r="F593" s="1206"/>
      <c r="G593" s="1206"/>
      <c r="H593" s="1205"/>
      <c r="I593" s="1205"/>
    </row>
    <row r="594">
      <c r="A594" s="1205"/>
      <c r="B594" s="1205"/>
      <c r="C594" s="1205"/>
      <c r="D594" s="1205"/>
      <c r="E594" s="1206"/>
      <c r="F594" s="1206"/>
      <c r="G594" s="1206"/>
      <c r="H594" s="1205"/>
      <c r="I594" s="1205"/>
    </row>
    <row r="595">
      <c r="A595" s="1205"/>
      <c r="B595" s="1205"/>
      <c r="C595" s="1205"/>
      <c r="D595" s="1205"/>
      <c r="E595" s="1206"/>
      <c r="F595" s="1206"/>
      <c r="G595" s="1206"/>
      <c r="H595" s="1205"/>
      <c r="I595" s="1205"/>
    </row>
    <row r="596">
      <c r="A596" s="1205"/>
      <c r="B596" s="1205"/>
      <c r="C596" s="1205"/>
      <c r="D596" s="1205"/>
      <c r="E596" s="1206"/>
      <c r="F596" s="1206"/>
      <c r="G596" s="1206"/>
      <c r="H596" s="1205"/>
      <c r="I596" s="1205"/>
    </row>
    <row r="597">
      <c r="A597" s="1205"/>
      <c r="B597" s="1205"/>
      <c r="C597" s="1205"/>
      <c r="D597" s="1205"/>
      <c r="E597" s="1206"/>
      <c r="F597" s="1206"/>
      <c r="G597" s="1206"/>
      <c r="H597" s="1205"/>
      <c r="I597" s="1205"/>
    </row>
    <row r="598">
      <c r="A598" s="1205"/>
      <c r="B598" s="1205"/>
      <c r="C598" s="1205"/>
      <c r="D598" s="1205"/>
      <c r="E598" s="1206"/>
      <c r="F598" s="1206"/>
      <c r="G598" s="1206"/>
      <c r="H598" s="1205"/>
      <c r="I598" s="1205"/>
    </row>
    <row r="599">
      <c r="A599" s="1205"/>
      <c r="B599" s="1205"/>
      <c r="C599" s="1205"/>
      <c r="D599" s="1205"/>
      <c r="E599" s="1206"/>
      <c r="F599" s="1206"/>
      <c r="G599" s="1206"/>
      <c r="H599" s="1205"/>
      <c r="I599" s="1205"/>
    </row>
    <row r="600">
      <c r="A600" s="1205"/>
      <c r="B600" s="1205"/>
      <c r="C600" s="1205"/>
      <c r="D600" s="1205"/>
      <c r="E600" s="1206"/>
      <c r="F600" s="1206"/>
      <c r="G600" s="1206"/>
      <c r="H600" s="1205"/>
      <c r="I600" s="1205"/>
    </row>
    <row r="601">
      <c r="A601" s="1205"/>
      <c r="B601" s="1205"/>
      <c r="C601" s="1205"/>
      <c r="D601" s="1205"/>
      <c r="E601" s="1206"/>
      <c r="F601" s="1206"/>
      <c r="G601" s="1206"/>
      <c r="H601" s="1205"/>
      <c r="I601" s="1205"/>
    </row>
    <row r="602">
      <c r="A602" s="1205"/>
      <c r="B602" s="1205"/>
      <c r="C602" s="1205"/>
      <c r="D602" s="1205"/>
      <c r="E602" s="1206"/>
      <c r="F602" s="1206"/>
      <c r="G602" s="1206"/>
      <c r="H602" s="1205"/>
      <c r="I602" s="1205"/>
    </row>
    <row r="603">
      <c r="A603" s="1205"/>
      <c r="B603" s="1205"/>
      <c r="C603" s="1205"/>
      <c r="D603" s="1205"/>
      <c r="E603" s="1206"/>
      <c r="F603" s="1206"/>
      <c r="G603" s="1206"/>
      <c r="H603" s="1205"/>
      <c r="I603" s="1205"/>
    </row>
    <row r="604">
      <c r="A604" s="1205"/>
      <c r="B604" s="1205"/>
      <c r="C604" s="1205"/>
      <c r="D604" s="1205"/>
      <c r="E604" s="1206"/>
      <c r="F604" s="1206"/>
      <c r="G604" s="1206"/>
      <c r="H604" s="1205"/>
      <c r="I604" s="1205"/>
    </row>
    <row r="605">
      <c r="A605" s="1205"/>
      <c r="B605" s="1205"/>
      <c r="C605" s="1205"/>
      <c r="D605" s="1205"/>
      <c r="E605" s="1206"/>
      <c r="F605" s="1206"/>
      <c r="G605" s="1206"/>
      <c r="H605" s="1205"/>
      <c r="I605" s="1205"/>
    </row>
    <row r="606">
      <c r="A606" s="1205"/>
      <c r="B606" s="1205"/>
      <c r="C606" s="1205"/>
      <c r="D606" s="1205"/>
      <c r="E606" s="1206"/>
      <c r="F606" s="1206"/>
      <c r="G606" s="1206"/>
      <c r="H606" s="1205"/>
      <c r="I606" s="1205"/>
    </row>
    <row r="607">
      <c r="A607" s="1205"/>
      <c r="B607" s="1205"/>
      <c r="C607" s="1205"/>
      <c r="D607" s="1205"/>
      <c r="E607" s="1206"/>
      <c r="F607" s="1206"/>
      <c r="G607" s="1206"/>
      <c r="H607" s="1205"/>
      <c r="I607" s="1205"/>
    </row>
    <row r="608">
      <c r="A608" s="1205"/>
      <c r="B608" s="1205"/>
      <c r="C608" s="1205"/>
      <c r="D608" s="1205"/>
      <c r="E608" s="1206"/>
      <c r="F608" s="1206"/>
      <c r="G608" s="1206"/>
      <c r="H608" s="1205"/>
      <c r="I608" s="1205"/>
    </row>
    <row r="609">
      <c r="A609" s="1205"/>
      <c r="B609" s="1205"/>
      <c r="C609" s="1205"/>
      <c r="D609" s="1205"/>
      <c r="E609" s="1206"/>
      <c r="F609" s="1206"/>
      <c r="G609" s="1206"/>
      <c r="H609" s="1205"/>
      <c r="I609" s="1205"/>
    </row>
    <row r="610">
      <c r="A610" s="1205"/>
      <c r="B610" s="1205"/>
      <c r="C610" s="1205"/>
      <c r="D610" s="1205"/>
      <c r="E610" s="1206"/>
      <c r="F610" s="1206"/>
      <c r="G610" s="1206"/>
      <c r="H610" s="1205"/>
      <c r="I610" s="1205"/>
    </row>
    <row r="611">
      <c r="A611" s="1205"/>
      <c r="B611" s="1205"/>
      <c r="C611" s="1205"/>
      <c r="D611" s="1205"/>
      <c r="E611" s="1206"/>
      <c r="F611" s="1206"/>
      <c r="G611" s="1206"/>
      <c r="H611" s="1205"/>
      <c r="I611" s="1205"/>
    </row>
    <row r="612">
      <c r="A612" s="1205"/>
      <c r="B612" s="1205"/>
      <c r="C612" s="1205"/>
      <c r="D612" s="1205"/>
      <c r="E612" s="1206"/>
      <c r="F612" s="1206"/>
      <c r="G612" s="1206"/>
      <c r="H612" s="1205"/>
      <c r="I612" s="1205"/>
    </row>
    <row r="613">
      <c r="A613" s="1205"/>
      <c r="B613" s="1205"/>
      <c r="C613" s="1205"/>
      <c r="D613" s="1205"/>
      <c r="E613" s="1206"/>
      <c r="F613" s="1206"/>
      <c r="G613" s="1206"/>
      <c r="H613" s="1205"/>
      <c r="I613" s="1205"/>
    </row>
    <row r="614">
      <c r="A614" s="1205"/>
      <c r="B614" s="1205"/>
      <c r="C614" s="1205"/>
      <c r="D614" s="1205"/>
      <c r="E614" s="1206"/>
      <c r="F614" s="1206"/>
      <c r="G614" s="1206"/>
      <c r="H614" s="1205"/>
      <c r="I614" s="1205"/>
    </row>
    <row r="615">
      <c r="A615" s="1205"/>
      <c r="B615" s="1205"/>
      <c r="C615" s="1205"/>
      <c r="D615" s="1205"/>
      <c r="E615" s="1206"/>
      <c r="F615" s="1206"/>
      <c r="G615" s="1206"/>
      <c r="H615" s="1205"/>
      <c r="I615" s="1205"/>
    </row>
    <row r="616">
      <c r="A616" s="1205"/>
      <c r="B616" s="1205"/>
      <c r="C616" s="1205"/>
      <c r="D616" s="1205"/>
      <c r="E616" s="1206"/>
      <c r="F616" s="1206"/>
      <c r="G616" s="1206"/>
      <c r="H616" s="1205"/>
      <c r="I616" s="1205"/>
    </row>
    <row r="617">
      <c r="A617" s="1205"/>
      <c r="B617" s="1205"/>
      <c r="C617" s="1205"/>
      <c r="D617" s="1205"/>
      <c r="E617" s="1206"/>
      <c r="F617" s="1206"/>
      <c r="G617" s="1206"/>
      <c r="H617" s="1205"/>
      <c r="I617" s="1205"/>
    </row>
    <row r="618">
      <c r="A618" s="1205"/>
      <c r="B618" s="1205"/>
      <c r="C618" s="1205"/>
      <c r="D618" s="1205"/>
      <c r="E618" s="1206"/>
      <c r="F618" s="1206"/>
      <c r="G618" s="1206"/>
      <c r="H618" s="1205"/>
      <c r="I618" s="1205"/>
    </row>
    <row r="619">
      <c r="A619" s="1205"/>
      <c r="B619" s="1205"/>
      <c r="C619" s="1205"/>
      <c r="D619" s="1205"/>
      <c r="E619" s="1206"/>
      <c r="F619" s="1206"/>
      <c r="G619" s="1206"/>
      <c r="H619" s="1205"/>
      <c r="I619" s="1205"/>
    </row>
    <row r="620">
      <c r="A620" s="1205"/>
      <c r="B620" s="1205"/>
      <c r="C620" s="1205"/>
      <c r="D620" s="1205"/>
      <c r="E620" s="1206"/>
      <c r="F620" s="1206"/>
      <c r="G620" s="1206"/>
      <c r="H620" s="1205"/>
      <c r="I620" s="1205"/>
    </row>
    <row r="621">
      <c r="A621" s="1205"/>
      <c r="B621" s="1205"/>
      <c r="C621" s="1205"/>
      <c r="D621" s="1205"/>
      <c r="E621" s="1206"/>
      <c r="F621" s="1206"/>
      <c r="G621" s="1206"/>
      <c r="H621" s="1205"/>
      <c r="I621" s="1205"/>
    </row>
    <row r="622">
      <c r="A622" s="1205"/>
      <c r="B622" s="1205"/>
      <c r="C622" s="1205"/>
      <c r="D622" s="1205"/>
      <c r="E622" s="1206"/>
      <c r="F622" s="1206"/>
      <c r="G622" s="1206"/>
      <c r="H622" s="1205"/>
      <c r="I622" s="1205"/>
    </row>
    <row r="623">
      <c r="A623" s="1205"/>
      <c r="B623" s="1205"/>
      <c r="C623" s="1205"/>
      <c r="D623" s="1205"/>
      <c r="E623" s="1206"/>
      <c r="F623" s="1206"/>
      <c r="G623" s="1206"/>
      <c r="H623" s="1205"/>
      <c r="I623" s="1205"/>
    </row>
    <row r="624">
      <c r="A624" s="1205"/>
      <c r="B624" s="1205"/>
      <c r="C624" s="1205"/>
      <c r="D624" s="1205"/>
      <c r="E624" s="1206"/>
      <c r="F624" s="1206"/>
      <c r="G624" s="1206"/>
      <c r="H624" s="1205"/>
      <c r="I624" s="1205"/>
    </row>
    <row r="625">
      <c r="A625" s="1205"/>
      <c r="B625" s="1205"/>
      <c r="C625" s="1205"/>
      <c r="D625" s="1205"/>
      <c r="E625" s="1206"/>
      <c r="F625" s="1206"/>
      <c r="G625" s="1206"/>
      <c r="H625" s="1205"/>
      <c r="I625" s="1205"/>
    </row>
    <row r="626">
      <c r="A626" s="1205"/>
      <c r="B626" s="1205"/>
      <c r="C626" s="1205"/>
      <c r="D626" s="1205"/>
      <c r="E626" s="1206"/>
      <c r="F626" s="1206"/>
      <c r="G626" s="1206"/>
      <c r="H626" s="1205"/>
      <c r="I626" s="1205"/>
    </row>
    <row r="627">
      <c r="A627" s="1205"/>
      <c r="B627" s="1205"/>
      <c r="C627" s="1205"/>
      <c r="D627" s="1205"/>
      <c r="E627" s="1206"/>
      <c r="F627" s="1206"/>
      <c r="G627" s="1206"/>
      <c r="H627" s="1205"/>
      <c r="I627" s="1205"/>
    </row>
    <row r="628">
      <c r="A628" s="1205"/>
      <c r="B628" s="1205"/>
      <c r="C628" s="1205"/>
      <c r="D628" s="1205"/>
      <c r="E628" s="1206"/>
      <c r="F628" s="1206"/>
      <c r="G628" s="1206"/>
      <c r="H628" s="1205"/>
      <c r="I628" s="1205"/>
    </row>
    <row r="629">
      <c r="A629" s="1205"/>
      <c r="B629" s="1205"/>
      <c r="C629" s="1205"/>
      <c r="D629" s="1205"/>
      <c r="E629" s="1206"/>
      <c r="F629" s="1206"/>
      <c r="G629" s="1206"/>
      <c r="H629" s="1205"/>
      <c r="I629" s="1205"/>
    </row>
    <row r="630">
      <c r="A630" s="1205"/>
      <c r="B630" s="1205"/>
      <c r="C630" s="1205"/>
      <c r="D630" s="1205"/>
      <c r="E630" s="1206"/>
      <c r="F630" s="1206"/>
      <c r="G630" s="1206"/>
      <c r="H630" s="1205"/>
      <c r="I630" s="1205"/>
    </row>
    <row r="631">
      <c r="A631" s="1205"/>
      <c r="B631" s="1205"/>
      <c r="C631" s="1205"/>
      <c r="D631" s="1205"/>
      <c r="E631" s="1206"/>
      <c r="F631" s="1206"/>
      <c r="G631" s="1206"/>
      <c r="H631" s="1205"/>
      <c r="I631" s="1205"/>
    </row>
    <row r="632">
      <c r="A632" s="1205"/>
      <c r="B632" s="1205"/>
      <c r="C632" s="1205"/>
      <c r="D632" s="1205"/>
      <c r="E632" s="1206"/>
      <c r="F632" s="1206"/>
      <c r="G632" s="1206"/>
      <c r="H632" s="1205"/>
      <c r="I632" s="1205"/>
    </row>
    <row r="633">
      <c r="A633" s="1205"/>
      <c r="B633" s="1205"/>
      <c r="C633" s="1205"/>
      <c r="D633" s="1205"/>
      <c r="E633" s="1206"/>
      <c r="F633" s="1206"/>
      <c r="G633" s="1206"/>
      <c r="H633" s="1205"/>
      <c r="I633" s="1205"/>
    </row>
    <row r="634">
      <c r="A634" s="1205"/>
      <c r="B634" s="1205"/>
      <c r="C634" s="1205"/>
      <c r="D634" s="1205"/>
      <c r="E634" s="1206"/>
      <c r="F634" s="1206"/>
      <c r="G634" s="1206"/>
      <c r="H634" s="1205"/>
      <c r="I634" s="1205"/>
    </row>
    <row r="635">
      <c r="A635" s="1205"/>
      <c r="B635" s="1205"/>
      <c r="C635" s="1205"/>
      <c r="D635" s="1205"/>
      <c r="E635" s="1206"/>
      <c r="F635" s="1206"/>
      <c r="G635" s="1206"/>
      <c r="H635" s="1205"/>
      <c r="I635" s="1205"/>
    </row>
    <row r="636">
      <c r="A636" s="1205"/>
      <c r="B636" s="1205"/>
      <c r="C636" s="1205"/>
      <c r="D636" s="1205"/>
      <c r="E636" s="1206"/>
      <c r="F636" s="1206"/>
      <c r="G636" s="1206"/>
      <c r="H636" s="1205"/>
      <c r="I636" s="1205"/>
    </row>
    <row r="637">
      <c r="A637" s="1205"/>
      <c r="B637" s="1205"/>
      <c r="C637" s="1205"/>
      <c r="D637" s="1205"/>
      <c r="E637" s="1206"/>
      <c r="F637" s="1206"/>
      <c r="G637" s="1206"/>
      <c r="H637" s="1205"/>
      <c r="I637" s="1205"/>
    </row>
    <row r="638">
      <c r="A638" s="1205"/>
      <c r="B638" s="1205"/>
      <c r="C638" s="1205"/>
      <c r="D638" s="1205"/>
      <c r="E638" s="1206"/>
      <c r="F638" s="1206"/>
      <c r="G638" s="1206"/>
      <c r="H638" s="1205"/>
      <c r="I638" s="1205"/>
    </row>
    <row r="639">
      <c r="A639" s="1205"/>
      <c r="B639" s="1205"/>
      <c r="C639" s="1205"/>
      <c r="D639" s="1205"/>
      <c r="E639" s="1206"/>
      <c r="F639" s="1206"/>
      <c r="G639" s="1206"/>
      <c r="H639" s="1205"/>
      <c r="I639" s="1205"/>
    </row>
    <row r="640">
      <c r="A640" s="1205"/>
      <c r="B640" s="1205"/>
      <c r="C640" s="1205"/>
      <c r="D640" s="1205"/>
      <c r="E640" s="1206"/>
      <c r="F640" s="1206"/>
      <c r="G640" s="1206"/>
      <c r="H640" s="1205"/>
      <c r="I640" s="1205"/>
    </row>
    <row r="641">
      <c r="A641" s="1205"/>
      <c r="B641" s="1205"/>
      <c r="C641" s="1205"/>
      <c r="D641" s="1205"/>
      <c r="E641" s="1206"/>
      <c r="F641" s="1206"/>
      <c r="G641" s="1206"/>
      <c r="H641" s="1205"/>
      <c r="I641" s="1205"/>
    </row>
    <row r="642">
      <c r="A642" s="1205"/>
      <c r="B642" s="1205"/>
      <c r="C642" s="1205"/>
      <c r="D642" s="1205"/>
      <c r="E642" s="1206"/>
      <c r="F642" s="1206"/>
      <c r="G642" s="1206"/>
      <c r="H642" s="1205"/>
      <c r="I642" s="1205"/>
    </row>
    <row r="643">
      <c r="A643" s="1205"/>
      <c r="B643" s="1205"/>
      <c r="C643" s="1205"/>
      <c r="D643" s="1205"/>
      <c r="E643" s="1206"/>
      <c r="F643" s="1206"/>
      <c r="G643" s="1206"/>
      <c r="H643" s="1205"/>
      <c r="I643" s="1205"/>
    </row>
    <row r="644">
      <c r="A644" s="1205"/>
      <c r="B644" s="1205"/>
      <c r="C644" s="1205"/>
      <c r="D644" s="1205"/>
      <c r="E644" s="1206"/>
      <c r="F644" s="1206"/>
      <c r="G644" s="1206"/>
      <c r="H644" s="1205"/>
      <c r="I644" s="1205"/>
    </row>
    <row r="645">
      <c r="A645" s="1205"/>
      <c r="B645" s="1205"/>
      <c r="C645" s="1205"/>
      <c r="D645" s="1205"/>
      <c r="E645" s="1206"/>
      <c r="F645" s="1206"/>
      <c r="G645" s="1206"/>
      <c r="H645" s="1205"/>
      <c r="I645" s="1205"/>
    </row>
    <row r="646">
      <c r="A646" s="1205"/>
      <c r="B646" s="1205"/>
      <c r="C646" s="1205"/>
      <c r="D646" s="1205"/>
      <c r="E646" s="1206"/>
      <c r="F646" s="1206"/>
      <c r="G646" s="1206"/>
      <c r="H646" s="1205"/>
      <c r="I646" s="1205"/>
    </row>
    <row r="647">
      <c r="A647" s="1205"/>
      <c r="B647" s="1205"/>
      <c r="C647" s="1205"/>
      <c r="D647" s="1205"/>
      <c r="E647" s="1206"/>
      <c r="F647" s="1206"/>
      <c r="G647" s="1206"/>
      <c r="H647" s="1205"/>
      <c r="I647" s="1205"/>
    </row>
    <row r="648">
      <c r="A648" s="1205"/>
      <c r="B648" s="1205"/>
      <c r="C648" s="1205"/>
      <c r="D648" s="1205"/>
      <c r="E648" s="1206"/>
      <c r="F648" s="1206"/>
      <c r="G648" s="1206"/>
      <c r="H648" s="1205"/>
      <c r="I648" s="1205"/>
    </row>
    <row r="649">
      <c r="A649" s="1205"/>
      <c r="B649" s="1205"/>
      <c r="C649" s="1205"/>
      <c r="D649" s="1205"/>
      <c r="E649" s="1206"/>
      <c r="F649" s="1206"/>
      <c r="G649" s="1206"/>
      <c r="H649" s="1205"/>
      <c r="I649" s="1205"/>
    </row>
    <row r="650">
      <c r="A650" s="1205"/>
      <c r="B650" s="1205"/>
      <c r="C650" s="1205"/>
      <c r="D650" s="1205"/>
      <c r="E650" s="1206"/>
      <c r="F650" s="1206"/>
      <c r="G650" s="1206"/>
      <c r="H650" s="1205"/>
      <c r="I650" s="1205"/>
    </row>
    <row r="651">
      <c r="A651" s="1205"/>
      <c r="B651" s="1205"/>
      <c r="C651" s="1205"/>
      <c r="D651" s="1205"/>
      <c r="E651" s="1206"/>
      <c r="F651" s="1206"/>
      <c r="G651" s="1206"/>
      <c r="H651" s="1205"/>
      <c r="I651" s="1205"/>
    </row>
    <row r="652">
      <c r="A652" s="1205"/>
      <c r="B652" s="1205"/>
      <c r="C652" s="1205"/>
      <c r="D652" s="1205"/>
      <c r="E652" s="1206"/>
      <c r="F652" s="1206"/>
      <c r="G652" s="1206"/>
      <c r="H652" s="1205"/>
      <c r="I652" s="1205"/>
    </row>
    <row r="653">
      <c r="A653" s="1205"/>
      <c r="B653" s="1205"/>
      <c r="C653" s="1205"/>
      <c r="D653" s="1205"/>
      <c r="E653" s="1206"/>
      <c r="F653" s="1206"/>
      <c r="G653" s="1206"/>
      <c r="H653" s="1205"/>
      <c r="I653" s="1205"/>
    </row>
    <row r="654">
      <c r="A654" s="1205"/>
      <c r="B654" s="1205"/>
      <c r="C654" s="1205"/>
      <c r="D654" s="1205"/>
      <c r="E654" s="1206"/>
      <c r="F654" s="1206"/>
      <c r="G654" s="1206"/>
      <c r="H654" s="1205"/>
      <c r="I654" s="1205"/>
    </row>
    <row r="655">
      <c r="A655" s="1205"/>
      <c r="B655" s="1205"/>
      <c r="C655" s="1205"/>
      <c r="D655" s="1205"/>
      <c r="E655" s="1206"/>
      <c r="F655" s="1206"/>
      <c r="G655" s="1206"/>
      <c r="H655" s="1205"/>
      <c r="I655" s="1205"/>
    </row>
    <row r="656">
      <c r="A656" s="1205"/>
      <c r="B656" s="1205"/>
      <c r="C656" s="1205"/>
      <c r="D656" s="1205"/>
      <c r="E656" s="1206"/>
      <c r="F656" s="1206"/>
      <c r="G656" s="1206"/>
      <c r="H656" s="1205"/>
      <c r="I656" s="1205"/>
    </row>
    <row r="657">
      <c r="A657" s="1205"/>
      <c r="B657" s="1205"/>
      <c r="C657" s="1205"/>
      <c r="D657" s="1205"/>
      <c r="E657" s="1206"/>
      <c r="F657" s="1206"/>
      <c r="G657" s="1206"/>
      <c r="H657" s="1205"/>
      <c r="I657" s="1205"/>
    </row>
    <row r="658">
      <c r="A658" s="1205"/>
      <c r="B658" s="1205"/>
      <c r="C658" s="1205"/>
      <c r="D658" s="1205"/>
      <c r="E658" s="1206"/>
      <c r="F658" s="1206"/>
      <c r="G658" s="1206"/>
      <c r="H658" s="1205"/>
      <c r="I658" s="1205"/>
    </row>
    <row r="659">
      <c r="A659" s="1205"/>
      <c r="B659" s="1205"/>
      <c r="C659" s="1205"/>
      <c r="D659" s="1205"/>
      <c r="E659" s="1206"/>
      <c r="F659" s="1206"/>
      <c r="G659" s="1206"/>
      <c r="H659" s="1205"/>
      <c r="I659" s="1205"/>
    </row>
    <row r="660">
      <c r="A660" s="1205"/>
      <c r="B660" s="1205"/>
      <c r="C660" s="1205"/>
      <c r="D660" s="1205"/>
      <c r="E660" s="1206"/>
      <c r="F660" s="1206"/>
      <c r="G660" s="1206"/>
      <c r="H660" s="1205"/>
      <c r="I660" s="1205"/>
    </row>
    <row r="661">
      <c r="A661" s="1205"/>
      <c r="B661" s="1205"/>
      <c r="C661" s="1205"/>
      <c r="D661" s="1205"/>
      <c r="E661" s="1206"/>
      <c r="F661" s="1206"/>
      <c r="G661" s="1206"/>
      <c r="H661" s="1205"/>
      <c r="I661" s="1205"/>
    </row>
    <row r="662">
      <c r="A662" s="1205"/>
      <c r="B662" s="1205"/>
      <c r="C662" s="1205"/>
      <c r="D662" s="1205"/>
      <c r="E662" s="1206"/>
      <c r="F662" s="1206"/>
      <c r="G662" s="1206"/>
      <c r="H662" s="1205"/>
      <c r="I662" s="1205"/>
    </row>
    <row r="663">
      <c r="A663" s="1205"/>
      <c r="B663" s="1205"/>
      <c r="C663" s="1205"/>
      <c r="D663" s="1205"/>
      <c r="E663" s="1206"/>
      <c r="F663" s="1206"/>
      <c r="G663" s="1206"/>
      <c r="H663" s="1205"/>
      <c r="I663" s="1205"/>
    </row>
    <row r="664">
      <c r="A664" s="1205"/>
      <c r="B664" s="1205"/>
      <c r="C664" s="1205"/>
      <c r="D664" s="1205"/>
      <c r="E664" s="1206"/>
      <c r="F664" s="1206"/>
      <c r="G664" s="1206"/>
      <c r="H664" s="1205"/>
      <c r="I664" s="1205"/>
    </row>
    <row r="665">
      <c r="A665" s="1205"/>
      <c r="B665" s="1205"/>
      <c r="C665" s="1205"/>
      <c r="D665" s="1205"/>
      <c r="E665" s="1206"/>
      <c r="F665" s="1206"/>
      <c r="G665" s="1206"/>
      <c r="H665" s="1205"/>
      <c r="I665" s="1205"/>
    </row>
    <row r="666">
      <c r="A666" s="1205"/>
      <c r="B666" s="1205"/>
      <c r="C666" s="1205"/>
      <c r="D666" s="1205"/>
      <c r="E666" s="1206"/>
      <c r="F666" s="1206"/>
      <c r="G666" s="1206"/>
      <c r="H666" s="1205"/>
      <c r="I666" s="1205"/>
    </row>
    <row r="667">
      <c r="A667" s="1205"/>
      <c r="B667" s="1205"/>
      <c r="C667" s="1205"/>
      <c r="D667" s="1205"/>
      <c r="E667" s="1206"/>
      <c r="F667" s="1206"/>
      <c r="G667" s="1206"/>
      <c r="H667" s="1205"/>
      <c r="I667" s="1205"/>
    </row>
    <row r="668">
      <c r="A668" s="1205"/>
      <c r="B668" s="1205"/>
      <c r="C668" s="1205"/>
      <c r="D668" s="1205"/>
      <c r="E668" s="1206"/>
      <c r="F668" s="1206"/>
      <c r="G668" s="1206"/>
      <c r="H668" s="1205"/>
      <c r="I668" s="1205"/>
    </row>
    <row r="669">
      <c r="A669" s="1205"/>
      <c r="B669" s="1205"/>
      <c r="C669" s="1205"/>
      <c r="D669" s="1205"/>
      <c r="E669" s="1206"/>
      <c r="F669" s="1206"/>
      <c r="G669" s="1206"/>
      <c r="H669" s="1205"/>
      <c r="I669" s="1205"/>
    </row>
    <row r="670">
      <c r="A670" s="1205"/>
      <c r="B670" s="1205"/>
      <c r="C670" s="1205"/>
      <c r="D670" s="1205"/>
      <c r="E670" s="1206"/>
      <c r="F670" s="1206"/>
      <c r="G670" s="1206"/>
      <c r="H670" s="1205"/>
      <c r="I670" s="1205"/>
    </row>
    <row r="671">
      <c r="A671" s="1205"/>
      <c r="B671" s="1205"/>
      <c r="C671" s="1205"/>
      <c r="D671" s="1205"/>
      <c r="E671" s="1206"/>
      <c r="F671" s="1206"/>
      <c r="G671" s="1206"/>
      <c r="H671" s="1205"/>
      <c r="I671" s="1205"/>
    </row>
    <row r="672">
      <c r="A672" s="1205"/>
      <c r="B672" s="1205"/>
      <c r="C672" s="1205"/>
      <c r="D672" s="1205"/>
      <c r="E672" s="1206"/>
      <c r="F672" s="1206"/>
      <c r="G672" s="1206"/>
      <c r="H672" s="1205"/>
      <c r="I672" s="1205"/>
    </row>
    <row r="673">
      <c r="A673" s="1205"/>
      <c r="B673" s="1205"/>
      <c r="C673" s="1205"/>
      <c r="D673" s="1205"/>
      <c r="E673" s="1206"/>
      <c r="F673" s="1206"/>
      <c r="G673" s="1206"/>
      <c r="H673" s="1205"/>
      <c r="I673" s="1205"/>
    </row>
    <row r="674">
      <c r="A674" s="1205"/>
      <c r="B674" s="1205"/>
      <c r="C674" s="1205"/>
      <c r="D674" s="1205"/>
      <c r="E674" s="1206"/>
      <c r="F674" s="1206"/>
      <c r="G674" s="1206"/>
      <c r="H674" s="1205"/>
      <c r="I674" s="1205"/>
    </row>
    <row r="675">
      <c r="A675" s="1205"/>
      <c r="B675" s="1205"/>
      <c r="C675" s="1205"/>
      <c r="D675" s="1205"/>
      <c r="E675" s="1206"/>
      <c r="F675" s="1206"/>
      <c r="G675" s="1206"/>
      <c r="H675" s="1205"/>
      <c r="I675" s="1205"/>
    </row>
    <row r="676">
      <c r="A676" s="1205"/>
      <c r="B676" s="1205"/>
      <c r="C676" s="1205"/>
      <c r="D676" s="1205"/>
      <c r="E676" s="1206"/>
      <c r="F676" s="1206"/>
      <c r="G676" s="1206"/>
      <c r="H676" s="1205"/>
      <c r="I676" s="1205"/>
    </row>
    <row r="677">
      <c r="A677" s="1205"/>
      <c r="B677" s="1205"/>
      <c r="C677" s="1205"/>
      <c r="D677" s="1205"/>
      <c r="E677" s="1206"/>
      <c r="F677" s="1206"/>
      <c r="G677" s="1206"/>
      <c r="H677" s="1205"/>
      <c r="I677" s="1205"/>
    </row>
    <row r="678">
      <c r="A678" s="1205"/>
      <c r="B678" s="1205"/>
      <c r="C678" s="1205"/>
      <c r="D678" s="1205"/>
      <c r="E678" s="1206"/>
      <c r="F678" s="1206"/>
      <c r="G678" s="1206"/>
      <c r="H678" s="1205"/>
      <c r="I678" s="1205"/>
    </row>
    <row r="679">
      <c r="A679" s="1205"/>
      <c r="B679" s="1205"/>
      <c r="C679" s="1205"/>
      <c r="D679" s="1205"/>
      <c r="E679" s="1206"/>
      <c r="F679" s="1206"/>
      <c r="G679" s="1206"/>
      <c r="H679" s="1205"/>
      <c r="I679" s="1205"/>
    </row>
    <row r="680">
      <c r="A680" s="1205"/>
      <c r="B680" s="1205"/>
      <c r="C680" s="1205"/>
      <c r="D680" s="1205"/>
      <c r="E680" s="1206"/>
      <c r="F680" s="1206"/>
      <c r="G680" s="1206"/>
      <c r="H680" s="1205"/>
      <c r="I680" s="1205"/>
    </row>
    <row r="681">
      <c r="A681" s="1205"/>
      <c r="B681" s="1205"/>
      <c r="C681" s="1205"/>
      <c r="D681" s="1205"/>
      <c r="E681" s="1206"/>
      <c r="F681" s="1206"/>
      <c r="G681" s="1206"/>
      <c r="H681" s="1205"/>
      <c r="I681" s="1205"/>
    </row>
    <row r="682">
      <c r="A682" s="1205"/>
      <c r="B682" s="1205"/>
      <c r="C682" s="1205"/>
      <c r="D682" s="1205"/>
      <c r="E682" s="1206"/>
      <c r="F682" s="1206"/>
      <c r="G682" s="1206"/>
      <c r="H682" s="1205"/>
      <c r="I682" s="1205"/>
    </row>
    <row r="683">
      <c r="A683" s="1205"/>
      <c r="B683" s="1205"/>
      <c r="C683" s="1205"/>
      <c r="D683" s="1205"/>
      <c r="E683" s="1206"/>
      <c r="F683" s="1206"/>
      <c r="G683" s="1206"/>
      <c r="H683" s="1205"/>
      <c r="I683" s="1205"/>
    </row>
    <row r="684">
      <c r="A684" s="1205"/>
      <c r="B684" s="1205"/>
      <c r="C684" s="1205"/>
      <c r="D684" s="1205"/>
      <c r="E684" s="1206"/>
      <c r="F684" s="1206"/>
      <c r="G684" s="1206"/>
      <c r="H684" s="1205"/>
      <c r="I684" s="1205"/>
    </row>
    <row r="685">
      <c r="A685" s="1205"/>
      <c r="B685" s="1205"/>
      <c r="C685" s="1205"/>
      <c r="D685" s="1205"/>
      <c r="E685" s="1206"/>
      <c r="F685" s="1206"/>
      <c r="G685" s="1206"/>
      <c r="H685" s="1205"/>
      <c r="I685" s="1205"/>
    </row>
    <row r="686">
      <c r="A686" s="1205"/>
      <c r="B686" s="1205"/>
      <c r="C686" s="1205"/>
      <c r="D686" s="1205"/>
      <c r="E686" s="1206"/>
      <c r="F686" s="1206"/>
      <c r="G686" s="1206"/>
      <c r="H686" s="1205"/>
      <c r="I686" s="1205"/>
    </row>
    <row r="687">
      <c r="A687" s="1205"/>
      <c r="B687" s="1205"/>
      <c r="C687" s="1205"/>
      <c r="D687" s="1205"/>
      <c r="E687" s="1206"/>
      <c r="F687" s="1206"/>
      <c r="G687" s="1206"/>
      <c r="H687" s="1205"/>
      <c r="I687" s="1205"/>
    </row>
    <row r="688">
      <c r="A688" s="1205"/>
      <c r="B688" s="1205"/>
      <c r="C688" s="1205"/>
      <c r="D688" s="1205"/>
      <c r="E688" s="1206"/>
      <c r="F688" s="1206"/>
      <c r="G688" s="1206"/>
      <c r="H688" s="1205"/>
      <c r="I688" s="1205"/>
    </row>
    <row r="689">
      <c r="A689" s="1205"/>
      <c r="B689" s="1205"/>
      <c r="C689" s="1205"/>
      <c r="D689" s="1205"/>
      <c r="E689" s="1206"/>
      <c r="F689" s="1206"/>
      <c r="G689" s="1206"/>
      <c r="H689" s="1205"/>
      <c r="I689" s="1205"/>
    </row>
    <row r="690">
      <c r="A690" s="1205"/>
      <c r="B690" s="1205"/>
      <c r="C690" s="1205"/>
      <c r="D690" s="1205"/>
      <c r="E690" s="1206"/>
      <c r="F690" s="1206"/>
      <c r="G690" s="1206"/>
      <c r="H690" s="1205"/>
      <c r="I690" s="1205"/>
    </row>
    <row r="691">
      <c r="A691" s="1205"/>
      <c r="B691" s="1205"/>
      <c r="C691" s="1205"/>
      <c r="D691" s="1205"/>
      <c r="E691" s="1206"/>
      <c r="F691" s="1206"/>
      <c r="G691" s="1206"/>
      <c r="H691" s="1205"/>
      <c r="I691" s="1205"/>
    </row>
    <row r="692">
      <c r="A692" s="1205"/>
      <c r="B692" s="1205"/>
      <c r="C692" s="1205"/>
      <c r="D692" s="1205"/>
      <c r="E692" s="1206"/>
      <c r="F692" s="1206"/>
      <c r="G692" s="1206"/>
      <c r="H692" s="1205"/>
      <c r="I692" s="1205"/>
    </row>
    <row r="693">
      <c r="A693" s="1205"/>
      <c r="B693" s="1205"/>
      <c r="C693" s="1205"/>
      <c r="D693" s="1205"/>
      <c r="E693" s="1206"/>
      <c r="F693" s="1206"/>
      <c r="G693" s="1206"/>
      <c r="H693" s="1205"/>
      <c r="I693" s="1205"/>
    </row>
    <row r="694">
      <c r="A694" s="1205"/>
      <c r="B694" s="1205"/>
      <c r="C694" s="1205"/>
      <c r="D694" s="1205"/>
      <c r="E694" s="1206"/>
      <c r="F694" s="1206"/>
      <c r="G694" s="1206"/>
      <c r="H694" s="1205"/>
      <c r="I694" s="1205"/>
    </row>
    <row r="695">
      <c r="A695" s="1205"/>
      <c r="B695" s="1205"/>
      <c r="C695" s="1205"/>
      <c r="D695" s="1205"/>
      <c r="E695" s="1206"/>
      <c r="F695" s="1206"/>
      <c r="G695" s="1206"/>
      <c r="H695" s="1205"/>
      <c r="I695" s="1205"/>
    </row>
    <row r="696">
      <c r="A696" s="1205"/>
      <c r="B696" s="1205"/>
      <c r="C696" s="1205"/>
      <c r="D696" s="1205"/>
      <c r="E696" s="1206"/>
      <c r="F696" s="1206"/>
      <c r="G696" s="1206"/>
      <c r="H696" s="1205"/>
      <c r="I696" s="1205"/>
    </row>
    <row r="697">
      <c r="A697" s="1205"/>
      <c r="B697" s="1205"/>
      <c r="C697" s="1205"/>
      <c r="D697" s="1205"/>
      <c r="E697" s="1206"/>
      <c r="F697" s="1206"/>
      <c r="G697" s="1206"/>
      <c r="H697" s="1205"/>
      <c r="I697" s="1205"/>
    </row>
    <row r="698">
      <c r="A698" s="1205"/>
      <c r="B698" s="1205"/>
      <c r="C698" s="1205"/>
      <c r="D698" s="1205"/>
      <c r="E698" s="1206"/>
      <c r="F698" s="1206"/>
      <c r="G698" s="1206"/>
      <c r="H698" s="1205"/>
      <c r="I698" s="1205"/>
    </row>
    <row r="699">
      <c r="A699" s="1205"/>
      <c r="B699" s="1205"/>
      <c r="C699" s="1205"/>
      <c r="D699" s="1205"/>
      <c r="E699" s="1206"/>
      <c r="F699" s="1206"/>
      <c r="G699" s="1206"/>
      <c r="H699" s="1205"/>
      <c r="I699" s="1205"/>
    </row>
    <row r="700">
      <c r="A700" s="1205"/>
      <c r="B700" s="1205"/>
      <c r="C700" s="1205"/>
      <c r="D700" s="1205"/>
      <c r="E700" s="1206"/>
      <c r="F700" s="1206"/>
      <c r="G700" s="1206"/>
      <c r="H700" s="1205"/>
      <c r="I700" s="1205"/>
    </row>
    <row r="701">
      <c r="A701" s="1205"/>
      <c r="B701" s="1205"/>
      <c r="C701" s="1205"/>
      <c r="D701" s="1205"/>
      <c r="E701" s="1206"/>
      <c r="F701" s="1206"/>
      <c r="G701" s="1206"/>
      <c r="H701" s="1205"/>
      <c r="I701" s="1205"/>
    </row>
    <row r="702">
      <c r="A702" s="1205"/>
      <c r="B702" s="1205"/>
      <c r="C702" s="1205"/>
      <c r="D702" s="1205"/>
      <c r="E702" s="1206"/>
      <c r="F702" s="1206"/>
      <c r="G702" s="1206"/>
      <c r="H702" s="1205"/>
      <c r="I702" s="1205"/>
    </row>
    <row r="703">
      <c r="A703" s="1205"/>
      <c r="B703" s="1205"/>
      <c r="C703" s="1205"/>
      <c r="D703" s="1205"/>
      <c r="E703" s="1206"/>
      <c r="F703" s="1206"/>
      <c r="G703" s="1206"/>
      <c r="H703" s="1205"/>
      <c r="I703" s="1205"/>
    </row>
    <row r="704">
      <c r="A704" s="1205"/>
      <c r="B704" s="1205"/>
      <c r="C704" s="1205"/>
      <c r="D704" s="1205"/>
      <c r="E704" s="1206"/>
      <c r="F704" s="1206"/>
      <c r="G704" s="1206"/>
      <c r="H704" s="1205"/>
      <c r="I704" s="1205"/>
    </row>
    <row r="705">
      <c r="A705" s="1205"/>
      <c r="B705" s="1205"/>
      <c r="C705" s="1205"/>
      <c r="D705" s="1205"/>
      <c r="E705" s="1206"/>
      <c r="F705" s="1206"/>
      <c r="G705" s="1206"/>
      <c r="H705" s="1205"/>
      <c r="I705" s="1205"/>
    </row>
    <row r="706">
      <c r="A706" s="1205"/>
      <c r="B706" s="1205"/>
      <c r="C706" s="1205"/>
      <c r="D706" s="1205"/>
      <c r="E706" s="1206"/>
      <c r="F706" s="1206"/>
      <c r="G706" s="1206"/>
      <c r="H706" s="1205"/>
      <c r="I706" s="1205"/>
    </row>
    <row r="707">
      <c r="A707" s="1205"/>
      <c r="B707" s="1205"/>
      <c r="C707" s="1205"/>
      <c r="D707" s="1205"/>
      <c r="E707" s="1206"/>
      <c r="F707" s="1206"/>
      <c r="G707" s="1206"/>
      <c r="H707" s="1205"/>
      <c r="I707" s="1205"/>
    </row>
    <row r="708">
      <c r="A708" s="1205"/>
      <c r="B708" s="1205"/>
      <c r="C708" s="1205"/>
      <c r="D708" s="1205"/>
      <c r="E708" s="1206"/>
      <c r="F708" s="1206"/>
      <c r="G708" s="1206"/>
      <c r="H708" s="1205"/>
      <c r="I708" s="1205"/>
    </row>
    <row r="709">
      <c r="A709" s="1205"/>
      <c r="B709" s="1205"/>
      <c r="C709" s="1205"/>
      <c r="D709" s="1205"/>
      <c r="E709" s="1206"/>
      <c r="F709" s="1206"/>
      <c r="G709" s="1206"/>
      <c r="H709" s="1205"/>
      <c r="I709" s="1205"/>
    </row>
    <row r="710">
      <c r="A710" s="1205"/>
      <c r="B710" s="1205"/>
      <c r="C710" s="1205"/>
      <c r="D710" s="1205"/>
      <c r="E710" s="1206"/>
      <c r="F710" s="1206"/>
      <c r="G710" s="1206"/>
      <c r="H710" s="1205"/>
      <c r="I710" s="1205"/>
    </row>
    <row r="711">
      <c r="A711" s="1205"/>
      <c r="B711" s="1205"/>
      <c r="C711" s="1205"/>
      <c r="D711" s="1205"/>
      <c r="E711" s="1206"/>
      <c r="F711" s="1206"/>
      <c r="G711" s="1206"/>
      <c r="H711" s="1205"/>
      <c r="I711" s="1205"/>
    </row>
    <row r="712">
      <c r="A712" s="1205"/>
      <c r="B712" s="1205"/>
      <c r="C712" s="1205"/>
      <c r="D712" s="1205"/>
      <c r="E712" s="1206"/>
      <c r="F712" s="1206"/>
      <c r="G712" s="1206"/>
      <c r="H712" s="1205"/>
      <c r="I712" s="1205"/>
    </row>
    <row r="713">
      <c r="A713" s="1205"/>
      <c r="B713" s="1205"/>
      <c r="C713" s="1205"/>
      <c r="D713" s="1205"/>
      <c r="E713" s="1206"/>
      <c r="F713" s="1206"/>
      <c r="G713" s="1206"/>
      <c r="H713" s="1205"/>
      <c r="I713" s="1205"/>
    </row>
    <row r="714">
      <c r="A714" s="1205"/>
      <c r="B714" s="1205"/>
      <c r="C714" s="1205"/>
      <c r="D714" s="1205"/>
      <c r="E714" s="1206"/>
      <c r="F714" s="1206"/>
      <c r="G714" s="1206"/>
      <c r="H714" s="1205"/>
      <c r="I714" s="1205"/>
    </row>
    <row r="715">
      <c r="A715" s="1205"/>
      <c r="B715" s="1205"/>
      <c r="C715" s="1205"/>
      <c r="D715" s="1205"/>
      <c r="E715" s="1206"/>
      <c r="F715" s="1206"/>
      <c r="G715" s="1206"/>
      <c r="H715" s="1205"/>
      <c r="I715" s="1205"/>
    </row>
    <row r="716">
      <c r="A716" s="1205"/>
      <c r="B716" s="1205"/>
      <c r="C716" s="1205"/>
      <c r="D716" s="1205"/>
      <c r="E716" s="1206"/>
      <c r="F716" s="1206"/>
      <c r="G716" s="1206"/>
      <c r="H716" s="1205"/>
      <c r="I716" s="1205"/>
    </row>
    <row r="717">
      <c r="A717" s="1205"/>
      <c r="B717" s="1205"/>
      <c r="C717" s="1205"/>
      <c r="D717" s="1205"/>
      <c r="E717" s="1206"/>
      <c r="F717" s="1206"/>
      <c r="G717" s="1206"/>
      <c r="H717" s="1205"/>
      <c r="I717" s="1205"/>
    </row>
    <row r="718">
      <c r="A718" s="1205"/>
      <c r="B718" s="1205"/>
      <c r="C718" s="1205"/>
      <c r="D718" s="1205"/>
      <c r="E718" s="1206"/>
      <c r="F718" s="1206"/>
      <c r="G718" s="1206"/>
      <c r="H718" s="1205"/>
      <c r="I718" s="1205"/>
    </row>
    <row r="719">
      <c r="A719" s="1205"/>
      <c r="B719" s="1205"/>
      <c r="C719" s="1205"/>
      <c r="D719" s="1205"/>
      <c r="E719" s="1206"/>
      <c r="F719" s="1206"/>
      <c r="G719" s="1206"/>
      <c r="H719" s="1205"/>
      <c r="I719" s="1205"/>
    </row>
    <row r="720">
      <c r="A720" s="1205"/>
      <c r="B720" s="1205"/>
      <c r="C720" s="1205"/>
      <c r="D720" s="1205"/>
      <c r="E720" s="1206"/>
      <c r="F720" s="1206"/>
      <c r="G720" s="1206"/>
      <c r="H720" s="1205"/>
      <c r="I720" s="1205"/>
    </row>
    <row r="721">
      <c r="A721" s="1205"/>
      <c r="B721" s="1205"/>
      <c r="C721" s="1205"/>
      <c r="D721" s="1205"/>
      <c r="E721" s="1206"/>
      <c r="F721" s="1206"/>
      <c r="G721" s="1206"/>
      <c r="H721" s="1205"/>
      <c r="I721" s="1205"/>
    </row>
    <row r="722">
      <c r="A722" s="1205"/>
      <c r="B722" s="1205"/>
      <c r="C722" s="1205"/>
      <c r="D722" s="1205"/>
      <c r="E722" s="1206"/>
      <c r="F722" s="1206"/>
      <c r="G722" s="1206"/>
      <c r="H722" s="1205"/>
      <c r="I722" s="1205"/>
    </row>
    <row r="723">
      <c r="A723" s="1205"/>
      <c r="B723" s="1205"/>
      <c r="C723" s="1205"/>
      <c r="D723" s="1205"/>
      <c r="E723" s="1206"/>
      <c r="F723" s="1206"/>
      <c r="G723" s="1206"/>
      <c r="H723" s="1205"/>
      <c r="I723" s="1205"/>
    </row>
    <row r="724">
      <c r="A724" s="1205"/>
      <c r="B724" s="1205"/>
      <c r="C724" s="1205"/>
      <c r="D724" s="1205"/>
      <c r="E724" s="1206"/>
      <c r="F724" s="1206"/>
      <c r="G724" s="1206"/>
      <c r="H724" s="1205"/>
      <c r="I724" s="1205"/>
    </row>
    <row r="725">
      <c r="A725" s="1205"/>
      <c r="B725" s="1205"/>
      <c r="C725" s="1205"/>
      <c r="D725" s="1205"/>
      <c r="E725" s="1206"/>
      <c r="F725" s="1206"/>
      <c r="G725" s="1206"/>
      <c r="H725" s="1205"/>
      <c r="I725" s="1205"/>
    </row>
    <row r="726">
      <c r="A726" s="1205"/>
      <c r="B726" s="1205"/>
      <c r="C726" s="1205"/>
      <c r="D726" s="1205"/>
      <c r="E726" s="1206"/>
      <c r="F726" s="1206"/>
      <c r="G726" s="1206"/>
      <c r="H726" s="1205"/>
      <c r="I726" s="1205"/>
    </row>
    <row r="727">
      <c r="A727" s="1205"/>
      <c r="B727" s="1205"/>
      <c r="C727" s="1205"/>
      <c r="D727" s="1205"/>
      <c r="E727" s="1206"/>
      <c r="F727" s="1206"/>
      <c r="G727" s="1206"/>
      <c r="H727" s="1205"/>
      <c r="I727" s="1205"/>
    </row>
    <row r="728">
      <c r="A728" s="1205"/>
      <c r="B728" s="1205"/>
      <c r="C728" s="1205"/>
      <c r="D728" s="1205"/>
      <c r="E728" s="1206"/>
      <c r="F728" s="1206"/>
      <c r="G728" s="1206"/>
      <c r="H728" s="1205"/>
      <c r="I728" s="1205"/>
    </row>
    <row r="729">
      <c r="A729" s="1205"/>
      <c r="B729" s="1205"/>
      <c r="C729" s="1205"/>
      <c r="D729" s="1205"/>
      <c r="E729" s="1206"/>
      <c r="F729" s="1206"/>
      <c r="G729" s="1206"/>
      <c r="H729" s="1205"/>
      <c r="I729" s="1205"/>
    </row>
    <row r="730">
      <c r="A730" s="1205"/>
      <c r="B730" s="1205"/>
      <c r="C730" s="1205"/>
      <c r="D730" s="1205"/>
      <c r="E730" s="1206"/>
      <c r="F730" s="1206"/>
      <c r="G730" s="1206"/>
      <c r="H730" s="1205"/>
      <c r="I730" s="1205"/>
    </row>
    <row r="731">
      <c r="A731" s="1205"/>
      <c r="B731" s="1205"/>
      <c r="C731" s="1205"/>
      <c r="D731" s="1205"/>
      <c r="E731" s="1206"/>
      <c r="F731" s="1206"/>
      <c r="G731" s="1206"/>
      <c r="H731" s="1205"/>
      <c r="I731" s="1205"/>
    </row>
    <row r="732">
      <c r="A732" s="1205"/>
      <c r="B732" s="1205"/>
      <c r="C732" s="1205"/>
      <c r="D732" s="1205"/>
      <c r="E732" s="1206"/>
      <c r="F732" s="1206"/>
      <c r="G732" s="1206"/>
      <c r="H732" s="1205"/>
      <c r="I732" s="1205"/>
    </row>
    <row r="733">
      <c r="A733" s="1205"/>
      <c r="B733" s="1205"/>
      <c r="C733" s="1205"/>
      <c r="D733" s="1205"/>
      <c r="E733" s="1206"/>
      <c r="F733" s="1206"/>
      <c r="G733" s="1206"/>
      <c r="H733" s="1205"/>
      <c r="I733" s="1205"/>
    </row>
    <row r="734">
      <c r="A734" s="1205"/>
      <c r="B734" s="1205"/>
      <c r="C734" s="1205"/>
      <c r="D734" s="1205"/>
      <c r="E734" s="1206"/>
      <c r="F734" s="1206"/>
      <c r="G734" s="1206"/>
      <c r="H734" s="1205"/>
      <c r="I734" s="1205"/>
    </row>
    <row r="735">
      <c r="A735" s="1205"/>
      <c r="B735" s="1205"/>
      <c r="C735" s="1205"/>
      <c r="D735" s="1205"/>
      <c r="E735" s="1206"/>
      <c r="F735" s="1206"/>
      <c r="G735" s="1206"/>
      <c r="H735" s="1205"/>
      <c r="I735" s="1205"/>
    </row>
    <row r="736">
      <c r="A736" s="1205"/>
      <c r="B736" s="1205"/>
      <c r="C736" s="1205"/>
      <c r="D736" s="1205"/>
      <c r="E736" s="1206"/>
      <c r="F736" s="1206"/>
      <c r="G736" s="1206"/>
      <c r="H736" s="1205"/>
      <c r="I736" s="1205"/>
    </row>
    <row r="737">
      <c r="A737" s="1205"/>
      <c r="B737" s="1205"/>
      <c r="C737" s="1205"/>
      <c r="D737" s="1205"/>
      <c r="E737" s="1206"/>
      <c r="F737" s="1206"/>
      <c r="G737" s="1206"/>
      <c r="H737" s="1205"/>
      <c r="I737" s="1205"/>
    </row>
    <row r="738">
      <c r="A738" s="1205"/>
      <c r="B738" s="1205"/>
      <c r="C738" s="1205"/>
      <c r="D738" s="1205"/>
      <c r="E738" s="1206"/>
      <c r="F738" s="1206"/>
      <c r="G738" s="1206"/>
      <c r="H738" s="1205"/>
      <c r="I738" s="1205"/>
    </row>
    <row r="739">
      <c r="A739" s="1205"/>
      <c r="B739" s="1205"/>
      <c r="C739" s="1205"/>
      <c r="D739" s="1205"/>
      <c r="E739" s="1206"/>
      <c r="F739" s="1206"/>
      <c r="G739" s="1206"/>
      <c r="H739" s="1205"/>
      <c r="I739" s="1205"/>
    </row>
    <row r="740">
      <c r="A740" s="1205"/>
      <c r="B740" s="1205"/>
      <c r="C740" s="1205"/>
      <c r="D740" s="1205"/>
      <c r="E740" s="1206"/>
      <c r="F740" s="1206"/>
      <c r="G740" s="1206"/>
      <c r="H740" s="1205"/>
      <c r="I740" s="1205"/>
    </row>
    <row r="741">
      <c r="A741" s="1205"/>
      <c r="B741" s="1205"/>
      <c r="C741" s="1205"/>
      <c r="D741" s="1205"/>
      <c r="E741" s="1206"/>
      <c r="F741" s="1206"/>
      <c r="G741" s="1206"/>
      <c r="H741" s="1205"/>
      <c r="I741" s="1205"/>
    </row>
    <row r="742">
      <c r="A742" s="1205"/>
      <c r="B742" s="1205"/>
      <c r="C742" s="1205"/>
      <c r="D742" s="1205"/>
      <c r="E742" s="1206"/>
      <c r="F742" s="1206"/>
      <c r="G742" s="1206"/>
      <c r="H742" s="1205"/>
      <c r="I742" s="1205"/>
    </row>
    <row r="743">
      <c r="A743" s="1205"/>
      <c r="B743" s="1205"/>
      <c r="C743" s="1205"/>
      <c r="D743" s="1205"/>
      <c r="E743" s="1206"/>
      <c r="F743" s="1206"/>
      <c r="G743" s="1206"/>
      <c r="H743" s="1205"/>
      <c r="I743" s="1205"/>
    </row>
    <row r="744">
      <c r="A744" s="1205"/>
      <c r="B744" s="1205"/>
      <c r="C744" s="1205"/>
      <c r="D744" s="1205"/>
      <c r="E744" s="1206"/>
      <c r="F744" s="1206"/>
      <c r="G744" s="1206"/>
      <c r="H744" s="1205"/>
      <c r="I744" s="1205"/>
    </row>
    <row r="745">
      <c r="A745" s="1205"/>
      <c r="B745" s="1205"/>
      <c r="C745" s="1205"/>
      <c r="D745" s="1205"/>
      <c r="E745" s="1206"/>
      <c r="F745" s="1206"/>
      <c r="G745" s="1206"/>
      <c r="H745" s="1205"/>
      <c r="I745" s="1205"/>
    </row>
    <row r="746">
      <c r="A746" s="1205"/>
      <c r="B746" s="1205"/>
      <c r="C746" s="1205"/>
      <c r="D746" s="1205"/>
      <c r="E746" s="1206"/>
      <c r="F746" s="1206"/>
      <c r="G746" s="1206"/>
      <c r="H746" s="1205"/>
      <c r="I746" s="1205"/>
    </row>
    <row r="747">
      <c r="A747" s="1205"/>
      <c r="B747" s="1205"/>
      <c r="C747" s="1205"/>
      <c r="D747" s="1205"/>
      <c r="E747" s="1206"/>
      <c r="F747" s="1206"/>
      <c r="G747" s="1206"/>
      <c r="H747" s="1205"/>
      <c r="I747" s="1205"/>
    </row>
    <row r="748">
      <c r="A748" s="1205"/>
      <c r="B748" s="1205"/>
      <c r="C748" s="1205"/>
      <c r="D748" s="1205"/>
      <c r="E748" s="1206"/>
      <c r="F748" s="1206"/>
      <c r="G748" s="1206"/>
      <c r="H748" s="1205"/>
      <c r="I748" s="1205"/>
    </row>
    <row r="749">
      <c r="A749" s="1205"/>
      <c r="B749" s="1205"/>
      <c r="C749" s="1205"/>
      <c r="D749" s="1205"/>
      <c r="E749" s="1206"/>
      <c r="F749" s="1206"/>
      <c r="G749" s="1206"/>
      <c r="H749" s="1205"/>
      <c r="I749" s="1205"/>
    </row>
    <row r="750">
      <c r="A750" s="1205"/>
      <c r="B750" s="1205"/>
      <c r="C750" s="1205"/>
      <c r="D750" s="1205"/>
      <c r="E750" s="1206"/>
      <c r="F750" s="1206"/>
      <c r="G750" s="1206"/>
      <c r="H750" s="1205"/>
      <c r="I750" s="1205"/>
    </row>
    <row r="751">
      <c r="A751" s="1205"/>
      <c r="B751" s="1205"/>
      <c r="C751" s="1205"/>
      <c r="D751" s="1205"/>
      <c r="E751" s="1206"/>
      <c r="F751" s="1206"/>
      <c r="G751" s="1206"/>
      <c r="H751" s="1205"/>
      <c r="I751" s="1205"/>
    </row>
    <row r="752">
      <c r="A752" s="1205"/>
      <c r="B752" s="1205"/>
      <c r="C752" s="1205"/>
      <c r="D752" s="1205"/>
      <c r="E752" s="1206"/>
      <c r="F752" s="1206"/>
      <c r="G752" s="1206"/>
      <c r="H752" s="1205"/>
      <c r="I752" s="1205"/>
    </row>
    <row r="753">
      <c r="A753" s="1205"/>
      <c r="B753" s="1205"/>
      <c r="C753" s="1205"/>
      <c r="D753" s="1205"/>
      <c r="E753" s="1206"/>
      <c r="F753" s="1206"/>
      <c r="G753" s="1206"/>
      <c r="H753" s="1205"/>
      <c r="I753" s="1205"/>
    </row>
    <row r="754">
      <c r="A754" s="1205"/>
      <c r="B754" s="1205"/>
      <c r="C754" s="1205"/>
      <c r="D754" s="1205"/>
      <c r="E754" s="1206"/>
      <c r="F754" s="1206"/>
      <c r="G754" s="1206"/>
      <c r="H754" s="1205"/>
      <c r="I754" s="1205"/>
    </row>
    <row r="755">
      <c r="A755" s="1205"/>
      <c r="B755" s="1205"/>
      <c r="C755" s="1205"/>
      <c r="D755" s="1205"/>
      <c r="E755" s="1206"/>
      <c r="F755" s="1206"/>
      <c r="G755" s="1206"/>
      <c r="H755" s="1205"/>
      <c r="I755" s="1205"/>
    </row>
    <row r="756">
      <c r="A756" s="1205"/>
      <c r="B756" s="1205"/>
      <c r="C756" s="1205"/>
      <c r="D756" s="1205"/>
      <c r="E756" s="1206"/>
      <c r="F756" s="1206"/>
      <c r="G756" s="1206"/>
      <c r="H756" s="1205"/>
      <c r="I756" s="1205"/>
    </row>
    <row r="757">
      <c r="A757" s="1205"/>
      <c r="B757" s="1205"/>
      <c r="C757" s="1205"/>
      <c r="D757" s="1205"/>
      <c r="E757" s="1206"/>
      <c r="F757" s="1206"/>
      <c r="G757" s="1206"/>
      <c r="H757" s="1205"/>
      <c r="I757" s="1205"/>
    </row>
    <row r="758">
      <c r="A758" s="1205"/>
      <c r="B758" s="1205"/>
      <c r="C758" s="1205"/>
      <c r="D758" s="1205"/>
      <c r="E758" s="1206"/>
      <c r="F758" s="1206"/>
      <c r="G758" s="1206"/>
      <c r="H758" s="1205"/>
      <c r="I758" s="1205"/>
    </row>
    <row r="759">
      <c r="A759" s="1205"/>
      <c r="B759" s="1205"/>
      <c r="C759" s="1205"/>
      <c r="D759" s="1205"/>
      <c r="E759" s="1206"/>
      <c r="F759" s="1206"/>
      <c r="G759" s="1206"/>
      <c r="H759" s="1205"/>
      <c r="I759" s="1205"/>
    </row>
    <row r="760">
      <c r="A760" s="1205"/>
      <c r="B760" s="1205"/>
      <c r="C760" s="1205"/>
      <c r="D760" s="1205"/>
      <c r="E760" s="1206"/>
      <c r="F760" s="1206"/>
      <c r="G760" s="1206"/>
      <c r="H760" s="1205"/>
      <c r="I760" s="1205"/>
    </row>
    <row r="761">
      <c r="A761" s="1205"/>
      <c r="B761" s="1205"/>
      <c r="C761" s="1205"/>
      <c r="D761" s="1205"/>
      <c r="E761" s="1206"/>
      <c r="F761" s="1206"/>
      <c r="G761" s="1206"/>
      <c r="H761" s="1205"/>
      <c r="I761" s="1205"/>
    </row>
    <row r="762">
      <c r="A762" s="1205"/>
      <c r="B762" s="1205"/>
      <c r="C762" s="1205"/>
      <c r="D762" s="1205"/>
      <c r="E762" s="1206"/>
      <c r="F762" s="1206"/>
      <c r="G762" s="1206"/>
      <c r="H762" s="1205"/>
      <c r="I762" s="1205"/>
    </row>
    <row r="763">
      <c r="A763" s="1205"/>
      <c r="B763" s="1205"/>
      <c r="C763" s="1205"/>
      <c r="D763" s="1205"/>
      <c r="E763" s="1206"/>
      <c r="F763" s="1206"/>
      <c r="G763" s="1206"/>
      <c r="H763" s="1205"/>
      <c r="I763" s="1205"/>
    </row>
    <row r="764">
      <c r="A764" s="1205"/>
      <c r="B764" s="1205"/>
      <c r="C764" s="1205"/>
      <c r="D764" s="1205"/>
      <c r="E764" s="1206"/>
      <c r="F764" s="1206"/>
      <c r="G764" s="1206"/>
      <c r="H764" s="1205"/>
      <c r="I764" s="1205"/>
    </row>
    <row r="765">
      <c r="A765" s="1205"/>
      <c r="B765" s="1205"/>
      <c r="C765" s="1205"/>
      <c r="D765" s="1205"/>
      <c r="E765" s="1206"/>
      <c r="F765" s="1206"/>
      <c r="G765" s="1206"/>
      <c r="H765" s="1205"/>
      <c r="I765" s="1205"/>
    </row>
    <row r="766">
      <c r="A766" s="1205"/>
      <c r="B766" s="1205"/>
      <c r="C766" s="1205"/>
      <c r="D766" s="1205"/>
      <c r="E766" s="1206"/>
      <c r="F766" s="1206"/>
      <c r="G766" s="1206"/>
      <c r="H766" s="1205"/>
      <c r="I766" s="1205"/>
    </row>
    <row r="767">
      <c r="A767" s="1205"/>
      <c r="B767" s="1205"/>
      <c r="C767" s="1205"/>
      <c r="D767" s="1205"/>
      <c r="E767" s="1206"/>
      <c r="F767" s="1206"/>
      <c r="G767" s="1206"/>
      <c r="H767" s="1205"/>
      <c r="I767" s="1205"/>
    </row>
    <row r="768">
      <c r="A768" s="1205"/>
      <c r="B768" s="1205"/>
      <c r="C768" s="1205"/>
      <c r="D768" s="1205"/>
      <c r="E768" s="1206"/>
      <c r="F768" s="1206"/>
      <c r="G768" s="1206"/>
      <c r="H768" s="1205"/>
      <c r="I768" s="1205"/>
    </row>
    <row r="769">
      <c r="A769" s="1205"/>
      <c r="B769" s="1205"/>
      <c r="C769" s="1205"/>
      <c r="D769" s="1205"/>
      <c r="E769" s="1206"/>
      <c r="F769" s="1206"/>
      <c r="G769" s="1206"/>
      <c r="H769" s="1205"/>
      <c r="I769" s="1205"/>
    </row>
    <row r="770">
      <c r="A770" s="1205"/>
      <c r="B770" s="1205"/>
      <c r="C770" s="1205"/>
      <c r="D770" s="1205"/>
      <c r="E770" s="1206"/>
      <c r="F770" s="1206"/>
      <c r="G770" s="1206"/>
      <c r="H770" s="1205"/>
      <c r="I770" s="1205"/>
    </row>
    <row r="771">
      <c r="A771" s="1205"/>
      <c r="B771" s="1205"/>
      <c r="C771" s="1205"/>
      <c r="D771" s="1205"/>
      <c r="E771" s="1206"/>
      <c r="F771" s="1206"/>
      <c r="G771" s="1206"/>
      <c r="H771" s="1205"/>
      <c r="I771" s="1205"/>
    </row>
    <row r="772">
      <c r="A772" s="1205"/>
      <c r="B772" s="1205"/>
      <c r="C772" s="1205"/>
      <c r="D772" s="1205"/>
      <c r="E772" s="1206"/>
      <c r="F772" s="1206"/>
      <c r="G772" s="1206"/>
      <c r="H772" s="1205"/>
      <c r="I772" s="1205"/>
    </row>
    <row r="773">
      <c r="A773" s="1205"/>
      <c r="B773" s="1205"/>
      <c r="C773" s="1205"/>
      <c r="D773" s="1205"/>
      <c r="E773" s="1206"/>
      <c r="F773" s="1206"/>
      <c r="G773" s="1206"/>
      <c r="H773" s="1205"/>
      <c r="I773" s="1205"/>
    </row>
    <row r="774">
      <c r="A774" s="1205"/>
      <c r="B774" s="1205"/>
      <c r="C774" s="1205"/>
      <c r="D774" s="1205"/>
      <c r="E774" s="1206"/>
      <c r="F774" s="1206"/>
      <c r="G774" s="1206"/>
      <c r="H774" s="1205"/>
      <c r="I774" s="1205"/>
    </row>
    <row r="775">
      <c r="A775" s="1205"/>
      <c r="B775" s="1205"/>
      <c r="C775" s="1205"/>
      <c r="D775" s="1205"/>
      <c r="E775" s="1206"/>
      <c r="F775" s="1206"/>
      <c r="G775" s="1206"/>
      <c r="H775" s="1205"/>
      <c r="I775" s="1205"/>
    </row>
    <row r="776">
      <c r="A776" s="1205"/>
      <c r="B776" s="1205"/>
      <c r="C776" s="1205"/>
      <c r="D776" s="1205"/>
      <c r="E776" s="1206"/>
      <c r="F776" s="1206"/>
      <c r="G776" s="1206"/>
      <c r="H776" s="1205"/>
      <c r="I776" s="1205"/>
    </row>
    <row r="777">
      <c r="A777" s="1205"/>
      <c r="B777" s="1205"/>
      <c r="C777" s="1205"/>
      <c r="D777" s="1205"/>
      <c r="E777" s="1206"/>
      <c r="F777" s="1206"/>
      <c r="G777" s="1206"/>
      <c r="H777" s="1205"/>
      <c r="I777" s="1205"/>
    </row>
    <row r="778">
      <c r="A778" s="1205"/>
      <c r="B778" s="1205"/>
      <c r="C778" s="1205"/>
      <c r="D778" s="1205"/>
      <c r="E778" s="1206"/>
      <c r="F778" s="1206"/>
      <c r="G778" s="1206"/>
      <c r="H778" s="1205"/>
      <c r="I778" s="1205"/>
    </row>
    <row r="779">
      <c r="A779" s="1205"/>
      <c r="B779" s="1205"/>
      <c r="C779" s="1205"/>
      <c r="D779" s="1205"/>
      <c r="E779" s="1206"/>
      <c r="F779" s="1206"/>
      <c r="G779" s="1206"/>
      <c r="H779" s="1205"/>
      <c r="I779" s="1205"/>
    </row>
    <row r="780">
      <c r="A780" s="1205"/>
      <c r="B780" s="1205"/>
      <c r="C780" s="1205"/>
      <c r="D780" s="1205"/>
      <c r="E780" s="1206"/>
      <c r="F780" s="1206"/>
      <c r="G780" s="1206"/>
      <c r="H780" s="1205"/>
      <c r="I780" s="1205"/>
    </row>
    <row r="781">
      <c r="A781" s="1205"/>
      <c r="B781" s="1205"/>
      <c r="C781" s="1205"/>
      <c r="D781" s="1205"/>
      <c r="E781" s="1206"/>
      <c r="F781" s="1206"/>
      <c r="G781" s="1206"/>
      <c r="H781" s="1205"/>
      <c r="I781" s="1205"/>
    </row>
    <row r="782">
      <c r="A782" s="1205"/>
      <c r="B782" s="1205"/>
      <c r="C782" s="1205"/>
      <c r="D782" s="1205"/>
      <c r="E782" s="1206"/>
      <c r="F782" s="1206"/>
      <c r="G782" s="1206"/>
      <c r="H782" s="1205"/>
      <c r="I782" s="1205"/>
    </row>
    <row r="783">
      <c r="A783" s="1205"/>
      <c r="B783" s="1205"/>
      <c r="C783" s="1205"/>
      <c r="D783" s="1205"/>
      <c r="E783" s="1206"/>
      <c r="F783" s="1206"/>
      <c r="G783" s="1206"/>
      <c r="H783" s="1205"/>
      <c r="I783" s="1205"/>
    </row>
    <row r="784">
      <c r="A784" s="1205"/>
      <c r="B784" s="1205"/>
      <c r="C784" s="1205"/>
      <c r="D784" s="1205"/>
      <c r="E784" s="1206"/>
      <c r="F784" s="1206"/>
      <c r="G784" s="1206"/>
      <c r="H784" s="1205"/>
      <c r="I784" s="1205"/>
    </row>
    <row r="785">
      <c r="A785" s="1205"/>
      <c r="B785" s="1205"/>
      <c r="C785" s="1205"/>
      <c r="D785" s="1205"/>
      <c r="E785" s="1206"/>
      <c r="F785" s="1206"/>
      <c r="G785" s="1206"/>
      <c r="H785" s="1205"/>
      <c r="I785" s="1205"/>
    </row>
    <row r="786">
      <c r="A786" s="1205"/>
      <c r="B786" s="1205"/>
      <c r="C786" s="1205"/>
      <c r="D786" s="1205"/>
      <c r="E786" s="1206"/>
      <c r="F786" s="1206"/>
      <c r="G786" s="1206"/>
      <c r="H786" s="1205"/>
      <c r="I786" s="1205"/>
    </row>
    <row r="787">
      <c r="A787" s="1205"/>
      <c r="B787" s="1205"/>
      <c r="C787" s="1205"/>
      <c r="D787" s="1205"/>
      <c r="E787" s="1206"/>
      <c r="F787" s="1206"/>
      <c r="G787" s="1206"/>
      <c r="H787" s="1205"/>
      <c r="I787" s="1205"/>
    </row>
    <row r="788">
      <c r="A788" s="1205"/>
      <c r="B788" s="1205"/>
      <c r="C788" s="1205"/>
      <c r="D788" s="1205"/>
      <c r="E788" s="1206"/>
      <c r="F788" s="1206"/>
      <c r="G788" s="1206"/>
      <c r="H788" s="1205"/>
      <c r="I788" s="1205"/>
    </row>
    <row r="789">
      <c r="A789" s="1205"/>
      <c r="B789" s="1205"/>
      <c r="C789" s="1205"/>
      <c r="D789" s="1205"/>
      <c r="E789" s="1206"/>
      <c r="F789" s="1206"/>
      <c r="G789" s="1206"/>
      <c r="H789" s="1205"/>
      <c r="I789" s="1205"/>
    </row>
    <row r="790">
      <c r="A790" s="1205"/>
      <c r="B790" s="1205"/>
      <c r="C790" s="1205"/>
      <c r="D790" s="1205"/>
      <c r="E790" s="1206"/>
      <c r="F790" s="1206"/>
      <c r="G790" s="1206"/>
      <c r="H790" s="1205"/>
      <c r="I790" s="1205"/>
    </row>
    <row r="791">
      <c r="A791" s="1205"/>
      <c r="B791" s="1205"/>
      <c r="C791" s="1205"/>
      <c r="D791" s="1205"/>
      <c r="E791" s="1206"/>
      <c r="F791" s="1206"/>
      <c r="G791" s="1206"/>
      <c r="H791" s="1205"/>
      <c r="I791" s="1205"/>
    </row>
    <row r="792">
      <c r="A792" s="1205"/>
      <c r="B792" s="1205"/>
      <c r="C792" s="1205"/>
      <c r="D792" s="1205"/>
      <c r="E792" s="1206"/>
      <c r="F792" s="1206"/>
      <c r="G792" s="1206"/>
      <c r="H792" s="1205"/>
      <c r="I792" s="1205"/>
    </row>
    <row r="793">
      <c r="A793" s="1205"/>
      <c r="B793" s="1205"/>
      <c r="C793" s="1205"/>
      <c r="D793" s="1205"/>
      <c r="E793" s="1206"/>
      <c r="F793" s="1206"/>
      <c r="G793" s="1206"/>
      <c r="H793" s="1205"/>
      <c r="I793" s="1205"/>
    </row>
    <row r="794">
      <c r="A794" s="1205"/>
      <c r="B794" s="1205"/>
      <c r="C794" s="1205"/>
      <c r="D794" s="1205"/>
      <c r="E794" s="1206"/>
      <c r="F794" s="1206"/>
      <c r="G794" s="1206"/>
      <c r="H794" s="1205"/>
      <c r="I794" s="1205"/>
    </row>
    <row r="795">
      <c r="A795" s="1205"/>
      <c r="B795" s="1205"/>
      <c r="C795" s="1205"/>
      <c r="D795" s="1205"/>
      <c r="E795" s="1206"/>
      <c r="F795" s="1206"/>
      <c r="G795" s="1206"/>
      <c r="H795" s="1205"/>
      <c r="I795" s="1205"/>
    </row>
    <row r="796">
      <c r="A796" s="1205"/>
      <c r="B796" s="1205"/>
      <c r="C796" s="1205"/>
      <c r="D796" s="1205"/>
      <c r="E796" s="1206"/>
      <c r="F796" s="1206"/>
      <c r="G796" s="1206"/>
      <c r="H796" s="1205"/>
      <c r="I796" s="1205"/>
    </row>
    <row r="797">
      <c r="A797" s="1205"/>
      <c r="B797" s="1205"/>
      <c r="C797" s="1205"/>
      <c r="D797" s="1205"/>
      <c r="E797" s="1206"/>
      <c r="F797" s="1206"/>
      <c r="G797" s="1206"/>
      <c r="H797" s="1205"/>
      <c r="I797" s="1205"/>
    </row>
    <row r="798">
      <c r="A798" s="1205"/>
      <c r="B798" s="1205"/>
      <c r="C798" s="1205"/>
      <c r="D798" s="1205"/>
      <c r="E798" s="1206"/>
      <c r="F798" s="1206"/>
      <c r="G798" s="1206"/>
      <c r="H798" s="1205"/>
      <c r="I798" s="1205"/>
    </row>
    <row r="799">
      <c r="A799" s="1205"/>
      <c r="B799" s="1205"/>
      <c r="C799" s="1205"/>
      <c r="D799" s="1205"/>
      <c r="E799" s="1206"/>
      <c r="F799" s="1206"/>
      <c r="G799" s="1206"/>
      <c r="H799" s="1205"/>
      <c r="I799" s="1205"/>
    </row>
    <row r="800">
      <c r="A800" s="1205"/>
      <c r="B800" s="1205"/>
      <c r="C800" s="1205"/>
      <c r="D800" s="1205"/>
      <c r="E800" s="1206"/>
      <c r="F800" s="1206"/>
      <c r="G800" s="1206"/>
      <c r="H800" s="1205"/>
      <c r="I800" s="1205"/>
    </row>
    <row r="801">
      <c r="A801" s="1205"/>
      <c r="B801" s="1205"/>
      <c r="C801" s="1205"/>
      <c r="D801" s="1205"/>
      <c r="E801" s="1206"/>
      <c r="F801" s="1206"/>
      <c r="G801" s="1206"/>
      <c r="H801" s="1205"/>
      <c r="I801" s="1205"/>
    </row>
    <row r="802">
      <c r="A802" s="1205"/>
      <c r="B802" s="1205"/>
      <c r="C802" s="1205"/>
      <c r="D802" s="1205"/>
      <c r="E802" s="1206"/>
      <c r="F802" s="1206"/>
      <c r="G802" s="1206"/>
      <c r="H802" s="1205"/>
      <c r="I802" s="1205"/>
    </row>
    <row r="803">
      <c r="A803" s="1205"/>
      <c r="B803" s="1205"/>
      <c r="C803" s="1205"/>
      <c r="D803" s="1205"/>
      <c r="E803" s="1206"/>
      <c r="F803" s="1206"/>
      <c r="G803" s="1206"/>
      <c r="H803" s="1205"/>
      <c r="I803" s="1205"/>
    </row>
    <row r="804">
      <c r="A804" s="1205"/>
      <c r="B804" s="1205"/>
      <c r="C804" s="1205"/>
      <c r="D804" s="1205"/>
      <c r="E804" s="1206"/>
      <c r="F804" s="1206"/>
      <c r="G804" s="1206"/>
      <c r="H804" s="1205"/>
      <c r="I804" s="1205"/>
    </row>
    <row r="805">
      <c r="A805" s="1205"/>
      <c r="B805" s="1205"/>
      <c r="C805" s="1205"/>
      <c r="D805" s="1205"/>
      <c r="E805" s="1206"/>
      <c r="F805" s="1206"/>
      <c r="G805" s="1206"/>
      <c r="H805" s="1205"/>
      <c r="I805" s="1205"/>
    </row>
    <row r="806">
      <c r="A806" s="1205"/>
      <c r="B806" s="1205"/>
      <c r="C806" s="1205"/>
      <c r="D806" s="1205"/>
      <c r="E806" s="1206"/>
      <c r="F806" s="1206"/>
      <c r="G806" s="1206"/>
      <c r="H806" s="1205"/>
      <c r="I806" s="1205"/>
    </row>
    <row r="807">
      <c r="A807" s="1205"/>
      <c r="B807" s="1205"/>
      <c r="C807" s="1205"/>
      <c r="D807" s="1205"/>
      <c r="E807" s="1206"/>
      <c r="F807" s="1206"/>
      <c r="G807" s="1206"/>
      <c r="H807" s="1205"/>
      <c r="I807" s="1205"/>
    </row>
    <row r="808">
      <c r="A808" s="1205"/>
      <c r="B808" s="1205"/>
      <c r="C808" s="1205"/>
      <c r="D808" s="1205"/>
      <c r="E808" s="1206"/>
      <c r="F808" s="1206"/>
      <c r="G808" s="1206"/>
      <c r="H808" s="1205"/>
      <c r="I808" s="1205"/>
    </row>
    <row r="809">
      <c r="A809" s="1205"/>
      <c r="B809" s="1205"/>
      <c r="C809" s="1205"/>
      <c r="D809" s="1205"/>
      <c r="E809" s="1206"/>
      <c r="F809" s="1206"/>
      <c r="G809" s="1206"/>
      <c r="H809" s="1205"/>
      <c r="I809" s="1205"/>
    </row>
    <row r="810">
      <c r="A810" s="1205"/>
      <c r="B810" s="1205"/>
      <c r="C810" s="1205"/>
      <c r="D810" s="1205"/>
      <c r="E810" s="1206"/>
      <c r="F810" s="1206"/>
      <c r="G810" s="1206"/>
      <c r="H810" s="1205"/>
      <c r="I810" s="1205"/>
    </row>
    <row r="811">
      <c r="A811" s="1205"/>
      <c r="B811" s="1205"/>
      <c r="C811" s="1205"/>
      <c r="D811" s="1205"/>
      <c r="E811" s="1206"/>
      <c r="F811" s="1206"/>
      <c r="G811" s="1206"/>
      <c r="H811" s="1205"/>
      <c r="I811" s="1205"/>
    </row>
    <row r="812">
      <c r="A812" s="1205"/>
      <c r="B812" s="1205"/>
      <c r="C812" s="1205"/>
      <c r="D812" s="1205"/>
      <c r="E812" s="1206"/>
      <c r="F812" s="1206"/>
      <c r="G812" s="1206"/>
      <c r="H812" s="1205"/>
      <c r="I812" s="1205"/>
    </row>
    <row r="813">
      <c r="A813" s="1205"/>
      <c r="B813" s="1205"/>
      <c r="C813" s="1205"/>
      <c r="D813" s="1205"/>
      <c r="E813" s="1206"/>
      <c r="F813" s="1206"/>
      <c r="G813" s="1206"/>
      <c r="H813" s="1205"/>
      <c r="I813" s="1205"/>
    </row>
    <row r="814">
      <c r="A814" s="1205"/>
      <c r="B814" s="1205"/>
      <c r="C814" s="1205"/>
      <c r="D814" s="1205"/>
      <c r="E814" s="1206"/>
      <c r="F814" s="1206"/>
      <c r="G814" s="1206"/>
      <c r="H814" s="1205"/>
      <c r="I814" s="1205"/>
    </row>
    <row r="815">
      <c r="A815" s="1205"/>
      <c r="B815" s="1205"/>
      <c r="C815" s="1205"/>
      <c r="D815" s="1205"/>
      <c r="E815" s="1206"/>
      <c r="F815" s="1206"/>
      <c r="G815" s="1206"/>
      <c r="H815" s="1205"/>
      <c r="I815" s="1205"/>
    </row>
    <row r="816">
      <c r="A816" s="1205"/>
      <c r="B816" s="1205"/>
      <c r="C816" s="1205"/>
      <c r="D816" s="1205"/>
      <c r="E816" s="1206"/>
      <c r="F816" s="1206"/>
      <c r="G816" s="1206"/>
      <c r="H816" s="1205"/>
      <c r="I816" s="1205"/>
    </row>
    <row r="817">
      <c r="A817" s="1205"/>
      <c r="B817" s="1205"/>
      <c r="C817" s="1205"/>
      <c r="D817" s="1205"/>
      <c r="E817" s="1206"/>
      <c r="F817" s="1206"/>
      <c r="G817" s="1206"/>
      <c r="H817" s="1205"/>
      <c r="I817" s="1205"/>
    </row>
    <row r="818">
      <c r="A818" s="1205"/>
      <c r="B818" s="1205"/>
      <c r="C818" s="1205"/>
      <c r="D818" s="1205"/>
      <c r="E818" s="1206"/>
      <c r="F818" s="1206"/>
      <c r="G818" s="1206"/>
      <c r="H818" s="1205"/>
      <c r="I818" s="1205"/>
    </row>
    <row r="819">
      <c r="A819" s="1205"/>
      <c r="B819" s="1205"/>
      <c r="C819" s="1205"/>
      <c r="D819" s="1205"/>
      <c r="E819" s="1206"/>
      <c r="F819" s="1206"/>
      <c r="G819" s="1206"/>
      <c r="H819" s="1205"/>
      <c r="I819" s="1205"/>
    </row>
    <row r="820">
      <c r="A820" s="1205"/>
      <c r="B820" s="1205"/>
      <c r="C820" s="1205"/>
      <c r="D820" s="1205"/>
      <c r="E820" s="1206"/>
      <c r="F820" s="1206"/>
      <c r="G820" s="1206"/>
      <c r="H820" s="1205"/>
      <c r="I820" s="1205"/>
    </row>
    <row r="821">
      <c r="A821" s="1205"/>
      <c r="B821" s="1205"/>
      <c r="C821" s="1205"/>
      <c r="D821" s="1205"/>
      <c r="E821" s="1206"/>
      <c r="F821" s="1206"/>
      <c r="G821" s="1206"/>
      <c r="H821" s="1205"/>
      <c r="I821" s="1205"/>
    </row>
    <row r="822">
      <c r="A822" s="1205"/>
      <c r="B822" s="1205"/>
      <c r="C822" s="1205"/>
      <c r="D822" s="1205"/>
      <c r="E822" s="1206"/>
      <c r="F822" s="1206"/>
      <c r="G822" s="1206"/>
      <c r="H822" s="1205"/>
      <c r="I822" s="1205"/>
    </row>
    <row r="823">
      <c r="A823" s="1205"/>
      <c r="B823" s="1205"/>
      <c r="C823" s="1205"/>
      <c r="D823" s="1205"/>
      <c r="E823" s="1206"/>
      <c r="F823" s="1206"/>
      <c r="G823" s="1206"/>
      <c r="H823" s="1205"/>
      <c r="I823" s="1205"/>
    </row>
    <row r="824">
      <c r="A824" s="1205"/>
      <c r="B824" s="1205"/>
      <c r="C824" s="1205"/>
      <c r="D824" s="1205"/>
      <c r="E824" s="1206"/>
      <c r="F824" s="1206"/>
      <c r="G824" s="1206"/>
      <c r="H824" s="1205"/>
      <c r="I824" s="1205"/>
    </row>
    <row r="825">
      <c r="A825" s="1205"/>
      <c r="B825" s="1205"/>
      <c r="C825" s="1205"/>
      <c r="D825" s="1205"/>
      <c r="E825" s="1206"/>
      <c r="F825" s="1206"/>
      <c r="G825" s="1206"/>
      <c r="H825" s="1205"/>
      <c r="I825" s="1205"/>
    </row>
    <row r="826">
      <c r="A826" s="1205"/>
      <c r="B826" s="1205"/>
      <c r="C826" s="1205"/>
      <c r="D826" s="1205"/>
      <c r="E826" s="1206"/>
      <c r="F826" s="1206"/>
      <c r="G826" s="1206"/>
      <c r="H826" s="1205"/>
      <c r="I826" s="1205"/>
    </row>
    <row r="827">
      <c r="A827" s="1205"/>
      <c r="B827" s="1205"/>
      <c r="C827" s="1205"/>
      <c r="D827" s="1205"/>
      <c r="E827" s="1206"/>
      <c r="F827" s="1206"/>
      <c r="G827" s="1206"/>
      <c r="H827" s="1205"/>
      <c r="I827" s="1205"/>
    </row>
    <row r="828">
      <c r="A828" s="1205"/>
      <c r="B828" s="1205"/>
      <c r="C828" s="1205"/>
      <c r="D828" s="1205"/>
      <c r="E828" s="1206"/>
      <c r="F828" s="1206"/>
      <c r="G828" s="1206"/>
      <c r="H828" s="1205"/>
      <c r="I828" s="1205"/>
    </row>
    <row r="829">
      <c r="A829" s="1205"/>
      <c r="B829" s="1205"/>
      <c r="C829" s="1205"/>
      <c r="D829" s="1205"/>
      <c r="E829" s="1206"/>
      <c r="F829" s="1206"/>
      <c r="G829" s="1206"/>
      <c r="H829" s="1205"/>
      <c r="I829" s="1205"/>
    </row>
    <row r="830">
      <c r="A830" s="1205"/>
      <c r="B830" s="1205"/>
      <c r="C830" s="1205"/>
      <c r="D830" s="1205"/>
      <c r="E830" s="1206"/>
      <c r="F830" s="1206"/>
      <c r="G830" s="1206"/>
      <c r="H830" s="1205"/>
      <c r="I830" s="1205"/>
    </row>
    <row r="831">
      <c r="A831" s="1205"/>
      <c r="B831" s="1205"/>
      <c r="C831" s="1205"/>
      <c r="D831" s="1205"/>
      <c r="E831" s="1206"/>
      <c r="F831" s="1206"/>
      <c r="G831" s="1206"/>
      <c r="H831" s="1205"/>
      <c r="I831" s="1205"/>
    </row>
    <row r="832">
      <c r="A832" s="1205"/>
      <c r="B832" s="1205"/>
      <c r="C832" s="1205"/>
      <c r="D832" s="1205"/>
      <c r="E832" s="1206"/>
      <c r="F832" s="1206"/>
      <c r="G832" s="1206"/>
      <c r="H832" s="1205"/>
      <c r="I832" s="1205"/>
    </row>
    <row r="833">
      <c r="A833" s="1205"/>
      <c r="B833" s="1205"/>
      <c r="C833" s="1205"/>
      <c r="D833" s="1205"/>
      <c r="E833" s="1206"/>
      <c r="F833" s="1206"/>
      <c r="G833" s="1206"/>
      <c r="H833" s="1205"/>
      <c r="I833" s="1205"/>
    </row>
    <row r="834">
      <c r="A834" s="1205"/>
      <c r="B834" s="1205"/>
      <c r="C834" s="1205"/>
      <c r="D834" s="1205"/>
      <c r="E834" s="1206"/>
      <c r="F834" s="1206"/>
      <c r="G834" s="1206"/>
      <c r="H834" s="1205"/>
      <c r="I834" s="1205"/>
    </row>
    <row r="835">
      <c r="A835" s="1205"/>
      <c r="B835" s="1205"/>
      <c r="C835" s="1205"/>
      <c r="D835" s="1205"/>
      <c r="E835" s="1206"/>
      <c r="F835" s="1206"/>
      <c r="G835" s="1206"/>
      <c r="H835" s="1205"/>
      <c r="I835" s="1205"/>
    </row>
    <row r="836">
      <c r="A836" s="1205"/>
      <c r="B836" s="1205"/>
      <c r="C836" s="1205"/>
      <c r="D836" s="1205"/>
      <c r="E836" s="1206"/>
      <c r="F836" s="1206"/>
      <c r="G836" s="1206"/>
      <c r="H836" s="1205"/>
      <c r="I836" s="1205"/>
    </row>
    <row r="837">
      <c r="A837" s="1205"/>
      <c r="B837" s="1205"/>
      <c r="C837" s="1205"/>
      <c r="D837" s="1205"/>
      <c r="E837" s="1206"/>
      <c r="F837" s="1206"/>
      <c r="G837" s="1206"/>
      <c r="H837" s="1205"/>
      <c r="I837" s="1205"/>
    </row>
    <row r="838">
      <c r="A838" s="1205"/>
      <c r="B838" s="1205"/>
      <c r="C838" s="1205"/>
      <c r="D838" s="1205"/>
      <c r="E838" s="1206"/>
      <c r="F838" s="1206"/>
      <c r="G838" s="1206"/>
      <c r="H838" s="1205"/>
      <c r="I838" s="1205"/>
    </row>
    <row r="839">
      <c r="A839" s="1205"/>
      <c r="B839" s="1205"/>
      <c r="C839" s="1205"/>
      <c r="D839" s="1205"/>
      <c r="E839" s="1206"/>
      <c r="F839" s="1206"/>
      <c r="G839" s="1206"/>
      <c r="H839" s="1205"/>
      <c r="I839" s="1205"/>
    </row>
    <row r="840">
      <c r="A840" s="1205"/>
      <c r="B840" s="1205"/>
      <c r="C840" s="1205"/>
      <c r="D840" s="1205"/>
      <c r="E840" s="1206"/>
      <c r="F840" s="1206"/>
      <c r="G840" s="1206"/>
      <c r="H840" s="1205"/>
      <c r="I840" s="1205"/>
    </row>
    <row r="841">
      <c r="A841" s="1205"/>
      <c r="B841" s="1205"/>
      <c r="C841" s="1205"/>
      <c r="D841" s="1205"/>
      <c r="E841" s="1206"/>
      <c r="F841" s="1206"/>
      <c r="G841" s="1206"/>
      <c r="H841" s="1205"/>
      <c r="I841" s="1205"/>
    </row>
    <row r="842">
      <c r="A842" s="1205"/>
      <c r="B842" s="1205"/>
      <c r="C842" s="1205"/>
      <c r="D842" s="1205"/>
      <c r="E842" s="1206"/>
      <c r="F842" s="1206"/>
      <c r="G842" s="1206"/>
      <c r="H842" s="1205"/>
      <c r="I842" s="1205"/>
    </row>
    <row r="843">
      <c r="A843" s="1205"/>
      <c r="B843" s="1205"/>
      <c r="C843" s="1205"/>
      <c r="D843" s="1205"/>
      <c r="E843" s="1206"/>
      <c r="F843" s="1206"/>
      <c r="G843" s="1206"/>
      <c r="H843" s="1205"/>
      <c r="I843" s="1205"/>
    </row>
    <row r="844">
      <c r="A844" s="1205"/>
      <c r="B844" s="1205"/>
      <c r="C844" s="1205"/>
      <c r="D844" s="1205"/>
      <c r="E844" s="1206"/>
      <c r="F844" s="1206"/>
      <c r="G844" s="1206"/>
      <c r="H844" s="1205"/>
      <c r="I844" s="1205"/>
    </row>
    <row r="845">
      <c r="A845" s="1205"/>
      <c r="B845" s="1205"/>
      <c r="C845" s="1205"/>
      <c r="D845" s="1205"/>
      <c r="E845" s="1206"/>
      <c r="F845" s="1206"/>
      <c r="G845" s="1206"/>
      <c r="H845" s="1205"/>
      <c r="I845" s="1205"/>
    </row>
    <row r="846">
      <c r="A846" s="1205"/>
      <c r="B846" s="1205"/>
      <c r="C846" s="1205"/>
      <c r="D846" s="1205"/>
      <c r="E846" s="1206"/>
      <c r="F846" s="1206"/>
      <c r="G846" s="1206"/>
      <c r="H846" s="1205"/>
      <c r="I846" s="1205"/>
    </row>
    <row r="847">
      <c r="A847" s="1205"/>
      <c r="B847" s="1205"/>
      <c r="C847" s="1205"/>
      <c r="D847" s="1205"/>
      <c r="E847" s="1206"/>
      <c r="F847" s="1206"/>
      <c r="G847" s="1206"/>
      <c r="H847" s="1205"/>
      <c r="I847" s="1205"/>
    </row>
    <row r="848">
      <c r="A848" s="1205"/>
      <c r="B848" s="1205"/>
      <c r="C848" s="1205"/>
      <c r="D848" s="1205"/>
      <c r="E848" s="1206"/>
      <c r="F848" s="1206"/>
      <c r="G848" s="1206"/>
      <c r="H848" s="1205"/>
      <c r="I848" s="1205"/>
    </row>
    <row r="849">
      <c r="A849" s="1205"/>
      <c r="B849" s="1205"/>
      <c r="C849" s="1205"/>
      <c r="D849" s="1205"/>
      <c r="E849" s="1206"/>
      <c r="F849" s="1206"/>
      <c r="G849" s="1206"/>
      <c r="H849" s="1205"/>
      <c r="I849" s="1205"/>
    </row>
    <row r="850">
      <c r="A850" s="1205"/>
      <c r="B850" s="1205"/>
      <c r="C850" s="1205"/>
      <c r="D850" s="1205"/>
      <c r="E850" s="1206"/>
      <c r="F850" s="1206"/>
      <c r="G850" s="1206"/>
      <c r="H850" s="1205"/>
      <c r="I850" s="1205"/>
    </row>
    <row r="851">
      <c r="A851" s="1205"/>
      <c r="B851" s="1205"/>
      <c r="C851" s="1205"/>
      <c r="D851" s="1205"/>
      <c r="E851" s="1206"/>
      <c r="F851" s="1206"/>
      <c r="G851" s="1206"/>
      <c r="H851" s="1205"/>
      <c r="I851" s="1205"/>
    </row>
    <row r="852">
      <c r="A852" s="1205"/>
      <c r="B852" s="1205"/>
      <c r="C852" s="1205"/>
      <c r="D852" s="1205"/>
      <c r="E852" s="1206"/>
      <c r="F852" s="1206"/>
      <c r="G852" s="1206"/>
      <c r="H852" s="1205"/>
      <c r="I852" s="1205"/>
    </row>
    <row r="853">
      <c r="A853" s="1205"/>
      <c r="B853" s="1205"/>
      <c r="C853" s="1205"/>
      <c r="D853" s="1205"/>
      <c r="E853" s="1206"/>
      <c r="F853" s="1206"/>
      <c r="G853" s="1206"/>
      <c r="H853" s="1205"/>
      <c r="I853" s="1205"/>
    </row>
    <row r="854">
      <c r="A854" s="1205"/>
      <c r="B854" s="1205"/>
      <c r="C854" s="1205"/>
      <c r="D854" s="1205"/>
      <c r="E854" s="1206"/>
      <c r="F854" s="1206"/>
      <c r="G854" s="1206"/>
      <c r="H854" s="1205"/>
      <c r="I854" s="1205"/>
    </row>
    <row r="855">
      <c r="A855" s="1205"/>
      <c r="B855" s="1205"/>
      <c r="C855" s="1205"/>
      <c r="D855" s="1205"/>
      <c r="E855" s="1206"/>
      <c r="F855" s="1206"/>
      <c r="G855" s="1206"/>
      <c r="H855" s="1205"/>
      <c r="I855" s="1205"/>
    </row>
    <row r="856">
      <c r="A856" s="1205"/>
      <c r="B856" s="1205"/>
      <c r="C856" s="1205"/>
      <c r="D856" s="1205"/>
      <c r="E856" s="1206"/>
      <c r="F856" s="1206"/>
      <c r="G856" s="1206"/>
      <c r="H856" s="1205"/>
      <c r="I856" s="1205"/>
    </row>
    <row r="857">
      <c r="A857" s="1205"/>
      <c r="B857" s="1205"/>
      <c r="C857" s="1205"/>
      <c r="D857" s="1205"/>
      <c r="E857" s="1206"/>
      <c r="F857" s="1206"/>
      <c r="G857" s="1206"/>
      <c r="H857" s="1205"/>
      <c r="I857" s="1205"/>
    </row>
    <row r="858">
      <c r="A858" s="1205"/>
      <c r="B858" s="1205"/>
      <c r="C858" s="1205"/>
      <c r="D858" s="1205"/>
      <c r="E858" s="1206"/>
      <c r="F858" s="1206"/>
      <c r="G858" s="1206"/>
      <c r="H858" s="1205"/>
      <c r="I858" s="1205"/>
    </row>
    <row r="859">
      <c r="A859" s="1205"/>
      <c r="B859" s="1205"/>
      <c r="C859" s="1205"/>
      <c r="D859" s="1205"/>
      <c r="E859" s="1206"/>
      <c r="F859" s="1206"/>
      <c r="G859" s="1206"/>
      <c r="H859" s="1205"/>
      <c r="I859" s="1205"/>
    </row>
    <row r="860">
      <c r="A860" s="1205"/>
      <c r="B860" s="1205"/>
      <c r="C860" s="1205"/>
      <c r="D860" s="1205"/>
      <c r="E860" s="1206"/>
      <c r="F860" s="1206"/>
      <c r="G860" s="1206"/>
      <c r="H860" s="1205"/>
      <c r="I860" s="1205"/>
    </row>
    <row r="861">
      <c r="A861" s="1205"/>
      <c r="B861" s="1205"/>
      <c r="C861" s="1205"/>
      <c r="D861" s="1205"/>
      <c r="E861" s="1206"/>
      <c r="F861" s="1206"/>
      <c r="G861" s="1206"/>
      <c r="H861" s="1205"/>
      <c r="I861" s="1205"/>
    </row>
    <row r="862">
      <c r="A862" s="1205"/>
      <c r="B862" s="1205"/>
      <c r="C862" s="1205"/>
      <c r="D862" s="1205"/>
      <c r="E862" s="1206"/>
      <c r="F862" s="1206"/>
      <c r="G862" s="1206"/>
      <c r="H862" s="1205"/>
      <c r="I862" s="1205"/>
    </row>
    <row r="863">
      <c r="A863" s="1205"/>
      <c r="B863" s="1205"/>
      <c r="C863" s="1205"/>
      <c r="D863" s="1205"/>
      <c r="E863" s="1206"/>
      <c r="F863" s="1206"/>
      <c r="G863" s="1206"/>
      <c r="H863" s="1205"/>
      <c r="I863" s="1205"/>
    </row>
    <row r="864">
      <c r="A864" s="1205"/>
      <c r="B864" s="1205"/>
      <c r="C864" s="1205"/>
      <c r="D864" s="1205"/>
      <c r="E864" s="1206"/>
      <c r="F864" s="1206"/>
      <c r="G864" s="1206"/>
      <c r="H864" s="1205"/>
      <c r="I864" s="1205"/>
    </row>
    <row r="865">
      <c r="A865" s="1205"/>
      <c r="B865" s="1205"/>
      <c r="C865" s="1205"/>
      <c r="D865" s="1205"/>
      <c r="E865" s="1206"/>
      <c r="F865" s="1206"/>
      <c r="G865" s="1206"/>
      <c r="H865" s="1205"/>
      <c r="I865" s="1205"/>
    </row>
    <row r="866">
      <c r="A866" s="1205"/>
      <c r="B866" s="1205"/>
      <c r="C866" s="1205"/>
      <c r="D866" s="1205"/>
      <c r="E866" s="1206"/>
      <c r="F866" s="1206"/>
      <c r="G866" s="1206"/>
      <c r="H866" s="1205"/>
      <c r="I866" s="1205"/>
    </row>
    <row r="867">
      <c r="A867" s="1205"/>
      <c r="B867" s="1205"/>
      <c r="C867" s="1205"/>
      <c r="D867" s="1205"/>
      <c r="E867" s="1206"/>
      <c r="F867" s="1206"/>
      <c r="G867" s="1206"/>
      <c r="H867" s="1205"/>
      <c r="I867" s="1205"/>
    </row>
    <row r="868">
      <c r="A868" s="1205"/>
      <c r="B868" s="1205"/>
      <c r="C868" s="1205"/>
      <c r="D868" s="1205"/>
      <c r="E868" s="1206"/>
      <c r="F868" s="1206"/>
      <c r="G868" s="1206"/>
      <c r="H868" s="1205"/>
      <c r="I868" s="1205"/>
    </row>
    <row r="869">
      <c r="A869" s="1205"/>
      <c r="B869" s="1205"/>
      <c r="C869" s="1205"/>
      <c r="D869" s="1205"/>
      <c r="E869" s="1206"/>
      <c r="F869" s="1206"/>
      <c r="G869" s="1206"/>
      <c r="H869" s="1205"/>
      <c r="I869" s="1205"/>
    </row>
    <row r="870">
      <c r="A870" s="1205"/>
      <c r="B870" s="1205"/>
      <c r="C870" s="1205"/>
      <c r="D870" s="1205"/>
      <c r="E870" s="1206"/>
      <c r="F870" s="1206"/>
      <c r="G870" s="1206"/>
      <c r="H870" s="1205"/>
      <c r="I870" s="1205"/>
    </row>
    <row r="871">
      <c r="A871" s="1205"/>
      <c r="B871" s="1205"/>
      <c r="C871" s="1205"/>
      <c r="D871" s="1205"/>
      <c r="E871" s="1206"/>
      <c r="F871" s="1206"/>
      <c r="G871" s="1206"/>
      <c r="H871" s="1205"/>
      <c r="I871" s="1205"/>
    </row>
    <row r="872">
      <c r="A872" s="1205"/>
      <c r="B872" s="1205"/>
      <c r="C872" s="1205"/>
      <c r="D872" s="1205"/>
      <c r="E872" s="1206"/>
      <c r="F872" s="1206"/>
      <c r="G872" s="1206"/>
      <c r="H872" s="1205"/>
      <c r="I872" s="1205"/>
    </row>
    <row r="873">
      <c r="A873" s="1205"/>
      <c r="B873" s="1205"/>
      <c r="C873" s="1205"/>
      <c r="D873" s="1205"/>
      <c r="E873" s="1206"/>
      <c r="F873" s="1206"/>
      <c r="G873" s="1206"/>
      <c r="H873" s="1205"/>
      <c r="I873" s="1205"/>
    </row>
    <row r="874">
      <c r="A874" s="1205"/>
      <c r="B874" s="1205"/>
      <c r="C874" s="1205"/>
      <c r="D874" s="1205"/>
      <c r="E874" s="1206"/>
      <c r="F874" s="1206"/>
      <c r="G874" s="1206"/>
      <c r="H874" s="1205"/>
      <c r="I874" s="1205"/>
    </row>
    <row r="875">
      <c r="A875" s="1205"/>
      <c r="B875" s="1205"/>
      <c r="C875" s="1205"/>
      <c r="D875" s="1205"/>
      <c r="E875" s="1206"/>
      <c r="F875" s="1206"/>
      <c r="G875" s="1206"/>
      <c r="H875" s="1205"/>
      <c r="I875" s="1205"/>
    </row>
    <row r="876">
      <c r="A876" s="1205"/>
      <c r="B876" s="1205"/>
      <c r="C876" s="1205"/>
      <c r="D876" s="1205"/>
      <c r="E876" s="1206"/>
      <c r="F876" s="1206"/>
      <c r="G876" s="1206"/>
      <c r="H876" s="1205"/>
      <c r="I876" s="1205"/>
    </row>
    <row r="877">
      <c r="A877" s="1205"/>
      <c r="B877" s="1205"/>
      <c r="C877" s="1205"/>
      <c r="D877" s="1205"/>
      <c r="E877" s="1206"/>
      <c r="F877" s="1206"/>
      <c r="G877" s="1206"/>
      <c r="H877" s="1205"/>
      <c r="I877" s="1205"/>
    </row>
    <row r="878">
      <c r="A878" s="1205"/>
      <c r="B878" s="1205"/>
      <c r="C878" s="1205"/>
      <c r="D878" s="1205"/>
      <c r="E878" s="1206"/>
      <c r="F878" s="1206"/>
      <c r="G878" s="1206"/>
      <c r="H878" s="1205"/>
      <c r="I878" s="1205"/>
    </row>
    <row r="879">
      <c r="A879" s="1205"/>
      <c r="B879" s="1205"/>
      <c r="C879" s="1205"/>
      <c r="D879" s="1205"/>
      <c r="E879" s="1206"/>
      <c r="F879" s="1206"/>
      <c r="G879" s="1206"/>
      <c r="H879" s="1205"/>
      <c r="I879" s="1205"/>
    </row>
    <row r="880">
      <c r="A880" s="1205"/>
      <c r="B880" s="1205"/>
      <c r="C880" s="1205"/>
      <c r="D880" s="1205"/>
      <c r="E880" s="1206"/>
      <c r="F880" s="1206"/>
      <c r="G880" s="1206"/>
      <c r="H880" s="1205"/>
      <c r="I880" s="1205"/>
    </row>
    <row r="881">
      <c r="A881" s="1205"/>
      <c r="B881" s="1205"/>
      <c r="C881" s="1205"/>
      <c r="D881" s="1205"/>
      <c r="E881" s="1206"/>
      <c r="F881" s="1206"/>
      <c r="G881" s="1206"/>
      <c r="H881" s="1205"/>
      <c r="I881" s="1205"/>
    </row>
    <row r="882">
      <c r="A882" s="1205"/>
      <c r="B882" s="1205"/>
      <c r="C882" s="1205"/>
      <c r="D882" s="1205"/>
      <c r="E882" s="1206"/>
      <c r="F882" s="1206"/>
      <c r="G882" s="1206"/>
      <c r="H882" s="1205"/>
      <c r="I882" s="1205"/>
    </row>
    <row r="883">
      <c r="A883" s="1205"/>
      <c r="B883" s="1205"/>
      <c r="C883" s="1205"/>
      <c r="D883" s="1205"/>
      <c r="E883" s="1206"/>
      <c r="F883" s="1206"/>
      <c r="G883" s="1206"/>
      <c r="H883" s="1205"/>
      <c r="I883" s="1205"/>
    </row>
    <row r="884">
      <c r="A884" s="1205"/>
      <c r="B884" s="1205"/>
      <c r="C884" s="1205"/>
      <c r="D884" s="1205"/>
      <c r="E884" s="1206"/>
      <c r="F884" s="1206"/>
      <c r="G884" s="1206"/>
      <c r="H884" s="1205"/>
      <c r="I884" s="1205"/>
    </row>
    <row r="885">
      <c r="A885" s="1205"/>
      <c r="B885" s="1205"/>
      <c r="C885" s="1205"/>
      <c r="D885" s="1205"/>
      <c r="E885" s="1206"/>
      <c r="F885" s="1206"/>
      <c r="G885" s="1206"/>
      <c r="H885" s="1205"/>
      <c r="I885" s="1205"/>
    </row>
    <row r="886">
      <c r="A886" s="1205"/>
      <c r="B886" s="1205"/>
      <c r="C886" s="1205"/>
      <c r="D886" s="1205"/>
      <c r="E886" s="1206"/>
      <c r="F886" s="1206"/>
      <c r="G886" s="1206"/>
      <c r="H886" s="1205"/>
      <c r="I886" s="1205"/>
    </row>
    <row r="887">
      <c r="A887" s="1205"/>
      <c r="B887" s="1205"/>
      <c r="C887" s="1205"/>
      <c r="D887" s="1205"/>
      <c r="E887" s="1206"/>
      <c r="F887" s="1206"/>
      <c r="G887" s="1206"/>
      <c r="H887" s="1205"/>
      <c r="I887" s="1205"/>
    </row>
    <row r="888">
      <c r="A888" s="1205"/>
      <c r="B888" s="1205"/>
      <c r="C888" s="1205"/>
      <c r="D888" s="1205"/>
      <c r="E888" s="1206"/>
      <c r="F888" s="1206"/>
      <c r="G888" s="1206"/>
      <c r="H888" s="1205"/>
      <c r="I888" s="1205"/>
    </row>
    <row r="889">
      <c r="A889" s="1205"/>
      <c r="B889" s="1205"/>
      <c r="C889" s="1205"/>
      <c r="D889" s="1205"/>
      <c r="E889" s="1206"/>
      <c r="F889" s="1206"/>
      <c r="G889" s="1206"/>
      <c r="H889" s="1205"/>
      <c r="I889" s="1205"/>
    </row>
    <row r="890">
      <c r="A890" s="1205"/>
      <c r="B890" s="1205"/>
      <c r="C890" s="1205"/>
      <c r="D890" s="1205"/>
      <c r="E890" s="1206"/>
      <c r="F890" s="1206"/>
      <c r="G890" s="1206"/>
      <c r="H890" s="1205"/>
      <c r="I890" s="1205"/>
    </row>
    <row r="891">
      <c r="A891" s="1205"/>
      <c r="B891" s="1205"/>
      <c r="C891" s="1205"/>
      <c r="D891" s="1205"/>
      <c r="E891" s="1206"/>
      <c r="F891" s="1206"/>
      <c r="G891" s="1206"/>
      <c r="H891" s="1205"/>
      <c r="I891" s="1205"/>
    </row>
    <row r="892">
      <c r="A892" s="1205"/>
      <c r="B892" s="1205"/>
      <c r="C892" s="1205"/>
      <c r="D892" s="1205"/>
      <c r="E892" s="1206"/>
      <c r="F892" s="1206"/>
      <c r="G892" s="1206"/>
      <c r="H892" s="1205"/>
      <c r="I892" s="1205"/>
    </row>
    <row r="893">
      <c r="A893" s="1205"/>
      <c r="B893" s="1205"/>
      <c r="C893" s="1205"/>
      <c r="D893" s="1205"/>
      <c r="E893" s="1206"/>
      <c r="F893" s="1206"/>
      <c r="G893" s="1206"/>
      <c r="H893" s="1205"/>
      <c r="I893" s="1205"/>
    </row>
    <row r="894">
      <c r="A894" s="1205"/>
      <c r="B894" s="1205"/>
      <c r="C894" s="1205"/>
      <c r="D894" s="1205"/>
      <c r="E894" s="1206"/>
      <c r="F894" s="1206"/>
      <c r="G894" s="1206"/>
      <c r="H894" s="1205"/>
      <c r="I894" s="1205"/>
    </row>
    <row r="895">
      <c r="A895" s="1205"/>
      <c r="B895" s="1205"/>
      <c r="C895" s="1205"/>
      <c r="D895" s="1205"/>
      <c r="E895" s="1206"/>
      <c r="F895" s="1206"/>
      <c r="G895" s="1206"/>
      <c r="H895" s="1205"/>
      <c r="I895" s="1205"/>
    </row>
    <row r="896">
      <c r="A896" s="1205"/>
      <c r="B896" s="1205"/>
      <c r="C896" s="1205"/>
      <c r="D896" s="1205"/>
      <c r="E896" s="1206"/>
      <c r="F896" s="1206"/>
      <c r="G896" s="1206"/>
      <c r="H896" s="1205"/>
      <c r="I896" s="1205"/>
    </row>
    <row r="897">
      <c r="A897" s="1205"/>
      <c r="B897" s="1205"/>
      <c r="C897" s="1205"/>
      <c r="D897" s="1205"/>
      <c r="E897" s="1206"/>
      <c r="F897" s="1206"/>
      <c r="G897" s="1206"/>
      <c r="H897" s="1205"/>
      <c r="I897" s="1205"/>
    </row>
    <row r="898">
      <c r="A898" s="1205"/>
      <c r="B898" s="1205"/>
      <c r="C898" s="1205"/>
      <c r="D898" s="1205"/>
      <c r="E898" s="1206"/>
      <c r="F898" s="1206"/>
      <c r="G898" s="1206"/>
      <c r="H898" s="1205"/>
      <c r="I898" s="1205"/>
    </row>
    <row r="899">
      <c r="A899" s="1205"/>
      <c r="B899" s="1205"/>
      <c r="C899" s="1205"/>
      <c r="D899" s="1205"/>
      <c r="E899" s="1206"/>
      <c r="F899" s="1206"/>
      <c r="G899" s="1206"/>
      <c r="H899" s="1205"/>
      <c r="I899" s="1205"/>
    </row>
    <row r="900">
      <c r="A900" s="1205"/>
      <c r="B900" s="1205"/>
      <c r="C900" s="1205"/>
      <c r="D900" s="1205"/>
      <c r="E900" s="1206"/>
      <c r="F900" s="1206"/>
      <c r="G900" s="1206"/>
      <c r="H900" s="1205"/>
      <c r="I900" s="1205"/>
    </row>
    <row r="901">
      <c r="A901" s="1205"/>
      <c r="B901" s="1205"/>
      <c r="C901" s="1205"/>
      <c r="D901" s="1205"/>
      <c r="E901" s="1206"/>
      <c r="F901" s="1206"/>
      <c r="G901" s="1206"/>
      <c r="H901" s="1205"/>
      <c r="I901" s="1205"/>
    </row>
    <row r="902">
      <c r="A902" s="1205"/>
      <c r="B902" s="1205"/>
      <c r="C902" s="1205"/>
      <c r="D902" s="1205"/>
      <c r="E902" s="1206"/>
      <c r="F902" s="1206"/>
      <c r="G902" s="1206"/>
      <c r="H902" s="1205"/>
      <c r="I902" s="1205"/>
    </row>
    <row r="903">
      <c r="A903" s="1205"/>
      <c r="B903" s="1205"/>
      <c r="C903" s="1205"/>
      <c r="D903" s="1205"/>
      <c r="E903" s="1206"/>
      <c r="F903" s="1206"/>
      <c r="G903" s="1206"/>
      <c r="H903" s="1205"/>
      <c r="I903" s="1205"/>
    </row>
    <row r="904">
      <c r="A904" s="1205"/>
      <c r="B904" s="1205"/>
      <c r="C904" s="1205"/>
      <c r="D904" s="1205"/>
      <c r="E904" s="1206"/>
      <c r="F904" s="1206"/>
      <c r="G904" s="1206"/>
      <c r="H904" s="1205"/>
      <c r="I904" s="1205"/>
    </row>
    <row r="905">
      <c r="A905" s="1205"/>
      <c r="B905" s="1205"/>
      <c r="C905" s="1205"/>
      <c r="D905" s="1205"/>
      <c r="E905" s="1206"/>
      <c r="F905" s="1206"/>
      <c r="G905" s="1206"/>
      <c r="H905" s="1205"/>
      <c r="I905" s="1205"/>
    </row>
    <row r="906">
      <c r="A906" s="1205"/>
      <c r="B906" s="1205"/>
      <c r="C906" s="1205"/>
      <c r="D906" s="1205"/>
      <c r="E906" s="1206"/>
      <c r="F906" s="1206"/>
      <c r="G906" s="1206"/>
      <c r="H906" s="1205"/>
      <c r="I906" s="1205"/>
    </row>
    <row r="907">
      <c r="A907" s="1205"/>
      <c r="B907" s="1205"/>
      <c r="C907" s="1205"/>
      <c r="D907" s="1205"/>
      <c r="E907" s="1206"/>
      <c r="F907" s="1206"/>
      <c r="G907" s="1206"/>
      <c r="H907" s="1205"/>
      <c r="I907" s="1205"/>
    </row>
    <row r="908">
      <c r="A908" s="1205"/>
      <c r="B908" s="1205"/>
      <c r="C908" s="1205"/>
      <c r="D908" s="1205"/>
      <c r="E908" s="1206"/>
      <c r="F908" s="1206"/>
      <c r="G908" s="1206"/>
      <c r="H908" s="1205"/>
      <c r="I908" s="1205"/>
    </row>
    <row r="909">
      <c r="A909" s="1205"/>
      <c r="B909" s="1205"/>
      <c r="C909" s="1205"/>
      <c r="D909" s="1205"/>
      <c r="E909" s="1206"/>
      <c r="F909" s="1206"/>
      <c r="G909" s="1206"/>
      <c r="H909" s="1205"/>
      <c r="I909" s="1205"/>
    </row>
    <row r="910">
      <c r="A910" s="1205"/>
      <c r="B910" s="1205"/>
      <c r="C910" s="1205"/>
      <c r="D910" s="1205"/>
      <c r="E910" s="1206"/>
      <c r="F910" s="1206"/>
      <c r="G910" s="1206"/>
      <c r="H910" s="1205"/>
      <c r="I910" s="1205"/>
    </row>
    <row r="911">
      <c r="A911" s="1205"/>
      <c r="B911" s="1205"/>
      <c r="C911" s="1205"/>
      <c r="D911" s="1205"/>
      <c r="E911" s="1206"/>
      <c r="F911" s="1206"/>
      <c r="G911" s="1206"/>
      <c r="H911" s="1205"/>
      <c r="I911" s="1205"/>
    </row>
    <row r="912">
      <c r="A912" s="1205"/>
      <c r="B912" s="1205"/>
      <c r="C912" s="1205"/>
      <c r="D912" s="1205"/>
      <c r="E912" s="1206"/>
      <c r="F912" s="1206"/>
      <c r="G912" s="1206"/>
      <c r="H912" s="1205"/>
      <c r="I912" s="1205"/>
    </row>
    <row r="913">
      <c r="A913" s="1205"/>
      <c r="B913" s="1205"/>
      <c r="C913" s="1205"/>
      <c r="D913" s="1205"/>
      <c r="E913" s="1206"/>
      <c r="F913" s="1206"/>
      <c r="G913" s="1206"/>
      <c r="H913" s="1205"/>
      <c r="I913" s="1205"/>
    </row>
    <row r="914">
      <c r="A914" s="1205"/>
      <c r="B914" s="1205"/>
      <c r="C914" s="1205"/>
      <c r="D914" s="1205"/>
      <c r="E914" s="1206"/>
      <c r="F914" s="1206"/>
      <c r="G914" s="1206"/>
      <c r="H914" s="1205"/>
      <c r="I914" s="1205"/>
    </row>
    <row r="915">
      <c r="A915" s="1205"/>
      <c r="B915" s="1205"/>
      <c r="C915" s="1205"/>
      <c r="D915" s="1205"/>
      <c r="E915" s="1206"/>
      <c r="F915" s="1206"/>
      <c r="G915" s="1206"/>
      <c r="H915" s="1205"/>
      <c r="I915" s="1205"/>
    </row>
    <row r="916">
      <c r="A916" s="1205"/>
      <c r="B916" s="1205"/>
      <c r="C916" s="1205"/>
      <c r="D916" s="1205"/>
      <c r="E916" s="1206"/>
      <c r="F916" s="1206"/>
      <c r="G916" s="1206"/>
      <c r="H916" s="1205"/>
      <c r="I916" s="1205"/>
    </row>
    <row r="917">
      <c r="A917" s="1205"/>
      <c r="B917" s="1205"/>
      <c r="C917" s="1205"/>
      <c r="D917" s="1205"/>
      <c r="E917" s="1206"/>
      <c r="F917" s="1206"/>
      <c r="G917" s="1206"/>
      <c r="H917" s="1205"/>
      <c r="I917" s="1205"/>
    </row>
    <row r="918">
      <c r="A918" s="1205"/>
      <c r="B918" s="1205"/>
      <c r="C918" s="1205"/>
      <c r="D918" s="1205"/>
      <c r="E918" s="1206"/>
      <c r="F918" s="1206"/>
      <c r="G918" s="1206"/>
      <c r="H918" s="1205"/>
      <c r="I918" s="1205"/>
    </row>
    <row r="919">
      <c r="A919" s="1205"/>
      <c r="B919" s="1205"/>
      <c r="C919" s="1205"/>
      <c r="D919" s="1205"/>
      <c r="E919" s="1206"/>
      <c r="F919" s="1206"/>
      <c r="G919" s="1206"/>
      <c r="H919" s="1205"/>
      <c r="I919" s="1205"/>
    </row>
    <row r="920">
      <c r="A920" s="1205"/>
      <c r="B920" s="1205"/>
      <c r="C920" s="1205"/>
      <c r="D920" s="1205"/>
      <c r="E920" s="1206"/>
      <c r="F920" s="1206"/>
      <c r="G920" s="1206"/>
      <c r="H920" s="1205"/>
      <c r="I920" s="1205"/>
    </row>
    <row r="921">
      <c r="A921" s="1205"/>
      <c r="B921" s="1205"/>
      <c r="C921" s="1205"/>
      <c r="D921" s="1205"/>
      <c r="E921" s="1206"/>
      <c r="F921" s="1206"/>
      <c r="G921" s="1206"/>
      <c r="H921" s="1205"/>
      <c r="I921" s="1205"/>
    </row>
    <row r="922">
      <c r="A922" s="1205"/>
      <c r="B922" s="1205"/>
      <c r="C922" s="1205"/>
      <c r="D922" s="1205"/>
      <c r="E922" s="1206"/>
      <c r="F922" s="1206"/>
      <c r="G922" s="1206"/>
      <c r="H922" s="1205"/>
      <c r="I922" s="1205"/>
    </row>
    <row r="923">
      <c r="A923" s="1205"/>
      <c r="B923" s="1205"/>
      <c r="C923" s="1205"/>
      <c r="D923" s="1205"/>
      <c r="E923" s="1206"/>
      <c r="F923" s="1206"/>
      <c r="G923" s="1206"/>
      <c r="H923" s="1205"/>
      <c r="I923" s="1205"/>
    </row>
    <row r="924">
      <c r="A924" s="1205"/>
      <c r="B924" s="1205"/>
      <c r="C924" s="1205"/>
      <c r="D924" s="1205"/>
      <c r="E924" s="1206"/>
      <c r="F924" s="1206"/>
      <c r="G924" s="1206"/>
      <c r="H924" s="1205"/>
      <c r="I924" s="1205"/>
    </row>
    <row r="925">
      <c r="A925" s="1205"/>
      <c r="B925" s="1205"/>
      <c r="C925" s="1205"/>
      <c r="D925" s="1205"/>
      <c r="E925" s="1206"/>
      <c r="F925" s="1206"/>
      <c r="G925" s="1206"/>
      <c r="H925" s="1205"/>
      <c r="I925" s="1205"/>
    </row>
    <row r="926">
      <c r="A926" s="1205"/>
      <c r="B926" s="1205"/>
      <c r="C926" s="1205"/>
      <c r="D926" s="1205"/>
      <c r="E926" s="1206"/>
      <c r="F926" s="1206"/>
      <c r="G926" s="1206"/>
      <c r="H926" s="1205"/>
      <c r="I926" s="1205"/>
    </row>
    <row r="927">
      <c r="A927" s="1205"/>
      <c r="B927" s="1205"/>
      <c r="C927" s="1205"/>
      <c r="D927" s="1205"/>
      <c r="E927" s="1206"/>
      <c r="F927" s="1206"/>
      <c r="G927" s="1206"/>
      <c r="H927" s="1205"/>
      <c r="I927" s="1205"/>
    </row>
    <row r="928">
      <c r="A928" s="1205"/>
      <c r="B928" s="1205"/>
      <c r="C928" s="1205"/>
      <c r="D928" s="1205"/>
      <c r="E928" s="1206"/>
      <c r="F928" s="1206"/>
      <c r="G928" s="1206"/>
      <c r="H928" s="1205"/>
      <c r="I928" s="1205"/>
    </row>
    <row r="929">
      <c r="A929" s="1205"/>
      <c r="B929" s="1205"/>
      <c r="C929" s="1205"/>
      <c r="D929" s="1205"/>
      <c r="E929" s="1206"/>
      <c r="F929" s="1206"/>
      <c r="G929" s="1206"/>
      <c r="H929" s="1205"/>
      <c r="I929" s="1205"/>
    </row>
    <row r="930">
      <c r="A930" s="1205"/>
      <c r="B930" s="1205"/>
      <c r="C930" s="1205"/>
      <c r="D930" s="1205"/>
      <c r="E930" s="1206"/>
      <c r="F930" s="1206"/>
      <c r="G930" s="1206"/>
      <c r="H930" s="1205"/>
      <c r="I930" s="1205"/>
    </row>
    <row r="931">
      <c r="A931" s="1205"/>
      <c r="B931" s="1205"/>
      <c r="C931" s="1205"/>
      <c r="D931" s="1205"/>
      <c r="E931" s="1206"/>
      <c r="F931" s="1206"/>
      <c r="G931" s="1206"/>
      <c r="H931" s="1205"/>
      <c r="I931" s="1205"/>
    </row>
    <row r="932">
      <c r="A932" s="1205"/>
      <c r="B932" s="1205"/>
      <c r="C932" s="1205"/>
      <c r="D932" s="1205"/>
      <c r="E932" s="1206"/>
      <c r="F932" s="1206"/>
      <c r="G932" s="1206"/>
      <c r="H932" s="1205"/>
      <c r="I932" s="1205"/>
    </row>
    <row r="933">
      <c r="A933" s="1205"/>
      <c r="B933" s="1205"/>
      <c r="C933" s="1205"/>
      <c r="D933" s="1205"/>
      <c r="E933" s="1206"/>
      <c r="F933" s="1206"/>
      <c r="G933" s="1206"/>
      <c r="H933" s="1205"/>
      <c r="I933" s="1205"/>
    </row>
    <row r="934">
      <c r="A934" s="1205"/>
      <c r="B934" s="1205"/>
      <c r="C934" s="1205"/>
      <c r="D934" s="1205"/>
      <c r="E934" s="1206"/>
      <c r="F934" s="1206"/>
      <c r="G934" s="1206"/>
      <c r="H934" s="1205"/>
      <c r="I934" s="1205"/>
    </row>
    <row r="935">
      <c r="A935" s="1205"/>
      <c r="B935" s="1205"/>
      <c r="C935" s="1205"/>
      <c r="D935" s="1205"/>
      <c r="E935" s="1206"/>
      <c r="F935" s="1206"/>
      <c r="G935" s="1206"/>
      <c r="H935" s="1205"/>
      <c r="I935" s="1205"/>
    </row>
    <row r="936">
      <c r="A936" s="1205"/>
      <c r="B936" s="1205"/>
      <c r="C936" s="1205"/>
      <c r="D936" s="1205"/>
      <c r="E936" s="1206"/>
      <c r="F936" s="1206"/>
      <c r="G936" s="1206"/>
      <c r="H936" s="1205"/>
      <c r="I936" s="1205"/>
    </row>
    <row r="937">
      <c r="A937" s="1205"/>
      <c r="B937" s="1205"/>
      <c r="C937" s="1205"/>
      <c r="D937" s="1205"/>
      <c r="E937" s="1206"/>
      <c r="F937" s="1206"/>
      <c r="G937" s="1206"/>
      <c r="H937" s="1205"/>
      <c r="I937" s="1205"/>
    </row>
    <row r="938">
      <c r="A938" s="1205"/>
      <c r="B938" s="1205"/>
      <c r="C938" s="1205"/>
      <c r="D938" s="1205"/>
      <c r="E938" s="1206"/>
      <c r="F938" s="1206"/>
      <c r="G938" s="1206"/>
      <c r="H938" s="1205"/>
      <c r="I938" s="1205"/>
    </row>
    <row r="939">
      <c r="A939" s="1205"/>
      <c r="B939" s="1205"/>
      <c r="C939" s="1205"/>
      <c r="D939" s="1205"/>
      <c r="E939" s="1206"/>
      <c r="F939" s="1206"/>
      <c r="G939" s="1206"/>
      <c r="H939" s="1205"/>
      <c r="I939" s="1205"/>
    </row>
    <row r="940">
      <c r="A940" s="1205"/>
      <c r="B940" s="1205"/>
      <c r="C940" s="1205"/>
      <c r="D940" s="1205"/>
      <c r="E940" s="1206"/>
      <c r="F940" s="1206"/>
      <c r="G940" s="1206"/>
      <c r="H940" s="1205"/>
      <c r="I940" s="1205"/>
    </row>
    <row r="941">
      <c r="A941" s="1205"/>
      <c r="B941" s="1205"/>
      <c r="C941" s="1205"/>
      <c r="D941" s="1205"/>
      <c r="E941" s="1206"/>
      <c r="F941" s="1206"/>
      <c r="G941" s="1206"/>
      <c r="H941" s="1205"/>
      <c r="I941" s="1205"/>
    </row>
    <row r="942">
      <c r="A942" s="1205"/>
      <c r="B942" s="1205"/>
      <c r="C942" s="1205"/>
      <c r="D942" s="1205"/>
      <c r="E942" s="1206"/>
      <c r="F942" s="1206"/>
      <c r="G942" s="1206"/>
      <c r="H942" s="1205"/>
      <c r="I942" s="1205"/>
    </row>
    <row r="943">
      <c r="A943" s="1205"/>
      <c r="B943" s="1205"/>
      <c r="C943" s="1205"/>
      <c r="D943" s="1205"/>
      <c r="E943" s="1206"/>
      <c r="F943" s="1206"/>
      <c r="G943" s="1206"/>
      <c r="H943" s="1205"/>
      <c r="I943" s="1205"/>
    </row>
    <row r="944">
      <c r="A944" s="1205"/>
      <c r="B944" s="1205"/>
      <c r="C944" s="1205"/>
      <c r="D944" s="1205"/>
      <c r="E944" s="1206"/>
      <c r="F944" s="1206"/>
      <c r="G944" s="1206"/>
      <c r="H944" s="1205"/>
      <c r="I944" s="1205"/>
    </row>
    <row r="945">
      <c r="A945" s="1205"/>
      <c r="B945" s="1205"/>
      <c r="C945" s="1205"/>
      <c r="D945" s="1205"/>
      <c r="E945" s="1206"/>
      <c r="F945" s="1206"/>
      <c r="G945" s="1206"/>
      <c r="H945" s="1205"/>
      <c r="I945" s="1205"/>
    </row>
    <row r="946">
      <c r="A946" s="1205"/>
      <c r="B946" s="1205"/>
      <c r="C946" s="1205"/>
      <c r="D946" s="1205"/>
      <c r="E946" s="1206"/>
      <c r="F946" s="1206"/>
      <c r="G946" s="1206"/>
      <c r="H946" s="1205"/>
      <c r="I946" s="1205"/>
    </row>
    <row r="947">
      <c r="A947" s="1205"/>
      <c r="B947" s="1205"/>
      <c r="C947" s="1205"/>
      <c r="D947" s="1205"/>
      <c r="E947" s="1206"/>
      <c r="F947" s="1206"/>
      <c r="G947" s="1206"/>
      <c r="H947" s="1205"/>
      <c r="I947" s="1205"/>
    </row>
    <row r="948">
      <c r="A948" s="1205"/>
      <c r="B948" s="1205"/>
      <c r="C948" s="1205"/>
      <c r="D948" s="1205"/>
      <c r="E948" s="1206"/>
      <c r="F948" s="1206"/>
      <c r="G948" s="1206"/>
      <c r="H948" s="1205"/>
      <c r="I948" s="1205"/>
    </row>
    <row r="949">
      <c r="A949" s="1205"/>
      <c r="B949" s="1205"/>
      <c r="C949" s="1205"/>
      <c r="D949" s="1205"/>
      <c r="E949" s="1206"/>
      <c r="F949" s="1206"/>
      <c r="G949" s="1206"/>
      <c r="H949" s="1205"/>
      <c r="I949" s="1205"/>
    </row>
    <row r="950">
      <c r="A950" s="1205"/>
      <c r="B950" s="1205"/>
      <c r="C950" s="1205"/>
      <c r="D950" s="1205"/>
      <c r="E950" s="1206"/>
      <c r="F950" s="1206"/>
      <c r="G950" s="1206"/>
      <c r="H950" s="1205"/>
      <c r="I950" s="1205"/>
    </row>
    <row r="951">
      <c r="A951" s="1205"/>
      <c r="B951" s="1205"/>
      <c r="C951" s="1205"/>
      <c r="D951" s="1205"/>
      <c r="E951" s="1206"/>
      <c r="F951" s="1206"/>
      <c r="G951" s="1206"/>
      <c r="H951" s="1205"/>
      <c r="I951" s="1205"/>
    </row>
    <row r="952">
      <c r="A952" s="1205"/>
      <c r="B952" s="1205"/>
      <c r="C952" s="1205"/>
      <c r="D952" s="1205"/>
      <c r="E952" s="1206"/>
      <c r="F952" s="1206"/>
      <c r="G952" s="1206"/>
      <c r="H952" s="1205"/>
      <c r="I952" s="1205"/>
    </row>
    <row r="953">
      <c r="A953" s="1205"/>
      <c r="B953" s="1205"/>
      <c r="C953" s="1205"/>
      <c r="D953" s="1205"/>
      <c r="E953" s="1206"/>
      <c r="F953" s="1206"/>
      <c r="G953" s="1206"/>
      <c r="H953" s="1205"/>
      <c r="I953" s="1205"/>
    </row>
    <row r="954">
      <c r="A954" s="1205"/>
      <c r="B954" s="1205"/>
      <c r="C954" s="1205"/>
      <c r="D954" s="1205"/>
      <c r="E954" s="1206"/>
      <c r="F954" s="1206"/>
      <c r="G954" s="1206"/>
      <c r="H954" s="1205"/>
      <c r="I954" s="1205"/>
    </row>
    <row r="955">
      <c r="A955" s="1205"/>
      <c r="B955" s="1205"/>
      <c r="C955" s="1205"/>
      <c r="D955" s="1205"/>
      <c r="E955" s="1206"/>
      <c r="F955" s="1206"/>
      <c r="G955" s="1206"/>
      <c r="H955" s="1205"/>
      <c r="I955" s="1205"/>
    </row>
    <row r="956">
      <c r="A956" s="1205"/>
      <c r="B956" s="1205"/>
      <c r="C956" s="1205"/>
      <c r="D956" s="1205"/>
      <c r="E956" s="1206"/>
      <c r="F956" s="1206"/>
      <c r="G956" s="1206"/>
      <c r="H956" s="1205"/>
      <c r="I956" s="1205"/>
    </row>
    <row r="957">
      <c r="A957" s="1205"/>
      <c r="B957" s="1205"/>
      <c r="C957" s="1205"/>
      <c r="D957" s="1205"/>
      <c r="E957" s="1206"/>
      <c r="F957" s="1206"/>
      <c r="G957" s="1206"/>
      <c r="H957" s="1205"/>
      <c r="I957" s="1205"/>
    </row>
    <row r="958">
      <c r="A958" s="1205"/>
      <c r="B958" s="1205"/>
      <c r="C958" s="1205"/>
      <c r="D958" s="1205"/>
      <c r="E958" s="1206"/>
      <c r="F958" s="1206"/>
      <c r="G958" s="1206"/>
      <c r="H958" s="1205"/>
      <c r="I958" s="1205"/>
    </row>
    <row r="959">
      <c r="A959" s="1205"/>
      <c r="B959" s="1205"/>
      <c r="C959" s="1205"/>
      <c r="D959" s="1205"/>
      <c r="E959" s="1206"/>
      <c r="F959" s="1206"/>
      <c r="G959" s="1206"/>
      <c r="H959" s="1205"/>
      <c r="I959" s="1205"/>
    </row>
    <row r="960">
      <c r="A960" s="1205"/>
      <c r="B960" s="1205"/>
      <c r="C960" s="1205"/>
      <c r="D960" s="1205"/>
      <c r="E960" s="1206"/>
      <c r="F960" s="1206"/>
      <c r="G960" s="1206"/>
      <c r="H960" s="1205"/>
      <c r="I960" s="1205"/>
    </row>
    <row r="961">
      <c r="A961" s="1205"/>
      <c r="B961" s="1205"/>
      <c r="C961" s="1205"/>
      <c r="D961" s="1205"/>
      <c r="E961" s="1206"/>
      <c r="F961" s="1206"/>
      <c r="G961" s="1206"/>
      <c r="H961" s="1205"/>
      <c r="I961" s="1205"/>
    </row>
    <row r="962">
      <c r="A962" s="1205"/>
      <c r="B962" s="1205"/>
      <c r="C962" s="1205"/>
      <c r="D962" s="1205"/>
      <c r="E962" s="1206"/>
      <c r="F962" s="1206"/>
      <c r="G962" s="1206"/>
      <c r="H962" s="1205"/>
      <c r="I962" s="1205"/>
    </row>
    <row r="963">
      <c r="A963" s="1205"/>
      <c r="B963" s="1205"/>
      <c r="C963" s="1205"/>
      <c r="D963" s="1205"/>
      <c r="E963" s="1206"/>
      <c r="F963" s="1206"/>
      <c r="G963" s="1206"/>
      <c r="H963" s="1205"/>
      <c r="I963" s="1205"/>
    </row>
    <row r="964">
      <c r="A964" s="1205"/>
      <c r="B964" s="1205"/>
      <c r="C964" s="1205"/>
      <c r="D964" s="1205"/>
      <c r="E964" s="1206"/>
      <c r="F964" s="1206"/>
      <c r="G964" s="1206"/>
      <c r="H964" s="1205"/>
      <c r="I964" s="1205"/>
    </row>
    <row r="965">
      <c r="A965" s="1205"/>
      <c r="B965" s="1205"/>
      <c r="C965" s="1205"/>
      <c r="D965" s="1205"/>
      <c r="E965" s="1206"/>
      <c r="F965" s="1206"/>
      <c r="G965" s="1206"/>
      <c r="H965" s="1205"/>
      <c r="I965" s="1205"/>
    </row>
    <row r="966">
      <c r="A966" s="1205"/>
      <c r="B966" s="1205"/>
      <c r="C966" s="1205"/>
      <c r="D966" s="1205"/>
      <c r="E966" s="1206"/>
      <c r="F966" s="1206"/>
      <c r="G966" s="1206"/>
      <c r="H966" s="1205"/>
      <c r="I966" s="1205"/>
    </row>
    <row r="967">
      <c r="A967" s="1205"/>
      <c r="B967" s="1205"/>
      <c r="C967" s="1205"/>
      <c r="D967" s="1205"/>
      <c r="E967" s="1206"/>
      <c r="F967" s="1206"/>
      <c r="G967" s="1206"/>
      <c r="H967" s="1205"/>
      <c r="I967" s="1205"/>
    </row>
    <row r="968">
      <c r="A968" s="1205"/>
      <c r="B968" s="1205"/>
      <c r="C968" s="1205"/>
      <c r="D968" s="1205"/>
      <c r="E968" s="1206"/>
      <c r="F968" s="1206"/>
      <c r="G968" s="1206"/>
      <c r="H968" s="1205"/>
      <c r="I968" s="1205"/>
    </row>
    <row r="969">
      <c r="A969" s="1205"/>
      <c r="B969" s="1205"/>
      <c r="C969" s="1205"/>
      <c r="D969" s="1205"/>
      <c r="E969" s="1206"/>
      <c r="F969" s="1206"/>
      <c r="G969" s="1206"/>
      <c r="H969" s="1205"/>
      <c r="I969" s="1205"/>
    </row>
    <row r="970">
      <c r="A970" s="1205"/>
      <c r="B970" s="1205"/>
      <c r="C970" s="1205"/>
      <c r="D970" s="1205"/>
      <c r="E970" s="1206"/>
      <c r="F970" s="1206"/>
      <c r="G970" s="1206"/>
      <c r="H970" s="1205"/>
      <c r="I970" s="1205"/>
    </row>
    <row r="971">
      <c r="A971" s="1205"/>
      <c r="B971" s="1205"/>
      <c r="C971" s="1205"/>
      <c r="D971" s="1205"/>
      <c r="E971" s="1206"/>
      <c r="F971" s="1206"/>
      <c r="G971" s="1206"/>
      <c r="H971" s="1205"/>
      <c r="I971" s="1205"/>
    </row>
    <row r="972">
      <c r="A972" s="1205"/>
      <c r="B972" s="1205"/>
      <c r="C972" s="1205"/>
      <c r="D972" s="1205"/>
      <c r="E972" s="1206"/>
      <c r="F972" s="1206"/>
      <c r="G972" s="1206"/>
      <c r="H972" s="1205"/>
      <c r="I972" s="1205"/>
    </row>
    <row r="973">
      <c r="A973" s="1205"/>
      <c r="B973" s="1205"/>
      <c r="C973" s="1205"/>
      <c r="D973" s="1205"/>
      <c r="E973" s="1206"/>
      <c r="F973" s="1206"/>
      <c r="G973" s="1206"/>
      <c r="H973" s="1205"/>
      <c r="I973" s="1205"/>
    </row>
    <row r="974">
      <c r="A974" s="1205"/>
      <c r="B974" s="1205"/>
      <c r="C974" s="1205"/>
      <c r="D974" s="1205"/>
      <c r="E974" s="1206"/>
      <c r="F974" s="1206"/>
      <c r="G974" s="1206"/>
      <c r="H974" s="1205"/>
      <c r="I974" s="1205"/>
    </row>
    <row r="975">
      <c r="A975" s="1205"/>
      <c r="B975" s="1205"/>
      <c r="C975" s="1205"/>
      <c r="D975" s="1205"/>
      <c r="E975" s="1206"/>
      <c r="F975" s="1206"/>
      <c r="G975" s="1206"/>
      <c r="H975" s="1205"/>
      <c r="I975" s="1205"/>
    </row>
    <row r="976">
      <c r="A976" s="1205"/>
      <c r="B976" s="1205"/>
      <c r="C976" s="1205"/>
      <c r="D976" s="1205"/>
      <c r="E976" s="1206"/>
      <c r="F976" s="1206"/>
      <c r="G976" s="1206"/>
      <c r="H976" s="1205"/>
      <c r="I976" s="1205"/>
    </row>
    <row r="977">
      <c r="A977" s="1205"/>
      <c r="B977" s="1205"/>
      <c r="C977" s="1205"/>
      <c r="D977" s="1205"/>
      <c r="E977" s="1206"/>
      <c r="F977" s="1206"/>
      <c r="G977" s="1206"/>
      <c r="H977" s="1205"/>
      <c r="I977" s="1205"/>
    </row>
    <row r="978">
      <c r="A978" s="1205"/>
      <c r="B978" s="1205"/>
      <c r="C978" s="1205"/>
      <c r="D978" s="1205"/>
      <c r="E978" s="1206"/>
      <c r="F978" s="1206"/>
      <c r="G978" s="1206"/>
      <c r="H978" s="1205"/>
      <c r="I978" s="1205"/>
    </row>
    <row r="979">
      <c r="A979" s="1205"/>
      <c r="B979" s="1205"/>
      <c r="C979" s="1205"/>
      <c r="D979" s="1205"/>
      <c r="E979" s="1206"/>
      <c r="F979" s="1206"/>
      <c r="G979" s="1206"/>
      <c r="H979" s="1205"/>
      <c r="I979" s="1205"/>
    </row>
    <row r="980">
      <c r="A980" s="1205"/>
      <c r="B980" s="1205"/>
      <c r="C980" s="1205"/>
      <c r="D980" s="1205"/>
      <c r="E980" s="1206"/>
      <c r="F980" s="1206"/>
      <c r="G980" s="1206"/>
      <c r="H980" s="1205"/>
      <c r="I980" s="1205"/>
    </row>
    <row r="981">
      <c r="A981" s="1205"/>
      <c r="B981" s="1205"/>
      <c r="C981" s="1205"/>
      <c r="D981" s="1205"/>
      <c r="E981" s="1206"/>
      <c r="F981" s="1206"/>
      <c r="G981" s="1206"/>
      <c r="H981" s="1205"/>
      <c r="I981" s="1205"/>
    </row>
    <row r="982">
      <c r="A982" s="1205"/>
      <c r="B982" s="1205"/>
      <c r="C982" s="1205"/>
      <c r="D982" s="1205"/>
      <c r="E982" s="1206"/>
      <c r="F982" s="1206"/>
      <c r="G982" s="1206"/>
      <c r="H982" s="1205"/>
      <c r="I982" s="1205"/>
    </row>
    <row r="983">
      <c r="A983" s="1205"/>
      <c r="B983" s="1205"/>
      <c r="C983" s="1205"/>
      <c r="D983" s="1205"/>
      <c r="E983" s="1206"/>
      <c r="F983" s="1206"/>
      <c r="G983" s="1206"/>
      <c r="H983" s="1205"/>
      <c r="I983" s="1205"/>
    </row>
    <row r="984">
      <c r="A984" s="1205"/>
      <c r="B984" s="1205"/>
      <c r="C984" s="1205"/>
      <c r="D984" s="1205"/>
      <c r="E984" s="1206"/>
      <c r="F984" s="1206"/>
      <c r="G984" s="1206"/>
      <c r="H984" s="1205"/>
      <c r="I984" s="1205"/>
    </row>
    <row r="985">
      <c r="A985" s="1205"/>
      <c r="B985" s="1205"/>
      <c r="C985" s="1205"/>
      <c r="D985" s="1205"/>
      <c r="E985" s="1206"/>
      <c r="F985" s="1206"/>
      <c r="G985" s="1206"/>
      <c r="H985" s="1205"/>
      <c r="I985" s="1205"/>
    </row>
    <row r="986">
      <c r="A986" s="1205"/>
      <c r="B986" s="1205"/>
      <c r="C986" s="1205"/>
      <c r="D986" s="1205"/>
      <c r="E986" s="1206"/>
      <c r="F986" s="1206"/>
      <c r="G986" s="1206"/>
      <c r="H986" s="1205"/>
      <c r="I986" s="1205"/>
    </row>
    <row r="987">
      <c r="A987" s="1205"/>
      <c r="B987" s="1205"/>
      <c r="C987" s="1205"/>
      <c r="D987" s="1205"/>
      <c r="E987" s="1206"/>
      <c r="F987" s="1206"/>
      <c r="G987" s="1206"/>
      <c r="H987" s="1205"/>
      <c r="I987" s="1205"/>
    </row>
    <row r="988">
      <c r="A988" s="1205"/>
      <c r="B988" s="1205"/>
      <c r="C988" s="1205"/>
      <c r="D988" s="1205"/>
      <c r="E988" s="1206"/>
      <c r="F988" s="1206"/>
      <c r="G988" s="1206"/>
      <c r="H988" s="1205"/>
      <c r="I988" s="1205"/>
    </row>
    <row r="989">
      <c r="A989" s="1205"/>
      <c r="B989" s="1205"/>
      <c r="C989" s="1205"/>
      <c r="D989" s="1205"/>
      <c r="E989" s="1206"/>
      <c r="F989" s="1206"/>
      <c r="G989" s="1206"/>
      <c r="H989" s="1205"/>
      <c r="I989" s="1205"/>
    </row>
    <row r="990">
      <c r="A990" s="1205"/>
      <c r="B990" s="1205"/>
      <c r="C990" s="1205"/>
      <c r="D990" s="1205"/>
      <c r="E990" s="1206"/>
      <c r="F990" s="1206"/>
      <c r="G990" s="1206"/>
      <c r="H990" s="1205"/>
      <c r="I990" s="1205"/>
    </row>
    <row r="991">
      <c r="A991" s="1205"/>
      <c r="B991" s="1205"/>
      <c r="C991" s="1205"/>
      <c r="D991" s="1205"/>
      <c r="E991" s="1206"/>
      <c r="F991" s="1206"/>
      <c r="G991" s="1206"/>
      <c r="H991" s="1205"/>
      <c r="I991" s="1205"/>
    </row>
    <row r="992">
      <c r="A992" s="1205"/>
      <c r="B992" s="1205"/>
      <c r="C992" s="1205"/>
      <c r="D992" s="1205"/>
      <c r="E992" s="1206"/>
      <c r="F992" s="1206"/>
      <c r="G992" s="1206"/>
      <c r="H992" s="1205"/>
      <c r="I992" s="1205"/>
    </row>
    <row r="993">
      <c r="A993" s="1205"/>
      <c r="B993" s="1205"/>
      <c r="C993" s="1205"/>
      <c r="D993" s="1205"/>
      <c r="E993" s="1206"/>
      <c r="F993" s="1206"/>
      <c r="G993" s="1206"/>
      <c r="H993" s="1205"/>
      <c r="I993" s="1205"/>
    </row>
    <row r="994">
      <c r="A994" s="1205"/>
      <c r="B994" s="1205"/>
      <c r="C994" s="1205"/>
      <c r="D994" s="1205"/>
      <c r="E994" s="1206"/>
      <c r="F994" s="1206"/>
      <c r="G994" s="1206"/>
      <c r="H994" s="1205"/>
      <c r="I994" s="1205"/>
    </row>
    <row r="995">
      <c r="A995" s="1205"/>
      <c r="B995" s="1205"/>
      <c r="C995" s="1205"/>
      <c r="D995" s="1205"/>
      <c r="E995" s="1206"/>
      <c r="F995" s="1206"/>
      <c r="G995" s="1206"/>
      <c r="H995" s="1205"/>
      <c r="I995" s="1205"/>
    </row>
    <row r="996">
      <c r="A996" s="1205"/>
      <c r="B996" s="1205"/>
      <c r="C996" s="1205"/>
      <c r="D996" s="1205"/>
      <c r="E996" s="1206"/>
      <c r="F996" s="1206"/>
      <c r="G996" s="1206"/>
      <c r="H996" s="1205"/>
      <c r="I996" s="1205"/>
    </row>
    <row r="997">
      <c r="A997" s="1205"/>
      <c r="B997" s="1205"/>
      <c r="C997" s="1205"/>
      <c r="D997" s="1205"/>
      <c r="E997" s="1206"/>
      <c r="F997" s="1206"/>
      <c r="G997" s="1206"/>
      <c r="H997" s="1205"/>
      <c r="I997" s="1205"/>
    </row>
    <row r="998">
      <c r="A998" s="1205"/>
      <c r="B998" s="1205"/>
      <c r="C998" s="1205"/>
      <c r="D998" s="1205"/>
      <c r="E998" s="1206"/>
      <c r="F998" s="1206"/>
      <c r="G998" s="1206"/>
      <c r="H998" s="1205"/>
      <c r="I998" s="1205"/>
    </row>
    <row r="999">
      <c r="A999" s="1205"/>
      <c r="B999" s="1205"/>
      <c r="C999" s="1205"/>
      <c r="D999" s="1205"/>
      <c r="E999" s="1206"/>
      <c r="F999" s="1206"/>
      <c r="G999" s="1206"/>
      <c r="H999" s="1205"/>
      <c r="I999" s="1205"/>
    </row>
    <row r="1000">
      <c r="A1000" s="1205"/>
      <c r="B1000" s="1205"/>
      <c r="C1000" s="1205"/>
      <c r="D1000" s="1205"/>
      <c r="E1000" s="1206"/>
      <c r="F1000" s="1206"/>
      <c r="G1000" s="1206"/>
      <c r="H1000" s="1205"/>
      <c r="I1000" s="1205"/>
    </row>
    <row r="1001">
      <c r="A1001" s="1205"/>
      <c r="B1001" s="1205"/>
      <c r="C1001" s="1205"/>
      <c r="D1001" s="1205"/>
      <c r="E1001" s="1206"/>
      <c r="F1001" s="1206"/>
      <c r="G1001" s="1206"/>
      <c r="H1001" s="1205"/>
      <c r="I1001" s="1205"/>
    </row>
    <row r="1002">
      <c r="A1002" s="1205"/>
      <c r="B1002" s="1205"/>
      <c r="C1002" s="1205"/>
      <c r="D1002" s="1205"/>
      <c r="E1002" s="1206"/>
      <c r="F1002" s="1206"/>
      <c r="G1002" s="1206"/>
      <c r="H1002" s="1205"/>
      <c r="I1002" s="1205"/>
    </row>
    <row r="1003">
      <c r="A1003" s="1205"/>
      <c r="B1003" s="1205"/>
      <c r="C1003" s="1205"/>
      <c r="D1003" s="1205"/>
      <c r="E1003" s="1206"/>
      <c r="F1003" s="1206"/>
      <c r="G1003" s="1206"/>
      <c r="H1003" s="1205"/>
      <c r="I1003" s="1205"/>
    </row>
    <row r="1004">
      <c r="A1004" s="1205"/>
      <c r="B1004" s="1205"/>
      <c r="C1004" s="1205"/>
      <c r="D1004" s="1205"/>
      <c r="E1004" s="1206"/>
      <c r="F1004" s="1206"/>
      <c r="G1004" s="1206"/>
      <c r="H1004" s="1205"/>
      <c r="I1004" s="1205"/>
    </row>
    <row r="1005">
      <c r="A1005" s="1205"/>
      <c r="B1005" s="1205"/>
      <c r="C1005" s="1205"/>
      <c r="D1005" s="1205"/>
      <c r="E1005" s="1206"/>
      <c r="F1005" s="1206"/>
      <c r="G1005" s="1206"/>
      <c r="H1005" s="1205"/>
      <c r="I1005" s="1205"/>
    </row>
    <row r="1006">
      <c r="A1006" s="1205"/>
      <c r="B1006" s="1205"/>
      <c r="C1006" s="1205"/>
      <c r="D1006" s="1205"/>
      <c r="E1006" s="1206"/>
      <c r="F1006" s="1206"/>
      <c r="G1006" s="1206"/>
      <c r="H1006" s="1205"/>
      <c r="I1006" s="1205"/>
    </row>
    <row r="1007">
      <c r="A1007" s="1205"/>
      <c r="B1007" s="1205"/>
      <c r="C1007" s="1205"/>
      <c r="D1007" s="1205"/>
      <c r="E1007" s="1206"/>
      <c r="F1007" s="1206"/>
      <c r="G1007" s="1206"/>
      <c r="H1007" s="1205"/>
      <c r="I1007" s="1205"/>
    </row>
    <row r="1008">
      <c r="A1008" s="1205"/>
      <c r="B1008" s="1205"/>
      <c r="C1008" s="1205"/>
      <c r="D1008" s="1205"/>
      <c r="E1008" s="1206"/>
      <c r="F1008" s="1206"/>
      <c r="G1008" s="1206"/>
      <c r="H1008" s="1205"/>
      <c r="I1008" s="1205"/>
    </row>
    <row r="1009">
      <c r="A1009" s="1205"/>
      <c r="B1009" s="1205"/>
      <c r="C1009" s="1205"/>
      <c r="D1009" s="1205"/>
      <c r="E1009" s="1206"/>
      <c r="F1009" s="1206"/>
      <c r="G1009" s="1206"/>
      <c r="H1009" s="1205"/>
      <c r="I1009" s="1205"/>
    </row>
  </sheetData>
  <mergeCells count="42">
    <mergeCell ref="G20:G22"/>
    <mergeCell ref="G27:G28"/>
    <mergeCell ref="H27:H28"/>
    <mergeCell ref="I27:I28"/>
    <mergeCell ref="A1:I1"/>
    <mergeCell ref="E5:E34"/>
    <mergeCell ref="F5:F34"/>
    <mergeCell ref="G5:G10"/>
    <mergeCell ref="H5:H10"/>
    <mergeCell ref="I5:I10"/>
    <mergeCell ref="I20:I22"/>
    <mergeCell ref="I31:I33"/>
    <mergeCell ref="G31:G33"/>
    <mergeCell ref="H31:H33"/>
    <mergeCell ref="E35:E37"/>
    <mergeCell ref="F35:F37"/>
    <mergeCell ref="E38:E43"/>
    <mergeCell ref="F38:F43"/>
    <mergeCell ref="F45:F46"/>
    <mergeCell ref="E45:E46"/>
    <mergeCell ref="E48:E64"/>
    <mergeCell ref="F48:F64"/>
    <mergeCell ref="G48:G64"/>
    <mergeCell ref="H48:H64"/>
    <mergeCell ref="I48:I64"/>
    <mergeCell ref="E65:E74"/>
    <mergeCell ref="G99:G102"/>
    <mergeCell ref="H99:H102"/>
    <mergeCell ref="E99:E118"/>
    <mergeCell ref="B127:B136"/>
    <mergeCell ref="C127:C136"/>
    <mergeCell ref="E127:E146"/>
    <mergeCell ref="F127:F146"/>
    <mergeCell ref="B137:B146"/>
    <mergeCell ref="E89:E97"/>
    <mergeCell ref="F89:F97"/>
    <mergeCell ref="G89:G90"/>
    <mergeCell ref="H89:H90"/>
    <mergeCell ref="I89:I90"/>
    <mergeCell ref="F99:F118"/>
    <mergeCell ref="I99:I102"/>
    <mergeCell ref="I142:I14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0.0"/>
    <col customWidth="1" min="3" max="3" width="10.29"/>
    <col customWidth="1" min="4" max="4" width="10.0"/>
    <col customWidth="1" min="5" max="5" width="12.71"/>
    <col customWidth="1" min="6" max="6" width="34.0"/>
    <col customWidth="1" min="7" max="7" width="17.14"/>
    <col customWidth="1" min="8" max="8" width="19.86"/>
  </cols>
  <sheetData>
    <row r="1">
      <c r="A1" s="145" t="s">
        <v>5923</v>
      </c>
      <c r="B1" s="2"/>
      <c r="C1" s="2"/>
      <c r="D1" s="2"/>
      <c r="E1" s="2"/>
      <c r="F1" s="2"/>
      <c r="G1" s="2"/>
      <c r="H1" s="3"/>
    </row>
    <row r="2">
      <c r="A2" s="146" t="s">
        <v>1435</v>
      </c>
      <c r="B2" s="147" t="s">
        <v>1436</v>
      </c>
      <c r="C2" s="146" t="s">
        <v>1843</v>
      </c>
      <c r="D2" s="148" t="s">
        <v>1438</v>
      </c>
      <c r="E2" s="149" t="s">
        <v>1564</v>
      </c>
      <c r="F2" s="603" t="s">
        <v>1440</v>
      </c>
      <c r="G2" s="146" t="s">
        <v>1844</v>
      </c>
      <c r="H2" s="147" t="s">
        <v>1441</v>
      </c>
    </row>
    <row r="3">
      <c r="A3" s="151">
        <v>1.0</v>
      </c>
      <c r="B3" s="151"/>
      <c r="C3" s="151"/>
      <c r="D3" s="152"/>
      <c r="E3" s="157"/>
      <c r="F3" s="525"/>
      <c r="G3" s="151"/>
      <c r="H3" s="156"/>
    </row>
    <row r="4">
      <c r="A4" s="151">
        <v>2.0</v>
      </c>
      <c r="B4" s="200"/>
      <c r="C4" s="201"/>
      <c r="D4" s="1120"/>
      <c r="E4" s="197"/>
      <c r="F4" s="160"/>
      <c r="G4" s="160"/>
      <c r="H4" s="160"/>
    </row>
    <row r="5">
      <c r="A5" s="151">
        <v>3.0</v>
      </c>
      <c r="B5" s="200"/>
      <c r="C5" s="201"/>
      <c r="D5" s="1120"/>
      <c r="E5" s="197"/>
      <c r="F5" s="160"/>
      <c r="G5" s="160"/>
      <c r="H5" s="160"/>
    </row>
    <row r="6">
      <c r="A6" s="151">
        <v>4.0</v>
      </c>
      <c r="B6" s="151"/>
      <c r="C6" s="151"/>
      <c r="D6" s="152"/>
      <c r="E6" s="157"/>
      <c r="F6" s="525"/>
      <c r="G6" s="151"/>
      <c r="H6" s="156"/>
    </row>
    <row r="7">
      <c r="A7" s="151">
        <v>5.0</v>
      </c>
      <c r="B7" s="151"/>
      <c r="C7" s="151"/>
      <c r="D7" s="152"/>
      <c r="E7" s="157"/>
      <c r="F7" s="525"/>
      <c r="G7" s="151"/>
      <c r="H7" s="156"/>
    </row>
    <row r="8">
      <c r="A8" s="151">
        <v>6.0</v>
      </c>
      <c r="B8" s="151"/>
      <c r="C8" s="151"/>
      <c r="D8" s="152"/>
      <c r="E8" s="157"/>
      <c r="F8" s="525"/>
      <c r="G8" s="151"/>
      <c r="H8" s="156"/>
    </row>
    <row r="9">
      <c r="A9" s="151">
        <v>7.0</v>
      </c>
      <c r="B9" s="151"/>
      <c r="C9" s="151"/>
      <c r="D9" s="152"/>
      <c r="E9" s="157"/>
      <c r="F9" s="525"/>
      <c r="G9" s="151"/>
      <c r="H9" s="156"/>
    </row>
    <row r="10">
      <c r="A10" s="151">
        <v>8.0</v>
      </c>
      <c r="B10" s="151"/>
      <c r="C10" s="151"/>
      <c r="D10" s="152"/>
      <c r="E10" s="157"/>
      <c r="F10" s="525"/>
      <c r="G10" s="151"/>
      <c r="H10" s="156"/>
    </row>
    <row r="11">
      <c r="A11" s="151">
        <v>9.0</v>
      </c>
      <c r="B11" s="151"/>
      <c r="C11" s="151"/>
      <c r="D11" s="152"/>
      <c r="E11" s="157"/>
      <c r="F11" s="525"/>
      <c r="G11" s="151"/>
      <c r="H11" s="156"/>
    </row>
    <row r="12">
      <c r="A12" s="151">
        <v>10.0</v>
      </c>
      <c r="B12" s="151"/>
      <c r="C12" s="151"/>
      <c r="D12" s="152"/>
      <c r="E12" s="157"/>
      <c r="F12" s="525"/>
      <c r="G12" s="151"/>
      <c r="H12" s="156"/>
    </row>
    <row r="13">
      <c r="A13" s="161" t="s">
        <v>1562</v>
      </c>
      <c r="B13" s="3"/>
      <c r="C13" s="151">
        <f t="shared" ref="C13:E13" si="1">sum(C3:C12)</f>
        <v>0</v>
      </c>
      <c r="D13" s="152">
        <f t="shared" si="1"/>
        <v>0</v>
      </c>
      <c r="E13" s="157">
        <f t="shared" si="1"/>
        <v>0</v>
      </c>
      <c r="F13" s="525"/>
      <c r="G13" s="155"/>
      <c r="H13" s="1110"/>
    </row>
  </sheetData>
  <mergeCells count="2">
    <mergeCell ref="A1:H1"/>
    <mergeCell ref="A13:B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57"/>
    <col customWidth="1" min="2" max="2" width="41.14"/>
  </cols>
  <sheetData>
    <row r="3">
      <c r="A3" s="1207" t="s">
        <v>6166</v>
      </c>
      <c r="B3" s="1207" t="s">
        <v>6167</v>
      </c>
      <c r="C3" s="29" t="s">
        <v>6168</v>
      </c>
      <c r="F3" s="29" t="s">
        <v>6166</v>
      </c>
      <c r="G3" s="29" t="s">
        <v>6169</v>
      </c>
    </row>
    <row r="4">
      <c r="A4" s="1208" t="s">
        <v>6170</v>
      </c>
      <c r="B4" s="1208" t="s">
        <v>6171</v>
      </c>
      <c r="C4" s="1209" t="s">
        <v>1571</v>
      </c>
      <c r="G4" s="29" t="s">
        <v>6172</v>
      </c>
    </row>
    <row r="5">
      <c r="A5" s="1208" t="s">
        <v>6170</v>
      </c>
      <c r="B5" s="1208" t="s">
        <v>6173</v>
      </c>
      <c r="C5" s="1209" t="s">
        <v>1571</v>
      </c>
    </row>
    <row r="6">
      <c r="A6" s="1208" t="s">
        <v>6174</v>
      </c>
      <c r="B6" s="1208" t="s">
        <v>6175</v>
      </c>
    </row>
    <row r="7">
      <c r="A7" s="1208" t="s">
        <v>6174</v>
      </c>
      <c r="B7" s="1208" t="s">
        <v>6176</v>
      </c>
      <c r="C7" s="29" t="s">
        <v>6177</v>
      </c>
    </row>
    <row r="8">
      <c r="A8" s="1208" t="s">
        <v>6170</v>
      </c>
      <c r="B8" s="1208" t="s">
        <v>6178</v>
      </c>
      <c r="C8" s="1209" t="s">
        <v>1571</v>
      </c>
    </row>
    <row r="9">
      <c r="A9" s="1208" t="s">
        <v>6179</v>
      </c>
      <c r="B9" s="1208" t="s">
        <v>6180</v>
      </c>
      <c r="C9" s="29" t="s">
        <v>6181</v>
      </c>
    </row>
    <row r="10">
      <c r="A10" s="1208" t="s">
        <v>6179</v>
      </c>
      <c r="B10" s="1208" t="s">
        <v>6182</v>
      </c>
      <c r="C10" s="29" t="s">
        <v>6177</v>
      </c>
    </row>
    <row r="11">
      <c r="A11" s="1208" t="s">
        <v>6183</v>
      </c>
      <c r="B11" s="1208" t="s">
        <v>6184</v>
      </c>
      <c r="C11" s="1210" t="s">
        <v>6185</v>
      </c>
    </row>
    <row r="12">
      <c r="A12" s="1208" t="s">
        <v>6186</v>
      </c>
      <c r="B12" s="1208" t="s">
        <v>6187</v>
      </c>
      <c r="C12" s="29" t="s">
        <v>6177</v>
      </c>
    </row>
    <row r="13">
      <c r="A13" s="1208" t="s">
        <v>6188</v>
      </c>
      <c r="B13" s="1208" t="s">
        <v>6189</v>
      </c>
      <c r="C13" s="1211" t="s">
        <v>6177</v>
      </c>
    </row>
    <row r="14">
      <c r="A14" s="1208" t="s">
        <v>6190</v>
      </c>
      <c r="B14" s="1208" t="s">
        <v>6191</v>
      </c>
      <c r="C14" s="1211" t="s">
        <v>6177</v>
      </c>
    </row>
    <row r="15">
      <c r="A15" s="1208" t="s">
        <v>6192</v>
      </c>
      <c r="B15" s="1208" t="s">
        <v>6193</v>
      </c>
      <c r="C15" s="1211" t="s">
        <v>6177</v>
      </c>
    </row>
    <row r="16">
      <c r="A16" s="1208" t="s">
        <v>6194</v>
      </c>
      <c r="B16" s="1208" t="s">
        <v>6195</v>
      </c>
      <c r="C16" s="1211" t="s">
        <v>6177</v>
      </c>
    </row>
    <row r="17">
      <c r="A17" s="1208" t="s">
        <v>6196</v>
      </c>
      <c r="B17" s="1208" t="s">
        <v>6197</v>
      </c>
      <c r="C17" s="1211" t="s">
        <v>6177</v>
      </c>
    </row>
    <row r="18">
      <c r="A18" s="1208" t="s">
        <v>6198</v>
      </c>
      <c r="B18" s="1208" t="s">
        <v>6199</v>
      </c>
      <c r="C18" s="1211" t="s">
        <v>6177</v>
      </c>
    </row>
    <row r="19">
      <c r="A19" s="1208" t="s">
        <v>6200</v>
      </c>
      <c r="B19" s="1208" t="s">
        <v>6201</v>
      </c>
      <c r="C19" s="1211" t="s">
        <v>6177</v>
      </c>
    </row>
    <row r="20">
      <c r="A20" s="1208" t="s">
        <v>6202</v>
      </c>
      <c r="B20" s="1208" t="s">
        <v>6203</v>
      </c>
      <c r="C20" s="1211" t="s">
        <v>6177</v>
      </c>
    </row>
    <row r="21">
      <c r="A21" s="1208" t="s">
        <v>6186</v>
      </c>
      <c r="B21" s="1208" t="s">
        <v>6204</v>
      </c>
      <c r="C21" s="1211" t="s">
        <v>6177</v>
      </c>
    </row>
    <row r="22">
      <c r="A22" s="1208" t="s">
        <v>6186</v>
      </c>
      <c r="B22" s="1208" t="s">
        <v>6205</v>
      </c>
      <c r="C22" s="1211" t="s">
        <v>6177</v>
      </c>
    </row>
    <row r="23">
      <c r="A23" s="1208" t="s">
        <v>6186</v>
      </c>
      <c r="B23" s="1208" t="s">
        <v>6206</v>
      </c>
      <c r="C23" s="1211" t="s">
        <v>6177</v>
      </c>
    </row>
    <row r="24">
      <c r="A24" s="1208" t="s">
        <v>6186</v>
      </c>
      <c r="B24" s="1208" t="s">
        <v>6207</v>
      </c>
      <c r="C24" s="1211" t="s">
        <v>6177</v>
      </c>
    </row>
    <row r="25">
      <c r="A25" s="1208" t="s">
        <v>6186</v>
      </c>
      <c r="B25" s="1208" t="s">
        <v>6208</v>
      </c>
      <c r="C25" s="1211" t="s">
        <v>6177</v>
      </c>
    </row>
    <row r="26">
      <c r="A26" s="1208" t="s">
        <v>6209</v>
      </c>
      <c r="B26" s="1208" t="s">
        <v>6210</v>
      </c>
      <c r="C26" s="1211" t="s">
        <v>6177</v>
      </c>
    </row>
    <row r="27">
      <c r="A27" s="1208" t="s">
        <v>6211</v>
      </c>
      <c r="B27" s="1208" t="s">
        <v>6212</v>
      </c>
      <c r="C27" s="1211" t="s">
        <v>6177</v>
      </c>
    </row>
    <row r="28">
      <c r="A28" s="1208" t="s">
        <v>6213</v>
      </c>
      <c r="B28" s="1208" t="s">
        <v>6214</v>
      </c>
      <c r="C28" s="1211" t="s">
        <v>6177</v>
      </c>
    </row>
    <row r="29">
      <c r="A29" s="1208" t="s">
        <v>6215</v>
      </c>
      <c r="B29" s="1208" t="s">
        <v>6216</v>
      </c>
      <c r="C29" s="1211" t="s">
        <v>6177</v>
      </c>
    </row>
    <row r="30">
      <c r="A30" s="1208" t="s">
        <v>6217</v>
      </c>
      <c r="B30" s="1208" t="s">
        <v>6218</v>
      </c>
      <c r="C30" s="1211" t="s">
        <v>6177</v>
      </c>
    </row>
    <row r="31">
      <c r="A31" s="1208" t="s">
        <v>356</v>
      </c>
      <c r="B31" s="1208" t="s">
        <v>6219</v>
      </c>
      <c r="C31" s="1211" t="s">
        <v>6177</v>
      </c>
    </row>
    <row r="32">
      <c r="A32" s="1208" t="s">
        <v>6220</v>
      </c>
      <c r="B32" s="1208" t="s">
        <v>6221</v>
      </c>
      <c r="C32" s="1211" t="s">
        <v>6177</v>
      </c>
    </row>
    <row r="33">
      <c r="A33" s="1208" t="s">
        <v>6222</v>
      </c>
      <c r="B33" s="1208" t="s">
        <v>6223</v>
      </c>
      <c r="C33" s="1211" t="s">
        <v>6177</v>
      </c>
    </row>
    <row r="34">
      <c r="A34" s="1208" t="s">
        <v>6220</v>
      </c>
      <c r="B34" s="1208" t="s">
        <v>6224</v>
      </c>
      <c r="C34" s="1211" t="s">
        <v>6177</v>
      </c>
    </row>
    <row r="35">
      <c r="A35" s="1208" t="s">
        <v>6225</v>
      </c>
      <c r="B35" s="1208" t="s">
        <v>6226</v>
      </c>
      <c r="C35" s="1211" t="s">
        <v>6177</v>
      </c>
    </row>
    <row r="36">
      <c r="A36" s="1208" t="s">
        <v>6227</v>
      </c>
      <c r="B36" s="1208" t="s">
        <v>6228</v>
      </c>
      <c r="C36" s="1211" t="s">
        <v>6177</v>
      </c>
    </row>
    <row r="37">
      <c r="A37" s="1208" t="s">
        <v>6229</v>
      </c>
      <c r="B37" s="1208" t="s">
        <v>6230</v>
      </c>
      <c r="C37" s="1211" t="s">
        <v>6177</v>
      </c>
    </row>
    <row r="38">
      <c r="A38" s="1208" t="s">
        <v>6231</v>
      </c>
      <c r="B38" s="1208" t="s">
        <v>6232</v>
      </c>
      <c r="C38" s="1211" t="s">
        <v>6177</v>
      </c>
    </row>
    <row r="39">
      <c r="A39" s="1208" t="s">
        <v>6233</v>
      </c>
      <c r="B39" s="1208" t="s">
        <v>6234</v>
      </c>
      <c r="C39" s="1211" t="s">
        <v>6177</v>
      </c>
    </row>
    <row r="40">
      <c r="A40" s="1208" t="s">
        <v>6235</v>
      </c>
      <c r="B40" s="1208" t="s">
        <v>6236</v>
      </c>
      <c r="C40" s="1211" t="s">
        <v>6177</v>
      </c>
    </row>
    <row r="41">
      <c r="A41" s="1208" t="s">
        <v>6237</v>
      </c>
      <c r="B41" s="1208" t="s">
        <v>6238</v>
      </c>
      <c r="C41" s="1211" t="s">
        <v>6177</v>
      </c>
    </row>
    <row r="42">
      <c r="A42" s="1208" t="s">
        <v>6239</v>
      </c>
      <c r="B42" s="1208" t="s">
        <v>6240</v>
      </c>
      <c r="C42" s="1211" t="s">
        <v>6177</v>
      </c>
    </row>
    <row r="43">
      <c r="A43" s="1208" t="s">
        <v>6241</v>
      </c>
      <c r="B43" s="1208" t="s">
        <v>6242</v>
      </c>
      <c r="C43" s="1211" t="s">
        <v>6177</v>
      </c>
    </row>
    <row r="44">
      <c r="A44" s="1208" t="s">
        <v>6243</v>
      </c>
      <c r="B44" s="1208" t="s">
        <v>6244</v>
      </c>
      <c r="C44" s="1211" t="s">
        <v>6177</v>
      </c>
    </row>
    <row r="45">
      <c r="A45" s="1208" t="s">
        <v>6245</v>
      </c>
      <c r="B45" s="1208" t="s">
        <v>6246</v>
      </c>
      <c r="C45" s="1211" t="s">
        <v>6177</v>
      </c>
    </row>
    <row r="46">
      <c r="A46" s="1208" t="s">
        <v>6247</v>
      </c>
      <c r="B46" s="1208" t="s">
        <v>6248</v>
      </c>
      <c r="C46" s="1211" t="s">
        <v>6177</v>
      </c>
    </row>
    <row r="47">
      <c r="A47" s="1208" t="s">
        <v>6249</v>
      </c>
      <c r="B47" s="1208" t="s">
        <v>6250</v>
      </c>
      <c r="C47" s="1211" t="s">
        <v>6177</v>
      </c>
    </row>
    <row r="48">
      <c r="A48" s="1208" t="s">
        <v>6251</v>
      </c>
      <c r="B48" s="1208" t="s">
        <v>6252</v>
      </c>
      <c r="C48" s="1211" t="s">
        <v>6177</v>
      </c>
    </row>
    <row r="49">
      <c r="A49" s="1208" t="s">
        <v>1211</v>
      </c>
      <c r="B49" s="1208" t="s">
        <v>1212</v>
      </c>
      <c r="C49" s="1211" t="s">
        <v>6177</v>
      </c>
    </row>
    <row r="50">
      <c r="A50" s="1208" t="s">
        <v>6253</v>
      </c>
      <c r="B50" s="1208" t="s">
        <v>6254</v>
      </c>
      <c r="C50" s="1211" t="s">
        <v>6177</v>
      </c>
    </row>
    <row r="51">
      <c r="A51" s="1208" t="s">
        <v>6255</v>
      </c>
      <c r="B51" s="1208" t="s">
        <v>6256</v>
      </c>
      <c r="C51" s="1211" t="s">
        <v>6177</v>
      </c>
    </row>
    <row r="52">
      <c r="A52" s="1208" t="s">
        <v>6257</v>
      </c>
      <c r="B52" s="1208" t="s">
        <v>6258</v>
      </c>
      <c r="C52" s="1211" t="s">
        <v>6177</v>
      </c>
    </row>
    <row r="53">
      <c r="A53" s="1208" t="s">
        <v>6259</v>
      </c>
      <c r="B53" s="1208" t="s">
        <v>6260</v>
      </c>
      <c r="C53" s="1211" t="s">
        <v>6177</v>
      </c>
    </row>
    <row r="54">
      <c r="A54" s="1208" t="s">
        <v>6261</v>
      </c>
      <c r="B54" s="1208" t="s">
        <v>6262</v>
      </c>
      <c r="C54" s="1211" t="s">
        <v>6177</v>
      </c>
    </row>
    <row r="55">
      <c r="A55" s="1208" t="s">
        <v>6263</v>
      </c>
      <c r="B55" s="1208" t="s">
        <v>6264</v>
      </c>
      <c r="C55" s="1211" t="s">
        <v>6177</v>
      </c>
    </row>
    <row r="56">
      <c r="A56" s="1208" t="s">
        <v>6265</v>
      </c>
      <c r="B56" s="1208" t="s">
        <v>6266</v>
      </c>
      <c r="C56" s="1211" t="s">
        <v>6177</v>
      </c>
    </row>
    <row r="57">
      <c r="A57" s="1208" t="s">
        <v>6267</v>
      </c>
      <c r="B57" s="1208" t="s">
        <v>6268</v>
      </c>
      <c r="C57" s="29" t="s">
        <v>6177</v>
      </c>
    </row>
    <row r="58">
      <c r="A58" s="1208" t="s">
        <v>6269</v>
      </c>
      <c r="B58" s="1208" t="s">
        <v>6270</v>
      </c>
      <c r="C58" s="1211" t="s">
        <v>6177</v>
      </c>
    </row>
    <row r="59">
      <c r="A59" s="1208" t="s">
        <v>6271</v>
      </c>
      <c r="B59" s="1208" t="s">
        <v>6272</v>
      </c>
      <c r="C59" s="1211" t="s">
        <v>6177</v>
      </c>
    </row>
    <row r="60">
      <c r="A60" s="1208" t="s">
        <v>6273</v>
      </c>
      <c r="B60" s="1208" t="s">
        <v>6274</v>
      </c>
      <c r="C60" s="1211" t="s">
        <v>6177</v>
      </c>
    </row>
    <row r="61">
      <c r="A61" s="1208" t="s">
        <v>6275</v>
      </c>
      <c r="B61" s="1208" t="s">
        <v>6276</v>
      </c>
      <c r="C61" s="1211" t="s">
        <v>6177</v>
      </c>
    </row>
    <row r="62">
      <c r="A62" s="1208" t="s">
        <v>6277</v>
      </c>
      <c r="B62" s="1208" t="s">
        <v>6278</v>
      </c>
      <c r="C62" s="1211" t="s">
        <v>6177</v>
      </c>
    </row>
    <row r="63">
      <c r="A63" s="1208" t="s">
        <v>6279</v>
      </c>
      <c r="B63" s="1208" t="s">
        <v>6280</v>
      </c>
      <c r="C63" s="1211" t="s">
        <v>6177</v>
      </c>
    </row>
    <row r="64">
      <c r="A64" s="1208" t="s">
        <v>6281</v>
      </c>
      <c r="B64" s="1208" t="s">
        <v>6282</v>
      </c>
      <c r="C64" s="1211" t="s">
        <v>6177</v>
      </c>
    </row>
    <row r="65">
      <c r="A65" s="1208" t="s">
        <v>6283</v>
      </c>
      <c r="B65" s="1208" t="s">
        <v>6284</v>
      </c>
      <c r="C65" s="1211" t="s">
        <v>6177</v>
      </c>
    </row>
    <row r="66">
      <c r="A66" s="1208" t="s">
        <v>6285</v>
      </c>
      <c r="B66" s="1208" t="s">
        <v>6286</v>
      </c>
      <c r="C66" s="1211" t="s">
        <v>6177</v>
      </c>
    </row>
    <row r="67">
      <c r="A67" s="1208" t="s">
        <v>6170</v>
      </c>
      <c r="B67" s="1208" t="s">
        <v>6287</v>
      </c>
      <c r="C67" s="1211" t="s">
        <v>6177</v>
      </c>
    </row>
    <row r="68">
      <c r="A68" s="1208" t="s">
        <v>6288</v>
      </c>
      <c r="B68" s="1208" t="s">
        <v>6289</v>
      </c>
      <c r="C68" s="1211" t="s">
        <v>6177</v>
      </c>
    </row>
    <row r="69">
      <c r="A69" s="1208" t="s">
        <v>6290</v>
      </c>
      <c r="B69" s="1208" t="s">
        <v>6291</v>
      </c>
      <c r="C69" s="1211" t="s">
        <v>6177</v>
      </c>
    </row>
    <row r="70">
      <c r="A70" s="1208" t="s">
        <v>6292</v>
      </c>
      <c r="B70" s="1208" t="s">
        <v>6293</v>
      </c>
      <c r="C70" s="1211" t="s">
        <v>6177</v>
      </c>
    </row>
    <row r="71">
      <c r="A71" s="1208" t="s">
        <v>6294</v>
      </c>
      <c r="B71" s="1208" t="s">
        <v>6295</v>
      </c>
      <c r="C71" s="1211" t="s">
        <v>6177</v>
      </c>
    </row>
    <row r="72">
      <c r="A72" s="1208" t="s">
        <v>262</v>
      </c>
      <c r="B72" s="1208" t="s">
        <v>6296</v>
      </c>
      <c r="C72" s="1211" t="s">
        <v>6177</v>
      </c>
    </row>
    <row r="73">
      <c r="A73" s="1208" t="s">
        <v>6297</v>
      </c>
      <c r="B73" s="1208" t="s">
        <v>6298</v>
      </c>
      <c r="C73" s="1211" t="s">
        <v>6177</v>
      </c>
    </row>
    <row r="74">
      <c r="A74" s="1208" t="s">
        <v>6299</v>
      </c>
      <c r="B74" s="1208" t="s">
        <v>6300</v>
      </c>
      <c r="C74" s="1211" t="s">
        <v>6177</v>
      </c>
    </row>
    <row r="75">
      <c r="A75" s="1208" t="s">
        <v>358</v>
      </c>
      <c r="B75" s="1208" t="s">
        <v>6301</v>
      </c>
      <c r="C75" s="1211" t="s">
        <v>6177</v>
      </c>
    </row>
    <row r="76">
      <c r="A76" s="1208" t="s">
        <v>6302</v>
      </c>
      <c r="B76" s="1208" t="s">
        <v>6303</v>
      </c>
      <c r="C76" s="1211" t="s">
        <v>6177</v>
      </c>
    </row>
    <row r="77">
      <c r="A77" s="1208" t="s">
        <v>6304</v>
      </c>
      <c r="B77" s="1208" t="s">
        <v>6305</v>
      </c>
      <c r="C77" s="1211" t="s">
        <v>6177</v>
      </c>
    </row>
    <row r="78">
      <c r="A78" s="1208" t="s">
        <v>6306</v>
      </c>
      <c r="B78" s="1208" t="s">
        <v>6307</v>
      </c>
      <c r="C78" s="1211" t="s">
        <v>6177</v>
      </c>
    </row>
    <row r="79">
      <c r="A79" s="1208" t="s">
        <v>6308</v>
      </c>
      <c r="B79" s="1208" t="s">
        <v>6309</v>
      </c>
      <c r="C79" s="1211" t="s">
        <v>6177</v>
      </c>
    </row>
    <row r="80">
      <c r="A80" s="1208" t="s">
        <v>6310</v>
      </c>
      <c r="B80" s="1208" t="s">
        <v>6311</v>
      </c>
      <c r="C80" s="1212" t="s">
        <v>6185</v>
      </c>
    </row>
    <row r="81">
      <c r="A81" s="1208" t="s">
        <v>6312</v>
      </c>
      <c r="B81" s="1208" t="s">
        <v>6313</v>
      </c>
      <c r="C81" s="1211" t="s">
        <v>6177</v>
      </c>
    </row>
    <row r="82">
      <c r="A82" s="1208" t="s">
        <v>6314</v>
      </c>
      <c r="B82" s="1208" t="s">
        <v>6315</v>
      </c>
      <c r="C82" s="1211" t="s">
        <v>6177</v>
      </c>
    </row>
    <row r="83">
      <c r="A83" s="1208" t="s">
        <v>6316</v>
      </c>
      <c r="B83" s="1208" t="s">
        <v>6317</v>
      </c>
      <c r="C83" s="1211" t="s">
        <v>6318</v>
      </c>
    </row>
    <row r="84">
      <c r="A84" s="1208" t="s">
        <v>6319</v>
      </c>
      <c r="B84" s="1208" t="s">
        <v>6320</v>
      </c>
      <c r="C84" s="1211" t="s">
        <v>6177</v>
      </c>
    </row>
    <row r="85">
      <c r="A85" s="1208" t="s">
        <v>6321</v>
      </c>
      <c r="B85" s="1208" t="s">
        <v>6322</v>
      </c>
      <c r="C85" s="1211" t="s">
        <v>6177</v>
      </c>
    </row>
    <row r="86">
      <c r="A86" s="1208" t="s">
        <v>6323</v>
      </c>
      <c r="B86" s="1208" t="s">
        <v>6324</v>
      </c>
      <c r="C86" s="1211" t="s">
        <v>6177</v>
      </c>
    </row>
    <row r="87">
      <c r="A87" s="1208" t="s">
        <v>6325</v>
      </c>
      <c r="B87" s="1208" t="s">
        <v>6326</v>
      </c>
      <c r="C87" s="1211" t="s">
        <v>6177</v>
      </c>
    </row>
    <row r="88">
      <c r="A88" s="1208" t="s">
        <v>6327</v>
      </c>
      <c r="B88" s="1208" t="s">
        <v>6328</v>
      </c>
      <c r="C88" s="1211" t="s">
        <v>6177</v>
      </c>
    </row>
    <row r="89">
      <c r="A89" s="1208" t="s">
        <v>6329</v>
      </c>
      <c r="B89" s="1208" t="s">
        <v>6330</v>
      </c>
      <c r="C89" s="1211" t="s">
        <v>6177</v>
      </c>
    </row>
    <row r="90">
      <c r="A90" s="1208" t="s">
        <v>6331</v>
      </c>
      <c r="B90" s="1208" t="s">
        <v>6332</v>
      </c>
      <c r="C90" s="1211" t="s">
        <v>6177</v>
      </c>
    </row>
    <row r="91">
      <c r="A91" s="1208" t="s">
        <v>6333</v>
      </c>
      <c r="B91" s="1208" t="s">
        <v>6334</v>
      </c>
      <c r="C91" s="1211" t="s">
        <v>6177</v>
      </c>
    </row>
    <row r="92">
      <c r="A92" s="1208" t="s">
        <v>6335</v>
      </c>
      <c r="B92" s="1208" t="s">
        <v>6336</v>
      </c>
      <c r="C92" s="1211" t="s">
        <v>6177</v>
      </c>
    </row>
    <row r="93">
      <c r="A93" s="1208" t="s">
        <v>6337</v>
      </c>
      <c r="B93" s="1208" t="s">
        <v>6338</v>
      </c>
      <c r="C93" s="1211" t="s">
        <v>6177</v>
      </c>
    </row>
    <row r="94">
      <c r="A94" s="1208" t="s">
        <v>4724</v>
      </c>
      <c r="B94" s="1208" t="s">
        <v>6339</v>
      </c>
      <c r="C94" s="1211" t="s">
        <v>6177</v>
      </c>
    </row>
    <row r="95">
      <c r="A95" s="1208" t="s">
        <v>6340</v>
      </c>
      <c r="B95" s="1208" t="s">
        <v>6341</v>
      </c>
      <c r="C95" s="1211" t="s">
        <v>6177</v>
      </c>
    </row>
    <row r="96">
      <c r="A96" s="1208" t="s">
        <v>6342</v>
      </c>
      <c r="B96" s="1208" t="s">
        <v>6343</v>
      </c>
      <c r="C96" s="1211" t="s">
        <v>6177</v>
      </c>
    </row>
    <row r="97">
      <c r="A97" s="1208" t="s">
        <v>6344</v>
      </c>
      <c r="B97" s="1208" t="s">
        <v>6345</v>
      </c>
      <c r="C97" s="1211" t="s">
        <v>6177</v>
      </c>
    </row>
    <row r="98">
      <c r="A98" s="1208" t="s">
        <v>6346</v>
      </c>
      <c r="B98" s="1208" t="s">
        <v>6347</v>
      </c>
      <c r="C98" s="1210" t="s">
        <v>6348</v>
      </c>
    </row>
    <row r="99">
      <c r="A99" s="1208" t="s">
        <v>6349</v>
      </c>
      <c r="B99" s="1208" t="s">
        <v>6350</v>
      </c>
      <c r="C99" s="29" t="s">
        <v>6177</v>
      </c>
    </row>
    <row r="100">
      <c r="A100" s="1208" t="s">
        <v>6351</v>
      </c>
      <c r="B100" s="1208" t="s">
        <v>6352</v>
      </c>
      <c r="C100" s="29" t="s">
        <v>6177</v>
      </c>
    </row>
    <row r="101">
      <c r="A101" s="1208" t="s">
        <v>6353</v>
      </c>
      <c r="B101" s="1208" t="s">
        <v>6354</v>
      </c>
      <c r="C101" s="29" t="s">
        <v>6177</v>
      </c>
    </row>
    <row r="102">
      <c r="A102" s="1208" t="s">
        <v>6355</v>
      </c>
      <c r="B102" s="1208" t="s">
        <v>6356</v>
      </c>
      <c r="C102" s="29" t="s">
        <v>6177</v>
      </c>
    </row>
    <row r="103">
      <c r="A103" s="1208" t="s">
        <v>6357</v>
      </c>
      <c r="B103" s="1208" t="s">
        <v>6358</v>
      </c>
      <c r="C103" s="29" t="s">
        <v>6177</v>
      </c>
    </row>
    <row r="104">
      <c r="A104" s="1208" t="s">
        <v>6359</v>
      </c>
      <c r="B104" s="1208" t="s">
        <v>6360</v>
      </c>
      <c r="C104" s="29" t="s">
        <v>6177</v>
      </c>
    </row>
    <row r="105">
      <c r="A105" s="1208" t="s">
        <v>6170</v>
      </c>
      <c r="B105" s="1208" t="s">
        <v>6361</v>
      </c>
      <c r="C105" s="1209" t="s">
        <v>1571</v>
      </c>
    </row>
    <row r="106">
      <c r="A106" s="1208" t="s">
        <v>6362</v>
      </c>
      <c r="B106" s="1208" t="s">
        <v>6363</v>
      </c>
      <c r="C106" s="29" t="s">
        <v>6177</v>
      </c>
    </row>
    <row r="107">
      <c r="A107" s="1208" t="s">
        <v>6174</v>
      </c>
      <c r="B107" s="1208" t="s">
        <v>6364</v>
      </c>
      <c r="C107" s="29" t="s">
        <v>6177</v>
      </c>
    </row>
    <row r="108">
      <c r="A108" s="1208" t="s">
        <v>6179</v>
      </c>
      <c r="B108" s="1208" t="s">
        <v>6365</v>
      </c>
      <c r="C108" s="29" t="s">
        <v>6177</v>
      </c>
    </row>
    <row r="109">
      <c r="A109" s="1208" t="s">
        <v>6183</v>
      </c>
      <c r="B109" s="1208" t="s">
        <v>6366</v>
      </c>
      <c r="C109" s="29" t="s">
        <v>6177</v>
      </c>
    </row>
    <row r="110">
      <c r="A110" s="1208" t="s">
        <v>6192</v>
      </c>
      <c r="B110" s="1208" t="s">
        <v>6367</v>
      </c>
      <c r="C110" s="29" t="s">
        <v>6177</v>
      </c>
    </row>
    <row r="111">
      <c r="A111" s="1208" t="s">
        <v>6194</v>
      </c>
      <c r="B111" s="1208" t="s">
        <v>6368</v>
      </c>
      <c r="C111" s="29" t="s">
        <v>6177</v>
      </c>
    </row>
    <row r="112">
      <c r="A112" s="1208" t="s">
        <v>6192</v>
      </c>
      <c r="B112" s="1208" t="s">
        <v>6369</v>
      </c>
      <c r="C112" s="29" t="s">
        <v>6177</v>
      </c>
    </row>
    <row r="113">
      <c r="A113" s="1208" t="s">
        <v>6285</v>
      </c>
      <c r="B113" s="1208" t="s">
        <v>6370</v>
      </c>
      <c r="C113" s="29" t="s">
        <v>6177</v>
      </c>
    </row>
    <row r="114">
      <c r="A114" s="1208" t="s">
        <v>6371</v>
      </c>
      <c r="B114" s="1208" t="s">
        <v>6372</v>
      </c>
      <c r="C114" s="29" t="s">
        <v>6177</v>
      </c>
    </row>
    <row r="115">
      <c r="A115" s="1208" t="s">
        <v>6170</v>
      </c>
      <c r="B115" s="1208" t="s">
        <v>6373</v>
      </c>
      <c r="C115" s="1209" t="s">
        <v>1571</v>
      </c>
    </row>
    <row r="116">
      <c r="A116" s="1208" t="s">
        <v>6342</v>
      </c>
      <c r="B116" s="1208" t="s">
        <v>6374</v>
      </c>
      <c r="C116" s="29" t="s">
        <v>6375</v>
      </c>
    </row>
    <row r="117">
      <c r="A117" s="1208" t="s">
        <v>6376</v>
      </c>
      <c r="B117" s="1208" t="s">
        <v>6377</v>
      </c>
      <c r="C117" s="29" t="s">
        <v>6177</v>
      </c>
    </row>
    <row r="118">
      <c r="A118" s="1208" t="s">
        <v>6378</v>
      </c>
      <c r="B118" s="1208" t="s">
        <v>6379</v>
      </c>
      <c r="C118" s="29" t="s">
        <v>6177</v>
      </c>
    </row>
    <row r="119">
      <c r="A119" s="1208" t="s">
        <v>6170</v>
      </c>
      <c r="B119" s="1208" t="s">
        <v>6380</v>
      </c>
      <c r="C119" s="1209" t="s">
        <v>1571</v>
      </c>
    </row>
    <row r="120">
      <c r="A120" s="1208" t="s">
        <v>6381</v>
      </c>
      <c r="B120" s="1208" t="s">
        <v>6382</v>
      </c>
      <c r="C120" s="29" t="s">
        <v>6177</v>
      </c>
    </row>
    <row r="121">
      <c r="A121" s="1208" t="s">
        <v>6170</v>
      </c>
      <c r="B121" s="1208" t="s">
        <v>6383</v>
      </c>
      <c r="C121" s="1209" t="s">
        <v>1571</v>
      </c>
    </row>
    <row r="122">
      <c r="A122" s="1208" t="s">
        <v>6265</v>
      </c>
      <c r="B122" s="1208" t="s">
        <v>6384</v>
      </c>
      <c r="C122" s="29" t="s">
        <v>6177</v>
      </c>
    </row>
    <row r="123">
      <c r="A123" s="29" t="s">
        <v>6179</v>
      </c>
      <c r="B123" s="29" t="s">
        <v>6385</v>
      </c>
    </row>
    <row r="124">
      <c r="A124" s="29" t="s">
        <v>6386</v>
      </c>
      <c r="B124" s="29" t="s">
        <v>6387</v>
      </c>
      <c r="C124" s="29" t="s">
        <v>6177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4.29"/>
    <col customWidth="1" min="3" max="3" width="33.14"/>
    <col customWidth="1" min="4" max="4" width="21.86"/>
  </cols>
  <sheetData>
    <row r="1">
      <c r="A1" s="1213" t="s">
        <v>6388</v>
      </c>
      <c r="B1" s="2"/>
      <c r="C1" s="2"/>
      <c r="D1" s="3"/>
      <c r="E1" s="1214"/>
      <c r="F1" s="1214"/>
      <c r="G1" s="1214"/>
      <c r="H1" s="1214"/>
      <c r="I1" s="1214"/>
      <c r="J1" s="1214"/>
      <c r="K1" s="1214"/>
      <c r="L1" s="1214"/>
      <c r="M1" s="1214"/>
      <c r="N1" s="1214"/>
      <c r="O1" s="1214"/>
      <c r="P1" s="1214"/>
      <c r="Q1" s="1214"/>
      <c r="R1" s="1214"/>
      <c r="S1" s="1214"/>
      <c r="T1" s="1214"/>
      <c r="U1" s="1214"/>
      <c r="V1" s="1214"/>
      <c r="W1" s="1214"/>
      <c r="X1" s="1214"/>
      <c r="Y1" s="1214"/>
      <c r="Z1" s="1214"/>
    </row>
    <row r="2">
      <c r="A2" s="26" t="s">
        <v>6389</v>
      </c>
      <c r="B2" s="26" t="s">
        <v>1440</v>
      </c>
      <c r="C2" s="26" t="s">
        <v>6390</v>
      </c>
      <c r="D2" s="120" t="s">
        <v>5946</v>
      </c>
      <c r="E2" s="1214"/>
      <c r="F2" s="1214"/>
      <c r="G2" s="1214"/>
      <c r="H2" s="1214"/>
      <c r="I2" s="1214"/>
      <c r="J2" s="1214"/>
      <c r="K2" s="1214"/>
      <c r="L2" s="1214"/>
      <c r="M2" s="1214"/>
      <c r="N2" s="1214"/>
      <c r="O2" s="1214"/>
      <c r="P2" s="1214"/>
      <c r="Q2" s="1214"/>
      <c r="R2" s="1214"/>
      <c r="S2" s="1214"/>
      <c r="T2" s="1214"/>
      <c r="U2" s="1214"/>
      <c r="V2" s="1214"/>
      <c r="W2" s="1214"/>
      <c r="X2" s="1214"/>
      <c r="Y2" s="1214"/>
      <c r="Z2" s="1214"/>
    </row>
    <row r="3">
      <c r="A3" s="1172" t="s">
        <v>6025</v>
      </c>
      <c r="B3" s="1172"/>
      <c r="C3" s="1172" t="s">
        <v>6153</v>
      </c>
      <c r="D3" s="124">
        <v>44732.0</v>
      </c>
      <c r="E3" s="1214"/>
      <c r="F3" s="1214"/>
      <c r="G3" s="1214"/>
      <c r="H3" s="1214"/>
      <c r="I3" s="1214"/>
      <c r="J3" s="1214"/>
      <c r="K3" s="1214"/>
      <c r="L3" s="1214"/>
      <c r="M3" s="1214"/>
      <c r="N3" s="1214"/>
      <c r="O3" s="1214"/>
      <c r="P3" s="1214"/>
      <c r="Q3" s="1214"/>
      <c r="R3" s="1214"/>
      <c r="S3" s="1214"/>
      <c r="T3" s="1214"/>
      <c r="U3" s="1214"/>
      <c r="V3" s="1214"/>
      <c r="W3" s="1214"/>
      <c r="X3" s="1214"/>
      <c r="Y3" s="1214"/>
      <c r="Z3" s="1214"/>
    </row>
    <row r="4">
      <c r="A4" s="1172" t="s">
        <v>6025</v>
      </c>
      <c r="B4" s="1172"/>
      <c r="C4" s="1172" t="s">
        <v>6153</v>
      </c>
      <c r="D4" s="124">
        <v>44732.0</v>
      </c>
      <c r="E4" s="1214"/>
      <c r="F4" s="1214"/>
      <c r="G4" s="1214"/>
      <c r="H4" s="1214"/>
      <c r="I4" s="1214"/>
      <c r="J4" s="1214"/>
      <c r="K4" s="1214"/>
      <c r="L4" s="1214"/>
      <c r="M4" s="1214"/>
      <c r="N4" s="1214"/>
      <c r="O4" s="1214"/>
      <c r="P4" s="1214"/>
      <c r="Q4" s="1214"/>
      <c r="R4" s="1214"/>
      <c r="S4" s="1214"/>
      <c r="T4" s="1214"/>
      <c r="U4" s="1214"/>
      <c r="V4" s="1214"/>
      <c r="W4" s="1214"/>
      <c r="X4" s="1214"/>
      <c r="Y4" s="1214"/>
      <c r="Z4" s="1214"/>
    </row>
    <row r="5">
      <c r="A5" s="1172" t="s">
        <v>6025</v>
      </c>
      <c r="B5" s="1172"/>
      <c r="C5" s="1172" t="s">
        <v>6153</v>
      </c>
      <c r="D5" s="124">
        <v>44732.0</v>
      </c>
      <c r="E5" s="1214"/>
      <c r="F5" s="1214"/>
      <c r="G5" s="1214"/>
      <c r="H5" s="1214"/>
      <c r="I5" s="1214"/>
      <c r="J5" s="1214"/>
      <c r="K5" s="1214"/>
      <c r="L5" s="1214"/>
      <c r="M5" s="1214"/>
      <c r="N5" s="1214"/>
      <c r="O5" s="1214"/>
      <c r="P5" s="1214"/>
      <c r="Q5" s="1214"/>
      <c r="R5" s="1214"/>
      <c r="S5" s="1214"/>
      <c r="T5" s="1214"/>
      <c r="U5" s="1214"/>
      <c r="V5" s="1214"/>
      <c r="W5" s="1214"/>
      <c r="X5" s="1214"/>
      <c r="Y5" s="1214"/>
      <c r="Z5" s="1214"/>
    </row>
    <row r="6">
      <c r="A6" s="1172" t="s">
        <v>6025</v>
      </c>
      <c r="B6" s="1172"/>
      <c r="C6" s="1172" t="s">
        <v>6153</v>
      </c>
      <c r="D6" s="124">
        <v>44732.0</v>
      </c>
      <c r="E6" s="1214"/>
      <c r="F6" s="1214"/>
      <c r="G6" s="1214"/>
      <c r="H6" s="1214"/>
      <c r="I6" s="1214"/>
      <c r="J6" s="1214"/>
      <c r="K6" s="1214"/>
      <c r="L6" s="1214"/>
      <c r="M6" s="1214"/>
      <c r="N6" s="1214"/>
      <c r="O6" s="1214"/>
      <c r="P6" s="1214"/>
      <c r="Q6" s="1214"/>
      <c r="R6" s="1214"/>
      <c r="S6" s="1214"/>
      <c r="T6" s="1214"/>
      <c r="U6" s="1214"/>
      <c r="V6" s="1214"/>
      <c r="W6" s="1214"/>
      <c r="X6" s="1214"/>
      <c r="Y6" s="1214"/>
      <c r="Z6" s="1214"/>
    </row>
    <row r="7">
      <c r="A7" s="1172" t="s">
        <v>5948</v>
      </c>
      <c r="B7" s="1172" t="s">
        <v>5953</v>
      </c>
      <c r="C7" s="1178" t="s">
        <v>6391</v>
      </c>
      <c r="D7" s="124">
        <v>44732.0</v>
      </c>
      <c r="E7" s="1214"/>
      <c r="F7" s="1214"/>
      <c r="G7" s="1214"/>
      <c r="H7" s="1214"/>
      <c r="I7" s="1214"/>
      <c r="J7" s="1214"/>
      <c r="K7" s="1214"/>
      <c r="L7" s="1214"/>
      <c r="M7" s="1214"/>
      <c r="N7" s="1214"/>
      <c r="O7" s="1214"/>
      <c r="P7" s="1214"/>
      <c r="Q7" s="1214"/>
      <c r="R7" s="1214"/>
      <c r="S7" s="1214"/>
      <c r="T7" s="1214"/>
      <c r="U7" s="1214"/>
      <c r="V7" s="1214"/>
      <c r="W7" s="1214"/>
      <c r="X7" s="1214"/>
      <c r="Y7" s="1214"/>
      <c r="Z7" s="1214"/>
    </row>
    <row r="8">
      <c r="A8" s="1172" t="s">
        <v>5948</v>
      </c>
      <c r="B8" s="1172" t="s">
        <v>5957</v>
      </c>
      <c r="C8" s="186"/>
      <c r="D8" s="124">
        <v>44732.0</v>
      </c>
      <c r="E8" s="1214"/>
      <c r="F8" s="1214"/>
      <c r="G8" s="1214"/>
      <c r="H8" s="1214"/>
      <c r="I8" s="1214"/>
      <c r="J8" s="1214"/>
      <c r="K8" s="1214"/>
      <c r="L8" s="1214"/>
      <c r="M8" s="1214"/>
      <c r="N8" s="1214"/>
      <c r="O8" s="1214"/>
      <c r="P8" s="1214"/>
      <c r="Q8" s="1214"/>
      <c r="R8" s="1214"/>
      <c r="S8" s="1214"/>
      <c r="T8" s="1214"/>
      <c r="U8" s="1214"/>
      <c r="V8" s="1214"/>
      <c r="W8" s="1214"/>
      <c r="X8" s="1214"/>
      <c r="Y8" s="1214"/>
      <c r="Z8" s="1214"/>
    </row>
    <row r="9">
      <c r="A9" s="1172" t="s">
        <v>5948</v>
      </c>
      <c r="B9" s="1172" t="s">
        <v>5958</v>
      </c>
      <c r="C9" s="186"/>
      <c r="D9" s="124">
        <v>44732.0</v>
      </c>
      <c r="E9" s="1214"/>
      <c r="F9" s="1214"/>
      <c r="G9" s="1214"/>
      <c r="H9" s="1214"/>
      <c r="I9" s="1214"/>
      <c r="J9" s="1214"/>
      <c r="K9" s="1214"/>
      <c r="L9" s="1214"/>
      <c r="M9" s="1214"/>
      <c r="N9" s="1214"/>
      <c r="O9" s="1214"/>
      <c r="P9" s="1214"/>
      <c r="Q9" s="1214"/>
      <c r="R9" s="1214"/>
      <c r="S9" s="1214"/>
      <c r="T9" s="1214"/>
      <c r="U9" s="1214"/>
      <c r="V9" s="1214"/>
      <c r="W9" s="1214"/>
      <c r="X9" s="1214"/>
      <c r="Y9" s="1214"/>
      <c r="Z9" s="1214"/>
    </row>
    <row r="10">
      <c r="A10" s="1172" t="s">
        <v>5948</v>
      </c>
      <c r="B10" s="1172" t="s">
        <v>5959</v>
      </c>
      <c r="C10" s="186"/>
      <c r="D10" s="124">
        <v>44732.0</v>
      </c>
      <c r="E10" s="1214"/>
      <c r="F10" s="1214"/>
      <c r="G10" s="1214"/>
      <c r="H10" s="1214"/>
      <c r="I10" s="1214"/>
      <c r="J10" s="1214"/>
      <c r="K10" s="1214"/>
      <c r="L10" s="1214"/>
      <c r="M10" s="1214"/>
      <c r="N10" s="1214"/>
      <c r="O10" s="1214"/>
      <c r="P10" s="1214"/>
      <c r="Q10" s="1214"/>
      <c r="R10" s="1214"/>
      <c r="S10" s="1214"/>
      <c r="T10" s="1214"/>
      <c r="U10" s="1214"/>
      <c r="V10" s="1214"/>
      <c r="W10" s="1214"/>
      <c r="X10" s="1214"/>
      <c r="Y10" s="1214"/>
      <c r="Z10" s="1214"/>
    </row>
    <row r="11">
      <c r="A11" s="1172" t="s">
        <v>5948</v>
      </c>
      <c r="B11" s="1172" t="s">
        <v>5960</v>
      </c>
      <c r="C11" s="186"/>
      <c r="D11" s="124">
        <v>44732.0</v>
      </c>
      <c r="E11" s="1214"/>
      <c r="F11" s="1214"/>
      <c r="G11" s="1214"/>
      <c r="H11" s="1214"/>
      <c r="I11" s="1214"/>
      <c r="J11" s="1215"/>
      <c r="K11" s="1215"/>
      <c r="L11" s="1215"/>
      <c r="M11" s="1215"/>
      <c r="N11" s="1215"/>
      <c r="O11" s="1216"/>
      <c r="P11" s="1215"/>
      <c r="Q11" s="1214"/>
      <c r="R11" s="1214"/>
      <c r="S11" s="1214"/>
      <c r="T11" s="1214"/>
      <c r="U11" s="1214"/>
      <c r="V11" s="1214"/>
      <c r="W11" s="1214"/>
      <c r="X11" s="1214"/>
      <c r="Y11" s="1214"/>
      <c r="Z11" s="1214"/>
    </row>
    <row r="12">
      <c r="A12" s="1172" t="s">
        <v>5948</v>
      </c>
      <c r="B12" s="1172" t="s">
        <v>5961</v>
      </c>
      <c r="C12" s="185"/>
      <c r="D12" s="124">
        <v>44732.0</v>
      </c>
      <c r="E12" s="1214"/>
      <c r="F12" s="1214"/>
      <c r="G12" s="1214"/>
      <c r="H12" s="1214"/>
      <c r="I12" s="1214"/>
      <c r="J12" s="1215"/>
      <c r="K12" s="1215"/>
      <c r="L12" s="1215"/>
      <c r="M12" s="1215"/>
      <c r="N12" s="1215"/>
      <c r="O12" s="1216"/>
      <c r="P12" s="1215"/>
      <c r="Q12" s="1214"/>
      <c r="R12" s="1214"/>
      <c r="S12" s="1214"/>
      <c r="T12" s="1214"/>
      <c r="U12" s="1214"/>
      <c r="V12" s="1214"/>
      <c r="W12" s="1214"/>
      <c r="X12" s="1214"/>
      <c r="Y12" s="1214"/>
      <c r="Z12" s="1214"/>
    </row>
    <row r="13">
      <c r="A13" s="1172" t="s">
        <v>5979</v>
      </c>
      <c r="B13" s="1172" t="s">
        <v>5984</v>
      </c>
      <c r="C13" s="1172" t="s">
        <v>5985</v>
      </c>
      <c r="D13" s="124">
        <v>44732.0</v>
      </c>
      <c r="E13" s="1214"/>
      <c r="F13" s="1214"/>
      <c r="G13" s="1214"/>
      <c r="H13" s="1214"/>
      <c r="I13" s="1214"/>
      <c r="J13" s="1217"/>
      <c r="K13" s="1217"/>
      <c r="L13" s="1217"/>
      <c r="M13" s="1217"/>
      <c r="N13" s="1217"/>
      <c r="O13" s="1218"/>
      <c r="P13" s="1217"/>
      <c r="Q13" s="1214"/>
      <c r="R13" s="1214"/>
      <c r="S13" s="1214"/>
      <c r="T13" s="1214"/>
      <c r="U13" s="1214"/>
      <c r="V13" s="1214"/>
      <c r="W13" s="1214"/>
      <c r="X13" s="1214"/>
      <c r="Y13" s="1214"/>
      <c r="Z13" s="1214"/>
    </row>
    <row r="14">
      <c r="A14" s="1172" t="s">
        <v>5986</v>
      </c>
      <c r="B14" s="1172">
        <v>2.000084620405E12</v>
      </c>
      <c r="C14" s="1172" t="s">
        <v>5987</v>
      </c>
      <c r="D14" s="124">
        <v>44732.0</v>
      </c>
      <c r="E14" s="1214"/>
      <c r="F14" s="1214"/>
      <c r="G14" s="1214"/>
      <c r="H14" s="1214"/>
      <c r="I14" s="1214"/>
      <c r="J14" s="1219">
        <v>1.0</v>
      </c>
      <c r="K14" s="1220" t="s">
        <v>1443</v>
      </c>
      <c r="L14" s="1220">
        <v>1.0</v>
      </c>
      <c r="M14" s="1221">
        <v>144.0</v>
      </c>
      <c r="N14" s="1221">
        <f t="shared" ref="N14:N21" si="1">L14*M14</f>
        <v>144</v>
      </c>
      <c r="O14" s="1222"/>
      <c r="P14" s="1223"/>
      <c r="Q14" s="1214"/>
      <c r="R14" s="1214"/>
      <c r="S14" s="1214"/>
      <c r="T14" s="1214"/>
      <c r="U14" s="1214"/>
      <c r="V14" s="1214"/>
      <c r="W14" s="1214"/>
      <c r="X14" s="1214"/>
      <c r="Y14" s="1214"/>
      <c r="Z14" s="1214"/>
    </row>
    <row r="15">
      <c r="A15" s="1172" t="s">
        <v>5986</v>
      </c>
      <c r="B15" s="1172" t="s">
        <v>5984</v>
      </c>
      <c r="C15" s="1172" t="s">
        <v>5988</v>
      </c>
      <c r="D15" s="124">
        <v>44732.0</v>
      </c>
      <c r="E15" s="1214"/>
      <c r="F15" s="1214"/>
      <c r="G15" s="1214"/>
      <c r="H15" s="1214"/>
      <c r="I15" s="1214"/>
      <c r="J15" s="1219">
        <v>2.0</v>
      </c>
      <c r="K15" s="1223" t="s">
        <v>1444</v>
      </c>
      <c r="L15" s="1220">
        <v>2.0</v>
      </c>
      <c r="M15" s="1221">
        <v>2.6</v>
      </c>
      <c r="N15" s="1221">
        <f t="shared" si="1"/>
        <v>5.2</v>
      </c>
      <c r="O15" s="1224">
        <v>44574.0</v>
      </c>
      <c r="P15" s="1223" t="s">
        <v>1446</v>
      </c>
      <c r="Q15" s="1214"/>
      <c r="R15" s="1214"/>
      <c r="S15" s="1214"/>
      <c r="T15" s="1214"/>
      <c r="U15" s="1214"/>
      <c r="V15" s="1214"/>
      <c r="W15" s="1214"/>
      <c r="X15" s="1214"/>
      <c r="Y15" s="1214"/>
      <c r="Z15" s="1214"/>
    </row>
    <row r="16">
      <c r="A16" s="1225" t="s">
        <v>5948</v>
      </c>
      <c r="B16" s="1172" t="s">
        <v>6005</v>
      </c>
      <c r="C16" s="26" t="s">
        <v>6392</v>
      </c>
      <c r="D16" s="124">
        <v>44733.0</v>
      </c>
      <c r="E16" s="1214"/>
      <c r="F16" s="1214"/>
      <c r="G16" s="1214"/>
      <c r="H16" s="1214"/>
      <c r="I16" s="1214"/>
      <c r="J16" s="1226">
        <v>3.0</v>
      </c>
      <c r="K16" s="1227" t="s">
        <v>2800</v>
      </c>
      <c r="L16" s="1227">
        <v>1.0</v>
      </c>
      <c r="M16" s="1228">
        <v>10.4</v>
      </c>
      <c r="N16" s="1221">
        <f t="shared" si="1"/>
        <v>10.4</v>
      </c>
      <c r="O16" s="1229">
        <v>44840.0</v>
      </c>
      <c r="P16" s="1230" t="s">
        <v>1446</v>
      </c>
      <c r="Q16" s="1214"/>
      <c r="R16" s="1214"/>
      <c r="S16" s="1214"/>
      <c r="T16" s="1214"/>
      <c r="U16" s="1214"/>
      <c r="V16" s="1214"/>
      <c r="W16" s="1214"/>
      <c r="X16" s="1214"/>
      <c r="Y16" s="1214"/>
      <c r="Z16" s="1214"/>
    </row>
    <row r="17">
      <c r="A17" s="1172" t="s">
        <v>6002</v>
      </c>
      <c r="B17" s="28"/>
      <c r="C17" s="1178" t="s">
        <v>6391</v>
      </c>
      <c r="D17" s="124">
        <v>44732.0</v>
      </c>
      <c r="E17" s="1214"/>
      <c r="F17" s="1214"/>
      <c r="G17" s="1214"/>
      <c r="H17" s="1214"/>
      <c r="I17" s="1214"/>
      <c r="J17" s="1231">
        <v>4.0</v>
      </c>
      <c r="K17" s="1227" t="s">
        <v>2802</v>
      </c>
      <c r="L17" s="1230">
        <v>2.0</v>
      </c>
      <c r="M17" s="1232">
        <v>10.6</v>
      </c>
      <c r="N17" s="1221">
        <f t="shared" si="1"/>
        <v>21.2</v>
      </c>
      <c r="O17" s="1233">
        <v>44859.0</v>
      </c>
      <c r="P17" s="1230" t="s">
        <v>1446</v>
      </c>
      <c r="Q17" s="1214"/>
      <c r="R17" s="1214"/>
      <c r="S17" s="1214"/>
      <c r="T17" s="1214"/>
      <c r="U17" s="1214"/>
      <c r="V17" s="1214"/>
      <c r="W17" s="1214"/>
      <c r="X17" s="1214"/>
      <c r="Y17" s="1214"/>
      <c r="Z17" s="1214"/>
    </row>
    <row r="18">
      <c r="A18" s="1172" t="s">
        <v>6002</v>
      </c>
      <c r="B18" s="28"/>
      <c r="C18" s="186"/>
      <c r="D18" s="124">
        <v>44732.0</v>
      </c>
      <c r="E18" s="1214"/>
      <c r="F18" s="1214"/>
      <c r="G18" s="1214"/>
      <c r="H18" s="1214"/>
      <c r="I18" s="1214"/>
      <c r="J18" s="1219">
        <v>5.0</v>
      </c>
      <c r="K18" s="1230" t="s">
        <v>2805</v>
      </c>
      <c r="L18" s="1230">
        <v>1.0</v>
      </c>
      <c r="M18" s="1228">
        <v>10.5</v>
      </c>
      <c r="N18" s="1221">
        <f t="shared" si="1"/>
        <v>10.5</v>
      </c>
      <c r="O18" s="1233"/>
      <c r="P18" s="1230" t="s">
        <v>1446</v>
      </c>
      <c r="Q18" s="1214"/>
      <c r="R18" s="1214"/>
      <c r="S18" s="1214"/>
      <c r="T18" s="1214"/>
      <c r="U18" s="1214"/>
      <c r="V18" s="1214"/>
      <c r="W18" s="1214"/>
      <c r="X18" s="1214"/>
      <c r="Y18" s="1214"/>
      <c r="Z18" s="1214"/>
    </row>
    <row r="19">
      <c r="A19" s="1172" t="s">
        <v>6002</v>
      </c>
      <c r="B19" s="28"/>
      <c r="C19" s="186"/>
      <c r="D19" s="124">
        <v>44732.0</v>
      </c>
      <c r="E19" s="1214"/>
      <c r="F19" s="1214"/>
      <c r="G19" s="1214"/>
      <c r="H19" s="1214"/>
      <c r="I19" s="1214"/>
      <c r="J19" s="1219">
        <v>6.0</v>
      </c>
      <c r="K19" s="1234" t="s">
        <v>2806</v>
      </c>
      <c r="L19" s="1230">
        <v>2.0</v>
      </c>
      <c r="M19" s="1235">
        <v>1.6</v>
      </c>
      <c r="N19" s="1221">
        <f t="shared" si="1"/>
        <v>3.2</v>
      </c>
      <c r="O19" s="1233">
        <v>44879.0</v>
      </c>
      <c r="P19" s="1236"/>
      <c r="Q19" s="1214"/>
      <c r="R19" s="1214"/>
      <c r="S19" s="1214"/>
      <c r="T19" s="1214"/>
      <c r="U19" s="1214"/>
      <c r="V19" s="1214"/>
      <c r="W19" s="1214"/>
      <c r="X19" s="1214"/>
      <c r="Y19" s="1214"/>
      <c r="Z19" s="1214"/>
    </row>
    <row r="20">
      <c r="A20" s="1172" t="s">
        <v>6002</v>
      </c>
      <c r="B20" s="28"/>
      <c r="C20" s="185"/>
      <c r="D20" s="124">
        <v>44732.0</v>
      </c>
      <c r="E20" s="1214"/>
      <c r="F20" s="1214"/>
      <c r="G20" s="1214"/>
      <c r="H20" s="1214"/>
      <c r="I20" s="1214"/>
      <c r="J20" s="1226">
        <v>7.0</v>
      </c>
      <c r="K20" s="1227" t="s">
        <v>2811</v>
      </c>
      <c r="L20" s="1237">
        <v>5.0</v>
      </c>
      <c r="M20" s="1235">
        <v>15.9</v>
      </c>
      <c r="N20" s="1221">
        <f t="shared" si="1"/>
        <v>79.5</v>
      </c>
      <c r="O20" s="1238">
        <v>44886.0</v>
      </c>
      <c r="P20" s="1237" t="s">
        <v>1446</v>
      </c>
      <c r="Q20" s="1214"/>
      <c r="R20" s="1214"/>
      <c r="S20" s="1214"/>
      <c r="T20" s="1214"/>
      <c r="U20" s="1214"/>
      <c r="V20" s="1214"/>
      <c r="W20" s="1214"/>
      <c r="X20" s="1214"/>
      <c r="Y20" s="1214"/>
      <c r="Z20" s="1214"/>
    </row>
    <row r="21">
      <c r="A21" s="26" t="s">
        <v>1720</v>
      </c>
      <c r="B21" s="26" t="s">
        <v>6393</v>
      </c>
      <c r="C21" s="26" t="s">
        <v>6394</v>
      </c>
      <c r="D21" s="124">
        <v>44733.0</v>
      </c>
      <c r="E21" s="1214"/>
      <c r="F21" s="1214"/>
      <c r="G21" s="1214"/>
      <c r="H21" s="1214"/>
      <c r="I21" s="1214"/>
      <c r="J21" s="1239">
        <v>8.0</v>
      </c>
      <c r="K21" s="1240" t="s">
        <v>2802</v>
      </c>
      <c r="L21" s="1241">
        <v>1.0</v>
      </c>
      <c r="M21" s="1242">
        <v>10.6</v>
      </c>
      <c r="N21" s="1243">
        <f t="shared" si="1"/>
        <v>10.6</v>
      </c>
      <c r="O21" s="1244">
        <v>44908.0</v>
      </c>
      <c r="P21" s="1241" t="s">
        <v>158</v>
      </c>
      <c r="Q21" s="1214"/>
      <c r="R21" s="1214"/>
      <c r="S21" s="1214"/>
      <c r="T21" s="1214"/>
      <c r="U21" s="1214"/>
      <c r="V21" s="1214"/>
      <c r="W21" s="1214"/>
      <c r="X21" s="1214"/>
      <c r="Y21" s="1214"/>
      <c r="Z21" s="1214"/>
    </row>
    <row r="22">
      <c r="A22" s="26" t="s">
        <v>1697</v>
      </c>
      <c r="B22" s="26" t="s">
        <v>1792</v>
      </c>
      <c r="C22" s="26" t="s">
        <v>6395</v>
      </c>
      <c r="D22" s="124">
        <v>44733.0</v>
      </c>
      <c r="E22" s="1214"/>
      <c r="F22" s="1214"/>
      <c r="G22" s="1214"/>
      <c r="H22" s="1214"/>
      <c r="I22" s="1214"/>
      <c r="J22" s="1245">
        <v>9.0</v>
      </c>
      <c r="K22" s="1246" t="s">
        <v>6396</v>
      </c>
      <c r="L22" s="1241">
        <v>1.0</v>
      </c>
      <c r="M22" s="1247"/>
      <c r="N22" s="1243"/>
      <c r="O22" s="1244">
        <v>44908.0</v>
      </c>
      <c r="P22" s="1241" t="s">
        <v>158</v>
      </c>
      <c r="Q22" s="1214"/>
      <c r="R22" s="1214"/>
      <c r="S22" s="1214"/>
      <c r="T22" s="1214"/>
      <c r="U22" s="1214"/>
      <c r="V22" s="1214"/>
      <c r="W22" s="1214"/>
      <c r="X22" s="1214"/>
      <c r="Y22" s="1214"/>
      <c r="Z22" s="1214"/>
    </row>
    <row r="23">
      <c r="A23" s="26" t="s">
        <v>5986</v>
      </c>
      <c r="B23" s="26" t="s">
        <v>5989</v>
      </c>
      <c r="C23" s="26" t="s">
        <v>6397</v>
      </c>
      <c r="D23" s="124">
        <v>44735.0</v>
      </c>
      <c r="E23" s="1214"/>
      <c r="F23" s="1214"/>
      <c r="G23" s="1214"/>
      <c r="H23" s="1214"/>
      <c r="I23" s="1214"/>
      <c r="J23" s="1245">
        <v>10.0</v>
      </c>
      <c r="K23" s="1246" t="s">
        <v>6398</v>
      </c>
      <c r="L23" s="1241">
        <v>1.0</v>
      </c>
      <c r="M23" s="1247"/>
      <c r="N23" s="1243"/>
      <c r="O23" s="1244">
        <v>44908.0</v>
      </c>
      <c r="P23" s="1241" t="s">
        <v>158</v>
      </c>
      <c r="Q23" s="1214"/>
      <c r="R23" s="1214"/>
      <c r="S23" s="1214"/>
      <c r="T23" s="1214"/>
      <c r="U23" s="1214"/>
      <c r="V23" s="1214"/>
      <c r="W23" s="1214"/>
      <c r="X23" s="1214"/>
      <c r="Y23" s="1214"/>
      <c r="Z23" s="1214"/>
    </row>
    <row r="24">
      <c r="A24" s="1188" t="s">
        <v>6399</v>
      </c>
      <c r="B24" s="1248"/>
      <c r="C24" s="1188" t="s">
        <v>6023</v>
      </c>
      <c r="D24" s="134">
        <v>44739.0</v>
      </c>
      <c r="E24" s="1214"/>
      <c r="F24" s="1214"/>
      <c r="G24" s="1214"/>
      <c r="H24" s="1214"/>
      <c r="I24" s="1214"/>
      <c r="J24" s="1249">
        <v>11.0</v>
      </c>
      <c r="K24" s="1246" t="s">
        <v>6400</v>
      </c>
      <c r="L24" s="1241">
        <v>1.0</v>
      </c>
      <c r="M24" s="1247"/>
      <c r="N24" s="1247"/>
      <c r="O24" s="1244">
        <v>44908.0</v>
      </c>
      <c r="P24" s="1241" t="s">
        <v>158</v>
      </c>
      <c r="Q24" s="1214"/>
      <c r="R24" s="1214"/>
      <c r="S24" s="1214"/>
      <c r="T24" s="1214"/>
      <c r="U24" s="1214"/>
      <c r="V24" s="1214"/>
      <c r="W24" s="1214"/>
      <c r="X24" s="1214"/>
      <c r="Y24" s="1214"/>
      <c r="Z24" s="1214"/>
    </row>
    <row r="25">
      <c r="A25" s="26" t="s">
        <v>6401</v>
      </c>
      <c r="B25" s="26" t="s">
        <v>6402</v>
      </c>
      <c r="C25" s="26" t="s">
        <v>6403</v>
      </c>
      <c r="D25" s="124">
        <v>44740.0</v>
      </c>
      <c r="E25" s="1214"/>
      <c r="F25" s="1214"/>
      <c r="G25" s="1214"/>
      <c r="H25" s="1214"/>
      <c r="I25" s="1214"/>
      <c r="J25" s="1239">
        <v>12.0</v>
      </c>
      <c r="K25" s="1246" t="s">
        <v>6404</v>
      </c>
      <c r="L25" s="1241">
        <v>1.0</v>
      </c>
      <c r="M25" s="1247"/>
      <c r="N25" s="1247"/>
      <c r="O25" s="1244">
        <v>44908.0</v>
      </c>
      <c r="P25" s="1241" t="s">
        <v>158</v>
      </c>
      <c r="Q25" s="1214"/>
      <c r="R25" s="1214"/>
      <c r="S25" s="1214"/>
      <c r="T25" s="1214"/>
      <c r="U25" s="1214"/>
      <c r="V25" s="1214"/>
      <c r="W25" s="1214"/>
      <c r="X25" s="1214"/>
      <c r="Y25" s="1214"/>
      <c r="Z25" s="1214"/>
    </row>
    <row r="26">
      <c r="A26" s="1250" t="s">
        <v>6401</v>
      </c>
      <c r="B26" s="1188" t="s">
        <v>5996</v>
      </c>
      <c r="C26" s="1250" t="s">
        <v>6405</v>
      </c>
      <c r="D26" s="1251">
        <v>44741.0</v>
      </c>
      <c r="E26" s="1214"/>
      <c r="F26" s="1214"/>
      <c r="G26" s="1214"/>
      <c r="H26" s="1214"/>
      <c r="I26" s="1214"/>
      <c r="J26" s="1219">
        <v>13.0</v>
      </c>
      <c r="K26" s="1227"/>
      <c r="L26" s="1252"/>
      <c r="M26" s="1253"/>
      <c r="N26" s="1253"/>
      <c r="O26" s="1254"/>
      <c r="P26" s="1252"/>
      <c r="Q26" s="1214"/>
      <c r="R26" s="1214"/>
      <c r="S26" s="1214"/>
      <c r="T26" s="1214"/>
      <c r="U26" s="1214"/>
      <c r="V26" s="1214"/>
      <c r="W26" s="1214"/>
      <c r="X26" s="1214"/>
      <c r="Y26" s="1214"/>
      <c r="Z26" s="1214"/>
    </row>
    <row r="27">
      <c r="A27" s="1250" t="s">
        <v>6401</v>
      </c>
      <c r="B27" s="1188" t="s">
        <v>5999</v>
      </c>
      <c r="C27" s="1250" t="s">
        <v>6406</v>
      </c>
      <c r="D27" s="1251">
        <v>44741.0</v>
      </c>
      <c r="E27" s="1214"/>
      <c r="F27" s="1214"/>
      <c r="G27" s="1214"/>
      <c r="H27" s="1214"/>
      <c r="I27" s="1214"/>
      <c r="J27" s="1255" t="s">
        <v>1562</v>
      </c>
      <c r="K27" s="294"/>
      <c r="L27" s="1227">
        <f>sum(L14:L26)</f>
        <v>19</v>
      </c>
      <c r="M27" s="1256"/>
      <c r="N27" s="1256">
        <f>sum(N14:N20)</f>
        <v>274</v>
      </c>
      <c r="O27" s="1257"/>
      <c r="P27" s="1257"/>
      <c r="Q27" s="1214"/>
      <c r="R27" s="1214"/>
      <c r="S27" s="1214"/>
      <c r="T27" s="1214"/>
      <c r="U27" s="1214"/>
      <c r="V27" s="1214"/>
      <c r="W27" s="1214"/>
      <c r="X27" s="1214"/>
      <c r="Y27" s="1214"/>
      <c r="Z27" s="1214"/>
    </row>
    <row r="28">
      <c r="A28" s="26" t="s">
        <v>6399</v>
      </c>
      <c r="B28" s="26" t="s">
        <v>6407</v>
      </c>
      <c r="C28" s="26" t="s">
        <v>6408</v>
      </c>
      <c r="D28" s="124">
        <v>44742.0</v>
      </c>
      <c r="E28" s="1214"/>
      <c r="F28" s="1214"/>
      <c r="G28" s="1214"/>
      <c r="H28" s="1214"/>
      <c r="I28" s="1214"/>
      <c r="J28" s="1214"/>
      <c r="K28" s="1214"/>
      <c r="L28" s="1214"/>
      <c r="M28" s="1214"/>
      <c r="N28" s="1214"/>
      <c r="O28" s="1214"/>
      <c r="P28" s="1214"/>
      <c r="Q28" s="1214"/>
      <c r="R28" s="1214"/>
      <c r="S28" s="1214"/>
      <c r="T28" s="1214"/>
      <c r="U28" s="1214"/>
      <c r="V28" s="1214"/>
      <c r="W28" s="1214"/>
      <c r="X28" s="1214"/>
      <c r="Y28" s="1214"/>
      <c r="Z28" s="1214"/>
    </row>
    <row r="29">
      <c r="A29" s="1172" t="s">
        <v>5979</v>
      </c>
      <c r="B29" s="1172" t="s">
        <v>6409</v>
      </c>
      <c r="C29" s="26" t="s">
        <v>6410</v>
      </c>
      <c r="D29" s="124">
        <v>44743.0</v>
      </c>
      <c r="E29" s="1214"/>
      <c r="F29" s="1214"/>
      <c r="G29" s="1214"/>
      <c r="H29" s="1214"/>
      <c r="I29" s="1214"/>
      <c r="J29" s="1214"/>
      <c r="K29" s="1214"/>
      <c r="L29" s="1214"/>
      <c r="M29" s="1214"/>
      <c r="N29" s="1214"/>
      <c r="O29" s="1214"/>
      <c r="P29" s="1214"/>
      <c r="Q29" s="1214"/>
      <c r="R29" s="1214"/>
      <c r="S29" s="1214"/>
      <c r="T29" s="1214"/>
      <c r="U29" s="1214"/>
      <c r="V29" s="1214"/>
      <c r="W29" s="1214"/>
      <c r="X29" s="1214"/>
      <c r="Y29" s="1214"/>
      <c r="Z29" s="1214"/>
    </row>
    <row r="30">
      <c r="A30" s="1172" t="s">
        <v>6025</v>
      </c>
      <c r="B30" s="26" t="s">
        <v>6411</v>
      </c>
      <c r="C30" s="26" t="s">
        <v>6412</v>
      </c>
      <c r="D30" s="124">
        <v>44746.0</v>
      </c>
      <c r="E30" s="1214"/>
      <c r="F30" s="1214"/>
      <c r="G30" s="1214"/>
      <c r="H30" s="1214"/>
      <c r="I30" s="1214"/>
      <c r="J30" s="1214"/>
      <c r="K30" s="1214"/>
      <c r="L30" s="1214"/>
      <c r="M30" s="1214"/>
      <c r="N30" s="1214"/>
      <c r="O30" s="1214"/>
      <c r="P30" s="1214"/>
      <c r="Q30" s="1214"/>
      <c r="R30" s="1214"/>
      <c r="S30" s="1214"/>
      <c r="T30" s="1214"/>
      <c r="U30" s="1214"/>
      <c r="V30" s="1214"/>
      <c r="W30" s="1214"/>
      <c r="X30" s="1214"/>
      <c r="Y30" s="1214"/>
      <c r="Z30" s="1214"/>
    </row>
    <row r="31">
      <c r="A31" s="1188" t="s">
        <v>5986</v>
      </c>
      <c r="B31" s="1188">
        <v>2.000084620643E12</v>
      </c>
      <c r="C31" s="1250" t="s">
        <v>6413</v>
      </c>
      <c r="D31" s="134">
        <v>44717.0</v>
      </c>
      <c r="E31" s="1214"/>
      <c r="F31" s="1214"/>
      <c r="G31" s="1214"/>
      <c r="H31" s="1214"/>
      <c r="I31" s="1214"/>
      <c r="J31" s="1214"/>
      <c r="K31" s="1214"/>
      <c r="L31" s="1214"/>
      <c r="M31" s="1214"/>
      <c r="N31" s="1214"/>
      <c r="O31" s="1214"/>
      <c r="P31" s="1214"/>
      <c r="Q31" s="1214"/>
      <c r="R31" s="1214"/>
      <c r="S31" s="1214"/>
      <c r="T31" s="1214"/>
      <c r="U31" s="1214"/>
      <c r="V31" s="1214"/>
      <c r="W31" s="1214"/>
      <c r="X31" s="1214"/>
      <c r="Y31" s="1214"/>
      <c r="Z31" s="1214"/>
    </row>
    <row r="32">
      <c r="A32" s="1188" t="s">
        <v>5986</v>
      </c>
      <c r="B32" s="1188" t="s">
        <v>5994</v>
      </c>
      <c r="C32" s="1250" t="s">
        <v>6414</v>
      </c>
      <c r="D32" s="134">
        <v>44717.0</v>
      </c>
      <c r="E32" s="1214"/>
      <c r="F32" s="1214"/>
      <c r="G32" s="1214"/>
      <c r="H32" s="1214"/>
      <c r="I32" s="1214"/>
      <c r="J32" s="1214"/>
      <c r="K32" s="1214"/>
      <c r="L32" s="1214"/>
      <c r="M32" s="1214"/>
      <c r="N32" s="1214"/>
      <c r="O32" s="1214"/>
      <c r="P32" s="1214"/>
      <c r="Q32" s="1214"/>
      <c r="R32" s="1214"/>
      <c r="S32" s="1214"/>
      <c r="T32" s="1214"/>
      <c r="U32" s="1214"/>
      <c r="V32" s="1214"/>
      <c r="W32" s="1214"/>
      <c r="X32" s="1214"/>
      <c r="Y32" s="1214"/>
      <c r="Z32" s="1214"/>
    </row>
    <row r="33">
      <c r="A33" s="26" t="s">
        <v>6415</v>
      </c>
      <c r="B33" s="26" t="s">
        <v>6416</v>
      </c>
      <c r="C33" s="26" t="s">
        <v>6417</v>
      </c>
      <c r="D33" s="124">
        <v>44748.0</v>
      </c>
      <c r="E33" s="1214"/>
      <c r="F33" s="1214"/>
      <c r="G33" s="1214"/>
      <c r="H33" s="1214"/>
      <c r="I33" s="1214"/>
      <c r="J33" s="1214"/>
      <c r="K33" s="1214"/>
      <c r="L33" s="1214"/>
      <c r="M33" s="1214"/>
      <c r="N33" s="1214"/>
      <c r="O33" s="1214"/>
      <c r="P33" s="1214"/>
      <c r="Q33" s="1214"/>
      <c r="R33" s="1214"/>
      <c r="S33" s="1214"/>
      <c r="T33" s="1214"/>
      <c r="U33" s="1214"/>
      <c r="V33" s="1214"/>
      <c r="W33" s="1214"/>
      <c r="X33" s="1214"/>
      <c r="Y33" s="1214"/>
      <c r="Z33" s="1214"/>
    </row>
    <row r="34">
      <c r="A34" s="26" t="s">
        <v>6418</v>
      </c>
      <c r="B34" s="26" t="s">
        <v>5971</v>
      </c>
      <c r="C34" s="26" t="s">
        <v>6419</v>
      </c>
      <c r="D34" s="124">
        <v>44750.0</v>
      </c>
      <c r="E34" s="1214"/>
      <c r="F34" s="1214"/>
      <c r="G34" s="1214"/>
      <c r="H34" s="1214"/>
      <c r="I34" s="1214"/>
      <c r="J34" s="1214"/>
      <c r="K34" s="1214"/>
      <c r="L34" s="1214"/>
      <c r="M34" s="1214"/>
      <c r="N34" s="1214"/>
      <c r="O34" s="1214"/>
      <c r="P34" s="1214"/>
      <c r="Q34" s="1214"/>
      <c r="R34" s="1214"/>
      <c r="S34" s="1214"/>
      <c r="T34" s="1214"/>
      <c r="U34" s="1214"/>
      <c r="V34" s="1214"/>
      <c r="W34" s="1214"/>
      <c r="X34" s="1214"/>
      <c r="Y34" s="1214"/>
      <c r="Z34" s="1214"/>
    </row>
    <row r="35">
      <c r="A35" s="1188" t="s">
        <v>6420</v>
      </c>
      <c r="B35" s="1258" t="s">
        <v>5968</v>
      </c>
      <c r="C35" s="1188" t="s">
        <v>5969</v>
      </c>
      <c r="D35" s="124">
        <v>44749.0</v>
      </c>
      <c r="E35" s="1214"/>
      <c r="F35" s="1214"/>
      <c r="G35" s="1214"/>
      <c r="H35" s="1214"/>
      <c r="I35" s="1214"/>
      <c r="J35" s="1214"/>
      <c r="K35" s="1214"/>
      <c r="L35" s="1214"/>
      <c r="M35" s="1214"/>
      <c r="N35" s="1214"/>
      <c r="O35" s="1214"/>
      <c r="P35" s="1214"/>
      <c r="Q35" s="1214"/>
      <c r="R35" s="1214"/>
      <c r="S35" s="1214"/>
      <c r="T35" s="1214"/>
      <c r="U35" s="1214"/>
      <c r="V35" s="1214"/>
      <c r="W35" s="1214"/>
      <c r="X35" s="1214"/>
      <c r="Y35" s="1214"/>
      <c r="Z35" s="1214"/>
    </row>
    <row r="36">
      <c r="A36" s="1188" t="s">
        <v>6421</v>
      </c>
      <c r="B36" s="1188" t="s">
        <v>5982</v>
      </c>
      <c r="C36" s="26" t="s">
        <v>6422</v>
      </c>
      <c r="D36" s="124">
        <v>44751.0</v>
      </c>
      <c r="E36" s="1214"/>
      <c r="F36" s="1214"/>
      <c r="G36" s="1214"/>
      <c r="H36" s="1214"/>
      <c r="I36" s="1214"/>
      <c r="J36" s="1214"/>
      <c r="K36" s="1214"/>
      <c r="L36" s="1214"/>
      <c r="M36" s="1214"/>
      <c r="N36" s="1214"/>
      <c r="O36" s="1214"/>
      <c r="P36" s="1214"/>
      <c r="Q36" s="1214"/>
      <c r="R36" s="1214"/>
      <c r="S36" s="1214"/>
      <c r="T36" s="1214"/>
      <c r="U36" s="1214"/>
      <c r="V36" s="1214"/>
      <c r="W36" s="1214"/>
      <c r="X36" s="1214"/>
      <c r="Y36" s="1214"/>
      <c r="Z36" s="1214"/>
    </row>
    <row r="37">
      <c r="A37" s="26" t="s">
        <v>6399</v>
      </c>
      <c r="B37" s="26" t="s">
        <v>6029</v>
      </c>
      <c r="C37" s="26" t="s">
        <v>6423</v>
      </c>
      <c r="D37" s="124">
        <v>44756.0</v>
      </c>
      <c r="E37" s="1214"/>
      <c r="F37" s="1214"/>
      <c r="G37" s="1214"/>
      <c r="H37" s="1214"/>
      <c r="I37" s="1214"/>
      <c r="J37" s="1214"/>
      <c r="K37" s="1214"/>
      <c r="L37" s="1214"/>
      <c r="M37" s="1214"/>
      <c r="N37" s="1214"/>
      <c r="O37" s="1214"/>
      <c r="P37" s="1214"/>
      <c r="Q37" s="1214"/>
      <c r="R37" s="1214"/>
      <c r="S37" s="1214"/>
      <c r="T37" s="1214"/>
      <c r="U37" s="1214"/>
      <c r="V37" s="1214"/>
      <c r="W37" s="1214"/>
      <c r="X37" s="1214"/>
      <c r="Y37" s="1214"/>
      <c r="Z37" s="1214"/>
    </row>
    <row r="38">
      <c r="A38" s="1188" t="s">
        <v>5986</v>
      </c>
      <c r="B38" s="1188">
        <v>2.000000350724E12</v>
      </c>
      <c r="C38" s="26" t="s">
        <v>6424</v>
      </c>
      <c r="D38" s="124">
        <v>44756.0</v>
      </c>
      <c r="E38" s="1214"/>
      <c r="F38" s="1214"/>
      <c r="G38" s="1214"/>
      <c r="H38" s="1214"/>
      <c r="I38" s="1214"/>
      <c r="J38" s="1214"/>
      <c r="K38" s="1214"/>
      <c r="L38" s="1214"/>
      <c r="M38" s="1214"/>
      <c r="N38" s="1214"/>
      <c r="O38" s="1214"/>
      <c r="P38" s="1214"/>
      <c r="Q38" s="1214"/>
      <c r="R38" s="1214"/>
      <c r="S38" s="1214"/>
      <c r="T38" s="1214"/>
      <c r="U38" s="1214"/>
      <c r="V38" s="1214"/>
      <c r="W38" s="1214"/>
      <c r="X38" s="1214"/>
      <c r="Y38" s="1214"/>
      <c r="Z38" s="1214"/>
    </row>
    <row r="39">
      <c r="A39" s="26" t="s">
        <v>6002</v>
      </c>
      <c r="B39" s="28"/>
      <c r="C39" s="26" t="s">
        <v>6424</v>
      </c>
      <c r="D39" s="124">
        <v>44756.0</v>
      </c>
      <c r="E39" s="1214"/>
      <c r="F39" s="1214"/>
      <c r="G39" s="1214"/>
      <c r="H39" s="1214"/>
      <c r="I39" s="1214"/>
      <c r="J39" s="1214"/>
      <c r="K39" s="1214"/>
      <c r="L39" s="1214"/>
      <c r="M39" s="1214"/>
      <c r="N39" s="1214"/>
      <c r="O39" s="1214"/>
      <c r="P39" s="1214"/>
      <c r="Q39" s="1214"/>
      <c r="R39" s="1214"/>
      <c r="S39" s="1214"/>
      <c r="T39" s="1214"/>
      <c r="U39" s="1214"/>
      <c r="V39" s="1214"/>
      <c r="W39" s="1214"/>
      <c r="X39" s="1214"/>
      <c r="Y39" s="1214"/>
      <c r="Z39" s="1214"/>
    </row>
    <row r="40">
      <c r="A40" s="1172" t="s">
        <v>6008</v>
      </c>
      <c r="B40" s="1188" t="s">
        <v>6031</v>
      </c>
      <c r="C40" s="26" t="s">
        <v>6032</v>
      </c>
      <c r="D40" s="124">
        <v>44762.0</v>
      </c>
      <c r="E40" s="1214"/>
      <c r="F40" s="1214"/>
      <c r="G40" s="1214"/>
      <c r="H40" s="1214"/>
      <c r="I40" s="1214"/>
      <c r="J40" s="1214"/>
      <c r="K40" s="1214"/>
      <c r="L40" s="1214"/>
      <c r="M40" s="1214"/>
      <c r="N40" s="1214"/>
      <c r="O40" s="1214"/>
      <c r="P40" s="1214"/>
      <c r="Q40" s="1214"/>
      <c r="R40" s="1214"/>
      <c r="S40" s="1214"/>
      <c r="T40" s="1214"/>
      <c r="U40" s="1214"/>
      <c r="V40" s="1214"/>
      <c r="W40" s="1214"/>
      <c r="X40" s="1214"/>
      <c r="Y40" s="1214"/>
      <c r="Z40" s="1214"/>
    </row>
    <row r="41">
      <c r="A41" s="1172" t="s">
        <v>6008</v>
      </c>
      <c r="B41" s="1188" t="s">
        <v>6034</v>
      </c>
      <c r="C41" s="26" t="s">
        <v>6032</v>
      </c>
      <c r="D41" s="124">
        <v>44762.0</v>
      </c>
      <c r="E41" s="1214"/>
      <c r="F41" s="1214"/>
      <c r="G41" s="1214"/>
      <c r="H41" s="1214"/>
      <c r="I41" s="1214"/>
      <c r="J41" s="1214"/>
      <c r="K41" s="1214"/>
      <c r="L41" s="1214"/>
      <c r="M41" s="1214"/>
      <c r="N41" s="1214"/>
      <c r="O41" s="1214"/>
      <c r="P41" s="1214"/>
      <c r="Q41" s="1214"/>
      <c r="R41" s="1214"/>
      <c r="S41" s="1214"/>
      <c r="T41" s="1214"/>
      <c r="U41" s="1214"/>
      <c r="V41" s="1214"/>
      <c r="W41" s="1214"/>
      <c r="X41" s="1214"/>
      <c r="Y41" s="1214"/>
      <c r="Z41" s="1214"/>
    </row>
    <row r="42">
      <c r="A42" s="1172" t="s">
        <v>6008</v>
      </c>
      <c r="B42" s="1172" t="s">
        <v>6035</v>
      </c>
      <c r="C42" s="26" t="s">
        <v>6032</v>
      </c>
      <c r="D42" s="124">
        <v>44762.0</v>
      </c>
      <c r="E42" s="1214"/>
      <c r="F42" s="1214"/>
      <c r="G42" s="1214"/>
      <c r="H42" s="1214"/>
      <c r="I42" s="1214"/>
      <c r="J42" s="1214"/>
      <c r="K42" s="1214"/>
      <c r="L42" s="1214"/>
      <c r="M42" s="1214"/>
      <c r="N42" s="1214"/>
      <c r="O42" s="1214"/>
      <c r="P42" s="1214"/>
      <c r="Q42" s="1214"/>
      <c r="R42" s="1214"/>
      <c r="S42" s="1214"/>
      <c r="T42" s="1214"/>
      <c r="U42" s="1214"/>
      <c r="V42" s="1214"/>
      <c r="W42" s="1214"/>
      <c r="X42" s="1214"/>
      <c r="Y42" s="1214"/>
      <c r="Z42" s="1214"/>
    </row>
    <row r="43">
      <c r="A43" s="1172" t="s">
        <v>6008</v>
      </c>
      <c r="B43" s="1188" t="s">
        <v>6036</v>
      </c>
      <c r="C43" s="26" t="s">
        <v>6032</v>
      </c>
      <c r="D43" s="124">
        <v>44762.0</v>
      </c>
      <c r="E43" s="1214"/>
      <c r="F43" s="1214"/>
      <c r="G43" s="1214"/>
      <c r="H43" s="1214"/>
      <c r="I43" s="1214"/>
      <c r="J43" s="1214"/>
      <c r="K43" s="1214"/>
      <c r="L43" s="1214"/>
      <c r="M43" s="1214"/>
      <c r="N43" s="1214"/>
      <c r="O43" s="1214"/>
      <c r="P43" s="1214"/>
      <c r="Q43" s="1214"/>
      <c r="R43" s="1214"/>
      <c r="S43" s="1214"/>
      <c r="T43" s="1214"/>
      <c r="U43" s="1214"/>
      <c r="V43" s="1214"/>
      <c r="W43" s="1214"/>
      <c r="X43" s="1214"/>
      <c r="Y43" s="1214"/>
      <c r="Z43" s="1214"/>
    </row>
    <row r="44">
      <c r="A44" s="1172" t="s">
        <v>6008</v>
      </c>
      <c r="B44" s="1172" t="s">
        <v>6037</v>
      </c>
      <c r="C44" s="26" t="s">
        <v>6032</v>
      </c>
      <c r="D44" s="124">
        <v>44762.0</v>
      </c>
      <c r="E44" s="1214"/>
      <c r="F44" s="1214"/>
      <c r="G44" s="1214"/>
      <c r="H44" s="1214"/>
      <c r="I44" s="1214"/>
      <c r="J44" s="1214"/>
      <c r="K44" s="1214"/>
      <c r="L44" s="1214"/>
      <c r="M44" s="1214"/>
      <c r="N44" s="1214"/>
      <c r="O44" s="1214"/>
      <c r="P44" s="1214"/>
      <c r="Q44" s="1214"/>
      <c r="R44" s="1214"/>
      <c r="S44" s="1214"/>
      <c r="T44" s="1214"/>
      <c r="U44" s="1214"/>
      <c r="V44" s="1214"/>
      <c r="W44" s="1214"/>
      <c r="X44" s="1214"/>
      <c r="Y44" s="1214"/>
      <c r="Z44" s="1214"/>
    </row>
    <row r="45">
      <c r="A45" s="1172" t="s">
        <v>6008</v>
      </c>
      <c r="B45" s="1172" t="s">
        <v>6038</v>
      </c>
      <c r="C45" s="26" t="s">
        <v>6032</v>
      </c>
      <c r="D45" s="124">
        <v>44762.0</v>
      </c>
      <c r="E45" s="1214"/>
      <c r="F45" s="1214"/>
      <c r="G45" s="1214"/>
      <c r="H45" s="1214"/>
      <c r="I45" s="1214"/>
      <c r="J45" s="1214"/>
      <c r="K45" s="1214"/>
      <c r="L45" s="1214"/>
      <c r="M45" s="1214"/>
      <c r="N45" s="1214"/>
      <c r="O45" s="1214"/>
      <c r="P45" s="1214"/>
      <c r="Q45" s="1214"/>
      <c r="R45" s="1214"/>
      <c r="S45" s="1214"/>
      <c r="T45" s="1214"/>
      <c r="U45" s="1214"/>
      <c r="V45" s="1214"/>
      <c r="W45" s="1214"/>
      <c r="X45" s="1214"/>
      <c r="Y45" s="1214"/>
      <c r="Z45" s="1214"/>
    </row>
    <row r="46">
      <c r="A46" s="1172" t="s">
        <v>6008</v>
      </c>
      <c r="B46" s="1172" t="s">
        <v>6039</v>
      </c>
      <c r="C46" s="26" t="s">
        <v>6032</v>
      </c>
      <c r="D46" s="124">
        <v>44762.0</v>
      </c>
      <c r="E46" s="1214"/>
      <c r="F46" s="1214"/>
      <c r="G46" s="1214"/>
      <c r="H46" s="1214"/>
      <c r="I46" s="1214"/>
      <c r="J46" s="1214"/>
      <c r="K46" s="1214"/>
      <c r="L46" s="1214"/>
      <c r="M46" s="1214"/>
      <c r="N46" s="1214"/>
      <c r="O46" s="1214"/>
      <c r="P46" s="1214"/>
      <c r="Q46" s="1214"/>
      <c r="R46" s="1214"/>
      <c r="S46" s="1214"/>
      <c r="T46" s="1214"/>
      <c r="U46" s="1214"/>
      <c r="V46" s="1214"/>
      <c r="W46" s="1214"/>
      <c r="X46" s="1214"/>
      <c r="Y46" s="1214"/>
      <c r="Z46" s="1214"/>
    </row>
    <row r="47">
      <c r="A47" s="1172" t="s">
        <v>6008</v>
      </c>
      <c r="B47" s="1172" t="s">
        <v>6040</v>
      </c>
      <c r="C47" s="26" t="s">
        <v>6032</v>
      </c>
      <c r="D47" s="124">
        <v>44762.0</v>
      </c>
      <c r="E47" s="1214"/>
      <c r="F47" s="1214"/>
      <c r="G47" s="1214"/>
      <c r="H47" s="1214"/>
      <c r="I47" s="1214"/>
      <c r="J47" s="1214"/>
      <c r="K47" s="1214"/>
      <c r="L47" s="1214"/>
      <c r="M47" s="1214"/>
      <c r="N47" s="1214"/>
      <c r="O47" s="1214"/>
      <c r="P47" s="1214"/>
      <c r="Q47" s="1214"/>
      <c r="R47" s="1214"/>
      <c r="S47" s="1214"/>
      <c r="T47" s="1214"/>
      <c r="U47" s="1214"/>
      <c r="V47" s="1214"/>
      <c r="W47" s="1214"/>
      <c r="X47" s="1214"/>
      <c r="Y47" s="1214"/>
      <c r="Z47" s="1214"/>
    </row>
    <row r="48">
      <c r="A48" s="1172" t="s">
        <v>6008</v>
      </c>
      <c r="B48" s="1172" t="s">
        <v>6041</v>
      </c>
      <c r="C48" s="26" t="s">
        <v>6032</v>
      </c>
      <c r="D48" s="124">
        <v>44762.0</v>
      </c>
      <c r="E48" s="1214"/>
      <c r="F48" s="1214"/>
      <c r="G48" s="1214"/>
      <c r="H48" s="1214"/>
      <c r="I48" s="1214"/>
      <c r="J48" s="1214"/>
      <c r="K48" s="1214"/>
      <c r="L48" s="1214"/>
      <c r="M48" s="1214"/>
      <c r="N48" s="1214"/>
      <c r="O48" s="1214"/>
      <c r="P48" s="1214"/>
      <c r="Q48" s="1214"/>
      <c r="R48" s="1214"/>
      <c r="S48" s="1214"/>
      <c r="T48" s="1214"/>
      <c r="U48" s="1214"/>
      <c r="V48" s="1214"/>
      <c r="W48" s="1214"/>
      <c r="X48" s="1214"/>
      <c r="Y48" s="1214"/>
      <c r="Z48" s="1214"/>
    </row>
    <row r="49">
      <c r="A49" s="1172" t="s">
        <v>6008</v>
      </c>
      <c r="B49" s="1172" t="s">
        <v>6042</v>
      </c>
      <c r="C49" s="26" t="s">
        <v>6032</v>
      </c>
      <c r="D49" s="124">
        <v>44762.0</v>
      </c>
      <c r="E49" s="1214"/>
      <c r="F49" s="1214"/>
      <c r="G49" s="1214"/>
      <c r="H49" s="1214"/>
      <c r="I49" s="1214"/>
      <c r="J49" s="1214"/>
      <c r="K49" s="1214"/>
      <c r="L49" s="1214"/>
      <c r="M49" s="1214"/>
      <c r="N49" s="1214"/>
      <c r="O49" s="1214"/>
      <c r="P49" s="1214"/>
      <c r="Q49" s="1214"/>
      <c r="R49" s="1214"/>
      <c r="S49" s="1214"/>
      <c r="T49" s="1214"/>
      <c r="U49" s="1214"/>
      <c r="V49" s="1214"/>
      <c r="W49" s="1214"/>
      <c r="X49" s="1214"/>
      <c r="Y49" s="1214"/>
      <c r="Z49" s="1214"/>
    </row>
    <row r="50">
      <c r="A50" s="1172" t="s">
        <v>6014</v>
      </c>
      <c r="B50" s="1172" t="s">
        <v>6043</v>
      </c>
      <c r="C50" s="26" t="s">
        <v>6032</v>
      </c>
      <c r="D50" s="124">
        <v>44762.0</v>
      </c>
      <c r="E50" s="1214"/>
      <c r="F50" s="1214"/>
      <c r="G50" s="1214"/>
      <c r="H50" s="1214"/>
      <c r="I50" s="1214"/>
      <c r="J50" s="1214"/>
      <c r="K50" s="1214"/>
      <c r="L50" s="1214"/>
      <c r="M50" s="1214"/>
      <c r="N50" s="1214"/>
      <c r="O50" s="1214"/>
      <c r="P50" s="1214"/>
      <c r="Q50" s="1214"/>
      <c r="R50" s="1214"/>
      <c r="S50" s="1214"/>
      <c r="T50" s="1214"/>
      <c r="U50" s="1214"/>
      <c r="V50" s="1214"/>
      <c r="W50" s="1214"/>
      <c r="X50" s="1214"/>
      <c r="Y50" s="1214"/>
      <c r="Z50" s="1214"/>
    </row>
    <row r="51">
      <c r="A51" s="1172" t="s">
        <v>6014</v>
      </c>
      <c r="B51" s="1172" t="s">
        <v>6044</v>
      </c>
      <c r="C51" s="26" t="s">
        <v>6032</v>
      </c>
      <c r="D51" s="124">
        <v>44762.0</v>
      </c>
      <c r="E51" s="1214"/>
      <c r="F51" s="1214"/>
      <c r="G51" s="1214"/>
      <c r="H51" s="1214"/>
      <c r="I51" s="1214"/>
      <c r="J51" s="1214"/>
      <c r="K51" s="1214"/>
      <c r="L51" s="1214"/>
      <c r="M51" s="1214"/>
      <c r="N51" s="1214"/>
      <c r="O51" s="1214"/>
      <c r="P51" s="1214"/>
      <c r="Q51" s="1214"/>
      <c r="R51" s="1214"/>
      <c r="S51" s="1214"/>
      <c r="T51" s="1214"/>
      <c r="U51" s="1214"/>
      <c r="V51" s="1214"/>
      <c r="W51" s="1214"/>
      <c r="X51" s="1214"/>
      <c r="Y51" s="1214"/>
      <c r="Z51" s="1214"/>
    </row>
    <row r="52">
      <c r="A52" s="1172" t="s">
        <v>6014</v>
      </c>
      <c r="B52" s="1172" t="s">
        <v>6045</v>
      </c>
      <c r="C52" s="26" t="s">
        <v>6032</v>
      </c>
      <c r="D52" s="124">
        <v>44762.0</v>
      </c>
      <c r="E52" s="1214"/>
      <c r="F52" s="1214"/>
      <c r="G52" s="1214"/>
      <c r="H52" s="1214"/>
      <c r="I52" s="1214"/>
      <c r="J52" s="1214"/>
      <c r="K52" s="1214"/>
      <c r="L52" s="1214"/>
      <c r="M52" s="1214"/>
      <c r="N52" s="1214"/>
      <c r="O52" s="1214"/>
      <c r="P52" s="1214"/>
      <c r="Q52" s="1214"/>
      <c r="R52" s="1214"/>
      <c r="S52" s="1214"/>
      <c r="T52" s="1214"/>
      <c r="U52" s="1214"/>
      <c r="V52" s="1214"/>
      <c r="W52" s="1214"/>
      <c r="X52" s="1214"/>
      <c r="Y52" s="1214"/>
      <c r="Z52" s="1214"/>
    </row>
    <row r="53">
      <c r="A53" s="1172" t="s">
        <v>6046</v>
      </c>
      <c r="B53" s="1172" t="s">
        <v>6048</v>
      </c>
      <c r="C53" s="26" t="s">
        <v>6032</v>
      </c>
      <c r="D53" s="124">
        <v>44762.0</v>
      </c>
      <c r="E53" s="1214"/>
      <c r="F53" s="1214"/>
      <c r="G53" s="1214"/>
      <c r="H53" s="1214"/>
      <c r="I53" s="1214"/>
      <c r="J53" s="1214"/>
      <c r="K53" s="1214"/>
      <c r="L53" s="1214"/>
      <c r="M53" s="1214"/>
      <c r="N53" s="1214"/>
      <c r="O53" s="1214"/>
      <c r="P53" s="1214"/>
      <c r="Q53" s="1214"/>
      <c r="R53" s="1214"/>
      <c r="S53" s="1214"/>
      <c r="T53" s="1214"/>
      <c r="U53" s="1214"/>
      <c r="V53" s="1214"/>
      <c r="W53" s="1214"/>
      <c r="X53" s="1214"/>
      <c r="Y53" s="1214"/>
      <c r="Z53" s="1214"/>
    </row>
    <row r="54">
      <c r="A54" s="1172" t="s">
        <v>6046</v>
      </c>
      <c r="B54" s="1172" t="s">
        <v>6049</v>
      </c>
      <c r="C54" s="26" t="s">
        <v>6032</v>
      </c>
      <c r="D54" s="124">
        <v>44762.0</v>
      </c>
      <c r="E54" s="1214"/>
      <c r="F54" s="1214"/>
      <c r="G54" s="1214"/>
      <c r="H54" s="1214"/>
      <c r="I54" s="1214"/>
      <c r="J54" s="1214"/>
      <c r="K54" s="1214"/>
      <c r="L54" s="1214"/>
      <c r="M54" s="1214"/>
      <c r="N54" s="1214"/>
      <c r="O54" s="1214"/>
      <c r="P54" s="1214"/>
      <c r="Q54" s="1214"/>
      <c r="R54" s="1214"/>
      <c r="S54" s="1214"/>
      <c r="T54" s="1214"/>
      <c r="U54" s="1214"/>
      <c r="V54" s="1214"/>
      <c r="W54" s="1214"/>
      <c r="X54" s="1214"/>
      <c r="Y54" s="1214"/>
      <c r="Z54" s="1214"/>
    </row>
    <row r="55">
      <c r="A55" s="1172" t="s">
        <v>6050</v>
      </c>
      <c r="B55" s="1172" t="s">
        <v>6051</v>
      </c>
      <c r="C55" s="26" t="s">
        <v>6032</v>
      </c>
      <c r="D55" s="124">
        <v>44762.0</v>
      </c>
      <c r="E55" s="1214"/>
      <c r="F55" s="1214"/>
      <c r="G55" s="1214"/>
      <c r="H55" s="1214"/>
      <c r="I55" s="1214"/>
      <c r="J55" s="1214"/>
      <c r="K55" s="1214"/>
      <c r="L55" s="1214"/>
      <c r="M55" s="1214"/>
      <c r="N55" s="1214"/>
      <c r="O55" s="1214"/>
      <c r="P55" s="1214"/>
      <c r="Q55" s="1214"/>
      <c r="R55" s="1214"/>
      <c r="S55" s="1214"/>
      <c r="T55" s="1214"/>
      <c r="U55" s="1214"/>
      <c r="V55" s="1214"/>
      <c r="W55" s="1214"/>
      <c r="X55" s="1214"/>
      <c r="Y55" s="1214"/>
      <c r="Z55" s="1214"/>
    </row>
    <row r="56">
      <c r="A56" s="1172" t="s">
        <v>6050</v>
      </c>
      <c r="B56" s="1172" t="s">
        <v>6052</v>
      </c>
      <c r="C56" s="26" t="s">
        <v>6032</v>
      </c>
      <c r="D56" s="124">
        <v>44762.0</v>
      </c>
      <c r="E56" s="1214"/>
      <c r="F56" s="1214"/>
      <c r="G56" s="1214"/>
      <c r="H56" s="1214"/>
      <c r="I56" s="1214"/>
      <c r="J56" s="1214"/>
      <c r="K56" s="1214"/>
      <c r="L56" s="1214"/>
      <c r="M56" s="1214"/>
      <c r="N56" s="1214"/>
      <c r="O56" s="1214"/>
      <c r="P56" s="1214"/>
      <c r="Q56" s="1214"/>
      <c r="R56" s="1214"/>
      <c r="S56" s="1214"/>
      <c r="T56" s="1214"/>
      <c r="U56" s="1214"/>
      <c r="V56" s="1214"/>
      <c r="W56" s="1214"/>
      <c r="X56" s="1214"/>
      <c r="Y56" s="1214"/>
      <c r="Z56" s="1214"/>
    </row>
    <row r="57">
      <c r="A57" s="1188" t="s">
        <v>5962</v>
      </c>
      <c r="B57" s="1188" t="s">
        <v>5965</v>
      </c>
      <c r="C57" s="26" t="s">
        <v>5966</v>
      </c>
      <c r="D57" s="124">
        <v>44763.0</v>
      </c>
      <c r="E57" s="1214"/>
      <c r="F57" s="1214"/>
      <c r="G57" s="1214"/>
      <c r="H57" s="1214"/>
      <c r="I57" s="1214"/>
      <c r="J57" s="1214"/>
      <c r="K57" s="1214"/>
      <c r="L57" s="1214"/>
      <c r="M57" s="1214"/>
      <c r="N57" s="1214"/>
      <c r="O57" s="1214"/>
      <c r="P57" s="1214"/>
      <c r="Q57" s="1214"/>
      <c r="R57" s="1214"/>
      <c r="S57" s="1214"/>
      <c r="T57" s="1214"/>
      <c r="U57" s="1214"/>
      <c r="V57" s="1214"/>
      <c r="W57" s="1214"/>
      <c r="X57" s="1214"/>
      <c r="Y57" s="1214"/>
      <c r="Z57" s="1214"/>
    </row>
    <row r="58">
      <c r="A58" s="1188" t="s">
        <v>5962</v>
      </c>
      <c r="B58" s="1188" t="s">
        <v>5976</v>
      </c>
      <c r="C58" s="26" t="s">
        <v>5966</v>
      </c>
      <c r="D58" s="124">
        <v>44763.0</v>
      </c>
      <c r="E58" s="1214"/>
      <c r="F58" s="1214"/>
      <c r="G58" s="1214"/>
      <c r="H58" s="1214"/>
      <c r="I58" s="1214"/>
      <c r="J58" s="1214"/>
      <c r="K58" s="1214"/>
      <c r="L58" s="1214"/>
      <c r="M58" s="1214"/>
      <c r="N58" s="1214"/>
      <c r="O58" s="1214"/>
      <c r="P58" s="1214"/>
      <c r="Q58" s="1214"/>
      <c r="R58" s="1214"/>
      <c r="S58" s="1214"/>
      <c r="T58" s="1214"/>
      <c r="U58" s="1214"/>
      <c r="V58" s="1214"/>
      <c r="W58" s="1214"/>
      <c r="X58" s="1214"/>
      <c r="Y58" s="1214"/>
      <c r="Z58" s="1214"/>
    </row>
    <row r="59">
      <c r="A59" s="1188" t="s">
        <v>5979</v>
      </c>
      <c r="B59" s="1188" t="s">
        <v>5980</v>
      </c>
      <c r="C59" s="26" t="s">
        <v>5981</v>
      </c>
      <c r="D59" s="124">
        <v>44765.0</v>
      </c>
      <c r="E59" s="1214"/>
      <c r="F59" s="1214"/>
      <c r="G59" s="1214"/>
      <c r="H59" s="1214"/>
      <c r="I59" s="1214"/>
      <c r="J59" s="1214"/>
      <c r="K59" s="1214"/>
      <c r="L59" s="1214"/>
      <c r="M59" s="1214"/>
      <c r="N59" s="1214"/>
      <c r="O59" s="1214"/>
      <c r="P59" s="1214"/>
      <c r="Q59" s="1214"/>
      <c r="R59" s="1214"/>
      <c r="S59" s="1214"/>
      <c r="T59" s="1214"/>
      <c r="U59" s="1214"/>
      <c r="V59" s="1214"/>
      <c r="W59" s="1214"/>
      <c r="X59" s="1214"/>
      <c r="Y59" s="1214"/>
      <c r="Z59" s="1214"/>
    </row>
    <row r="60">
      <c r="A60" s="26" t="s">
        <v>6425</v>
      </c>
      <c r="B60" s="28"/>
      <c r="C60" s="26" t="s">
        <v>6426</v>
      </c>
      <c r="D60" s="124">
        <v>44766.0</v>
      </c>
      <c r="E60" s="1214"/>
      <c r="F60" s="1214"/>
      <c r="G60" s="1214"/>
      <c r="H60" s="1214"/>
      <c r="I60" s="1214"/>
      <c r="J60" s="1214"/>
      <c r="K60" s="1214"/>
      <c r="L60" s="1214"/>
      <c r="M60" s="1214"/>
      <c r="N60" s="1214"/>
      <c r="O60" s="1214"/>
      <c r="P60" s="1214"/>
      <c r="Q60" s="1214"/>
      <c r="R60" s="1214"/>
      <c r="S60" s="1214"/>
      <c r="T60" s="1214"/>
      <c r="U60" s="1214"/>
      <c r="V60" s="1214"/>
      <c r="W60" s="1214"/>
      <c r="X60" s="1214"/>
      <c r="Y60" s="1214"/>
      <c r="Z60" s="1214"/>
    </row>
    <row r="61">
      <c r="A61" s="514" t="s">
        <v>6014</v>
      </c>
      <c r="B61" s="200" t="s">
        <v>6016</v>
      </c>
      <c r="C61" s="514" t="s">
        <v>6017</v>
      </c>
      <c r="D61" s="124">
        <v>44769.0</v>
      </c>
      <c r="E61" s="1214"/>
      <c r="F61" s="1214"/>
      <c r="G61" s="1214"/>
      <c r="H61" s="1214"/>
      <c r="I61" s="1214"/>
      <c r="J61" s="1214"/>
      <c r="K61" s="1214"/>
      <c r="L61" s="1214"/>
      <c r="M61" s="1214"/>
      <c r="N61" s="1214"/>
      <c r="O61" s="1214"/>
      <c r="P61" s="1214"/>
      <c r="Q61" s="1214"/>
      <c r="R61" s="1214"/>
      <c r="S61" s="1214"/>
      <c r="T61" s="1214"/>
      <c r="U61" s="1214"/>
      <c r="V61" s="1214"/>
      <c r="W61" s="1214"/>
      <c r="X61" s="1214"/>
      <c r="Y61" s="1214"/>
      <c r="Z61" s="1214"/>
    </row>
    <row r="62">
      <c r="A62" s="1188" t="s">
        <v>5962</v>
      </c>
      <c r="B62" s="1188" t="s">
        <v>6066</v>
      </c>
      <c r="C62" s="1188" t="s">
        <v>6427</v>
      </c>
      <c r="D62" s="124">
        <v>44776.0</v>
      </c>
      <c r="E62" s="1214"/>
      <c r="F62" s="1214"/>
      <c r="G62" s="1214"/>
      <c r="H62" s="1214"/>
      <c r="I62" s="1214"/>
      <c r="J62" s="1214"/>
      <c r="K62" s="1214"/>
      <c r="L62" s="1214"/>
      <c r="M62" s="1214"/>
      <c r="N62" s="1214"/>
      <c r="O62" s="1214"/>
      <c r="P62" s="1214"/>
      <c r="Q62" s="1214"/>
      <c r="R62" s="1214"/>
      <c r="S62" s="1214"/>
      <c r="T62" s="1214"/>
      <c r="U62" s="1214"/>
      <c r="V62" s="1214"/>
      <c r="W62" s="1214"/>
      <c r="X62" s="1214"/>
      <c r="Y62" s="1214"/>
      <c r="Z62" s="1214"/>
    </row>
    <row r="63">
      <c r="A63" s="1250" t="s">
        <v>6021</v>
      </c>
      <c r="B63" s="1188" t="s">
        <v>6086</v>
      </c>
      <c r="C63" s="1188" t="s">
        <v>6428</v>
      </c>
      <c r="D63" s="1251">
        <v>44782.0</v>
      </c>
      <c r="E63" s="1214"/>
      <c r="F63" s="1214"/>
      <c r="G63" s="1214"/>
      <c r="H63" s="1214"/>
      <c r="I63" s="1214"/>
      <c r="J63" s="1214"/>
      <c r="K63" s="1214"/>
      <c r="L63" s="1214"/>
      <c r="M63" s="1214"/>
      <c r="N63" s="1214"/>
      <c r="O63" s="1214"/>
      <c r="P63" s="1214"/>
      <c r="Q63" s="1214"/>
      <c r="R63" s="1214"/>
      <c r="S63" s="1214"/>
      <c r="T63" s="1214"/>
      <c r="U63" s="1214"/>
      <c r="V63" s="1214"/>
      <c r="W63" s="1214"/>
      <c r="X63" s="1214"/>
      <c r="Y63" s="1214"/>
      <c r="Z63" s="1214"/>
    </row>
    <row r="64">
      <c r="A64" s="1172" t="s">
        <v>6429</v>
      </c>
      <c r="B64" s="28"/>
      <c r="C64" s="26" t="s">
        <v>6430</v>
      </c>
      <c r="D64" s="124">
        <v>44795.0</v>
      </c>
      <c r="E64" s="1214"/>
      <c r="F64" s="1214"/>
      <c r="G64" s="1214"/>
      <c r="H64" s="1214"/>
      <c r="I64" s="1214"/>
      <c r="J64" s="1214"/>
      <c r="K64" s="1214"/>
      <c r="L64" s="1214"/>
      <c r="M64" s="1214"/>
      <c r="N64" s="1214"/>
      <c r="O64" s="1214"/>
      <c r="P64" s="1214"/>
      <c r="Q64" s="1214"/>
      <c r="R64" s="1214"/>
      <c r="S64" s="1214"/>
      <c r="T64" s="1214"/>
      <c r="U64" s="1214"/>
      <c r="V64" s="1214"/>
      <c r="W64" s="1214"/>
      <c r="X64" s="1214"/>
      <c r="Y64" s="1214"/>
      <c r="Z64" s="1214"/>
    </row>
    <row r="65">
      <c r="A65" s="1188" t="s">
        <v>6097</v>
      </c>
      <c r="B65" s="1188" t="s">
        <v>6098</v>
      </c>
      <c r="C65" s="1188" t="s">
        <v>6431</v>
      </c>
      <c r="D65" s="124">
        <v>44796.0</v>
      </c>
      <c r="E65" s="1214"/>
      <c r="F65" s="1214"/>
      <c r="G65" s="1214"/>
      <c r="H65" s="1214"/>
      <c r="I65" s="1214"/>
      <c r="J65" s="1214"/>
      <c r="K65" s="1214"/>
      <c r="L65" s="1214"/>
      <c r="M65" s="1214"/>
      <c r="N65" s="1214"/>
      <c r="O65" s="1214"/>
      <c r="P65" s="1214"/>
      <c r="Q65" s="1214"/>
      <c r="R65" s="1214"/>
      <c r="S65" s="1214"/>
      <c r="T65" s="1214"/>
      <c r="U65" s="1214"/>
      <c r="V65" s="1214"/>
      <c r="W65" s="1214"/>
      <c r="X65" s="1214"/>
      <c r="Y65" s="1214"/>
      <c r="Z65" s="1214"/>
    </row>
    <row r="66">
      <c r="A66" s="1188" t="s">
        <v>6097</v>
      </c>
      <c r="B66" s="1188" t="s">
        <v>6103</v>
      </c>
      <c r="C66" s="1188" t="s">
        <v>6153</v>
      </c>
      <c r="D66" s="124">
        <v>44796.0</v>
      </c>
      <c r="E66" s="1214"/>
      <c r="F66" s="1214"/>
      <c r="G66" s="1214"/>
      <c r="H66" s="1214"/>
      <c r="I66" s="1214"/>
      <c r="J66" s="1214"/>
      <c r="K66" s="1214"/>
      <c r="L66" s="1214"/>
      <c r="M66" s="1214"/>
      <c r="N66" s="1214"/>
      <c r="O66" s="1214"/>
      <c r="P66" s="1214"/>
      <c r="Q66" s="1214"/>
      <c r="R66" s="1214"/>
      <c r="S66" s="1214"/>
      <c r="T66" s="1214"/>
      <c r="U66" s="1214"/>
      <c r="V66" s="1214"/>
      <c r="W66" s="1214"/>
      <c r="X66" s="1214"/>
      <c r="Y66" s="1214"/>
      <c r="Z66" s="1214"/>
    </row>
    <row r="67">
      <c r="A67" s="1188" t="s">
        <v>6088</v>
      </c>
      <c r="B67" s="1188" t="s">
        <v>6106</v>
      </c>
      <c r="C67" s="1195" t="s">
        <v>6432</v>
      </c>
      <c r="D67" s="1259">
        <v>44806.0</v>
      </c>
      <c r="E67" s="1214"/>
      <c r="F67" s="1214"/>
      <c r="G67" s="1214"/>
      <c r="H67" s="1214"/>
      <c r="I67" s="1214"/>
      <c r="J67" s="1214"/>
      <c r="K67" s="1214"/>
      <c r="L67" s="1214"/>
      <c r="M67" s="1214"/>
      <c r="N67" s="1214"/>
      <c r="O67" s="1214"/>
      <c r="P67" s="1214"/>
      <c r="Q67" s="1214"/>
      <c r="R67" s="1214"/>
      <c r="S67" s="1214"/>
      <c r="T67" s="1214"/>
      <c r="U67" s="1214"/>
      <c r="V67" s="1214"/>
      <c r="W67" s="1214"/>
      <c r="X67" s="1214"/>
      <c r="Y67" s="1214"/>
      <c r="Z67" s="1214"/>
    </row>
    <row r="68">
      <c r="A68" s="1188" t="s">
        <v>6088</v>
      </c>
      <c r="B68" s="1188" t="s">
        <v>6092</v>
      </c>
      <c r="C68" s="186"/>
      <c r="D68" s="186"/>
      <c r="E68" s="1214"/>
      <c r="F68" s="1214"/>
      <c r="G68" s="1214"/>
      <c r="H68" s="1214"/>
      <c r="I68" s="1214"/>
      <c r="J68" s="1214"/>
      <c r="K68" s="1214"/>
      <c r="L68" s="1214"/>
      <c r="M68" s="1214"/>
      <c r="N68" s="1214"/>
      <c r="O68" s="1214"/>
      <c r="P68" s="1214"/>
      <c r="Q68" s="1214"/>
      <c r="R68" s="1214"/>
      <c r="S68" s="1214"/>
      <c r="T68" s="1214"/>
      <c r="U68" s="1214"/>
      <c r="V68" s="1214"/>
      <c r="W68" s="1214"/>
      <c r="X68" s="1214"/>
      <c r="Y68" s="1214"/>
      <c r="Z68" s="1214"/>
    </row>
    <row r="69">
      <c r="A69" s="1188" t="s">
        <v>6088</v>
      </c>
      <c r="B69" s="1188" t="s">
        <v>6093</v>
      </c>
      <c r="C69" s="186"/>
      <c r="D69" s="186"/>
      <c r="E69" s="1214"/>
      <c r="F69" s="1214"/>
      <c r="G69" s="1214"/>
      <c r="H69" s="1214"/>
      <c r="I69" s="1214"/>
      <c r="J69" s="1214"/>
      <c r="K69" s="1214"/>
      <c r="L69" s="1214"/>
      <c r="M69" s="1214"/>
      <c r="N69" s="1214"/>
      <c r="O69" s="1214"/>
      <c r="P69" s="1214"/>
      <c r="Q69" s="1214"/>
      <c r="R69" s="1214"/>
      <c r="S69" s="1214"/>
      <c r="T69" s="1214"/>
      <c r="U69" s="1214"/>
      <c r="V69" s="1214"/>
      <c r="W69" s="1214"/>
      <c r="X69" s="1214"/>
      <c r="Y69" s="1214"/>
      <c r="Z69" s="1214"/>
    </row>
    <row r="70">
      <c r="A70" s="1188" t="s">
        <v>5986</v>
      </c>
      <c r="B70" s="1188" t="s">
        <v>5991</v>
      </c>
      <c r="C70" s="185"/>
      <c r="D70" s="185"/>
      <c r="E70" s="1214"/>
      <c r="F70" s="1214"/>
      <c r="G70" s="1214"/>
      <c r="H70" s="1214"/>
      <c r="I70" s="1214"/>
      <c r="J70" s="1214"/>
      <c r="K70" s="1214"/>
      <c r="L70" s="1214"/>
      <c r="M70" s="1214"/>
      <c r="N70" s="1214"/>
      <c r="O70" s="1214"/>
      <c r="P70" s="1214"/>
      <c r="Q70" s="1214"/>
      <c r="R70" s="1214"/>
      <c r="S70" s="1214"/>
      <c r="T70" s="1214"/>
      <c r="U70" s="1214"/>
      <c r="V70" s="1214"/>
      <c r="W70" s="1214"/>
      <c r="X70" s="1214"/>
      <c r="Y70" s="1214"/>
      <c r="Z70" s="1214"/>
    </row>
    <row r="71">
      <c r="A71" s="1188" t="s">
        <v>5986</v>
      </c>
      <c r="B71" s="26" t="s">
        <v>6433</v>
      </c>
      <c r="C71" s="26" t="s">
        <v>6434</v>
      </c>
      <c r="D71" s="124">
        <v>44812.0</v>
      </c>
      <c r="E71" s="1214"/>
      <c r="F71" s="1214"/>
      <c r="G71" s="1214"/>
      <c r="H71" s="1214"/>
      <c r="I71" s="1214"/>
      <c r="J71" s="1214"/>
      <c r="K71" s="1214"/>
      <c r="L71" s="1214"/>
      <c r="M71" s="1214"/>
      <c r="N71" s="1214"/>
      <c r="O71" s="1214"/>
      <c r="P71" s="1214"/>
      <c r="Q71" s="1214"/>
      <c r="R71" s="1214"/>
      <c r="S71" s="1214"/>
      <c r="T71" s="1214"/>
      <c r="U71" s="1214"/>
      <c r="V71" s="1214"/>
      <c r="W71" s="1214"/>
      <c r="X71" s="1214"/>
      <c r="Y71" s="1214"/>
      <c r="Z71" s="1214"/>
    </row>
    <row r="72">
      <c r="A72" s="1188" t="s">
        <v>6097</v>
      </c>
      <c r="B72" s="26" t="s">
        <v>6120</v>
      </c>
      <c r="C72" s="26" t="s">
        <v>6435</v>
      </c>
      <c r="D72" s="124">
        <v>44813.0</v>
      </c>
      <c r="E72" s="1214"/>
      <c r="F72" s="1214"/>
      <c r="G72" s="1214"/>
      <c r="H72" s="1214"/>
      <c r="I72" s="1214"/>
      <c r="J72" s="1214"/>
      <c r="K72" s="1214"/>
      <c r="L72" s="1214"/>
      <c r="M72" s="1214"/>
      <c r="N72" s="1214"/>
      <c r="O72" s="1214"/>
      <c r="P72" s="1214"/>
      <c r="Q72" s="1214"/>
      <c r="R72" s="1214"/>
      <c r="S72" s="1214"/>
      <c r="T72" s="1214"/>
      <c r="U72" s="1214"/>
      <c r="V72" s="1214"/>
      <c r="W72" s="1214"/>
      <c r="X72" s="1214"/>
      <c r="Y72" s="1214"/>
      <c r="Z72" s="1214"/>
    </row>
    <row r="73">
      <c r="A73" s="1188" t="s">
        <v>6097</v>
      </c>
      <c r="B73" s="26" t="s">
        <v>6124</v>
      </c>
      <c r="C73" s="26" t="s">
        <v>6436</v>
      </c>
      <c r="D73" s="124">
        <v>44823.0</v>
      </c>
      <c r="E73" s="1214"/>
      <c r="F73" s="1214"/>
      <c r="G73" s="1214"/>
      <c r="H73" s="1214"/>
      <c r="I73" s="1214"/>
      <c r="J73" s="1214"/>
      <c r="K73" s="1214"/>
      <c r="L73" s="1214"/>
      <c r="M73" s="1214"/>
      <c r="N73" s="1214"/>
      <c r="O73" s="1214"/>
      <c r="P73" s="1214"/>
      <c r="Q73" s="1214"/>
      <c r="R73" s="1214"/>
      <c r="S73" s="1214"/>
      <c r="T73" s="1214"/>
      <c r="U73" s="1214"/>
      <c r="V73" s="1214"/>
      <c r="W73" s="1214"/>
      <c r="X73" s="1214"/>
      <c r="Y73" s="1214"/>
      <c r="Z73" s="1214"/>
    </row>
    <row r="74">
      <c r="A74" s="1172" t="s">
        <v>6437</v>
      </c>
      <c r="B74" s="28"/>
      <c r="C74" s="26" t="s">
        <v>6438</v>
      </c>
      <c r="D74" s="1260">
        <v>44826.0</v>
      </c>
      <c r="E74" s="1214"/>
      <c r="F74" s="1214"/>
      <c r="G74" s="1214"/>
      <c r="H74" s="1214"/>
      <c r="I74" s="1214"/>
      <c r="J74" s="1214"/>
      <c r="K74" s="1214"/>
      <c r="L74" s="1214"/>
      <c r="M74" s="1214"/>
      <c r="N74" s="1214"/>
      <c r="O74" s="1214"/>
      <c r="P74" s="1214"/>
      <c r="Q74" s="1214"/>
      <c r="R74" s="1214"/>
      <c r="S74" s="1214"/>
      <c r="T74" s="1214"/>
      <c r="U74" s="1214"/>
      <c r="V74" s="1214"/>
      <c r="W74" s="1214"/>
      <c r="X74" s="1214"/>
      <c r="Y74" s="1214"/>
      <c r="Z74" s="1214"/>
    </row>
    <row r="75">
      <c r="A75" s="1172" t="s">
        <v>6439</v>
      </c>
      <c r="B75" s="28"/>
      <c r="C75" s="26" t="s">
        <v>6440</v>
      </c>
      <c r="D75" s="1260">
        <v>44826.0</v>
      </c>
      <c r="E75" s="1214"/>
      <c r="F75" s="1214"/>
      <c r="G75" s="1214"/>
      <c r="H75" s="1214"/>
      <c r="I75" s="1214"/>
      <c r="J75" s="1214"/>
      <c r="K75" s="1214"/>
      <c r="L75" s="1214"/>
      <c r="M75" s="1214"/>
      <c r="N75" s="1214"/>
      <c r="O75" s="1214"/>
      <c r="P75" s="1214"/>
      <c r="Q75" s="1214"/>
      <c r="R75" s="1214"/>
      <c r="S75" s="1214"/>
      <c r="T75" s="1214"/>
      <c r="U75" s="1214"/>
      <c r="V75" s="1214"/>
      <c r="W75" s="1214"/>
      <c r="X75" s="1214"/>
      <c r="Y75" s="1214"/>
      <c r="Z75" s="1214"/>
    </row>
    <row r="76">
      <c r="A76" s="1172" t="s">
        <v>6441</v>
      </c>
      <c r="B76" s="28"/>
      <c r="C76" s="26" t="s">
        <v>6438</v>
      </c>
      <c r="D76" s="1260">
        <v>44826.0</v>
      </c>
      <c r="E76" s="1214"/>
      <c r="F76" s="1214"/>
      <c r="G76" s="1214"/>
      <c r="H76" s="1214"/>
      <c r="I76" s="1214"/>
      <c r="J76" s="1214"/>
      <c r="K76" s="1214"/>
      <c r="L76" s="1214"/>
      <c r="M76" s="1214"/>
      <c r="N76" s="1214"/>
      <c r="O76" s="1214"/>
      <c r="P76" s="1214"/>
      <c r="Q76" s="1214"/>
      <c r="R76" s="1214"/>
      <c r="S76" s="1214"/>
      <c r="T76" s="1214"/>
      <c r="U76" s="1214"/>
      <c r="V76" s="1214"/>
      <c r="W76" s="1214"/>
      <c r="X76" s="1214"/>
      <c r="Y76" s="1214"/>
      <c r="Z76" s="1214"/>
    </row>
    <row r="77">
      <c r="A77" s="1172" t="s">
        <v>6441</v>
      </c>
      <c r="B77" s="28"/>
      <c r="C77" s="26" t="s">
        <v>6440</v>
      </c>
      <c r="D77" s="1260">
        <v>44826.0</v>
      </c>
      <c r="E77" s="1214"/>
      <c r="F77" s="1214"/>
      <c r="G77" s="1214"/>
      <c r="H77" s="1214"/>
      <c r="I77" s="1214"/>
      <c r="J77" s="1214"/>
      <c r="K77" s="1214"/>
      <c r="L77" s="1214"/>
      <c r="M77" s="1214"/>
      <c r="N77" s="1214"/>
      <c r="O77" s="1214"/>
      <c r="P77" s="1214"/>
      <c r="Q77" s="1214"/>
      <c r="R77" s="1214"/>
      <c r="S77" s="1214"/>
      <c r="T77" s="1214"/>
      <c r="U77" s="1214"/>
      <c r="V77" s="1214"/>
      <c r="W77" s="1214"/>
      <c r="X77" s="1214"/>
      <c r="Y77" s="1214"/>
      <c r="Z77" s="1214"/>
    </row>
    <row r="78">
      <c r="A78" s="1172" t="s">
        <v>6008</v>
      </c>
      <c r="B78" s="26" t="s">
        <v>6442</v>
      </c>
      <c r="C78" s="26" t="s">
        <v>6443</v>
      </c>
      <c r="D78" s="124">
        <v>44834.0</v>
      </c>
      <c r="E78" s="1214"/>
      <c r="F78" s="1214"/>
      <c r="G78" s="1214"/>
      <c r="H78" s="1214"/>
      <c r="I78" s="1214"/>
      <c r="J78" s="1214"/>
      <c r="K78" s="1214"/>
      <c r="L78" s="1214"/>
      <c r="M78" s="1214"/>
      <c r="N78" s="1214"/>
      <c r="O78" s="1214"/>
      <c r="P78" s="1214"/>
      <c r="Q78" s="1214"/>
      <c r="R78" s="1214"/>
      <c r="S78" s="1214"/>
      <c r="T78" s="1214"/>
      <c r="U78" s="1214"/>
      <c r="V78" s="1214"/>
      <c r="W78" s="1214"/>
      <c r="X78" s="1214"/>
      <c r="Y78" s="1214"/>
      <c r="Z78" s="1214"/>
    </row>
    <row r="79">
      <c r="A79" s="1172" t="s">
        <v>6008</v>
      </c>
      <c r="B79" s="26" t="s">
        <v>6444</v>
      </c>
      <c r="C79" s="26" t="s">
        <v>6443</v>
      </c>
      <c r="D79" s="124">
        <v>44834.0</v>
      </c>
      <c r="E79" s="1214"/>
      <c r="F79" s="1214"/>
      <c r="G79" s="1214"/>
      <c r="H79" s="1214"/>
      <c r="I79" s="1214"/>
      <c r="J79" s="1214"/>
      <c r="K79" s="1214"/>
      <c r="L79" s="1214"/>
      <c r="M79" s="1214"/>
      <c r="N79" s="1214"/>
      <c r="O79" s="1214"/>
      <c r="P79" s="1214"/>
      <c r="Q79" s="1214"/>
      <c r="R79" s="1214"/>
      <c r="S79" s="1214"/>
      <c r="T79" s="1214"/>
      <c r="U79" s="1214"/>
      <c r="V79" s="1214"/>
      <c r="W79" s="1214"/>
      <c r="X79" s="1214"/>
      <c r="Y79" s="1214"/>
      <c r="Z79" s="1214"/>
    </row>
    <row r="80">
      <c r="A80" s="1172" t="s">
        <v>6008</v>
      </c>
      <c r="B80" s="26" t="s">
        <v>6445</v>
      </c>
      <c r="C80" s="26" t="s">
        <v>6446</v>
      </c>
      <c r="D80" s="124">
        <v>44834.0</v>
      </c>
      <c r="E80" s="1214"/>
      <c r="F80" s="1214"/>
      <c r="G80" s="1214"/>
      <c r="H80" s="1214"/>
      <c r="I80" s="1214"/>
      <c r="J80" s="1214"/>
      <c r="K80" s="1214"/>
      <c r="L80" s="1214"/>
      <c r="M80" s="1214"/>
      <c r="N80" s="1214"/>
      <c r="O80" s="1214"/>
      <c r="P80" s="1214"/>
      <c r="Q80" s="1214"/>
      <c r="R80" s="1214"/>
      <c r="S80" s="1214"/>
      <c r="T80" s="1214"/>
      <c r="U80" s="1214"/>
      <c r="V80" s="1214"/>
      <c r="W80" s="1214"/>
      <c r="X80" s="1214"/>
      <c r="Y80" s="1214"/>
      <c r="Z80" s="1214"/>
    </row>
    <row r="81">
      <c r="A81" s="1172" t="s">
        <v>6008</v>
      </c>
      <c r="B81" s="26" t="s">
        <v>6447</v>
      </c>
      <c r="C81" s="26" t="s">
        <v>6446</v>
      </c>
      <c r="D81" s="124">
        <v>44834.0</v>
      </c>
      <c r="E81" s="1214"/>
      <c r="F81" s="1214"/>
      <c r="G81" s="1214"/>
      <c r="H81" s="1214"/>
      <c r="I81" s="1214"/>
      <c r="J81" s="1214"/>
      <c r="K81" s="1214"/>
      <c r="L81" s="1214"/>
      <c r="M81" s="1214"/>
      <c r="N81" s="1214"/>
      <c r="O81" s="1214"/>
      <c r="P81" s="1214"/>
      <c r="Q81" s="1214"/>
      <c r="R81" s="1214"/>
      <c r="S81" s="1214"/>
      <c r="T81" s="1214"/>
      <c r="U81" s="1214"/>
      <c r="V81" s="1214"/>
      <c r="W81" s="1214"/>
      <c r="X81" s="1214"/>
      <c r="Y81" s="1214"/>
      <c r="Z81" s="1214"/>
    </row>
    <row r="82">
      <c r="A82" s="1172" t="s">
        <v>6448</v>
      </c>
      <c r="B82" s="26" t="s">
        <v>6449</v>
      </c>
      <c r="C82" s="26" t="s">
        <v>6450</v>
      </c>
      <c r="D82" s="124">
        <v>44837.0</v>
      </c>
      <c r="E82" s="1214"/>
      <c r="F82" s="1214"/>
      <c r="G82" s="1214"/>
      <c r="H82" s="1214"/>
      <c r="I82" s="1214"/>
      <c r="J82" s="1214"/>
      <c r="K82" s="1214"/>
      <c r="L82" s="1214"/>
      <c r="M82" s="1214"/>
      <c r="N82" s="1214"/>
      <c r="O82" s="1214"/>
      <c r="P82" s="1214"/>
      <c r="Q82" s="1214"/>
      <c r="R82" s="1214"/>
      <c r="S82" s="1214"/>
      <c r="T82" s="1214"/>
      <c r="U82" s="1214"/>
      <c r="V82" s="1214"/>
      <c r="W82" s="1214"/>
      <c r="X82" s="1214"/>
      <c r="Y82" s="1214"/>
      <c r="Z82" s="1214"/>
    </row>
    <row r="83">
      <c r="A83" s="1172" t="s">
        <v>6008</v>
      </c>
      <c r="B83" s="26" t="s">
        <v>6451</v>
      </c>
      <c r="C83" s="26" t="s">
        <v>6452</v>
      </c>
      <c r="D83" s="124">
        <v>44837.0</v>
      </c>
      <c r="E83" s="1214"/>
      <c r="F83" s="1214"/>
      <c r="G83" s="1214"/>
      <c r="H83" s="1214"/>
      <c r="I83" s="1214"/>
      <c r="J83" s="1214"/>
      <c r="K83" s="1214"/>
      <c r="L83" s="1214"/>
      <c r="M83" s="1214"/>
      <c r="N83" s="1214"/>
      <c r="O83" s="1214"/>
      <c r="P83" s="1214"/>
      <c r="Q83" s="1214"/>
      <c r="R83" s="1214"/>
      <c r="S83" s="1214"/>
      <c r="T83" s="1214"/>
      <c r="U83" s="1214"/>
      <c r="V83" s="1214"/>
      <c r="W83" s="1214"/>
      <c r="X83" s="1214"/>
      <c r="Y83" s="1214"/>
      <c r="Z83" s="1214"/>
    </row>
    <row r="84">
      <c r="A84" s="1172" t="s">
        <v>6050</v>
      </c>
      <c r="B84" s="26" t="s">
        <v>6051</v>
      </c>
      <c r="C84" s="26" t="s">
        <v>6452</v>
      </c>
      <c r="D84" s="124">
        <v>44837.0</v>
      </c>
      <c r="E84" s="1214"/>
      <c r="F84" s="1214"/>
      <c r="G84" s="1214"/>
      <c r="H84" s="1214"/>
      <c r="I84" s="1214"/>
      <c r="J84" s="1214"/>
      <c r="K84" s="1214"/>
      <c r="L84" s="1214"/>
      <c r="M84" s="1214"/>
      <c r="N84" s="1214"/>
      <c r="O84" s="1214"/>
      <c r="P84" s="1214"/>
      <c r="Q84" s="1214"/>
      <c r="R84" s="1214"/>
      <c r="S84" s="1214"/>
      <c r="T84" s="1214"/>
      <c r="U84" s="1214"/>
      <c r="V84" s="1214"/>
      <c r="W84" s="1214"/>
      <c r="X84" s="1214"/>
      <c r="Y84" s="1214"/>
      <c r="Z84" s="1214"/>
    </row>
    <row r="85">
      <c r="A85" s="1172" t="s">
        <v>6441</v>
      </c>
      <c r="B85" s="26" t="s">
        <v>6453</v>
      </c>
      <c r="C85" s="1261" t="s">
        <v>6454</v>
      </c>
      <c r="D85" s="124">
        <v>44841.0</v>
      </c>
      <c r="E85" s="1214"/>
      <c r="F85" s="1214"/>
      <c r="G85" s="1214"/>
      <c r="H85" s="1214"/>
      <c r="I85" s="1214"/>
      <c r="J85" s="1214"/>
      <c r="K85" s="1214"/>
      <c r="L85" s="1214"/>
      <c r="M85" s="1214"/>
      <c r="N85" s="1214"/>
      <c r="O85" s="1214"/>
      <c r="P85" s="1214"/>
      <c r="Q85" s="1214"/>
      <c r="R85" s="1214"/>
      <c r="S85" s="1214"/>
      <c r="T85" s="1214"/>
      <c r="U85" s="1214"/>
      <c r="V85" s="1214"/>
      <c r="W85" s="1214"/>
      <c r="X85" s="1214"/>
      <c r="Y85" s="1214"/>
      <c r="Z85" s="1214"/>
    </row>
    <row r="86">
      <c r="A86" s="1172" t="s">
        <v>6439</v>
      </c>
      <c r="B86" s="26" t="s">
        <v>6455</v>
      </c>
      <c r="C86" s="185"/>
      <c r="D86" s="124">
        <v>44841.0</v>
      </c>
      <c r="E86" s="1214"/>
      <c r="F86" s="1214"/>
      <c r="G86" s="1214"/>
      <c r="H86" s="1214"/>
      <c r="I86" s="1214"/>
      <c r="J86" s="1214"/>
      <c r="K86" s="1214"/>
      <c r="L86" s="1214"/>
      <c r="M86" s="1214"/>
      <c r="N86" s="1214"/>
      <c r="O86" s="1214"/>
      <c r="P86" s="1214"/>
      <c r="Q86" s="1214"/>
      <c r="R86" s="1214"/>
      <c r="S86" s="1214"/>
      <c r="T86" s="1214"/>
      <c r="U86" s="1214"/>
      <c r="V86" s="1214"/>
      <c r="W86" s="1214"/>
      <c r="X86" s="1214"/>
      <c r="Y86" s="1214"/>
      <c r="Z86" s="1214"/>
    </row>
    <row r="87">
      <c r="A87" s="1172" t="s">
        <v>6439</v>
      </c>
      <c r="B87" s="1262" t="s">
        <v>6456</v>
      </c>
      <c r="C87" s="26" t="s">
        <v>6457</v>
      </c>
      <c r="D87" s="124">
        <v>44841.0</v>
      </c>
      <c r="E87" s="1214"/>
      <c r="F87" s="1214"/>
      <c r="G87" s="1214"/>
      <c r="H87" s="1214"/>
      <c r="I87" s="1214"/>
      <c r="J87" s="1214"/>
      <c r="K87" s="1214"/>
      <c r="L87" s="1214"/>
      <c r="M87" s="1214"/>
      <c r="N87" s="1214"/>
      <c r="O87" s="1214"/>
      <c r="P87" s="1214"/>
      <c r="Q87" s="1214"/>
      <c r="R87" s="1214"/>
      <c r="S87" s="1214"/>
      <c r="T87" s="1214"/>
      <c r="U87" s="1214"/>
      <c r="V87" s="1214"/>
      <c r="W87" s="1214"/>
      <c r="X87" s="1214"/>
      <c r="Y87" s="1214"/>
      <c r="Z87" s="1214"/>
    </row>
    <row r="88">
      <c r="A88" s="1172" t="s">
        <v>6458</v>
      </c>
      <c r="B88" s="1262" t="s">
        <v>6456</v>
      </c>
      <c r="C88" s="26" t="s">
        <v>6459</v>
      </c>
      <c r="D88" s="124">
        <v>44851.0</v>
      </c>
      <c r="E88" s="1214"/>
      <c r="F88" s="1214"/>
      <c r="G88" s="1214"/>
      <c r="H88" s="1214"/>
      <c r="I88" s="1214"/>
      <c r="J88" s="1214"/>
      <c r="K88" s="1214"/>
      <c r="L88" s="1214"/>
      <c r="M88" s="1214"/>
      <c r="N88" s="1214"/>
      <c r="O88" s="1214"/>
      <c r="P88" s="1214"/>
      <c r="Q88" s="1214"/>
      <c r="R88" s="1214"/>
      <c r="S88" s="1214"/>
      <c r="T88" s="1214"/>
      <c r="U88" s="1214"/>
      <c r="V88" s="1214"/>
      <c r="W88" s="1214"/>
      <c r="X88" s="1214"/>
      <c r="Y88" s="1214"/>
      <c r="Z88" s="1214"/>
    </row>
    <row r="89">
      <c r="A89" s="1250" t="s">
        <v>6021</v>
      </c>
      <c r="B89" s="26" t="s">
        <v>6460</v>
      </c>
      <c r="C89" s="26" t="s">
        <v>6461</v>
      </c>
      <c r="D89" s="124">
        <v>44851.0</v>
      </c>
      <c r="E89" s="1214"/>
      <c r="F89" s="1214"/>
      <c r="G89" s="1214"/>
      <c r="H89" s="1214"/>
      <c r="I89" s="1214"/>
      <c r="J89" s="1214"/>
      <c r="K89" s="1214"/>
      <c r="L89" s="1214"/>
      <c r="M89" s="1214"/>
      <c r="N89" s="1214"/>
      <c r="O89" s="1214"/>
      <c r="P89" s="1214"/>
      <c r="Q89" s="1214"/>
      <c r="R89" s="1214"/>
      <c r="S89" s="1214"/>
      <c r="T89" s="1214"/>
      <c r="U89" s="1214"/>
      <c r="V89" s="1214"/>
      <c r="W89" s="1214"/>
      <c r="X89" s="1214"/>
      <c r="Y89" s="1214"/>
      <c r="Z89" s="1214"/>
    </row>
    <row r="90">
      <c r="A90" s="1172" t="s">
        <v>6462</v>
      </c>
      <c r="B90" s="1262" t="s">
        <v>6456</v>
      </c>
      <c r="C90" s="26" t="s">
        <v>6463</v>
      </c>
      <c r="D90" s="124">
        <v>44851.0</v>
      </c>
      <c r="E90" s="1214"/>
      <c r="F90" s="1214"/>
      <c r="G90" s="1214"/>
      <c r="H90" s="1214"/>
      <c r="I90" s="1214"/>
      <c r="J90" s="1214"/>
      <c r="K90" s="1214"/>
      <c r="L90" s="1214"/>
      <c r="M90" s="1214"/>
      <c r="N90" s="1214"/>
      <c r="O90" s="1214"/>
      <c r="P90" s="1214"/>
      <c r="Q90" s="1214"/>
      <c r="R90" s="1214"/>
      <c r="S90" s="1214"/>
      <c r="T90" s="1214"/>
      <c r="U90" s="1214"/>
      <c r="V90" s="1214"/>
      <c r="W90" s="1214"/>
      <c r="X90" s="1214"/>
      <c r="Y90" s="1214"/>
      <c r="Z90" s="1214"/>
    </row>
    <row r="91">
      <c r="A91" s="26" t="s">
        <v>6464</v>
      </c>
      <c r="B91" s="26" t="s">
        <v>6465</v>
      </c>
      <c r="C91" s="1263" t="s">
        <v>6153</v>
      </c>
      <c r="D91" s="1264">
        <v>44855.0</v>
      </c>
      <c r="E91" s="1214"/>
      <c r="F91" s="1214"/>
      <c r="G91" s="1214"/>
      <c r="H91" s="1214"/>
      <c r="I91" s="1214"/>
      <c r="J91" s="1214"/>
      <c r="K91" s="1214"/>
      <c r="L91" s="1214"/>
      <c r="M91" s="1214"/>
      <c r="N91" s="1214"/>
      <c r="O91" s="1214"/>
      <c r="P91" s="1214"/>
      <c r="Q91" s="1214"/>
      <c r="R91" s="1214"/>
      <c r="S91" s="1214"/>
      <c r="T91" s="1214"/>
      <c r="U91" s="1214"/>
      <c r="V91" s="1214"/>
      <c r="W91" s="1214"/>
      <c r="X91" s="1214"/>
      <c r="Y91" s="1214"/>
      <c r="Z91" s="1214"/>
    </row>
    <row r="92">
      <c r="A92" s="1265" t="s">
        <v>6145</v>
      </c>
      <c r="B92" s="1262" t="s">
        <v>6152</v>
      </c>
      <c r="C92" s="186"/>
      <c r="D92" s="186"/>
      <c r="E92" s="1214"/>
      <c r="F92" s="1214"/>
      <c r="G92" s="1214"/>
      <c r="H92" s="1214"/>
      <c r="I92" s="1214"/>
      <c r="J92" s="1214"/>
      <c r="K92" s="1214"/>
      <c r="L92" s="1214"/>
      <c r="M92" s="1214"/>
      <c r="N92" s="1214"/>
      <c r="O92" s="1214"/>
      <c r="P92" s="1214"/>
      <c r="Q92" s="1214"/>
      <c r="R92" s="1214"/>
      <c r="S92" s="1214"/>
      <c r="T92" s="1214"/>
      <c r="U92" s="1214"/>
      <c r="V92" s="1214"/>
      <c r="W92" s="1214"/>
      <c r="X92" s="1214"/>
      <c r="Y92" s="1214"/>
      <c r="Z92" s="1214"/>
    </row>
    <row r="93">
      <c r="A93" s="247"/>
      <c r="B93" s="1266" t="s">
        <v>6154</v>
      </c>
      <c r="C93" s="186"/>
      <c r="D93" s="186"/>
      <c r="E93" s="1214"/>
      <c r="F93" s="1214"/>
      <c r="G93" s="1214"/>
      <c r="H93" s="1214"/>
      <c r="I93" s="1214"/>
      <c r="J93" s="1214"/>
      <c r="K93" s="1214"/>
      <c r="L93" s="1214"/>
      <c r="M93" s="1214"/>
      <c r="N93" s="1214"/>
      <c r="O93" s="1214"/>
      <c r="P93" s="1214"/>
      <c r="Q93" s="1214"/>
      <c r="R93" s="1214"/>
      <c r="S93" s="1214"/>
      <c r="T93" s="1214"/>
      <c r="U93" s="1214"/>
      <c r="V93" s="1214"/>
      <c r="W93" s="1214"/>
      <c r="X93" s="1214"/>
      <c r="Y93" s="1214"/>
      <c r="Z93" s="1214"/>
    </row>
    <row r="94">
      <c r="A94" s="294"/>
      <c r="B94" s="1266" t="s">
        <v>6158</v>
      </c>
      <c r="C94" s="185"/>
      <c r="D94" s="185"/>
      <c r="E94" s="1214"/>
      <c r="F94" s="1214"/>
      <c r="G94" s="1214"/>
      <c r="H94" s="1214"/>
      <c r="I94" s="1214"/>
      <c r="J94" s="1214"/>
      <c r="K94" s="1214"/>
      <c r="L94" s="1214"/>
      <c r="M94" s="1214"/>
      <c r="N94" s="1214"/>
      <c r="O94" s="1214"/>
      <c r="P94" s="1214"/>
      <c r="Q94" s="1214"/>
      <c r="R94" s="1214"/>
      <c r="S94" s="1214"/>
      <c r="T94" s="1214"/>
      <c r="U94" s="1214"/>
      <c r="V94" s="1214"/>
      <c r="W94" s="1214"/>
      <c r="X94" s="1214"/>
      <c r="Y94" s="1214"/>
      <c r="Z94" s="1214"/>
    </row>
    <row r="95">
      <c r="A95" s="28"/>
      <c r="B95" s="28"/>
      <c r="C95" s="26"/>
      <c r="D95" s="927"/>
      <c r="E95" s="1214"/>
      <c r="F95" s="1214"/>
      <c r="G95" s="1214"/>
      <c r="H95" s="1214"/>
      <c r="I95" s="1214"/>
      <c r="J95" s="1214"/>
      <c r="K95" s="1214"/>
      <c r="L95" s="1214"/>
      <c r="M95" s="1214"/>
      <c r="N95" s="1214"/>
      <c r="O95" s="1214"/>
      <c r="P95" s="1214"/>
      <c r="Q95" s="1214"/>
      <c r="R95" s="1214"/>
      <c r="S95" s="1214"/>
      <c r="T95" s="1214"/>
      <c r="U95" s="1214"/>
      <c r="V95" s="1214"/>
      <c r="W95" s="1214"/>
      <c r="X95" s="1214"/>
      <c r="Y95" s="1214"/>
      <c r="Z95" s="1214"/>
    </row>
    <row r="96">
      <c r="A96" s="28"/>
      <c r="B96" s="28"/>
      <c r="C96" s="28"/>
      <c r="D96" s="927"/>
      <c r="E96" s="1214"/>
      <c r="F96" s="1214"/>
      <c r="G96" s="1214"/>
      <c r="H96" s="1214"/>
      <c r="I96" s="1214"/>
      <c r="J96" s="1214"/>
      <c r="K96" s="1214"/>
      <c r="L96" s="1214"/>
      <c r="M96" s="1214"/>
      <c r="N96" s="1214"/>
      <c r="O96" s="1214"/>
      <c r="P96" s="1214"/>
      <c r="Q96" s="1214"/>
      <c r="R96" s="1214"/>
      <c r="S96" s="1214"/>
      <c r="T96" s="1214"/>
      <c r="U96" s="1214"/>
      <c r="V96" s="1214"/>
      <c r="W96" s="1214"/>
      <c r="X96" s="1214"/>
      <c r="Y96" s="1214"/>
      <c r="Z96" s="1214"/>
    </row>
    <row r="97">
      <c r="A97" s="28"/>
      <c r="B97" s="28"/>
      <c r="C97" s="28"/>
      <c r="D97" s="927"/>
      <c r="E97" s="1214"/>
      <c r="F97" s="1214"/>
      <c r="G97" s="1214"/>
      <c r="H97" s="1214"/>
      <c r="I97" s="1214"/>
      <c r="J97" s="1214"/>
      <c r="K97" s="1214"/>
      <c r="L97" s="1214"/>
      <c r="M97" s="1214"/>
      <c r="N97" s="1214"/>
      <c r="O97" s="1214"/>
      <c r="P97" s="1214"/>
      <c r="Q97" s="1214"/>
      <c r="R97" s="1214"/>
      <c r="S97" s="1214"/>
      <c r="T97" s="1214"/>
      <c r="U97" s="1214"/>
      <c r="V97" s="1214"/>
      <c r="W97" s="1214"/>
      <c r="X97" s="1214"/>
      <c r="Y97" s="1214"/>
      <c r="Z97" s="1214"/>
    </row>
    <row r="98">
      <c r="A98" s="28"/>
      <c r="B98" s="28"/>
      <c r="C98" s="28"/>
      <c r="D98" s="927"/>
      <c r="E98" s="1214"/>
      <c r="F98" s="1214"/>
      <c r="G98" s="1214"/>
      <c r="H98" s="1214"/>
      <c r="I98" s="1214"/>
      <c r="J98" s="1214"/>
      <c r="K98" s="1214"/>
      <c r="L98" s="1214"/>
      <c r="M98" s="1214"/>
      <c r="N98" s="1214"/>
      <c r="O98" s="1214"/>
      <c r="P98" s="1214"/>
      <c r="Q98" s="1214"/>
      <c r="R98" s="1214"/>
      <c r="S98" s="1214"/>
      <c r="T98" s="1214"/>
      <c r="U98" s="1214"/>
      <c r="V98" s="1214"/>
      <c r="W98" s="1214"/>
      <c r="X98" s="1214"/>
      <c r="Y98" s="1214"/>
      <c r="Z98" s="1214"/>
    </row>
    <row r="99">
      <c r="A99" s="28"/>
      <c r="B99" s="28"/>
      <c r="C99" s="28"/>
      <c r="D99" s="927"/>
      <c r="E99" s="1214"/>
      <c r="F99" s="1214"/>
      <c r="G99" s="1214"/>
      <c r="H99" s="1214"/>
      <c r="I99" s="1214"/>
      <c r="J99" s="1214"/>
      <c r="K99" s="1214"/>
      <c r="L99" s="1214"/>
      <c r="M99" s="1214"/>
      <c r="N99" s="1214"/>
      <c r="O99" s="1214"/>
      <c r="P99" s="1214"/>
      <c r="Q99" s="1214"/>
      <c r="R99" s="1214"/>
      <c r="S99" s="1214"/>
      <c r="T99" s="1214"/>
      <c r="U99" s="1214"/>
      <c r="V99" s="1214"/>
      <c r="W99" s="1214"/>
      <c r="X99" s="1214"/>
      <c r="Y99" s="1214"/>
      <c r="Z99" s="1214"/>
    </row>
    <row r="100">
      <c r="A100" s="28"/>
      <c r="B100" s="28"/>
      <c r="C100" s="28"/>
      <c r="D100" s="927"/>
      <c r="E100" s="1214"/>
      <c r="F100" s="1214"/>
      <c r="G100" s="1214"/>
      <c r="H100" s="1214"/>
      <c r="I100" s="1214"/>
      <c r="J100" s="1214"/>
      <c r="K100" s="1214"/>
      <c r="L100" s="1214"/>
      <c r="M100" s="1214"/>
      <c r="N100" s="1214"/>
      <c r="O100" s="1214"/>
      <c r="P100" s="1214"/>
      <c r="Q100" s="1214"/>
      <c r="R100" s="1214"/>
      <c r="S100" s="1214"/>
      <c r="T100" s="1214"/>
      <c r="U100" s="1214"/>
      <c r="V100" s="1214"/>
      <c r="W100" s="1214"/>
      <c r="X100" s="1214"/>
      <c r="Y100" s="1214"/>
      <c r="Z100" s="1214"/>
    </row>
    <row r="101">
      <c r="A101" s="28"/>
      <c r="B101" s="28"/>
      <c r="C101" s="28"/>
      <c r="D101" s="927"/>
      <c r="E101" s="1214"/>
      <c r="F101" s="1214"/>
      <c r="G101" s="1214"/>
      <c r="H101" s="1214"/>
      <c r="I101" s="1214"/>
      <c r="J101" s="1214"/>
      <c r="K101" s="1214"/>
      <c r="L101" s="1214"/>
      <c r="M101" s="1214"/>
      <c r="N101" s="1214"/>
      <c r="O101" s="1214"/>
      <c r="P101" s="1214"/>
      <c r="Q101" s="1214"/>
      <c r="R101" s="1214"/>
      <c r="S101" s="1214"/>
      <c r="T101" s="1214"/>
      <c r="U101" s="1214"/>
      <c r="V101" s="1214"/>
      <c r="W101" s="1214"/>
      <c r="X101" s="1214"/>
      <c r="Y101" s="1214"/>
      <c r="Z101" s="1214"/>
    </row>
    <row r="102">
      <c r="A102" s="28"/>
      <c r="B102" s="28"/>
      <c r="C102" s="28"/>
      <c r="D102" s="927"/>
      <c r="E102" s="1214"/>
      <c r="F102" s="1214"/>
      <c r="G102" s="1214"/>
      <c r="H102" s="1214"/>
      <c r="I102" s="1214"/>
      <c r="J102" s="1214"/>
      <c r="K102" s="1214"/>
      <c r="L102" s="1214"/>
      <c r="M102" s="1214"/>
      <c r="N102" s="1214"/>
      <c r="O102" s="1214"/>
      <c r="P102" s="1214"/>
      <c r="Q102" s="1214"/>
      <c r="R102" s="1214"/>
      <c r="S102" s="1214"/>
      <c r="T102" s="1214"/>
      <c r="U102" s="1214"/>
      <c r="V102" s="1214"/>
      <c r="W102" s="1214"/>
      <c r="X102" s="1214"/>
      <c r="Y102" s="1214"/>
      <c r="Z102" s="1214"/>
    </row>
    <row r="103">
      <c r="A103" s="28"/>
      <c r="B103" s="28"/>
      <c r="C103" s="28"/>
      <c r="D103" s="927"/>
      <c r="E103" s="1214"/>
      <c r="F103" s="1214"/>
      <c r="G103" s="1214"/>
      <c r="H103" s="1214"/>
      <c r="I103" s="1214"/>
      <c r="J103" s="1214"/>
      <c r="K103" s="1214"/>
      <c r="L103" s="1214"/>
      <c r="M103" s="1214"/>
      <c r="N103" s="1214"/>
      <c r="O103" s="1214"/>
      <c r="P103" s="1214"/>
      <c r="Q103" s="1214"/>
      <c r="R103" s="1214"/>
      <c r="S103" s="1214"/>
      <c r="T103" s="1214"/>
      <c r="U103" s="1214"/>
      <c r="V103" s="1214"/>
      <c r="W103" s="1214"/>
      <c r="X103" s="1214"/>
      <c r="Y103" s="1214"/>
      <c r="Z103" s="1214"/>
    </row>
    <row r="104">
      <c r="A104" s="28"/>
      <c r="B104" s="28"/>
      <c r="C104" s="28"/>
      <c r="D104" s="927"/>
      <c r="E104" s="1214"/>
      <c r="F104" s="1214"/>
      <c r="G104" s="1214"/>
      <c r="H104" s="1214"/>
      <c r="I104" s="1214"/>
      <c r="J104" s="1214"/>
      <c r="K104" s="1214"/>
      <c r="L104" s="1214"/>
      <c r="M104" s="1214"/>
      <c r="N104" s="1214"/>
      <c r="O104" s="1214"/>
      <c r="P104" s="1214"/>
      <c r="Q104" s="1214"/>
      <c r="R104" s="1214"/>
      <c r="S104" s="1214"/>
      <c r="T104" s="1214"/>
      <c r="U104" s="1214"/>
      <c r="V104" s="1214"/>
      <c r="W104" s="1214"/>
      <c r="X104" s="1214"/>
      <c r="Y104" s="1214"/>
      <c r="Z104" s="1214"/>
    </row>
    <row r="105">
      <c r="A105" s="28"/>
      <c r="B105" s="28"/>
      <c r="C105" s="28"/>
      <c r="D105" s="927"/>
      <c r="E105" s="1214"/>
      <c r="F105" s="1214"/>
      <c r="G105" s="1214"/>
      <c r="H105" s="1214"/>
      <c r="I105" s="1214"/>
      <c r="J105" s="1214"/>
      <c r="K105" s="1214"/>
      <c r="L105" s="1214"/>
      <c r="M105" s="1214"/>
      <c r="N105" s="1214"/>
      <c r="O105" s="1214"/>
      <c r="P105" s="1214"/>
      <c r="Q105" s="1214"/>
      <c r="R105" s="1214"/>
      <c r="S105" s="1214"/>
      <c r="T105" s="1214"/>
      <c r="U105" s="1214"/>
      <c r="V105" s="1214"/>
      <c r="W105" s="1214"/>
      <c r="X105" s="1214"/>
      <c r="Y105" s="1214"/>
      <c r="Z105" s="1214"/>
    </row>
    <row r="106">
      <c r="A106" s="28"/>
      <c r="B106" s="28"/>
      <c r="C106" s="28"/>
      <c r="D106" s="927"/>
      <c r="E106" s="1214"/>
      <c r="F106" s="1214"/>
      <c r="G106" s="1214"/>
      <c r="H106" s="1214"/>
      <c r="I106" s="1214"/>
      <c r="J106" s="1214"/>
      <c r="K106" s="1214"/>
      <c r="L106" s="1214"/>
      <c r="M106" s="1214"/>
      <c r="N106" s="1214"/>
      <c r="O106" s="1214"/>
      <c r="P106" s="1214"/>
      <c r="Q106" s="1214"/>
      <c r="R106" s="1214"/>
      <c r="S106" s="1214"/>
      <c r="T106" s="1214"/>
      <c r="U106" s="1214"/>
      <c r="V106" s="1214"/>
      <c r="W106" s="1214"/>
      <c r="X106" s="1214"/>
      <c r="Y106" s="1214"/>
      <c r="Z106" s="1214"/>
    </row>
    <row r="107">
      <c r="A107" s="28"/>
      <c r="B107" s="28"/>
      <c r="C107" s="28"/>
      <c r="D107" s="927"/>
      <c r="E107" s="1214"/>
      <c r="F107" s="1214"/>
      <c r="G107" s="1214"/>
      <c r="H107" s="1214"/>
      <c r="I107" s="1214"/>
      <c r="J107" s="1214"/>
      <c r="K107" s="1214"/>
      <c r="L107" s="1214"/>
      <c r="M107" s="1214"/>
      <c r="N107" s="1214"/>
      <c r="O107" s="1214"/>
      <c r="P107" s="1214"/>
      <c r="Q107" s="1214"/>
      <c r="R107" s="1214"/>
      <c r="S107" s="1214"/>
      <c r="T107" s="1214"/>
      <c r="U107" s="1214"/>
      <c r="V107" s="1214"/>
      <c r="W107" s="1214"/>
      <c r="X107" s="1214"/>
      <c r="Y107" s="1214"/>
      <c r="Z107" s="1214"/>
    </row>
    <row r="108">
      <c r="A108" s="28"/>
      <c r="B108" s="28"/>
      <c r="C108" s="28"/>
      <c r="D108" s="927"/>
      <c r="E108" s="1214"/>
      <c r="F108" s="1214"/>
      <c r="G108" s="1214"/>
      <c r="H108" s="1214"/>
      <c r="I108" s="1214"/>
      <c r="J108" s="1214"/>
      <c r="K108" s="1214"/>
      <c r="L108" s="1214"/>
      <c r="M108" s="1214"/>
      <c r="N108" s="1214"/>
      <c r="O108" s="1214"/>
      <c r="P108" s="1214"/>
      <c r="Q108" s="1214"/>
      <c r="R108" s="1214"/>
      <c r="S108" s="1214"/>
      <c r="T108" s="1214"/>
      <c r="U108" s="1214"/>
      <c r="V108" s="1214"/>
      <c r="W108" s="1214"/>
      <c r="X108" s="1214"/>
      <c r="Y108" s="1214"/>
      <c r="Z108" s="1214"/>
    </row>
    <row r="109">
      <c r="A109" s="28"/>
      <c r="B109" s="28"/>
      <c r="C109" s="28"/>
      <c r="D109" s="927"/>
      <c r="E109" s="1214"/>
      <c r="F109" s="1214"/>
      <c r="G109" s="1214"/>
      <c r="H109" s="1214"/>
      <c r="I109" s="1214"/>
      <c r="J109" s="1214"/>
      <c r="K109" s="1214"/>
      <c r="L109" s="1214"/>
      <c r="M109" s="1214"/>
      <c r="N109" s="1214"/>
      <c r="O109" s="1214"/>
      <c r="P109" s="1214"/>
      <c r="Q109" s="1214"/>
      <c r="R109" s="1214"/>
      <c r="S109" s="1214"/>
      <c r="T109" s="1214"/>
      <c r="U109" s="1214"/>
      <c r="V109" s="1214"/>
      <c r="W109" s="1214"/>
      <c r="X109" s="1214"/>
      <c r="Y109" s="1214"/>
      <c r="Z109" s="1214"/>
    </row>
    <row r="110">
      <c r="A110" s="28"/>
      <c r="B110" s="28"/>
      <c r="C110" s="28"/>
      <c r="D110" s="927"/>
      <c r="E110" s="1214"/>
      <c r="F110" s="1214"/>
      <c r="G110" s="1214"/>
      <c r="H110" s="1214"/>
      <c r="I110" s="1214"/>
      <c r="J110" s="1214"/>
      <c r="K110" s="1214"/>
      <c r="L110" s="1214"/>
      <c r="M110" s="1214"/>
      <c r="N110" s="1214"/>
      <c r="O110" s="1214"/>
      <c r="P110" s="1214"/>
      <c r="Q110" s="1214"/>
      <c r="R110" s="1214"/>
      <c r="S110" s="1214"/>
      <c r="T110" s="1214"/>
      <c r="U110" s="1214"/>
      <c r="V110" s="1214"/>
      <c r="W110" s="1214"/>
      <c r="X110" s="1214"/>
      <c r="Y110" s="1214"/>
      <c r="Z110" s="1214"/>
    </row>
    <row r="111">
      <c r="A111" s="28"/>
      <c r="B111" s="28"/>
      <c r="C111" s="28"/>
      <c r="D111" s="927"/>
      <c r="E111" s="1214"/>
      <c r="F111" s="1214"/>
      <c r="G111" s="1214"/>
      <c r="H111" s="1214"/>
      <c r="I111" s="1214"/>
      <c r="J111" s="1214"/>
      <c r="K111" s="1214"/>
      <c r="L111" s="1214"/>
      <c r="M111" s="1214"/>
      <c r="N111" s="1214"/>
      <c r="O111" s="1214"/>
      <c r="P111" s="1214"/>
      <c r="Q111" s="1214"/>
      <c r="R111" s="1214"/>
      <c r="S111" s="1214"/>
      <c r="T111" s="1214"/>
      <c r="U111" s="1214"/>
      <c r="V111" s="1214"/>
      <c r="W111" s="1214"/>
      <c r="X111" s="1214"/>
      <c r="Y111" s="1214"/>
      <c r="Z111" s="1214"/>
    </row>
    <row r="112">
      <c r="A112" s="28"/>
      <c r="B112" s="28"/>
      <c r="C112" s="28"/>
      <c r="D112" s="927"/>
      <c r="E112" s="1214"/>
      <c r="F112" s="1214"/>
      <c r="G112" s="1214"/>
      <c r="H112" s="1214"/>
      <c r="I112" s="1214"/>
      <c r="J112" s="1214"/>
      <c r="K112" s="1214"/>
      <c r="L112" s="1214"/>
      <c r="M112" s="1214"/>
      <c r="N112" s="1214"/>
      <c r="O112" s="1214"/>
      <c r="P112" s="1214"/>
      <c r="Q112" s="1214"/>
      <c r="R112" s="1214"/>
      <c r="S112" s="1214"/>
      <c r="T112" s="1214"/>
      <c r="U112" s="1214"/>
      <c r="V112" s="1214"/>
      <c r="W112" s="1214"/>
      <c r="X112" s="1214"/>
      <c r="Y112" s="1214"/>
      <c r="Z112" s="1214"/>
    </row>
    <row r="113">
      <c r="A113" s="28"/>
      <c r="B113" s="28"/>
      <c r="C113" s="28"/>
      <c r="D113" s="927"/>
      <c r="E113" s="1214"/>
      <c r="F113" s="1214"/>
      <c r="G113" s="1214"/>
      <c r="H113" s="1214"/>
      <c r="I113" s="1214"/>
      <c r="J113" s="1214"/>
      <c r="K113" s="1214"/>
      <c r="L113" s="1214"/>
      <c r="M113" s="1214"/>
      <c r="N113" s="1214"/>
      <c r="O113" s="1214"/>
      <c r="P113" s="1214"/>
      <c r="Q113" s="1214"/>
      <c r="R113" s="1214"/>
      <c r="S113" s="1214"/>
      <c r="T113" s="1214"/>
      <c r="U113" s="1214"/>
      <c r="V113" s="1214"/>
      <c r="W113" s="1214"/>
      <c r="X113" s="1214"/>
      <c r="Y113" s="1214"/>
      <c r="Z113" s="1214"/>
    </row>
    <row r="114">
      <c r="A114" s="28"/>
      <c r="B114" s="28"/>
      <c r="C114" s="28"/>
      <c r="D114" s="927"/>
      <c r="E114" s="1214"/>
      <c r="F114" s="1214"/>
      <c r="G114" s="1214"/>
      <c r="H114" s="1214"/>
      <c r="I114" s="1214"/>
      <c r="J114" s="1214"/>
      <c r="K114" s="1214"/>
      <c r="L114" s="1214"/>
      <c r="M114" s="1214"/>
      <c r="N114" s="1214"/>
      <c r="O114" s="1214"/>
      <c r="P114" s="1214"/>
      <c r="Q114" s="1214"/>
      <c r="R114" s="1214"/>
      <c r="S114" s="1214"/>
      <c r="T114" s="1214"/>
      <c r="U114" s="1214"/>
      <c r="V114" s="1214"/>
      <c r="W114" s="1214"/>
      <c r="X114" s="1214"/>
      <c r="Y114" s="1214"/>
      <c r="Z114" s="1214"/>
    </row>
    <row r="115">
      <c r="A115" s="28"/>
      <c r="B115" s="28"/>
      <c r="C115" s="28"/>
      <c r="D115" s="927"/>
      <c r="E115" s="1214"/>
      <c r="F115" s="1214"/>
      <c r="G115" s="1214"/>
      <c r="H115" s="1214"/>
      <c r="I115" s="1214"/>
      <c r="J115" s="1214"/>
      <c r="K115" s="1214"/>
      <c r="L115" s="1214"/>
      <c r="M115" s="1214"/>
      <c r="N115" s="1214"/>
      <c r="O115" s="1214"/>
      <c r="P115" s="1214"/>
      <c r="Q115" s="1214"/>
      <c r="R115" s="1214"/>
      <c r="S115" s="1214"/>
      <c r="T115" s="1214"/>
      <c r="U115" s="1214"/>
      <c r="V115" s="1214"/>
      <c r="W115" s="1214"/>
      <c r="X115" s="1214"/>
      <c r="Y115" s="1214"/>
      <c r="Z115" s="1214"/>
    </row>
    <row r="116">
      <c r="A116" s="28"/>
      <c r="B116" s="28"/>
      <c r="C116" s="28"/>
      <c r="D116" s="927"/>
      <c r="E116" s="1214"/>
      <c r="F116" s="1214"/>
      <c r="G116" s="1214"/>
      <c r="H116" s="1214"/>
      <c r="I116" s="1214"/>
      <c r="J116" s="1214"/>
      <c r="K116" s="1214"/>
      <c r="L116" s="1214"/>
      <c r="M116" s="1214"/>
      <c r="N116" s="1214"/>
      <c r="O116" s="1214"/>
      <c r="P116" s="1214"/>
      <c r="Q116" s="1214"/>
      <c r="R116" s="1214"/>
      <c r="S116" s="1214"/>
      <c r="T116" s="1214"/>
      <c r="U116" s="1214"/>
      <c r="V116" s="1214"/>
      <c r="W116" s="1214"/>
      <c r="X116" s="1214"/>
      <c r="Y116" s="1214"/>
      <c r="Z116" s="1214"/>
    </row>
    <row r="117">
      <c r="A117" s="28"/>
      <c r="B117" s="28"/>
      <c r="C117" s="28"/>
      <c r="D117" s="927"/>
      <c r="E117" s="1214"/>
      <c r="F117" s="1214"/>
      <c r="G117" s="1214"/>
      <c r="H117" s="1214"/>
      <c r="I117" s="1214"/>
      <c r="J117" s="1214"/>
      <c r="K117" s="1214"/>
      <c r="L117" s="1214"/>
      <c r="M117" s="1214"/>
      <c r="N117" s="1214"/>
      <c r="O117" s="1214"/>
      <c r="P117" s="1214"/>
      <c r="Q117" s="1214"/>
      <c r="R117" s="1214"/>
      <c r="S117" s="1214"/>
      <c r="T117" s="1214"/>
      <c r="U117" s="1214"/>
      <c r="V117" s="1214"/>
      <c r="W117" s="1214"/>
      <c r="X117" s="1214"/>
      <c r="Y117" s="1214"/>
      <c r="Z117" s="1214"/>
    </row>
    <row r="118">
      <c r="A118" s="28"/>
      <c r="B118" s="28"/>
      <c r="C118" s="28"/>
      <c r="D118" s="927"/>
      <c r="E118" s="1214"/>
      <c r="F118" s="1214"/>
      <c r="G118" s="1214"/>
      <c r="H118" s="1214"/>
      <c r="I118" s="1214"/>
      <c r="J118" s="1214"/>
      <c r="K118" s="1214"/>
      <c r="L118" s="1214"/>
      <c r="M118" s="1214"/>
      <c r="N118" s="1214"/>
      <c r="O118" s="1214"/>
      <c r="P118" s="1214"/>
      <c r="Q118" s="1214"/>
      <c r="R118" s="1214"/>
      <c r="S118" s="1214"/>
      <c r="T118" s="1214"/>
      <c r="U118" s="1214"/>
      <c r="V118" s="1214"/>
      <c r="W118" s="1214"/>
      <c r="X118" s="1214"/>
      <c r="Y118" s="1214"/>
      <c r="Z118" s="1214"/>
    </row>
    <row r="119">
      <c r="A119" s="28"/>
      <c r="B119" s="28"/>
      <c r="C119" s="28"/>
      <c r="D119" s="927"/>
      <c r="E119" s="1214"/>
      <c r="F119" s="1214"/>
      <c r="G119" s="1214"/>
      <c r="H119" s="1214"/>
      <c r="I119" s="1214"/>
      <c r="J119" s="1214"/>
      <c r="K119" s="1214"/>
      <c r="L119" s="1214"/>
      <c r="M119" s="1214"/>
      <c r="N119" s="1214"/>
      <c r="O119" s="1214"/>
      <c r="P119" s="1214"/>
      <c r="Q119" s="1214"/>
      <c r="R119" s="1214"/>
      <c r="S119" s="1214"/>
      <c r="T119" s="1214"/>
      <c r="U119" s="1214"/>
      <c r="V119" s="1214"/>
      <c r="W119" s="1214"/>
      <c r="X119" s="1214"/>
      <c r="Y119" s="1214"/>
      <c r="Z119" s="1214"/>
    </row>
    <row r="120">
      <c r="A120" s="28"/>
      <c r="B120" s="28"/>
      <c r="C120" s="28"/>
      <c r="D120" s="927"/>
      <c r="E120" s="1214"/>
      <c r="F120" s="1214"/>
      <c r="G120" s="1214"/>
      <c r="H120" s="1214"/>
      <c r="I120" s="1214"/>
      <c r="J120" s="1214"/>
      <c r="K120" s="1214"/>
      <c r="L120" s="1214"/>
      <c r="M120" s="1214"/>
      <c r="N120" s="1214"/>
      <c r="O120" s="1214"/>
      <c r="P120" s="1214"/>
      <c r="Q120" s="1214"/>
      <c r="R120" s="1214"/>
      <c r="S120" s="1214"/>
      <c r="T120" s="1214"/>
      <c r="U120" s="1214"/>
      <c r="V120" s="1214"/>
      <c r="W120" s="1214"/>
      <c r="X120" s="1214"/>
      <c r="Y120" s="1214"/>
      <c r="Z120" s="1214"/>
    </row>
    <row r="121">
      <c r="A121" s="28"/>
      <c r="B121" s="28"/>
      <c r="C121" s="28"/>
      <c r="D121" s="927"/>
      <c r="E121" s="1214"/>
      <c r="F121" s="1214"/>
      <c r="G121" s="1214"/>
      <c r="H121" s="1214"/>
      <c r="I121" s="1214"/>
      <c r="J121" s="1214"/>
      <c r="K121" s="1214"/>
      <c r="L121" s="1214"/>
      <c r="M121" s="1214"/>
      <c r="N121" s="1214"/>
      <c r="O121" s="1214"/>
      <c r="P121" s="1214"/>
      <c r="Q121" s="1214"/>
      <c r="R121" s="1214"/>
      <c r="S121" s="1214"/>
      <c r="T121" s="1214"/>
      <c r="U121" s="1214"/>
      <c r="V121" s="1214"/>
      <c r="W121" s="1214"/>
      <c r="X121" s="1214"/>
      <c r="Y121" s="1214"/>
      <c r="Z121" s="1214"/>
    </row>
    <row r="122">
      <c r="A122" s="28"/>
      <c r="B122" s="28"/>
      <c r="C122" s="28"/>
      <c r="D122" s="927"/>
      <c r="E122" s="1214"/>
      <c r="F122" s="1214"/>
      <c r="G122" s="1214"/>
      <c r="H122" s="1214"/>
      <c r="I122" s="1214"/>
      <c r="J122" s="1214"/>
      <c r="K122" s="1214"/>
      <c r="L122" s="1214"/>
      <c r="M122" s="1214"/>
      <c r="N122" s="1214"/>
      <c r="O122" s="1214"/>
      <c r="P122" s="1214"/>
      <c r="Q122" s="1214"/>
      <c r="R122" s="1214"/>
      <c r="S122" s="1214"/>
      <c r="T122" s="1214"/>
      <c r="U122" s="1214"/>
      <c r="V122" s="1214"/>
      <c r="W122" s="1214"/>
      <c r="X122" s="1214"/>
      <c r="Y122" s="1214"/>
      <c r="Z122" s="1214"/>
    </row>
    <row r="123">
      <c r="A123" s="28"/>
      <c r="B123" s="28"/>
      <c r="C123" s="28"/>
      <c r="D123" s="927"/>
      <c r="E123" s="1214"/>
      <c r="F123" s="1214"/>
      <c r="G123" s="1214"/>
      <c r="H123" s="1214"/>
      <c r="I123" s="1214"/>
      <c r="J123" s="1214"/>
      <c r="K123" s="1214"/>
      <c r="L123" s="1214"/>
      <c r="M123" s="1214"/>
      <c r="N123" s="1214"/>
      <c r="O123" s="1214"/>
      <c r="P123" s="1214"/>
      <c r="Q123" s="1214"/>
      <c r="R123" s="1214"/>
      <c r="S123" s="1214"/>
      <c r="T123" s="1214"/>
      <c r="U123" s="1214"/>
      <c r="V123" s="1214"/>
      <c r="W123" s="1214"/>
      <c r="X123" s="1214"/>
      <c r="Y123" s="1214"/>
      <c r="Z123" s="1214"/>
    </row>
    <row r="124">
      <c r="A124" s="28"/>
      <c r="B124" s="28"/>
      <c r="C124" s="28"/>
      <c r="D124" s="927"/>
      <c r="E124" s="1214"/>
      <c r="F124" s="1214"/>
      <c r="G124" s="1214"/>
      <c r="H124" s="1214"/>
      <c r="I124" s="1214"/>
      <c r="J124" s="1214"/>
      <c r="K124" s="1214"/>
      <c r="L124" s="1214"/>
      <c r="M124" s="1214"/>
      <c r="N124" s="1214"/>
      <c r="O124" s="1214"/>
      <c r="P124" s="1214"/>
      <c r="Q124" s="1214"/>
      <c r="R124" s="1214"/>
      <c r="S124" s="1214"/>
      <c r="T124" s="1214"/>
      <c r="U124" s="1214"/>
      <c r="V124" s="1214"/>
      <c r="W124" s="1214"/>
      <c r="X124" s="1214"/>
      <c r="Y124" s="1214"/>
      <c r="Z124" s="1214"/>
    </row>
    <row r="125">
      <c r="A125" s="28"/>
      <c r="B125" s="28"/>
      <c r="C125" s="28"/>
      <c r="D125" s="927"/>
      <c r="E125" s="1214"/>
      <c r="F125" s="1214"/>
      <c r="G125" s="1214"/>
      <c r="H125" s="1214"/>
      <c r="I125" s="1214"/>
      <c r="J125" s="1214"/>
      <c r="K125" s="1214"/>
      <c r="L125" s="1214"/>
      <c r="M125" s="1214"/>
      <c r="N125" s="1214"/>
      <c r="O125" s="1214"/>
      <c r="P125" s="1214"/>
      <c r="Q125" s="1214"/>
      <c r="R125" s="1214"/>
      <c r="S125" s="1214"/>
      <c r="T125" s="1214"/>
      <c r="U125" s="1214"/>
      <c r="V125" s="1214"/>
      <c r="W125" s="1214"/>
      <c r="X125" s="1214"/>
      <c r="Y125" s="1214"/>
      <c r="Z125" s="1214"/>
    </row>
    <row r="126">
      <c r="A126" s="28"/>
      <c r="B126" s="28"/>
      <c r="C126" s="28"/>
      <c r="D126" s="927"/>
      <c r="E126" s="1214"/>
      <c r="F126" s="1214"/>
      <c r="G126" s="1214"/>
      <c r="H126" s="1214"/>
      <c r="I126" s="1214"/>
      <c r="J126" s="1214"/>
      <c r="K126" s="1214"/>
      <c r="L126" s="1214"/>
      <c r="M126" s="1214"/>
      <c r="N126" s="1214"/>
      <c r="O126" s="1214"/>
      <c r="P126" s="1214"/>
      <c r="Q126" s="1214"/>
      <c r="R126" s="1214"/>
      <c r="S126" s="1214"/>
      <c r="T126" s="1214"/>
      <c r="U126" s="1214"/>
      <c r="V126" s="1214"/>
      <c r="W126" s="1214"/>
      <c r="X126" s="1214"/>
      <c r="Y126" s="1214"/>
      <c r="Z126" s="1214"/>
    </row>
    <row r="127">
      <c r="A127" s="28"/>
      <c r="B127" s="28"/>
      <c r="C127" s="28"/>
      <c r="D127" s="927"/>
      <c r="E127" s="1214"/>
      <c r="F127" s="1214"/>
      <c r="G127" s="1214"/>
      <c r="H127" s="1214"/>
      <c r="I127" s="1214"/>
      <c r="J127" s="1214"/>
      <c r="K127" s="1214"/>
      <c r="L127" s="1214"/>
      <c r="M127" s="1214"/>
      <c r="N127" s="1214"/>
      <c r="O127" s="1214"/>
      <c r="P127" s="1214"/>
      <c r="Q127" s="1214"/>
      <c r="R127" s="1214"/>
      <c r="S127" s="1214"/>
      <c r="T127" s="1214"/>
      <c r="U127" s="1214"/>
      <c r="V127" s="1214"/>
      <c r="W127" s="1214"/>
      <c r="X127" s="1214"/>
      <c r="Y127" s="1214"/>
      <c r="Z127" s="1214"/>
    </row>
    <row r="128">
      <c r="A128" s="28"/>
      <c r="B128" s="28"/>
      <c r="C128" s="28"/>
      <c r="D128" s="927"/>
      <c r="E128" s="1214"/>
      <c r="F128" s="1214"/>
      <c r="G128" s="1214"/>
      <c r="H128" s="1214"/>
      <c r="I128" s="1214"/>
      <c r="J128" s="1214"/>
      <c r="K128" s="1214"/>
      <c r="L128" s="1214"/>
      <c r="M128" s="1214"/>
      <c r="N128" s="1214"/>
      <c r="O128" s="1214"/>
      <c r="P128" s="1214"/>
      <c r="Q128" s="1214"/>
      <c r="R128" s="1214"/>
      <c r="S128" s="1214"/>
      <c r="T128" s="1214"/>
      <c r="U128" s="1214"/>
      <c r="V128" s="1214"/>
      <c r="W128" s="1214"/>
      <c r="X128" s="1214"/>
      <c r="Y128" s="1214"/>
      <c r="Z128" s="1214"/>
    </row>
    <row r="129">
      <c r="A129" s="1214"/>
      <c r="B129" s="1214"/>
      <c r="C129" s="1214"/>
      <c r="D129" s="1267"/>
      <c r="E129" s="1214"/>
      <c r="F129" s="1214"/>
      <c r="G129" s="1214"/>
      <c r="H129" s="1214"/>
      <c r="I129" s="1214"/>
      <c r="J129" s="1214"/>
      <c r="K129" s="1214"/>
      <c r="L129" s="1214"/>
      <c r="M129" s="1214"/>
      <c r="N129" s="1214"/>
      <c r="O129" s="1214"/>
      <c r="P129" s="1214"/>
      <c r="Q129" s="1214"/>
      <c r="R129" s="1214"/>
      <c r="S129" s="1214"/>
      <c r="T129" s="1214"/>
      <c r="U129" s="1214"/>
      <c r="V129" s="1214"/>
      <c r="W129" s="1214"/>
      <c r="X129" s="1214"/>
      <c r="Y129" s="1214"/>
      <c r="Z129" s="1214"/>
    </row>
    <row r="130">
      <c r="A130" s="1214"/>
      <c r="B130" s="1214"/>
      <c r="C130" s="1214"/>
      <c r="D130" s="1267"/>
      <c r="E130" s="1214"/>
      <c r="F130" s="1214"/>
      <c r="G130" s="1214"/>
      <c r="H130" s="1214"/>
      <c r="I130" s="1214"/>
      <c r="J130" s="1214"/>
      <c r="K130" s="1214"/>
      <c r="L130" s="1214"/>
      <c r="M130" s="1214"/>
      <c r="N130" s="1214"/>
      <c r="O130" s="1214"/>
      <c r="P130" s="1214"/>
      <c r="Q130" s="1214"/>
      <c r="R130" s="1214"/>
      <c r="S130" s="1214"/>
      <c r="T130" s="1214"/>
      <c r="U130" s="1214"/>
      <c r="V130" s="1214"/>
      <c r="W130" s="1214"/>
      <c r="X130" s="1214"/>
      <c r="Y130" s="1214"/>
      <c r="Z130" s="1214"/>
    </row>
    <row r="131">
      <c r="A131" s="1214"/>
      <c r="B131" s="1214"/>
      <c r="C131" s="1214"/>
      <c r="D131" s="1267"/>
      <c r="E131" s="1214"/>
      <c r="F131" s="1214"/>
      <c r="G131" s="1214"/>
      <c r="H131" s="1214"/>
      <c r="I131" s="1214"/>
      <c r="J131" s="1214"/>
      <c r="K131" s="1214"/>
      <c r="L131" s="1214"/>
      <c r="M131" s="1214"/>
      <c r="N131" s="1214"/>
      <c r="O131" s="1214"/>
      <c r="P131" s="1214"/>
      <c r="Q131" s="1214"/>
      <c r="R131" s="1214"/>
      <c r="S131" s="1214"/>
      <c r="T131" s="1214"/>
      <c r="U131" s="1214"/>
      <c r="V131" s="1214"/>
      <c r="W131" s="1214"/>
      <c r="X131" s="1214"/>
      <c r="Y131" s="1214"/>
      <c r="Z131" s="1214"/>
    </row>
    <row r="132">
      <c r="A132" s="1214"/>
      <c r="B132" s="1214"/>
      <c r="C132" s="1214"/>
      <c r="D132" s="1267"/>
      <c r="E132" s="1214"/>
      <c r="F132" s="1214"/>
      <c r="G132" s="1214"/>
      <c r="H132" s="1214"/>
      <c r="I132" s="1214"/>
      <c r="J132" s="1214"/>
      <c r="K132" s="1214"/>
      <c r="L132" s="1214"/>
      <c r="M132" s="1214"/>
      <c r="N132" s="1214"/>
      <c r="O132" s="1214"/>
      <c r="P132" s="1214"/>
      <c r="Q132" s="1214"/>
      <c r="R132" s="1214"/>
      <c r="S132" s="1214"/>
      <c r="T132" s="1214"/>
      <c r="U132" s="1214"/>
      <c r="V132" s="1214"/>
      <c r="W132" s="1214"/>
      <c r="X132" s="1214"/>
      <c r="Y132" s="1214"/>
      <c r="Z132" s="1214"/>
    </row>
    <row r="133">
      <c r="A133" s="1214"/>
      <c r="B133" s="1214"/>
      <c r="C133" s="1214"/>
      <c r="D133" s="1267"/>
      <c r="E133" s="1214"/>
      <c r="F133" s="1214"/>
      <c r="G133" s="1214"/>
      <c r="H133" s="1214"/>
      <c r="I133" s="1214"/>
      <c r="J133" s="1214"/>
      <c r="K133" s="1214"/>
      <c r="L133" s="1214"/>
      <c r="M133" s="1214"/>
      <c r="N133" s="1214"/>
      <c r="O133" s="1214"/>
      <c r="P133" s="1214"/>
      <c r="Q133" s="1214"/>
      <c r="R133" s="1214"/>
      <c r="S133" s="1214"/>
      <c r="T133" s="1214"/>
      <c r="U133" s="1214"/>
      <c r="V133" s="1214"/>
      <c r="W133" s="1214"/>
      <c r="X133" s="1214"/>
      <c r="Y133" s="1214"/>
      <c r="Z133" s="1214"/>
    </row>
    <row r="134">
      <c r="A134" s="1214"/>
      <c r="B134" s="1214"/>
      <c r="C134" s="1214"/>
      <c r="D134" s="1267"/>
      <c r="E134" s="1214"/>
      <c r="F134" s="1214"/>
      <c r="G134" s="1214"/>
      <c r="H134" s="1214"/>
      <c r="I134" s="1214"/>
      <c r="J134" s="1214"/>
      <c r="K134" s="1214"/>
      <c r="L134" s="1214"/>
      <c r="M134" s="1214"/>
      <c r="N134" s="1214"/>
      <c r="O134" s="1214"/>
      <c r="P134" s="1214"/>
      <c r="Q134" s="1214"/>
      <c r="R134" s="1214"/>
      <c r="S134" s="1214"/>
      <c r="T134" s="1214"/>
      <c r="U134" s="1214"/>
      <c r="V134" s="1214"/>
      <c r="W134" s="1214"/>
      <c r="X134" s="1214"/>
      <c r="Y134" s="1214"/>
      <c r="Z134" s="1214"/>
    </row>
    <row r="135">
      <c r="A135" s="1214"/>
      <c r="B135" s="1214"/>
      <c r="C135" s="1214"/>
      <c r="D135" s="1267"/>
      <c r="E135" s="1214"/>
      <c r="F135" s="1214"/>
      <c r="G135" s="1214"/>
      <c r="H135" s="1214"/>
      <c r="I135" s="1214"/>
      <c r="J135" s="1214"/>
      <c r="K135" s="1214"/>
      <c r="L135" s="1214"/>
      <c r="M135" s="1214"/>
      <c r="N135" s="1214"/>
      <c r="O135" s="1214"/>
      <c r="P135" s="1214"/>
      <c r="Q135" s="1214"/>
      <c r="R135" s="1214"/>
      <c r="S135" s="1214"/>
      <c r="T135" s="1214"/>
      <c r="U135" s="1214"/>
      <c r="V135" s="1214"/>
      <c r="W135" s="1214"/>
      <c r="X135" s="1214"/>
      <c r="Y135" s="1214"/>
      <c r="Z135" s="1214"/>
    </row>
    <row r="136">
      <c r="A136" s="1214"/>
      <c r="B136" s="1214"/>
      <c r="C136" s="1214"/>
      <c r="D136" s="1267"/>
      <c r="E136" s="1214"/>
      <c r="F136" s="1214"/>
      <c r="G136" s="1214"/>
      <c r="H136" s="1214"/>
      <c r="I136" s="1214"/>
      <c r="J136" s="1214"/>
      <c r="K136" s="1214"/>
      <c r="L136" s="1214"/>
      <c r="M136" s="1214"/>
      <c r="N136" s="1214"/>
      <c r="O136" s="1214"/>
      <c r="P136" s="1214"/>
      <c r="Q136" s="1214"/>
      <c r="R136" s="1214"/>
      <c r="S136" s="1214"/>
      <c r="T136" s="1214"/>
      <c r="U136" s="1214"/>
      <c r="V136" s="1214"/>
      <c r="W136" s="1214"/>
      <c r="X136" s="1214"/>
      <c r="Y136" s="1214"/>
      <c r="Z136" s="1214"/>
    </row>
    <row r="137">
      <c r="A137" s="1214"/>
      <c r="B137" s="1214"/>
      <c r="C137" s="1214"/>
      <c r="D137" s="1267"/>
      <c r="E137" s="1214"/>
      <c r="F137" s="1214"/>
      <c r="G137" s="1214"/>
      <c r="H137" s="1214"/>
      <c r="I137" s="1214"/>
      <c r="J137" s="1214"/>
      <c r="K137" s="1214"/>
      <c r="L137" s="1214"/>
      <c r="M137" s="1214"/>
      <c r="N137" s="1214"/>
      <c r="O137" s="1214"/>
      <c r="P137" s="1214"/>
      <c r="Q137" s="1214"/>
      <c r="R137" s="1214"/>
      <c r="S137" s="1214"/>
      <c r="T137" s="1214"/>
      <c r="U137" s="1214"/>
      <c r="V137" s="1214"/>
      <c r="W137" s="1214"/>
      <c r="X137" s="1214"/>
      <c r="Y137" s="1214"/>
      <c r="Z137" s="1214"/>
    </row>
    <row r="138">
      <c r="A138" s="1214"/>
      <c r="B138" s="1214"/>
      <c r="C138" s="1214"/>
      <c r="D138" s="1267"/>
      <c r="E138" s="1214"/>
      <c r="F138" s="1214"/>
      <c r="G138" s="1214"/>
      <c r="H138" s="1214"/>
      <c r="I138" s="1214"/>
      <c r="J138" s="1214"/>
      <c r="K138" s="1214"/>
      <c r="L138" s="1214"/>
      <c r="M138" s="1214"/>
      <c r="N138" s="1214"/>
      <c r="O138" s="1214"/>
      <c r="P138" s="1214"/>
      <c r="Q138" s="1214"/>
      <c r="R138" s="1214"/>
      <c r="S138" s="1214"/>
      <c r="T138" s="1214"/>
      <c r="U138" s="1214"/>
      <c r="V138" s="1214"/>
      <c r="W138" s="1214"/>
      <c r="X138" s="1214"/>
      <c r="Y138" s="1214"/>
      <c r="Z138" s="1214"/>
    </row>
    <row r="139">
      <c r="A139" s="1214"/>
      <c r="B139" s="1214"/>
      <c r="C139" s="1214"/>
      <c r="D139" s="1267"/>
      <c r="E139" s="1214"/>
      <c r="F139" s="1214"/>
      <c r="G139" s="1214"/>
      <c r="H139" s="1214"/>
      <c r="I139" s="1214"/>
      <c r="J139" s="1214"/>
      <c r="K139" s="1214"/>
      <c r="L139" s="1214"/>
      <c r="M139" s="1214"/>
      <c r="N139" s="1214"/>
      <c r="O139" s="1214"/>
      <c r="P139" s="1214"/>
      <c r="Q139" s="1214"/>
      <c r="R139" s="1214"/>
      <c r="S139" s="1214"/>
      <c r="T139" s="1214"/>
      <c r="U139" s="1214"/>
      <c r="V139" s="1214"/>
      <c r="W139" s="1214"/>
      <c r="X139" s="1214"/>
      <c r="Y139" s="1214"/>
      <c r="Z139" s="1214"/>
    </row>
    <row r="140">
      <c r="A140" s="1214"/>
      <c r="B140" s="1214"/>
      <c r="C140" s="1214"/>
      <c r="D140" s="1267"/>
      <c r="E140" s="1214"/>
      <c r="F140" s="1214"/>
      <c r="G140" s="1214"/>
      <c r="H140" s="1214"/>
      <c r="I140" s="1214"/>
      <c r="J140" s="1214"/>
      <c r="K140" s="1214"/>
      <c r="L140" s="1214"/>
      <c r="M140" s="1214"/>
      <c r="N140" s="1214"/>
      <c r="O140" s="1214"/>
      <c r="P140" s="1214"/>
      <c r="Q140" s="1214"/>
      <c r="R140" s="1214"/>
      <c r="S140" s="1214"/>
      <c r="T140" s="1214"/>
      <c r="U140" s="1214"/>
      <c r="V140" s="1214"/>
      <c r="W140" s="1214"/>
      <c r="X140" s="1214"/>
      <c r="Y140" s="1214"/>
      <c r="Z140" s="1214"/>
    </row>
    <row r="141">
      <c r="A141" s="1214"/>
      <c r="B141" s="1214"/>
      <c r="C141" s="1214"/>
      <c r="D141" s="1267"/>
      <c r="E141" s="1214"/>
      <c r="F141" s="1214"/>
      <c r="G141" s="1214"/>
      <c r="H141" s="1214"/>
      <c r="I141" s="1214"/>
      <c r="J141" s="1214"/>
      <c r="K141" s="1214"/>
      <c r="L141" s="1214"/>
      <c r="M141" s="1214"/>
      <c r="N141" s="1214"/>
      <c r="O141" s="1214"/>
      <c r="P141" s="1214"/>
      <c r="Q141" s="1214"/>
      <c r="R141" s="1214"/>
      <c r="S141" s="1214"/>
      <c r="T141" s="1214"/>
      <c r="U141" s="1214"/>
      <c r="V141" s="1214"/>
      <c r="W141" s="1214"/>
      <c r="X141" s="1214"/>
      <c r="Y141" s="1214"/>
      <c r="Z141" s="1214"/>
    </row>
    <row r="142">
      <c r="A142" s="1214"/>
      <c r="B142" s="1214"/>
      <c r="C142" s="1214"/>
      <c r="D142" s="1267"/>
      <c r="E142" s="1214"/>
      <c r="F142" s="1214"/>
      <c r="G142" s="1214"/>
      <c r="H142" s="1214"/>
      <c r="I142" s="1214"/>
      <c r="J142" s="1214"/>
      <c r="K142" s="1214"/>
      <c r="L142" s="1214"/>
      <c r="M142" s="1214"/>
      <c r="N142" s="1214"/>
      <c r="O142" s="1214"/>
      <c r="P142" s="1214"/>
      <c r="Q142" s="1214"/>
      <c r="R142" s="1214"/>
      <c r="S142" s="1214"/>
      <c r="T142" s="1214"/>
      <c r="U142" s="1214"/>
      <c r="V142" s="1214"/>
      <c r="W142" s="1214"/>
      <c r="X142" s="1214"/>
      <c r="Y142" s="1214"/>
      <c r="Z142" s="1214"/>
    </row>
    <row r="143">
      <c r="A143" s="1214"/>
      <c r="B143" s="1214"/>
      <c r="C143" s="1214"/>
      <c r="D143" s="1267"/>
      <c r="E143" s="1214"/>
      <c r="F143" s="1214"/>
      <c r="G143" s="1214"/>
      <c r="H143" s="1214"/>
      <c r="I143" s="1214"/>
      <c r="J143" s="1214"/>
      <c r="K143" s="1214"/>
      <c r="L143" s="1214"/>
      <c r="M143" s="1214"/>
      <c r="N143" s="1214"/>
      <c r="O143" s="1214"/>
      <c r="P143" s="1214"/>
      <c r="Q143" s="1214"/>
      <c r="R143" s="1214"/>
      <c r="S143" s="1214"/>
      <c r="T143" s="1214"/>
      <c r="U143" s="1214"/>
      <c r="V143" s="1214"/>
      <c r="W143" s="1214"/>
      <c r="X143" s="1214"/>
      <c r="Y143" s="1214"/>
      <c r="Z143" s="1214"/>
    </row>
    <row r="144">
      <c r="A144" s="1214"/>
      <c r="B144" s="1214"/>
      <c r="C144" s="1214"/>
      <c r="D144" s="1267"/>
      <c r="E144" s="1214"/>
      <c r="F144" s="1214"/>
      <c r="G144" s="1214"/>
      <c r="H144" s="1214"/>
      <c r="I144" s="1214"/>
      <c r="J144" s="1214"/>
      <c r="K144" s="1214"/>
      <c r="L144" s="1214"/>
      <c r="M144" s="1214"/>
      <c r="N144" s="1214"/>
      <c r="O144" s="1214"/>
      <c r="P144" s="1214"/>
      <c r="Q144" s="1214"/>
      <c r="R144" s="1214"/>
      <c r="S144" s="1214"/>
      <c r="T144" s="1214"/>
      <c r="U144" s="1214"/>
      <c r="V144" s="1214"/>
      <c r="W144" s="1214"/>
      <c r="X144" s="1214"/>
      <c r="Y144" s="1214"/>
      <c r="Z144" s="1214"/>
    </row>
    <row r="145">
      <c r="A145" s="1214"/>
      <c r="B145" s="1214"/>
      <c r="C145" s="1214"/>
      <c r="D145" s="1267"/>
      <c r="E145" s="1214"/>
      <c r="F145" s="1214"/>
      <c r="G145" s="1214"/>
      <c r="H145" s="1214"/>
      <c r="I145" s="1214"/>
      <c r="J145" s="1214"/>
      <c r="K145" s="1214"/>
      <c r="L145" s="1214"/>
      <c r="M145" s="1214"/>
      <c r="N145" s="1214"/>
      <c r="O145" s="1214"/>
      <c r="P145" s="1214"/>
      <c r="Q145" s="1214"/>
      <c r="R145" s="1214"/>
      <c r="S145" s="1214"/>
      <c r="T145" s="1214"/>
      <c r="U145" s="1214"/>
      <c r="V145" s="1214"/>
      <c r="W145" s="1214"/>
      <c r="X145" s="1214"/>
      <c r="Y145" s="1214"/>
      <c r="Z145" s="1214"/>
    </row>
    <row r="146">
      <c r="A146" s="1214"/>
      <c r="B146" s="1214"/>
      <c r="C146" s="1214"/>
      <c r="D146" s="1267"/>
      <c r="E146" s="1214"/>
      <c r="F146" s="1214"/>
      <c r="G146" s="1214"/>
      <c r="H146" s="1214"/>
      <c r="I146" s="1214"/>
      <c r="J146" s="1214"/>
      <c r="K146" s="1214"/>
      <c r="L146" s="1214"/>
      <c r="M146" s="1214"/>
      <c r="N146" s="1214"/>
      <c r="O146" s="1214"/>
      <c r="P146" s="1214"/>
      <c r="Q146" s="1214"/>
      <c r="R146" s="1214"/>
      <c r="S146" s="1214"/>
      <c r="T146" s="1214"/>
      <c r="U146" s="1214"/>
      <c r="V146" s="1214"/>
      <c r="W146" s="1214"/>
      <c r="X146" s="1214"/>
      <c r="Y146" s="1214"/>
      <c r="Z146" s="1214"/>
    </row>
    <row r="147">
      <c r="A147" s="1214"/>
      <c r="B147" s="1214"/>
      <c r="C147" s="1214"/>
      <c r="D147" s="1267"/>
      <c r="E147" s="1214"/>
      <c r="F147" s="1214"/>
      <c r="G147" s="1214"/>
      <c r="H147" s="1214"/>
      <c r="I147" s="1214"/>
      <c r="J147" s="1214"/>
      <c r="K147" s="1214"/>
      <c r="L147" s="1214"/>
      <c r="M147" s="1214"/>
      <c r="N147" s="1214"/>
      <c r="O147" s="1214"/>
      <c r="P147" s="1214"/>
      <c r="Q147" s="1214"/>
      <c r="R147" s="1214"/>
      <c r="S147" s="1214"/>
      <c r="T147" s="1214"/>
      <c r="U147" s="1214"/>
      <c r="V147" s="1214"/>
      <c r="W147" s="1214"/>
      <c r="X147" s="1214"/>
      <c r="Y147" s="1214"/>
      <c r="Z147" s="1214"/>
    </row>
    <row r="148">
      <c r="A148" s="1214"/>
      <c r="B148" s="1214"/>
      <c r="C148" s="1214"/>
      <c r="D148" s="1267"/>
      <c r="E148" s="1214"/>
      <c r="F148" s="1214"/>
      <c r="G148" s="1214"/>
      <c r="H148" s="1214"/>
      <c r="I148" s="1214"/>
      <c r="J148" s="1214"/>
      <c r="K148" s="1214"/>
      <c r="L148" s="1214"/>
      <c r="M148" s="1214"/>
      <c r="N148" s="1214"/>
      <c r="O148" s="1214"/>
      <c r="P148" s="1214"/>
      <c r="Q148" s="1214"/>
      <c r="R148" s="1214"/>
      <c r="S148" s="1214"/>
      <c r="T148" s="1214"/>
      <c r="U148" s="1214"/>
      <c r="V148" s="1214"/>
      <c r="W148" s="1214"/>
      <c r="X148" s="1214"/>
      <c r="Y148" s="1214"/>
      <c r="Z148" s="1214"/>
    </row>
    <row r="149">
      <c r="A149" s="1214"/>
      <c r="B149" s="1214"/>
      <c r="C149" s="1214"/>
      <c r="D149" s="1267"/>
      <c r="E149" s="1214"/>
      <c r="F149" s="1214"/>
      <c r="G149" s="1214"/>
      <c r="H149" s="1214"/>
      <c r="I149" s="1214"/>
      <c r="J149" s="1214"/>
      <c r="K149" s="1214"/>
      <c r="L149" s="1214"/>
      <c r="M149" s="1214"/>
      <c r="N149" s="1214"/>
      <c r="O149" s="1214"/>
      <c r="P149" s="1214"/>
      <c r="Q149" s="1214"/>
      <c r="R149" s="1214"/>
      <c r="S149" s="1214"/>
      <c r="T149" s="1214"/>
      <c r="U149" s="1214"/>
      <c r="V149" s="1214"/>
      <c r="W149" s="1214"/>
      <c r="X149" s="1214"/>
      <c r="Y149" s="1214"/>
      <c r="Z149" s="1214"/>
    </row>
    <row r="150">
      <c r="A150" s="1214"/>
      <c r="B150" s="1214"/>
      <c r="C150" s="1214"/>
      <c r="D150" s="1267"/>
      <c r="E150" s="1214"/>
      <c r="F150" s="1214"/>
      <c r="G150" s="1214"/>
      <c r="H150" s="1214"/>
      <c r="I150" s="1214"/>
      <c r="J150" s="1214"/>
      <c r="K150" s="1214"/>
      <c r="L150" s="1214"/>
      <c r="M150" s="1214"/>
      <c r="N150" s="1214"/>
      <c r="O150" s="1214"/>
      <c r="P150" s="1214"/>
      <c r="Q150" s="1214"/>
      <c r="R150" s="1214"/>
      <c r="S150" s="1214"/>
      <c r="T150" s="1214"/>
      <c r="U150" s="1214"/>
      <c r="V150" s="1214"/>
      <c r="W150" s="1214"/>
      <c r="X150" s="1214"/>
      <c r="Y150" s="1214"/>
      <c r="Z150" s="1214"/>
    </row>
    <row r="151">
      <c r="A151" s="1214"/>
      <c r="B151" s="1214"/>
      <c r="C151" s="1214"/>
      <c r="D151" s="1267"/>
      <c r="E151" s="1214"/>
      <c r="F151" s="1214"/>
      <c r="G151" s="1214"/>
      <c r="H151" s="1214"/>
      <c r="I151" s="1214"/>
      <c r="J151" s="1214"/>
      <c r="K151" s="1214"/>
      <c r="L151" s="1214"/>
      <c r="M151" s="1214"/>
      <c r="N151" s="1214"/>
      <c r="O151" s="1214"/>
      <c r="P151" s="1214"/>
      <c r="Q151" s="1214"/>
      <c r="R151" s="1214"/>
      <c r="S151" s="1214"/>
      <c r="T151" s="1214"/>
      <c r="U151" s="1214"/>
      <c r="V151" s="1214"/>
      <c r="W151" s="1214"/>
      <c r="X151" s="1214"/>
      <c r="Y151" s="1214"/>
      <c r="Z151" s="1214"/>
    </row>
    <row r="152">
      <c r="A152" s="1214"/>
      <c r="B152" s="1214"/>
      <c r="C152" s="1214"/>
      <c r="D152" s="1267"/>
      <c r="E152" s="1214"/>
      <c r="F152" s="1214"/>
      <c r="G152" s="1214"/>
      <c r="H152" s="1214"/>
      <c r="I152" s="1214"/>
      <c r="J152" s="1214"/>
      <c r="K152" s="1214"/>
      <c r="L152" s="1214"/>
      <c r="M152" s="1214"/>
      <c r="N152" s="1214"/>
      <c r="O152" s="1214"/>
      <c r="P152" s="1214"/>
      <c r="Q152" s="1214"/>
      <c r="R152" s="1214"/>
      <c r="S152" s="1214"/>
      <c r="T152" s="1214"/>
      <c r="U152" s="1214"/>
      <c r="V152" s="1214"/>
      <c r="W152" s="1214"/>
      <c r="X152" s="1214"/>
      <c r="Y152" s="1214"/>
      <c r="Z152" s="1214"/>
    </row>
    <row r="153">
      <c r="A153" s="1214"/>
      <c r="B153" s="1214"/>
      <c r="C153" s="1214"/>
      <c r="D153" s="1267"/>
      <c r="E153" s="1214"/>
      <c r="F153" s="1214"/>
      <c r="G153" s="1214"/>
      <c r="H153" s="1214"/>
      <c r="I153" s="1214"/>
      <c r="J153" s="1214"/>
      <c r="K153" s="1214"/>
      <c r="L153" s="1214"/>
      <c r="M153" s="1214"/>
      <c r="N153" s="1214"/>
      <c r="O153" s="1214"/>
      <c r="P153" s="1214"/>
      <c r="Q153" s="1214"/>
      <c r="R153" s="1214"/>
      <c r="S153" s="1214"/>
      <c r="T153" s="1214"/>
      <c r="U153" s="1214"/>
      <c r="V153" s="1214"/>
      <c r="W153" s="1214"/>
      <c r="X153" s="1214"/>
      <c r="Y153" s="1214"/>
      <c r="Z153" s="1214"/>
    </row>
    <row r="154">
      <c r="A154" s="1214"/>
      <c r="B154" s="1214"/>
      <c r="C154" s="1214"/>
      <c r="D154" s="1267"/>
      <c r="E154" s="1214"/>
      <c r="F154" s="1214"/>
      <c r="G154" s="1214"/>
      <c r="H154" s="1214"/>
      <c r="I154" s="1214"/>
      <c r="J154" s="1214"/>
      <c r="K154" s="1214"/>
      <c r="L154" s="1214"/>
      <c r="M154" s="1214"/>
      <c r="N154" s="1214"/>
      <c r="O154" s="1214"/>
      <c r="P154" s="1214"/>
      <c r="Q154" s="1214"/>
      <c r="R154" s="1214"/>
      <c r="S154" s="1214"/>
      <c r="T154" s="1214"/>
      <c r="U154" s="1214"/>
      <c r="V154" s="1214"/>
      <c r="W154" s="1214"/>
      <c r="X154" s="1214"/>
      <c r="Y154" s="1214"/>
      <c r="Z154" s="1214"/>
    </row>
    <row r="155">
      <c r="A155" s="1214"/>
      <c r="B155" s="1214"/>
      <c r="C155" s="1214"/>
      <c r="D155" s="1267"/>
      <c r="E155" s="1214"/>
      <c r="F155" s="1214"/>
      <c r="G155" s="1214"/>
      <c r="H155" s="1214"/>
      <c r="I155" s="1214"/>
      <c r="J155" s="1214"/>
      <c r="K155" s="1214"/>
      <c r="L155" s="1214"/>
      <c r="M155" s="1214"/>
      <c r="N155" s="1214"/>
      <c r="O155" s="1214"/>
      <c r="P155" s="1214"/>
      <c r="Q155" s="1214"/>
      <c r="R155" s="1214"/>
      <c r="S155" s="1214"/>
      <c r="T155" s="1214"/>
      <c r="U155" s="1214"/>
      <c r="V155" s="1214"/>
      <c r="W155" s="1214"/>
      <c r="X155" s="1214"/>
      <c r="Y155" s="1214"/>
      <c r="Z155" s="1214"/>
    </row>
    <row r="156">
      <c r="A156" s="1214"/>
      <c r="B156" s="1214"/>
      <c r="C156" s="1214"/>
      <c r="D156" s="1267"/>
      <c r="E156" s="1214"/>
      <c r="F156" s="1214"/>
      <c r="G156" s="1214"/>
      <c r="H156" s="1214"/>
      <c r="I156" s="1214"/>
      <c r="J156" s="1214"/>
      <c r="K156" s="1214"/>
      <c r="L156" s="1214"/>
      <c r="M156" s="1214"/>
      <c r="N156" s="1214"/>
      <c r="O156" s="1214"/>
      <c r="P156" s="1214"/>
      <c r="Q156" s="1214"/>
      <c r="R156" s="1214"/>
      <c r="S156" s="1214"/>
      <c r="T156" s="1214"/>
      <c r="U156" s="1214"/>
      <c r="V156" s="1214"/>
      <c r="W156" s="1214"/>
      <c r="X156" s="1214"/>
      <c r="Y156" s="1214"/>
      <c r="Z156" s="1214"/>
    </row>
    <row r="157">
      <c r="A157" s="1214"/>
      <c r="B157" s="1214"/>
      <c r="C157" s="1214"/>
      <c r="D157" s="1267"/>
      <c r="E157" s="1214"/>
      <c r="F157" s="1214"/>
      <c r="G157" s="1214"/>
      <c r="H157" s="1214"/>
      <c r="I157" s="1214"/>
      <c r="J157" s="1214"/>
      <c r="K157" s="1214"/>
      <c r="L157" s="1214"/>
      <c r="M157" s="1214"/>
      <c r="N157" s="1214"/>
      <c r="O157" s="1214"/>
      <c r="P157" s="1214"/>
      <c r="Q157" s="1214"/>
      <c r="R157" s="1214"/>
      <c r="S157" s="1214"/>
      <c r="T157" s="1214"/>
      <c r="U157" s="1214"/>
      <c r="V157" s="1214"/>
      <c r="W157" s="1214"/>
      <c r="X157" s="1214"/>
      <c r="Y157" s="1214"/>
      <c r="Z157" s="1214"/>
    </row>
    <row r="158">
      <c r="A158" s="1214"/>
      <c r="B158" s="1214"/>
      <c r="C158" s="1214"/>
      <c r="D158" s="1267"/>
      <c r="E158" s="1214"/>
      <c r="F158" s="1214"/>
      <c r="G158" s="1214"/>
      <c r="H158" s="1214"/>
      <c r="I158" s="1214"/>
      <c r="J158" s="1214"/>
      <c r="K158" s="1214"/>
      <c r="L158" s="1214"/>
      <c r="M158" s="1214"/>
      <c r="N158" s="1214"/>
      <c r="O158" s="1214"/>
      <c r="P158" s="1214"/>
      <c r="Q158" s="1214"/>
      <c r="R158" s="1214"/>
      <c r="S158" s="1214"/>
      <c r="T158" s="1214"/>
      <c r="U158" s="1214"/>
      <c r="V158" s="1214"/>
      <c r="W158" s="1214"/>
      <c r="X158" s="1214"/>
      <c r="Y158" s="1214"/>
      <c r="Z158" s="1214"/>
    </row>
    <row r="159">
      <c r="A159" s="1214"/>
      <c r="B159" s="1214"/>
      <c r="C159" s="1214"/>
      <c r="D159" s="1267"/>
      <c r="E159" s="1214"/>
      <c r="F159" s="1214"/>
      <c r="G159" s="1214"/>
      <c r="H159" s="1214"/>
      <c r="I159" s="1214"/>
      <c r="J159" s="1214"/>
      <c r="K159" s="1214"/>
      <c r="L159" s="1214"/>
      <c r="M159" s="1214"/>
      <c r="N159" s="1214"/>
      <c r="O159" s="1214"/>
      <c r="P159" s="1214"/>
      <c r="Q159" s="1214"/>
      <c r="R159" s="1214"/>
      <c r="S159" s="1214"/>
      <c r="T159" s="1214"/>
      <c r="U159" s="1214"/>
      <c r="V159" s="1214"/>
      <c r="W159" s="1214"/>
      <c r="X159" s="1214"/>
      <c r="Y159" s="1214"/>
      <c r="Z159" s="1214"/>
    </row>
    <row r="160">
      <c r="A160" s="1214"/>
      <c r="B160" s="1214"/>
      <c r="C160" s="1214"/>
      <c r="D160" s="1267"/>
      <c r="E160" s="1214"/>
      <c r="F160" s="1214"/>
      <c r="G160" s="1214"/>
      <c r="H160" s="1214"/>
      <c r="I160" s="1214"/>
      <c r="J160" s="1214"/>
      <c r="K160" s="1214"/>
      <c r="L160" s="1214"/>
      <c r="M160" s="1214"/>
      <c r="N160" s="1214"/>
      <c r="O160" s="1214"/>
      <c r="P160" s="1214"/>
      <c r="Q160" s="1214"/>
      <c r="R160" s="1214"/>
      <c r="S160" s="1214"/>
      <c r="T160" s="1214"/>
      <c r="U160" s="1214"/>
      <c r="V160" s="1214"/>
      <c r="W160" s="1214"/>
      <c r="X160" s="1214"/>
      <c r="Y160" s="1214"/>
      <c r="Z160" s="1214"/>
    </row>
    <row r="161">
      <c r="A161" s="1214"/>
      <c r="B161" s="1214"/>
      <c r="C161" s="1214"/>
      <c r="D161" s="1267"/>
      <c r="E161" s="1214"/>
      <c r="F161" s="1214"/>
      <c r="G161" s="1214"/>
      <c r="H161" s="1214"/>
      <c r="I161" s="1214"/>
      <c r="J161" s="1214"/>
      <c r="K161" s="1214"/>
      <c r="L161" s="1214"/>
      <c r="M161" s="1214"/>
      <c r="N161" s="1214"/>
      <c r="O161" s="1214"/>
      <c r="P161" s="1214"/>
      <c r="Q161" s="1214"/>
      <c r="R161" s="1214"/>
      <c r="S161" s="1214"/>
      <c r="T161" s="1214"/>
      <c r="U161" s="1214"/>
      <c r="V161" s="1214"/>
      <c r="W161" s="1214"/>
      <c r="X161" s="1214"/>
      <c r="Y161" s="1214"/>
      <c r="Z161" s="1214"/>
    </row>
    <row r="162">
      <c r="A162" s="1214"/>
      <c r="B162" s="1214"/>
      <c r="C162" s="1214"/>
      <c r="D162" s="1267"/>
      <c r="E162" s="1214"/>
      <c r="F162" s="1214"/>
      <c r="G162" s="1214"/>
      <c r="H162" s="1214"/>
      <c r="I162" s="1214"/>
      <c r="J162" s="1214"/>
      <c r="K162" s="1214"/>
      <c r="L162" s="1214"/>
      <c r="M162" s="1214"/>
      <c r="N162" s="1214"/>
      <c r="O162" s="1214"/>
      <c r="P162" s="1214"/>
      <c r="Q162" s="1214"/>
      <c r="R162" s="1214"/>
      <c r="S162" s="1214"/>
      <c r="T162" s="1214"/>
      <c r="U162" s="1214"/>
      <c r="V162" s="1214"/>
      <c r="W162" s="1214"/>
      <c r="X162" s="1214"/>
      <c r="Y162" s="1214"/>
      <c r="Z162" s="1214"/>
    </row>
    <row r="163">
      <c r="A163" s="1214"/>
      <c r="B163" s="1214"/>
      <c r="C163" s="1214"/>
      <c r="D163" s="1267"/>
      <c r="E163" s="1214"/>
      <c r="F163" s="1214"/>
      <c r="G163" s="1214"/>
      <c r="H163" s="1214"/>
      <c r="I163" s="1214"/>
      <c r="J163" s="1214"/>
      <c r="K163" s="1214"/>
      <c r="L163" s="1214"/>
      <c r="M163" s="1214"/>
      <c r="N163" s="1214"/>
      <c r="O163" s="1214"/>
      <c r="P163" s="1214"/>
      <c r="Q163" s="1214"/>
      <c r="R163" s="1214"/>
      <c r="S163" s="1214"/>
      <c r="T163" s="1214"/>
      <c r="U163" s="1214"/>
      <c r="V163" s="1214"/>
      <c r="W163" s="1214"/>
      <c r="X163" s="1214"/>
      <c r="Y163" s="1214"/>
      <c r="Z163" s="1214"/>
    </row>
    <row r="164">
      <c r="A164" s="1214"/>
      <c r="B164" s="1214"/>
      <c r="C164" s="1214"/>
      <c r="D164" s="1267"/>
      <c r="E164" s="1214"/>
      <c r="F164" s="1214"/>
      <c r="G164" s="1214"/>
      <c r="H164" s="1214"/>
      <c r="I164" s="1214"/>
      <c r="J164" s="1214"/>
      <c r="K164" s="1214"/>
      <c r="L164" s="1214"/>
      <c r="M164" s="1214"/>
      <c r="N164" s="1214"/>
      <c r="O164" s="1214"/>
      <c r="P164" s="1214"/>
      <c r="Q164" s="1214"/>
      <c r="R164" s="1214"/>
      <c r="S164" s="1214"/>
      <c r="T164" s="1214"/>
      <c r="U164" s="1214"/>
      <c r="V164" s="1214"/>
      <c r="W164" s="1214"/>
      <c r="X164" s="1214"/>
      <c r="Y164" s="1214"/>
      <c r="Z164" s="1214"/>
    </row>
    <row r="165">
      <c r="A165" s="1214"/>
      <c r="B165" s="1214"/>
      <c r="C165" s="1214"/>
      <c r="D165" s="1267"/>
      <c r="E165" s="1214"/>
      <c r="F165" s="1214"/>
      <c r="G165" s="1214"/>
      <c r="H165" s="1214"/>
      <c r="I165" s="1214"/>
      <c r="J165" s="1214"/>
      <c r="K165" s="1214"/>
      <c r="L165" s="1214"/>
      <c r="M165" s="1214"/>
      <c r="N165" s="1214"/>
      <c r="O165" s="1214"/>
      <c r="P165" s="1214"/>
      <c r="Q165" s="1214"/>
      <c r="R165" s="1214"/>
      <c r="S165" s="1214"/>
      <c r="T165" s="1214"/>
      <c r="U165" s="1214"/>
      <c r="V165" s="1214"/>
      <c r="W165" s="1214"/>
      <c r="X165" s="1214"/>
      <c r="Y165" s="1214"/>
      <c r="Z165" s="1214"/>
    </row>
    <row r="166">
      <c r="A166" s="1214"/>
      <c r="B166" s="1214"/>
      <c r="C166" s="1214"/>
      <c r="D166" s="1267"/>
      <c r="E166" s="1214"/>
      <c r="F166" s="1214"/>
      <c r="G166" s="1214"/>
      <c r="H166" s="1214"/>
      <c r="I166" s="1214"/>
      <c r="J166" s="1214"/>
      <c r="K166" s="1214"/>
      <c r="L166" s="1214"/>
      <c r="M166" s="1214"/>
      <c r="N166" s="1214"/>
      <c r="O166" s="1214"/>
      <c r="P166" s="1214"/>
      <c r="Q166" s="1214"/>
      <c r="R166" s="1214"/>
      <c r="S166" s="1214"/>
      <c r="T166" s="1214"/>
      <c r="U166" s="1214"/>
      <c r="V166" s="1214"/>
      <c r="W166" s="1214"/>
      <c r="X166" s="1214"/>
      <c r="Y166" s="1214"/>
      <c r="Z166" s="1214"/>
    </row>
    <row r="167">
      <c r="A167" s="1214"/>
      <c r="B167" s="1214"/>
      <c r="C167" s="1214"/>
      <c r="D167" s="1267"/>
      <c r="E167" s="1214"/>
      <c r="F167" s="1214"/>
      <c r="G167" s="1214"/>
      <c r="H167" s="1214"/>
      <c r="I167" s="1214"/>
      <c r="J167" s="1214"/>
      <c r="K167" s="1214"/>
      <c r="L167" s="1214"/>
      <c r="M167" s="1214"/>
      <c r="N167" s="1214"/>
      <c r="O167" s="1214"/>
      <c r="P167" s="1214"/>
      <c r="Q167" s="1214"/>
      <c r="R167" s="1214"/>
      <c r="S167" s="1214"/>
      <c r="T167" s="1214"/>
      <c r="U167" s="1214"/>
      <c r="V167" s="1214"/>
      <c r="W167" s="1214"/>
      <c r="X167" s="1214"/>
      <c r="Y167" s="1214"/>
      <c r="Z167" s="1214"/>
    </row>
    <row r="168">
      <c r="A168" s="1214"/>
      <c r="B168" s="1214"/>
      <c r="C168" s="1214"/>
      <c r="D168" s="1267"/>
      <c r="E168" s="1214"/>
      <c r="F168" s="1214"/>
      <c r="G168" s="1214"/>
      <c r="H168" s="1214"/>
      <c r="I168" s="1214"/>
      <c r="J168" s="1214"/>
      <c r="K168" s="1214"/>
      <c r="L168" s="1214"/>
      <c r="M168" s="1214"/>
      <c r="N168" s="1214"/>
      <c r="O168" s="1214"/>
      <c r="P168" s="1214"/>
      <c r="Q168" s="1214"/>
      <c r="R168" s="1214"/>
      <c r="S168" s="1214"/>
      <c r="T168" s="1214"/>
      <c r="U168" s="1214"/>
      <c r="V168" s="1214"/>
      <c r="W168" s="1214"/>
      <c r="X168" s="1214"/>
      <c r="Y168" s="1214"/>
      <c r="Z168" s="1214"/>
    </row>
    <row r="169">
      <c r="A169" s="1214"/>
      <c r="B169" s="1214"/>
      <c r="C169" s="1214"/>
      <c r="D169" s="1267"/>
      <c r="E169" s="1214"/>
      <c r="F169" s="1214"/>
      <c r="G169" s="1214"/>
      <c r="H169" s="1214"/>
      <c r="I169" s="1214"/>
      <c r="J169" s="1214"/>
      <c r="K169" s="1214"/>
      <c r="L169" s="1214"/>
      <c r="M169" s="1214"/>
      <c r="N169" s="1214"/>
      <c r="O169" s="1214"/>
      <c r="P169" s="1214"/>
      <c r="Q169" s="1214"/>
      <c r="R169" s="1214"/>
      <c r="S169" s="1214"/>
      <c r="T169" s="1214"/>
      <c r="U169" s="1214"/>
      <c r="V169" s="1214"/>
      <c r="W169" s="1214"/>
      <c r="X169" s="1214"/>
      <c r="Y169" s="1214"/>
      <c r="Z169" s="1214"/>
    </row>
    <row r="170">
      <c r="A170" s="1214"/>
      <c r="B170" s="1214"/>
      <c r="C170" s="1214"/>
      <c r="D170" s="1267"/>
      <c r="E170" s="1214"/>
      <c r="F170" s="1214"/>
      <c r="G170" s="1214"/>
      <c r="H170" s="1214"/>
      <c r="I170" s="1214"/>
      <c r="J170" s="1214"/>
      <c r="K170" s="1214"/>
      <c r="L170" s="1214"/>
      <c r="M170" s="1214"/>
      <c r="N170" s="1214"/>
      <c r="O170" s="1214"/>
      <c r="P170" s="1214"/>
      <c r="Q170" s="1214"/>
      <c r="R170" s="1214"/>
      <c r="S170" s="1214"/>
      <c r="T170" s="1214"/>
      <c r="U170" s="1214"/>
      <c r="V170" s="1214"/>
      <c r="W170" s="1214"/>
      <c r="X170" s="1214"/>
      <c r="Y170" s="1214"/>
      <c r="Z170" s="1214"/>
    </row>
    <row r="171">
      <c r="A171" s="1214"/>
      <c r="B171" s="1214"/>
      <c r="C171" s="1214"/>
      <c r="D171" s="1267"/>
      <c r="E171" s="1214"/>
      <c r="F171" s="1214"/>
      <c r="G171" s="1214"/>
      <c r="H171" s="1214"/>
      <c r="I171" s="1214"/>
      <c r="J171" s="1214"/>
      <c r="K171" s="1214"/>
      <c r="L171" s="1214"/>
      <c r="M171" s="1214"/>
      <c r="N171" s="1214"/>
      <c r="O171" s="1214"/>
      <c r="P171" s="1214"/>
      <c r="Q171" s="1214"/>
      <c r="R171" s="1214"/>
      <c r="S171" s="1214"/>
      <c r="T171" s="1214"/>
      <c r="U171" s="1214"/>
      <c r="V171" s="1214"/>
      <c r="W171" s="1214"/>
      <c r="X171" s="1214"/>
      <c r="Y171" s="1214"/>
      <c r="Z171" s="1214"/>
    </row>
    <row r="172">
      <c r="A172" s="1214"/>
      <c r="B172" s="1214"/>
      <c r="C172" s="1214"/>
      <c r="D172" s="1267"/>
      <c r="E172" s="1214"/>
      <c r="F172" s="1214"/>
      <c r="G172" s="1214"/>
      <c r="H172" s="1214"/>
      <c r="I172" s="1214"/>
      <c r="J172" s="1214"/>
      <c r="K172" s="1214"/>
      <c r="L172" s="1214"/>
      <c r="M172" s="1214"/>
      <c r="N172" s="1214"/>
      <c r="O172" s="1214"/>
      <c r="P172" s="1214"/>
      <c r="Q172" s="1214"/>
      <c r="R172" s="1214"/>
      <c r="S172" s="1214"/>
      <c r="T172" s="1214"/>
      <c r="U172" s="1214"/>
      <c r="V172" s="1214"/>
      <c r="W172" s="1214"/>
      <c r="X172" s="1214"/>
      <c r="Y172" s="1214"/>
      <c r="Z172" s="1214"/>
    </row>
    <row r="173">
      <c r="A173" s="1214"/>
      <c r="B173" s="1214"/>
      <c r="C173" s="1214"/>
      <c r="D173" s="1267"/>
      <c r="E173" s="1214"/>
      <c r="F173" s="1214"/>
      <c r="G173" s="1214"/>
      <c r="H173" s="1214"/>
      <c r="I173" s="1214"/>
      <c r="J173" s="1214"/>
      <c r="K173" s="1214"/>
      <c r="L173" s="1214"/>
      <c r="M173" s="1214"/>
      <c r="N173" s="1214"/>
      <c r="O173" s="1214"/>
      <c r="P173" s="1214"/>
      <c r="Q173" s="1214"/>
      <c r="R173" s="1214"/>
      <c r="S173" s="1214"/>
      <c r="T173" s="1214"/>
      <c r="U173" s="1214"/>
      <c r="V173" s="1214"/>
      <c r="W173" s="1214"/>
      <c r="X173" s="1214"/>
      <c r="Y173" s="1214"/>
      <c r="Z173" s="1214"/>
    </row>
    <row r="174">
      <c r="A174" s="1214"/>
      <c r="B174" s="1214"/>
      <c r="C174" s="1214"/>
      <c r="D174" s="1267"/>
      <c r="E174" s="1214"/>
      <c r="F174" s="1214"/>
      <c r="G174" s="1214"/>
      <c r="H174" s="1214"/>
      <c r="I174" s="1214"/>
      <c r="J174" s="1214"/>
      <c r="K174" s="1214"/>
      <c r="L174" s="1214"/>
      <c r="M174" s="1214"/>
      <c r="N174" s="1214"/>
      <c r="O174" s="1214"/>
      <c r="P174" s="1214"/>
      <c r="Q174" s="1214"/>
      <c r="R174" s="1214"/>
      <c r="S174" s="1214"/>
      <c r="T174" s="1214"/>
      <c r="U174" s="1214"/>
      <c r="V174" s="1214"/>
      <c r="W174" s="1214"/>
      <c r="X174" s="1214"/>
      <c r="Y174" s="1214"/>
      <c r="Z174" s="1214"/>
    </row>
    <row r="175">
      <c r="A175" s="1214"/>
      <c r="B175" s="1214"/>
      <c r="C175" s="1214"/>
      <c r="D175" s="1267"/>
      <c r="E175" s="1214"/>
      <c r="F175" s="1214"/>
      <c r="G175" s="1214"/>
      <c r="H175" s="1214"/>
      <c r="I175" s="1214"/>
      <c r="J175" s="1214"/>
      <c r="K175" s="1214"/>
      <c r="L175" s="1214"/>
      <c r="M175" s="1214"/>
      <c r="N175" s="1214"/>
      <c r="O175" s="1214"/>
      <c r="P175" s="1214"/>
      <c r="Q175" s="1214"/>
      <c r="R175" s="1214"/>
      <c r="S175" s="1214"/>
      <c r="T175" s="1214"/>
      <c r="U175" s="1214"/>
      <c r="V175" s="1214"/>
      <c r="W175" s="1214"/>
      <c r="X175" s="1214"/>
      <c r="Y175" s="1214"/>
      <c r="Z175" s="1214"/>
    </row>
    <row r="176">
      <c r="A176" s="1214"/>
      <c r="B176" s="1214"/>
      <c r="C176" s="1214"/>
      <c r="D176" s="1267"/>
      <c r="E176" s="1214"/>
      <c r="F176" s="1214"/>
      <c r="G176" s="1214"/>
      <c r="H176" s="1214"/>
      <c r="I176" s="1214"/>
      <c r="J176" s="1214"/>
      <c r="K176" s="1214"/>
      <c r="L176" s="1214"/>
      <c r="M176" s="1214"/>
      <c r="N176" s="1214"/>
      <c r="O176" s="1214"/>
      <c r="P176" s="1214"/>
      <c r="Q176" s="1214"/>
      <c r="R176" s="1214"/>
      <c r="S176" s="1214"/>
      <c r="T176" s="1214"/>
      <c r="U176" s="1214"/>
      <c r="V176" s="1214"/>
      <c r="W176" s="1214"/>
      <c r="X176" s="1214"/>
      <c r="Y176" s="1214"/>
      <c r="Z176" s="1214"/>
    </row>
    <row r="177">
      <c r="A177" s="1214"/>
      <c r="B177" s="1214"/>
      <c r="C177" s="1214"/>
      <c r="D177" s="1267"/>
      <c r="E177" s="1214"/>
      <c r="F177" s="1214"/>
      <c r="G177" s="1214"/>
      <c r="H177" s="1214"/>
      <c r="I177" s="1214"/>
      <c r="J177" s="1214"/>
      <c r="K177" s="1214"/>
      <c r="L177" s="1214"/>
      <c r="M177" s="1214"/>
      <c r="N177" s="1214"/>
      <c r="O177" s="1214"/>
      <c r="P177" s="1214"/>
      <c r="Q177" s="1214"/>
      <c r="R177" s="1214"/>
      <c r="S177" s="1214"/>
      <c r="T177" s="1214"/>
      <c r="U177" s="1214"/>
      <c r="V177" s="1214"/>
      <c r="W177" s="1214"/>
      <c r="X177" s="1214"/>
      <c r="Y177" s="1214"/>
      <c r="Z177" s="1214"/>
    </row>
    <row r="178">
      <c r="A178" s="1214"/>
      <c r="B178" s="1214"/>
      <c r="C178" s="1214"/>
      <c r="D178" s="1267"/>
      <c r="E178" s="1214"/>
      <c r="F178" s="1214"/>
      <c r="G178" s="1214"/>
      <c r="H178" s="1214"/>
      <c r="I178" s="1214"/>
      <c r="J178" s="1214"/>
      <c r="K178" s="1214"/>
      <c r="L178" s="1214"/>
      <c r="M178" s="1214"/>
      <c r="N178" s="1214"/>
      <c r="O178" s="1214"/>
      <c r="P178" s="1214"/>
      <c r="Q178" s="1214"/>
      <c r="R178" s="1214"/>
      <c r="S178" s="1214"/>
      <c r="T178" s="1214"/>
      <c r="U178" s="1214"/>
      <c r="V178" s="1214"/>
      <c r="W178" s="1214"/>
      <c r="X178" s="1214"/>
      <c r="Y178" s="1214"/>
      <c r="Z178" s="1214"/>
    </row>
    <row r="179">
      <c r="A179" s="1214"/>
      <c r="B179" s="1214"/>
      <c r="C179" s="1214"/>
      <c r="D179" s="1267"/>
      <c r="E179" s="1214"/>
      <c r="F179" s="1214"/>
      <c r="G179" s="1214"/>
      <c r="H179" s="1214"/>
      <c r="I179" s="1214"/>
      <c r="J179" s="1214"/>
      <c r="K179" s="1214"/>
      <c r="L179" s="1214"/>
      <c r="M179" s="1214"/>
      <c r="N179" s="1214"/>
      <c r="O179" s="1214"/>
      <c r="P179" s="1214"/>
      <c r="Q179" s="1214"/>
      <c r="R179" s="1214"/>
      <c r="S179" s="1214"/>
      <c r="T179" s="1214"/>
      <c r="U179" s="1214"/>
      <c r="V179" s="1214"/>
      <c r="W179" s="1214"/>
      <c r="X179" s="1214"/>
      <c r="Y179" s="1214"/>
      <c r="Z179" s="1214"/>
    </row>
    <row r="180">
      <c r="A180" s="1214"/>
      <c r="B180" s="1214"/>
      <c r="C180" s="1214"/>
      <c r="D180" s="1267"/>
      <c r="E180" s="1214"/>
      <c r="F180" s="1214"/>
      <c r="G180" s="1214"/>
      <c r="H180" s="1214"/>
      <c r="I180" s="1214"/>
      <c r="J180" s="1214"/>
      <c r="K180" s="1214"/>
      <c r="L180" s="1214"/>
      <c r="M180" s="1214"/>
      <c r="N180" s="1214"/>
      <c r="O180" s="1214"/>
      <c r="P180" s="1214"/>
      <c r="Q180" s="1214"/>
      <c r="R180" s="1214"/>
      <c r="S180" s="1214"/>
      <c r="T180" s="1214"/>
      <c r="U180" s="1214"/>
      <c r="V180" s="1214"/>
      <c r="W180" s="1214"/>
      <c r="X180" s="1214"/>
      <c r="Y180" s="1214"/>
      <c r="Z180" s="1214"/>
    </row>
    <row r="181">
      <c r="A181" s="1214"/>
      <c r="B181" s="1214"/>
      <c r="C181" s="1214"/>
      <c r="D181" s="1267"/>
      <c r="E181" s="1214"/>
      <c r="F181" s="1214"/>
      <c r="G181" s="1214"/>
      <c r="H181" s="1214"/>
      <c r="I181" s="1214"/>
      <c r="J181" s="1214"/>
      <c r="K181" s="1214"/>
      <c r="L181" s="1214"/>
      <c r="M181" s="1214"/>
      <c r="N181" s="1214"/>
      <c r="O181" s="1214"/>
      <c r="P181" s="1214"/>
      <c r="Q181" s="1214"/>
      <c r="R181" s="1214"/>
      <c r="S181" s="1214"/>
      <c r="T181" s="1214"/>
      <c r="U181" s="1214"/>
      <c r="V181" s="1214"/>
      <c r="W181" s="1214"/>
      <c r="X181" s="1214"/>
      <c r="Y181" s="1214"/>
      <c r="Z181" s="1214"/>
    </row>
    <row r="182">
      <c r="A182" s="1214"/>
      <c r="B182" s="1214"/>
      <c r="C182" s="1214"/>
      <c r="D182" s="1267"/>
      <c r="E182" s="1214"/>
      <c r="F182" s="1214"/>
      <c r="G182" s="1214"/>
      <c r="H182" s="1214"/>
      <c r="I182" s="1214"/>
      <c r="J182" s="1214"/>
      <c r="K182" s="1214"/>
      <c r="L182" s="1214"/>
      <c r="M182" s="1214"/>
      <c r="N182" s="1214"/>
      <c r="O182" s="1214"/>
      <c r="P182" s="1214"/>
      <c r="Q182" s="1214"/>
      <c r="R182" s="1214"/>
      <c r="S182" s="1214"/>
      <c r="T182" s="1214"/>
      <c r="U182" s="1214"/>
      <c r="V182" s="1214"/>
      <c r="W182" s="1214"/>
      <c r="X182" s="1214"/>
      <c r="Y182" s="1214"/>
      <c r="Z182" s="1214"/>
    </row>
    <row r="183">
      <c r="A183" s="1214"/>
      <c r="B183" s="1214"/>
      <c r="C183" s="1214"/>
      <c r="D183" s="1267"/>
      <c r="E183" s="1214"/>
      <c r="F183" s="1214"/>
      <c r="G183" s="1214"/>
      <c r="H183" s="1214"/>
      <c r="I183" s="1214"/>
      <c r="J183" s="1214"/>
      <c r="K183" s="1214"/>
      <c r="L183" s="1214"/>
      <c r="M183" s="1214"/>
      <c r="N183" s="1214"/>
      <c r="O183" s="1214"/>
      <c r="P183" s="1214"/>
      <c r="Q183" s="1214"/>
      <c r="R183" s="1214"/>
      <c r="S183" s="1214"/>
      <c r="T183" s="1214"/>
      <c r="U183" s="1214"/>
      <c r="V183" s="1214"/>
      <c r="W183" s="1214"/>
      <c r="X183" s="1214"/>
      <c r="Y183" s="1214"/>
      <c r="Z183" s="1214"/>
    </row>
    <row r="184">
      <c r="A184" s="1214"/>
      <c r="B184" s="1214"/>
      <c r="C184" s="1214"/>
      <c r="D184" s="1267"/>
      <c r="E184" s="1214"/>
      <c r="F184" s="1214"/>
      <c r="G184" s="1214"/>
      <c r="H184" s="1214"/>
      <c r="I184" s="1214"/>
      <c r="J184" s="1214"/>
      <c r="K184" s="1214"/>
      <c r="L184" s="1214"/>
      <c r="M184" s="1214"/>
      <c r="N184" s="1214"/>
      <c r="O184" s="1214"/>
      <c r="P184" s="1214"/>
      <c r="Q184" s="1214"/>
      <c r="R184" s="1214"/>
      <c r="S184" s="1214"/>
      <c r="T184" s="1214"/>
      <c r="U184" s="1214"/>
      <c r="V184" s="1214"/>
      <c r="W184" s="1214"/>
      <c r="X184" s="1214"/>
      <c r="Y184" s="1214"/>
      <c r="Z184" s="1214"/>
    </row>
    <row r="185">
      <c r="A185" s="1214"/>
      <c r="B185" s="1214"/>
      <c r="C185" s="1214"/>
      <c r="D185" s="1267"/>
      <c r="E185" s="1214"/>
      <c r="F185" s="1214"/>
      <c r="G185" s="1214"/>
      <c r="H185" s="1214"/>
      <c r="I185" s="1214"/>
      <c r="J185" s="1214"/>
      <c r="K185" s="1214"/>
      <c r="L185" s="1214"/>
      <c r="M185" s="1214"/>
      <c r="N185" s="1214"/>
      <c r="O185" s="1214"/>
      <c r="P185" s="1214"/>
      <c r="Q185" s="1214"/>
      <c r="R185" s="1214"/>
      <c r="S185" s="1214"/>
      <c r="T185" s="1214"/>
      <c r="U185" s="1214"/>
      <c r="V185" s="1214"/>
      <c r="W185" s="1214"/>
      <c r="X185" s="1214"/>
      <c r="Y185" s="1214"/>
      <c r="Z185" s="1214"/>
    </row>
    <row r="186">
      <c r="A186" s="1214"/>
      <c r="B186" s="1214"/>
      <c r="C186" s="1214"/>
      <c r="D186" s="1267"/>
      <c r="E186" s="1214"/>
      <c r="F186" s="1214"/>
      <c r="G186" s="1214"/>
      <c r="H186" s="1214"/>
      <c r="I186" s="1214"/>
      <c r="J186" s="1214"/>
      <c r="K186" s="1214"/>
      <c r="L186" s="1214"/>
      <c r="M186" s="1214"/>
      <c r="N186" s="1214"/>
      <c r="O186" s="1214"/>
      <c r="P186" s="1214"/>
      <c r="Q186" s="1214"/>
      <c r="R186" s="1214"/>
      <c r="S186" s="1214"/>
      <c r="T186" s="1214"/>
      <c r="U186" s="1214"/>
      <c r="V186" s="1214"/>
      <c r="W186" s="1214"/>
      <c r="X186" s="1214"/>
      <c r="Y186" s="1214"/>
      <c r="Z186" s="1214"/>
    </row>
    <row r="187">
      <c r="A187" s="1214"/>
      <c r="B187" s="1214"/>
      <c r="C187" s="1214"/>
      <c r="D187" s="1267"/>
      <c r="E187" s="1214"/>
      <c r="F187" s="1214"/>
      <c r="G187" s="1214"/>
      <c r="H187" s="1214"/>
      <c r="I187" s="1214"/>
      <c r="J187" s="1214"/>
      <c r="K187" s="1214"/>
      <c r="L187" s="1214"/>
      <c r="M187" s="1214"/>
      <c r="N187" s="1214"/>
      <c r="O187" s="1214"/>
      <c r="P187" s="1214"/>
      <c r="Q187" s="1214"/>
      <c r="R187" s="1214"/>
      <c r="S187" s="1214"/>
      <c r="T187" s="1214"/>
      <c r="U187" s="1214"/>
      <c r="V187" s="1214"/>
      <c r="W187" s="1214"/>
      <c r="X187" s="1214"/>
      <c r="Y187" s="1214"/>
      <c r="Z187" s="1214"/>
    </row>
    <row r="188">
      <c r="A188" s="1214"/>
      <c r="B188" s="1214"/>
      <c r="C188" s="1214"/>
      <c r="D188" s="1267"/>
      <c r="E188" s="1214"/>
      <c r="F188" s="1214"/>
      <c r="G188" s="1214"/>
      <c r="H188" s="1214"/>
      <c r="I188" s="1214"/>
      <c r="J188" s="1214"/>
      <c r="K188" s="1214"/>
      <c r="L188" s="1214"/>
      <c r="M188" s="1214"/>
      <c r="N188" s="1214"/>
      <c r="O188" s="1214"/>
      <c r="P188" s="1214"/>
      <c r="Q188" s="1214"/>
      <c r="R188" s="1214"/>
      <c r="S188" s="1214"/>
      <c r="T188" s="1214"/>
      <c r="U188" s="1214"/>
      <c r="V188" s="1214"/>
      <c r="W188" s="1214"/>
      <c r="X188" s="1214"/>
      <c r="Y188" s="1214"/>
      <c r="Z188" s="1214"/>
    </row>
    <row r="189">
      <c r="A189" s="1214"/>
      <c r="B189" s="1214"/>
      <c r="C189" s="1214"/>
      <c r="D189" s="1267"/>
      <c r="E189" s="1214"/>
      <c r="F189" s="1214"/>
      <c r="G189" s="1214"/>
      <c r="H189" s="1214"/>
      <c r="I189" s="1214"/>
      <c r="J189" s="1214"/>
      <c r="K189" s="1214"/>
      <c r="L189" s="1214"/>
      <c r="M189" s="1214"/>
      <c r="N189" s="1214"/>
      <c r="O189" s="1214"/>
      <c r="P189" s="1214"/>
      <c r="Q189" s="1214"/>
      <c r="R189" s="1214"/>
      <c r="S189" s="1214"/>
      <c r="T189" s="1214"/>
      <c r="U189" s="1214"/>
      <c r="V189" s="1214"/>
      <c r="W189" s="1214"/>
      <c r="X189" s="1214"/>
      <c r="Y189" s="1214"/>
      <c r="Z189" s="1214"/>
    </row>
    <row r="190">
      <c r="A190" s="1214"/>
      <c r="B190" s="1214"/>
      <c r="C190" s="1214"/>
      <c r="D190" s="1267"/>
      <c r="E190" s="1214"/>
      <c r="F190" s="1214"/>
      <c r="G190" s="1214"/>
      <c r="H190" s="1214"/>
      <c r="I190" s="1214"/>
      <c r="J190" s="1214"/>
      <c r="K190" s="1214"/>
      <c r="L190" s="1214"/>
      <c r="M190" s="1214"/>
      <c r="N190" s="1214"/>
      <c r="O190" s="1214"/>
      <c r="P190" s="1214"/>
      <c r="Q190" s="1214"/>
      <c r="R190" s="1214"/>
      <c r="S190" s="1214"/>
      <c r="T190" s="1214"/>
      <c r="U190" s="1214"/>
      <c r="V190" s="1214"/>
      <c r="W190" s="1214"/>
      <c r="X190" s="1214"/>
      <c r="Y190" s="1214"/>
      <c r="Z190" s="1214"/>
    </row>
    <row r="191">
      <c r="A191" s="1214"/>
      <c r="B191" s="1214"/>
      <c r="C191" s="1214"/>
      <c r="D191" s="1267"/>
      <c r="E191" s="1214"/>
      <c r="F191" s="1214"/>
      <c r="G191" s="1214"/>
      <c r="H191" s="1214"/>
      <c r="I191" s="1214"/>
      <c r="J191" s="1214"/>
      <c r="K191" s="1214"/>
      <c r="L191" s="1214"/>
      <c r="M191" s="1214"/>
      <c r="N191" s="1214"/>
      <c r="O191" s="1214"/>
      <c r="P191" s="1214"/>
      <c r="Q191" s="1214"/>
      <c r="R191" s="1214"/>
      <c r="S191" s="1214"/>
      <c r="T191" s="1214"/>
      <c r="U191" s="1214"/>
      <c r="V191" s="1214"/>
      <c r="W191" s="1214"/>
      <c r="X191" s="1214"/>
      <c r="Y191" s="1214"/>
      <c r="Z191" s="1214"/>
    </row>
    <row r="192">
      <c r="A192" s="1214"/>
      <c r="B192" s="1214"/>
      <c r="C192" s="1214"/>
      <c r="D192" s="1267"/>
      <c r="E192" s="1214"/>
      <c r="F192" s="1214"/>
      <c r="G192" s="1214"/>
      <c r="H192" s="1214"/>
      <c r="I192" s="1214"/>
      <c r="J192" s="1214"/>
      <c r="K192" s="1214"/>
      <c r="L192" s="1214"/>
      <c r="M192" s="1214"/>
      <c r="N192" s="1214"/>
      <c r="O192" s="1214"/>
      <c r="P192" s="1214"/>
      <c r="Q192" s="1214"/>
      <c r="R192" s="1214"/>
      <c r="S192" s="1214"/>
      <c r="T192" s="1214"/>
      <c r="U192" s="1214"/>
      <c r="V192" s="1214"/>
      <c r="W192" s="1214"/>
      <c r="X192" s="1214"/>
      <c r="Y192" s="1214"/>
      <c r="Z192" s="1214"/>
    </row>
    <row r="193">
      <c r="A193" s="1214"/>
      <c r="B193" s="1214"/>
      <c r="C193" s="1214"/>
      <c r="D193" s="1267"/>
      <c r="E193" s="1214"/>
      <c r="F193" s="1214"/>
      <c r="G193" s="1214"/>
      <c r="H193" s="1214"/>
      <c r="I193" s="1214"/>
      <c r="J193" s="1214"/>
      <c r="K193" s="1214"/>
      <c r="L193" s="1214"/>
      <c r="M193" s="1214"/>
      <c r="N193" s="1214"/>
      <c r="O193" s="1214"/>
      <c r="P193" s="1214"/>
      <c r="Q193" s="1214"/>
      <c r="R193" s="1214"/>
      <c r="S193" s="1214"/>
      <c r="T193" s="1214"/>
      <c r="U193" s="1214"/>
      <c r="V193" s="1214"/>
      <c r="W193" s="1214"/>
      <c r="X193" s="1214"/>
      <c r="Y193" s="1214"/>
      <c r="Z193" s="1214"/>
    </row>
    <row r="194">
      <c r="A194" s="1214"/>
      <c r="B194" s="1214"/>
      <c r="C194" s="1214"/>
      <c r="D194" s="1267"/>
      <c r="E194" s="1214"/>
      <c r="F194" s="1214"/>
      <c r="G194" s="1214"/>
      <c r="H194" s="1214"/>
      <c r="I194" s="1214"/>
      <c r="J194" s="1214"/>
      <c r="K194" s="1214"/>
      <c r="L194" s="1214"/>
      <c r="M194" s="1214"/>
      <c r="N194" s="1214"/>
      <c r="O194" s="1214"/>
      <c r="P194" s="1214"/>
      <c r="Q194" s="1214"/>
      <c r="R194" s="1214"/>
      <c r="S194" s="1214"/>
      <c r="T194" s="1214"/>
      <c r="U194" s="1214"/>
      <c r="V194" s="1214"/>
      <c r="W194" s="1214"/>
      <c r="X194" s="1214"/>
      <c r="Y194" s="1214"/>
      <c r="Z194" s="1214"/>
    </row>
    <row r="195">
      <c r="A195" s="1214"/>
      <c r="B195" s="1214"/>
      <c r="C195" s="1214"/>
      <c r="D195" s="1267"/>
      <c r="E195" s="1214"/>
      <c r="F195" s="1214"/>
      <c r="G195" s="1214"/>
      <c r="H195" s="1214"/>
      <c r="I195" s="1214"/>
      <c r="J195" s="1214"/>
      <c r="K195" s="1214"/>
      <c r="L195" s="1214"/>
      <c r="M195" s="1214"/>
      <c r="N195" s="1214"/>
      <c r="O195" s="1214"/>
      <c r="P195" s="1214"/>
      <c r="Q195" s="1214"/>
      <c r="R195" s="1214"/>
      <c r="S195" s="1214"/>
      <c r="T195" s="1214"/>
      <c r="U195" s="1214"/>
      <c r="V195" s="1214"/>
      <c r="W195" s="1214"/>
      <c r="X195" s="1214"/>
      <c r="Y195" s="1214"/>
      <c r="Z195" s="1214"/>
    </row>
    <row r="196">
      <c r="A196" s="1214"/>
      <c r="B196" s="1214"/>
      <c r="C196" s="1214"/>
      <c r="D196" s="1267"/>
      <c r="E196" s="1214"/>
      <c r="F196" s="1214"/>
      <c r="G196" s="1214"/>
      <c r="H196" s="1214"/>
      <c r="I196" s="1214"/>
      <c r="J196" s="1214"/>
      <c r="K196" s="1214"/>
      <c r="L196" s="1214"/>
      <c r="M196" s="1214"/>
      <c r="N196" s="1214"/>
      <c r="O196" s="1214"/>
      <c r="P196" s="1214"/>
      <c r="Q196" s="1214"/>
      <c r="R196" s="1214"/>
      <c r="S196" s="1214"/>
      <c r="T196" s="1214"/>
      <c r="U196" s="1214"/>
      <c r="V196" s="1214"/>
      <c r="W196" s="1214"/>
      <c r="X196" s="1214"/>
      <c r="Y196" s="1214"/>
      <c r="Z196" s="1214"/>
    </row>
    <row r="197">
      <c r="A197" s="1214"/>
      <c r="B197" s="1214"/>
      <c r="C197" s="1214"/>
      <c r="D197" s="1267"/>
      <c r="E197" s="1214"/>
      <c r="F197" s="1214"/>
      <c r="G197" s="1214"/>
      <c r="H197" s="1214"/>
      <c r="I197" s="1214"/>
      <c r="J197" s="1214"/>
      <c r="K197" s="1214"/>
      <c r="L197" s="1214"/>
      <c r="M197" s="1214"/>
      <c r="N197" s="1214"/>
      <c r="O197" s="1214"/>
      <c r="P197" s="1214"/>
      <c r="Q197" s="1214"/>
      <c r="R197" s="1214"/>
      <c r="S197" s="1214"/>
      <c r="T197" s="1214"/>
      <c r="U197" s="1214"/>
      <c r="V197" s="1214"/>
      <c r="W197" s="1214"/>
      <c r="X197" s="1214"/>
      <c r="Y197" s="1214"/>
      <c r="Z197" s="1214"/>
    </row>
    <row r="198">
      <c r="A198" s="1214"/>
      <c r="B198" s="1214"/>
      <c r="C198" s="1214"/>
      <c r="D198" s="1267"/>
      <c r="E198" s="1214"/>
      <c r="F198" s="1214"/>
      <c r="G198" s="1214"/>
      <c r="H198" s="1214"/>
      <c r="I198" s="1214"/>
      <c r="J198" s="1214"/>
      <c r="K198" s="1214"/>
      <c r="L198" s="1214"/>
      <c r="M198" s="1214"/>
      <c r="N198" s="1214"/>
      <c r="O198" s="1214"/>
      <c r="P198" s="1214"/>
      <c r="Q198" s="1214"/>
      <c r="R198" s="1214"/>
      <c r="S198" s="1214"/>
      <c r="T198" s="1214"/>
      <c r="U198" s="1214"/>
      <c r="V198" s="1214"/>
      <c r="W198" s="1214"/>
      <c r="X198" s="1214"/>
      <c r="Y198" s="1214"/>
      <c r="Z198" s="1214"/>
    </row>
    <row r="199">
      <c r="A199" s="1214"/>
      <c r="B199" s="1214"/>
      <c r="C199" s="1214"/>
      <c r="D199" s="1267"/>
      <c r="E199" s="1214"/>
      <c r="F199" s="1214"/>
      <c r="G199" s="1214"/>
      <c r="H199" s="1214"/>
      <c r="I199" s="1214"/>
      <c r="J199" s="1214"/>
      <c r="K199" s="1214"/>
      <c r="L199" s="1214"/>
      <c r="M199" s="1214"/>
      <c r="N199" s="1214"/>
      <c r="O199" s="1214"/>
      <c r="P199" s="1214"/>
      <c r="Q199" s="1214"/>
      <c r="R199" s="1214"/>
      <c r="S199" s="1214"/>
      <c r="T199" s="1214"/>
      <c r="U199" s="1214"/>
      <c r="V199" s="1214"/>
      <c r="W199" s="1214"/>
      <c r="X199" s="1214"/>
      <c r="Y199" s="1214"/>
      <c r="Z199" s="1214"/>
    </row>
    <row r="200">
      <c r="A200" s="1214"/>
      <c r="B200" s="1214"/>
      <c r="C200" s="1214"/>
      <c r="D200" s="1267"/>
      <c r="E200" s="1214"/>
      <c r="F200" s="1214"/>
      <c r="G200" s="1214"/>
      <c r="H200" s="1214"/>
      <c r="I200" s="1214"/>
      <c r="J200" s="1214"/>
      <c r="K200" s="1214"/>
      <c r="L200" s="1214"/>
      <c r="M200" s="1214"/>
      <c r="N200" s="1214"/>
      <c r="O200" s="1214"/>
      <c r="P200" s="1214"/>
      <c r="Q200" s="1214"/>
      <c r="R200" s="1214"/>
      <c r="S200" s="1214"/>
      <c r="T200" s="1214"/>
      <c r="U200" s="1214"/>
      <c r="V200" s="1214"/>
      <c r="W200" s="1214"/>
      <c r="X200" s="1214"/>
      <c r="Y200" s="1214"/>
      <c r="Z200" s="1214"/>
    </row>
    <row r="201">
      <c r="A201" s="1214"/>
      <c r="B201" s="1214"/>
      <c r="C201" s="1214"/>
      <c r="D201" s="1267"/>
      <c r="E201" s="1214"/>
      <c r="F201" s="1214"/>
      <c r="G201" s="1214"/>
      <c r="H201" s="1214"/>
      <c r="I201" s="1214"/>
      <c r="J201" s="1214"/>
      <c r="K201" s="1214"/>
      <c r="L201" s="1214"/>
      <c r="M201" s="1214"/>
      <c r="N201" s="1214"/>
      <c r="O201" s="1214"/>
      <c r="P201" s="1214"/>
      <c r="Q201" s="1214"/>
      <c r="R201" s="1214"/>
      <c r="S201" s="1214"/>
      <c r="T201" s="1214"/>
      <c r="U201" s="1214"/>
      <c r="V201" s="1214"/>
      <c r="W201" s="1214"/>
      <c r="X201" s="1214"/>
      <c r="Y201" s="1214"/>
      <c r="Z201" s="1214"/>
    </row>
    <row r="202">
      <c r="A202" s="1214"/>
      <c r="B202" s="1214"/>
      <c r="C202" s="1214"/>
      <c r="D202" s="1267"/>
      <c r="E202" s="1214"/>
      <c r="F202" s="1214"/>
      <c r="G202" s="1214"/>
      <c r="H202" s="1214"/>
      <c r="I202" s="1214"/>
      <c r="J202" s="1214"/>
      <c r="K202" s="1214"/>
      <c r="L202" s="1214"/>
      <c r="M202" s="1214"/>
      <c r="N202" s="1214"/>
      <c r="O202" s="1214"/>
      <c r="P202" s="1214"/>
      <c r="Q202" s="1214"/>
      <c r="R202" s="1214"/>
      <c r="S202" s="1214"/>
      <c r="T202" s="1214"/>
      <c r="U202" s="1214"/>
      <c r="V202" s="1214"/>
      <c r="W202" s="1214"/>
      <c r="X202" s="1214"/>
      <c r="Y202" s="1214"/>
      <c r="Z202" s="1214"/>
    </row>
    <row r="203">
      <c r="A203" s="1214"/>
      <c r="B203" s="1214"/>
      <c r="C203" s="1214"/>
      <c r="D203" s="1267"/>
      <c r="E203" s="1214"/>
      <c r="F203" s="1214"/>
      <c r="G203" s="1214"/>
      <c r="H203" s="1214"/>
      <c r="I203" s="1214"/>
      <c r="J203" s="1214"/>
      <c r="K203" s="1214"/>
      <c r="L203" s="1214"/>
      <c r="M203" s="1214"/>
      <c r="N203" s="1214"/>
      <c r="O203" s="1214"/>
      <c r="P203" s="1214"/>
      <c r="Q203" s="1214"/>
      <c r="R203" s="1214"/>
      <c r="S203" s="1214"/>
      <c r="T203" s="1214"/>
      <c r="U203" s="1214"/>
      <c r="V203" s="1214"/>
      <c r="W203" s="1214"/>
      <c r="X203" s="1214"/>
      <c r="Y203" s="1214"/>
      <c r="Z203" s="1214"/>
    </row>
    <row r="204">
      <c r="A204" s="1214"/>
      <c r="B204" s="1214"/>
      <c r="C204" s="1214"/>
      <c r="D204" s="1267"/>
      <c r="E204" s="1214"/>
      <c r="F204" s="1214"/>
      <c r="G204" s="1214"/>
      <c r="H204" s="1214"/>
      <c r="I204" s="1214"/>
      <c r="J204" s="1214"/>
      <c r="K204" s="1214"/>
      <c r="L204" s="1214"/>
      <c r="M204" s="1214"/>
      <c r="N204" s="1214"/>
      <c r="O204" s="1214"/>
      <c r="P204" s="1214"/>
      <c r="Q204" s="1214"/>
      <c r="R204" s="1214"/>
      <c r="S204" s="1214"/>
      <c r="T204" s="1214"/>
      <c r="U204" s="1214"/>
      <c r="V204" s="1214"/>
      <c r="W204" s="1214"/>
      <c r="X204" s="1214"/>
      <c r="Y204" s="1214"/>
      <c r="Z204" s="1214"/>
    </row>
    <row r="205">
      <c r="A205" s="1214"/>
      <c r="B205" s="1214"/>
      <c r="C205" s="1214"/>
      <c r="D205" s="1267"/>
      <c r="E205" s="1214"/>
      <c r="F205" s="1214"/>
      <c r="G205" s="1214"/>
      <c r="H205" s="1214"/>
      <c r="I205" s="1214"/>
      <c r="J205" s="1214"/>
      <c r="K205" s="1214"/>
      <c r="L205" s="1214"/>
      <c r="M205" s="1214"/>
      <c r="N205" s="1214"/>
      <c r="O205" s="1214"/>
      <c r="P205" s="1214"/>
      <c r="Q205" s="1214"/>
      <c r="R205" s="1214"/>
      <c r="S205" s="1214"/>
      <c r="T205" s="1214"/>
      <c r="U205" s="1214"/>
      <c r="V205" s="1214"/>
      <c r="W205" s="1214"/>
      <c r="X205" s="1214"/>
      <c r="Y205" s="1214"/>
      <c r="Z205" s="1214"/>
    </row>
    <row r="206">
      <c r="A206" s="1214"/>
      <c r="B206" s="1214"/>
      <c r="C206" s="1214"/>
      <c r="D206" s="1267"/>
      <c r="E206" s="1214"/>
      <c r="F206" s="1214"/>
      <c r="G206" s="1214"/>
      <c r="H206" s="1214"/>
      <c r="I206" s="1214"/>
      <c r="J206" s="1214"/>
      <c r="K206" s="1214"/>
      <c r="L206" s="1214"/>
      <c r="M206" s="1214"/>
      <c r="N206" s="1214"/>
      <c r="O206" s="1214"/>
      <c r="P206" s="1214"/>
      <c r="Q206" s="1214"/>
      <c r="R206" s="1214"/>
      <c r="S206" s="1214"/>
      <c r="T206" s="1214"/>
      <c r="U206" s="1214"/>
      <c r="V206" s="1214"/>
      <c r="W206" s="1214"/>
      <c r="X206" s="1214"/>
      <c r="Y206" s="1214"/>
      <c r="Z206" s="1214"/>
    </row>
    <row r="207">
      <c r="A207" s="1214"/>
      <c r="B207" s="1214"/>
      <c r="C207" s="1214"/>
      <c r="D207" s="1267"/>
      <c r="E207" s="1214"/>
      <c r="F207" s="1214"/>
      <c r="G207" s="1214"/>
      <c r="H207" s="1214"/>
      <c r="I207" s="1214"/>
      <c r="J207" s="1214"/>
      <c r="K207" s="1214"/>
      <c r="L207" s="1214"/>
      <c r="M207" s="1214"/>
      <c r="N207" s="1214"/>
      <c r="O207" s="1214"/>
      <c r="P207" s="1214"/>
      <c r="Q207" s="1214"/>
      <c r="R207" s="1214"/>
      <c r="S207" s="1214"/>
      <c r="T207" s="1214"/>
      <c r="U207" s="1214"/>
      <c r="V207" s="1214"/>
      <c r="W207" s="1214"/>
      <c r="X207" s="1214"/>
      <c r="Y207" s="1214"/>
      <c r="Z207" s="1214"/>
    </row>
    <row r="208">
      <c r="A208" s="1214"/>
      <c r="B208" s="1214"/>
      <c r="C208" s="1214"/>
      <c r="D208" s="1267"/>
      <c r="E208" s="1214"/>
      <c r="F208" s="1214"/>
      <c r="G208" s="1214"/>
      <c r="H208" s="1214"/>
      <c r="I208" s="1214"/>
      <c r="J208" s="1214"/>
      <c r="K208" s="1214"/>
      <c r="L208" s="1214"/>
      <c r="M208" s="1214"/>
      <c r="N208" s="1214"/>
      <c r="O208" s="1214"/>
      <c r="P208" s="1214"/>
      <c r="Q208" s="1214"/>
      <c r="R208" s="1214"/>
      <c r="S208" s="1214"/>
      <c r="T208" s="1214"/>
      <c r="U208" s="1214"/>
      <c r="V208" s="1214"/>
      <c r="W208" s="1214"/>
      <c r="X208" s="1214"/>
      <c r="Y208" s="1214"/>
      <c r="Z208" s="1214"/>
    </row>
    <row r="209">
      <c r="A209" s="1214"/>
      <c r="B209" s="1214"/>
      <c r="C209" s="1214"/>
      <c r="D209" s="1267"/>
      <c r="E209" s="1214"/>
      <c r="F209" s="1214"/>
      <c r="G209" s="1214"/>
      <c r="H209" s="1214"/>
      <c r="I209" s="1214"/>
      <c r="J209" s="1214"/>
      <c r="K209" s="1214"/>
      <c r="L209" s="1214"/>
      <c r="M209" s="1214"/>
      <c r="N209" s="1214"/>
      <c r="O209" s="1214"/>
      <c r="P209" s="1214"/>
      <c r="Q209" s="1214"/>
      <c r="R209" s="1214"/>
      <c r="S209" s="1214"/>
      <c r="T209" s="1214"/>
      <c r="U209" s="1214"/>
      <c r="V209" s="1214"/>
      <c r="W209" s="1214"/>
      <c r="X209" s="1214"/>
      <c r="Y209" s="1214"/>
      <c r="Z209" s="1214"/>
    </row>
    <row r="210">
      <c r="A210" s="1214"/>
      <c r="B210" s="1214"/>
      <c r="C210" s="1214"/>
      <c r="D210" s="1267"/>
      <c r="E210" s="1214"/>
      <c r="F210" s="1214"/>
      <c r="G210" s="1214"/>
      <c r="H210" s="1214"/>
      <c r="I210" s="1214"/>
      <c r="J210" s="1214"/>
      <c r="K210" s="1214"/>
      <c r="L210" s="1214"/>
      <c r="M210" s="1214"/>
      <c r="N210" s="1214"/>
      <c r="O210" s="1214"/>
      <c r="P210" s="1214"/>
      <c r="Q210" s="1214"/>
      <c r="R210" s="1214"/>
      <c r="S210" s="1214"/>
      <c r="T210" s="1214"/>
      <c r="U210" s="1214"/>
      <c r="V210" s="1214"/>
      <c r="W210" s="1214"/>
      <c r="X210" s="1214"/>
      <c r="Y210" s="1214"/>
      <c r="Z210" s="1214"/>
    </row>
    <row r="211">
      <c r="A211" s="1214"/>
      <c r="B211" s="1214"/>
      <c r="C211" s="1214"/>
      <c r="D211" s="1267"/>
      <c r="E211" s="1214"/>
      <c r="F211" s="1214"/>
      <c r="G211" s="1214"/>
      <c r="H211" s="1214"/>
      <c r="I211" s="1214"/>
      <c r="J211" s="1214"/>
      <c r="K211" s="1214"/>
      <c r="L211" s="1214"/>
      <c r="M211" s="1214"/>
      <c r="N211" s="1214"/>
      <c r="O211" s="1214"/>
      <c r="P211" s="1214"/>
      <c r="Q211" s="1214"/>
      <c r="R211" s="1214"/>
      <c r="S211" s="1214"/>
      <c r="T211" s="1214"/>
      <c r="U211" s="1214"/>
      <c r="V211" s="1214"/>
      <c r="W211" s="1214"/>
      <c r="X211" s="1214"/>
      <c r="Y211" s="1214"/>
      <c r="Z211" s="1214"/>
    </row>
    <row r="212">
      <c r="A212" s="1214"/>
      <c r="B212" s="1214"/>
      <c r="C212" s="1214"/>
      <c r="D212" s="1267"/>
      <c r="E212" s="1214"/>
      <c r="F212" s="1214"/>
      <c r="G212" s="1214"/>
      <c r="H212" s="1214"/>
      <c r="I212" s="1214"/>
      <c r="J212" s="1214"/>
      <c r="K212" s="1214"/>
      <c r="L212" s="1214"/>
      <c r="M212" s="1214"/>
      <c r="N212" s="1214"/>
      <c r="O212" s="1214"/>
      <c r="P212" s="1214"/>
      <c r="Q212" s="1214"/>
      <c r="R212" s="1214"/>
      <c r="S212" s="1214"/>
      <c r="T212" s="1214"/>
      <c r="U212" s="1214"/>
      <c r="V212" s="1214"/>
      <c r="W212" s="1214"/>
      <c r="X212" s="1214"/>
      <c r="Y212" s="1214"/>
      <c r="Z212" s="1214"/>
    </row>
    <row r="213">
      <c r="A213" s="1214"/>
      <c r="B213" s="1214"/>
      <c r="C213" s="1214"/>
      <c r="D213" s="1267"/>
      <c r="E213" s="1214"/>
      <c r="F213" s="1214"/>
      <c r="G213" s="1214"/>
      <c r="H213" s="1214"/>
      <c r="I213" s="1214"/>
      <c r="J213" s="1214"/>
      <c r="K213" s="1214"/>
      <c r="L213" s="1214"/>
      <c r="M213" s="1214"/>
      <c r="N213" s="1214"/>
      <c r="O213" s="1214"/>
      <c r="P213" s="1214"/>
      <c r="Q213" s="1214"/>
      <c r="R213" s="1214"/>
      <c r="S213" s="1214"/>
      <c r="T213" s="1214"/>
      <c r="U213" s="1214"/>
      <c r="V213" s="1214"/>
      <c r="W213" s="1214"/>
      <c r="X213" s="1214"/>
      <c r="Y213" s="1214"/>
      <c r="Z213" s="1214"/>
    </row>
    <row r="214">
      <c r="A214" s="1214"/>
      <c r="B214" s="1214"/>
      <c r="C214" s="1214"/>
      <c r="D214" s="1267"/>
      <c r="E214" s="1214"/>
      <c r="F214" s="1214"/>
      <c r="G214" s="1214"/>
      <c r="H214" s="1214"/>
      <c r="I214" s="1214"/>
      <c r="J214" s="1214"/>
      <c r="K214" s="1214"/>
      <c r="L214" s="1214"/>
      <c r="M214" s="1214"/>
      <c r="N214" s="1214"/>
      <c r="O214" s="1214"/>
      <c r="P214" s="1214"/>
      <c r="Q214" s="1214"/>
      <c r="R214" s="1214"/>
      <c r="S214" s="1214"/>
      <c r="T214" s="1214"/>
      <c r="U214" s="1214"/>
      <c r="V214" s="1214"/>
      <c r="W214" s="1214"/>
      <c r="X214" s="1214"/>
      <c r="Y214" s="1214"/>
      <c r="Z214" s="1214"/>
    </row>
    <row r="215">
      <c r="A215" s="1214"/>
      <c r="B215" s="1214"/>
      <c r="C215" s="1214"/>
      <c r="D215" s="1267"/>
      <c r="E215" s="1214"/>
      <c r="F215" s="1214"/>
      <c r="G215" s="1214"/>
      <c r="H215" s="1214"/>
      <c r="I215" s="1214"/>
      <c r="J215" s="1214"/>
      <c r="K215" s="1214"/>
      <c r="L215" s="1214"/>
      <c r="M215" s="1214"/>
      <c r="N215" s="1214"/>
      <c r="O215" s="1214"/>
      <c r="P215" s="1214"/>
      <c r="Q215" s="1214"/>
      <c r="R215" s="1214"/>
      <c r="S215" s="1214"/>
      <c r="T215" s="1214"/>
      <c r="U215" s="1214"/>
      <c r="V215" s="1214"/>
      <c r="W215" s="1214"/>
      <c r="X215" s="1214"/>
      <c r="Y215" s="1214"/>
      <c r="Z215" s="1214"/>
    </row>
    <row r="216">
      <c r="A216" s="1214"/>
      <c r="B216" s="1214"/>
      <c r="C216" s="1214"/>
      <c r="D216" s="1267"/>
      <c r="E216" s="1214"/>
      <c r="F216" s="1214"/>
      <c r="G216" s="1214"/>
      <c r="H216" s="1214"/>
      <c r="I216" s="1214"/>
      <c r="J216" s="1214"/>
      <c r="K216" s="1214"/>
      <c r="L216" s="1214"/>
      <c r="M216" s="1214"/>
      <c r="N216" s="1214"/>
      <c r="O216" s="1214"/>
      <c r="P216" s="1214"/>
      <c r="Q216" s="1214"/>
      <c r="R216" s="1214"/>
      <c r="S216" s="1214"/>
      <c r="T216" s="1214"/>
      <c r="U216" s="1214"/>
      <c r="V216" s="1214"/>
      <c r="W216" s="1214"/>
      <c r="X216" s="1214"/>
      <c r="Y216" s="1214"/>
      <c r="Z216" s="1214"/>
    </row>
    <row r="217">
      <c r="A217" s="1214"/>
      <c r="B217" s="1214"/>
      <c r="C217" s="1214"/>
      <c r="D217" s="1267"/>
      <c r="E217" s="1214"/>
      <c r="F217" s="1214"/>
      <c r="G217" s="1214"/>
      <c r="H217" s="1214"/>
      <c r="I217" s="1214"/>
      <c r="J217" s="1214"/>
      <c r="K217" s="1214"/>
      <c r="L217" s="1214"/>
      <c r="M217" s="1214"/>
      <c r="N217" s="1214"/>
      <c r="O217" s="1214"/>
      <c r="P217" s="1214"/>
      <c r="Q217" s="1214"/>
      <c r="R217" s="1214"/>
      <c r="S217" s="1214"/>
      <c r="T217" s="1214"/>
      <c r="U217" s="1214"/>
      <c r="V217" s="1214"/>
      <c r="W217" s="1214"/>
      <c r="X217" s="1214"/>
      <c r="Y217" s="1214"/>
      <c r="Z217" s="1214"/>
    </row>
    <row r="218">
      <c r="A218" s="1214"/>
      <c r="B218" s="1214"/>
      <c r="C218" s="1214"/>
      <c r="D218" s="1267"/>
      <c r="E218" s="1214"/>
      <c r="F218" s="1214"/>
      <c r="G218" s="1214"/>
      <c r="H218" s="1214"/>
      <c r="I218" s="1214"/>
      <c r="J218" s="1214"/>
      <c r="K218" s="1214"/>
      <c r="L218" s="1214"/>
      <c r="M218" s="1214"/>
      <c r="N218" s="1214"/>
      <c r="O218" s="1214"/>
      <c r="P218" s="1214"/>
      <c r="Q218" s="1214"/>
      <c r="R218" s="1214"/>
      <c r="S218" s="1214"/>
      <c r="T218" s="1214"/>
      <c r="U218" s="1214"/>
      <c r="V218" s="1214"/>
      <c r="W218" s="1214"/>
      <c r="X218" s="1214"/>
      <c r="Y218" s="1214"/>
      <c r="Z218" s="1214"/>
    </row>
    <row r="219">
      <c r="A219" s="1214"/>
      <c r="B219" s="1214"/>
      <c r="C219" s="1214"/>
      <c r="D219" s="1267"/>
      <c r="E219" s="1214"/>
      <c r="F219" s="1214"/>
      <c r="G219" s="1214"/>
      <c r="H219" s="1214"/>
      <c r="I219" s="1214"/>
      <c r="J219" s="1214"/>
      <c r="K219" s="1214"/>
      <c r="L219" s="1214"/>
      <c r="M219" s="1214"/>
      <c r="N219" s="1214"/>
      <c r="O219" s="1214"/>
      <c r="P219" s="1214"/>
      <c r="Q219" s="1214"/>
      <c r="R219" s="1214"/>
      <c r="S219" s="1214"/>
      <c r="T219" s="1214"/>
      <c r="U219" s="1214"/>
      <c r="V219" s="1214"/>
      <c r="W219" s="1214"/>
      <c r="X219" s="1214"/>
      <c r="Y219" s="1214"/>
      <c r="Z219" s="1214"/>
    </row>
    <row r="220">
      <c r="A220" s="1214"/>
      <c r="B220" s="1214"/>
      <c r="C220" s="1214"/>
      <c r="D220" s="1267"/>
      <c r="E220" s="1214"/>
      <c r="F220" s="1214"/>
      <c r="G220" s="1214"/>
      <c r="H220" s="1214"/>
      <c r="I220" s="1214"/>
      <c r="J220" s="1214"/>
      <c r="K220" s="1214"/>
      <c r="L220" s="1214"/>
      <c r="M220" s="1214"/>
      <c r="N220" s="1214"/>
      <c r="O220" s="1214"/>
      <c r="P220" s="1214"/>
      <c r="Q220" s="1214"/>
      <c r="R220" s="1214"/>
      <c r="S220" s="1214"/>
      <c r="T220" s="1214"/>
      <c r="U220" s="1214"/>
      <c r="V220" s="1214"/>
      <c r="W220" s="1214"/>
      <c r="X220" s="1214"/>
      <c r="Y220" s="1214"/>
      <c r="Z220" s="1214"/>
    </row>
    <row r="221">
      <c r="A221" s="1214"/>
      <c r="B221" s="1214"/>
      <c r="C221" s="1214"/>
      <c r="D221" s="1267"/>
      <c r="E221" s="1214"/>
      <c r="F221" s="1214"/>
      <c r="G221" s="1214"/>
      <c r="H221" s="1214"/>
      <c r="I221" s="1214"/>
      <c r="J221" s="1214"/>
      <c r="K221" s="1214"/>
      <c r="L221" s="1214"/>
      <c r="M221" s="1214"/>
      <c r="N221" s="1214"/>
      <c r="O221" s="1214"/>
      <c r="P221" s="1214"/>
      <c r="Q221" s="1214"/>
      <c r="R221" s="1214"/>
      <c r="S221" s="1214"/>
      <c r="T221" s="1214"/>
      <c r="U221" s="1214"/>
      <c r="V221" s="1214"/>
      <c r="W221" s="1214"/>
      <c r="X221" s="1214"/>
      <c r="Y221" s="1214"/>
      <c r="Z221" s="1214"/>
    </row>
    <row r="222">
      <c r="A222" s="1214"/>
      <c r="B222" s="1214"/>
      <c r="C222" s="1214"/>
      <c r="D222" s="1267"/>
      <c r="E222" s="1214"/>
      <c r="F222" s="1214"/>
      <c r="G222" s="1214"/>
      <c r="H222" s="1214"/>
      <c r="I222" s="1214"/>
      <c r="J222" s="1214"/>
      <c r="K222" s="1214"/>
      <c r="L222" s="1214"/>
      <c r="M222" s="1214"/>
      <c r="N222" s="1214"/>
      <c r="O222" s="1214"/>
      <c r="P222" s="1214"/>
      <c r="Q222" s="1214"/>
      <c r="R222" s="1214"/>
      <c r="S222" s="1214"/>
      <c r="T222" s="1214"/>
      <c r="U222" s="1214"/>
      <c r="V222" s="1214"/>
      <c r="W222" s="1214"/>
      <c r="X222" s="1214"/>
      <c r="Y222" s="1214"/>
      <c r="Z222" s="1214"/>
    </row>
    <row r="223">
      <c r="A223" s="1214"/>
      <c r="B223" s="1214"/>
      <c r="C223" s="1214"/>
      <c r="D223" s="1267"/>
      <c r="E223" s="1214"/>
      <c r="F223" s="1214"/>
      <c r="G223" s="1214"/>
      <c r="H223" s="1214"/>
      <c r="I223" s="1214"/>
      <c r="J223" s="1214"/>
      <c r="K223" s="1214"/>
      <c r="L223" s="1214"/>
      <c r="M223" s="1214"/>
      <c r="N223" s="1214"/>
      <c r="O223" s="1214"/>
      <c r="P223" s="1214"/>
      <c r="Q223" s="1214"/>
      <c r="R223" s="1214"/>
      <c r="S223" s="1214"/>
      <c r="T223" s="1214"/>
      <c r="U223" s="1214"/>
      <c r="V223" s="1214"/>
      <c r="W223" s="1214"/>
      <c r="X223" s="1214"/>
      <c r="Y223" s="1214"/>
      <c r="Z223" s="1214"/>
    </row>
    <row r="224">
      <c r="A224" s="1214"/>
      <c r="B224" s="1214"/>
      <c r="C224" s="1214"/>
      <c r="D224" s="1267"/>
      <c r="E224" s="1214"/>
      <c r="F224" s="1214"/>
      <c r="G224" s="1214"/>
      <c r="H224" s="1214"/>
      <c r="I224" s="1214"/>
      <c r="J224" s="1214"/>
      <c r="K224" s="1214"/>
      <c r="L224" s="1214"/>
      <c r="M224" s="1214"/>
      <c r="N224" s="1214"/>
      <c r="O224" s="1214"/>
      <c r="P224" s="1214"/>
      <c r="Q224" s="1214"/>
      <c r="R224" s="1214"/>
      <c r="S224" s="1214"/>
      <c r="T224" s="1214"/>
      <c r="U224" s="1214"/>
      <c r="V224" s="1214"/>
      <c r="W224" s="1214"/>
      <c r="X224" s="1214"/>
      <c r="Y224" s="1214"/>
      <c r="Z224" s="1214"/>
    </row>
    <row r="225">
      <c r="A225" s="1214"/>
      <c r="B225" s="1214"/>
      <c r="C225" s="1214"/>
      <c r="D225" s="1267"/>
      <c r="E225" s="1214"/>
      <c r="F225" s="1214"/>
      <c r="G225" s="1214"/>
      <c r="H225" s="1214"/>
      <c r="I225" s="1214"/>
      <c r="J225" s="1214"/>
      <c r="K225" s="1214"/>
      <c r="L225" s="1214"/>
      <c r="M225" s="1214"/>
      <c r="N225" s="1214"/>
      <c r="O225" s="1214"/>
      <c r="P225" s="1214"/>
      <c r="Q225" s="1214"/>
      <c r="R225" s="1214"/>
      <c r="S225" s="1214"/>
      <c r="T225" s="1214"/>
      <c r="U225" s="1214"/>
      <c r="V225" s="1214"/>
      <c r="W225" s="1214"/>
      <c r="X225" s="1214"/>
      <c r="Y225" s="1214"/>
      <c r="Z225" s="1214"/>
    </row>
    <row r="226">
      <c r="A226" s="1214"/>
      <c r="B226" s="1214"/>
      <c r="C226" s="1214"/>
      <c r="D226" s="1267"/>
      <c r="E226" s="1214"/>
      <c r="F226" s="1214"/>
      <c r="G226" s="1214"/>
      <c r="H226" s="1214"/>
      <c r="I226" s="1214"/>
      <c r="J226" s="1214"/>
      <c r="K226" s="1214"/>
      <c r="L226" s="1214"/>
      <c r="M226" s="1214"/>
      <c r="N226" s="1214"/>
      <c r="O226" s="1214"/>
      <c r="P226" s="1214"/>
      <c r="Q226" s="1214"/>
      <c r="R226" s="1214"/>
      <c r="S226" s="1214"/>
      <c r="T226" s="1214"/>
      <c r="U226" s="1214"/>
      <c r="V226" s="1214"/>
      <c r="W226" s="1214"/>
      <c r="X226" s="1214"/>
      <c r="Y226" s="1214"/>
      <c r="Z226" s="1214"/>
    </row>
    <row r="227">
      <c r="A227" s="1214"/>
      <c r="B227" s="1214"/>
      <c r="C227" s="1214"/>
      <c r="D227" s="1267"/>
      <c r="E227" s="1214"/>
      <c r="F227" s="1214"/>
      <c r="G227" s="1214"/>
      <c r="H227" s="1214"/>
      <c r="I227" s="1214"/>
      <c r="J227" s="1214"/>
      <c r="K227" s="1214"/>
      <c r="L227" s="1214"/>
      <c r="M227" s="1214"/>
      <c r="N227" s="1214"/>
      <c r="O227" s="1214"/>
      <c r="P227" s="1214"/>
      <c r="Q227" s="1214"/>
      <c r="R227" s="1214"/>
      <c r="S227" s="1214"/>
      <c r="T227" s="1214"/>
      <c r="U227" s="1214"/>
      <c r="V227" s="1214"/>
      <c r="W227" s="1214"/>
      <c r="X227" s="1214"/>
      <c r="Y227" s="1214"/>
      <c r="Z227" s="1214"/>
    </row>
    <row r="228">
      <c r="A228" s="1214"/>
      <c r="B228" s="1214"/>
      <c r="C228" s="1214"/>
      <c r="D228" s="1267"/>
      <c r="E228" s="1214"/>
      <c r="F228" s="1214"/>
      <c r="G228" s="1214"/>
      <c r="H228" s="1214"/>
      <c r="I228" s="1214"/>
      <c r="J228" s="1214"/>
      <c r="K228" s="1214"/>
      <c r="L228" s="1214"/>
      <c r="M228" s="1214"/>
      <c r="N228" s="1214"/>
      <c r="O228" s="1214"/>
      <c r="P228" s="1214"/>
      <c r="Q228" s="1214"/>
      <c r="R228" s="1214"/>
      <c r="S228" s="1214"/>
      <c r="T228" s="1214"/>
      <c r="U228" s="1214"/>
      <c r="V228" s="1214"/>
      <c r="W228" s="1214"/>
      <c r="X228" s="1214"/>
      <c r="Y228" s="1214"/>
      <c r="Z228" s="1214"/>
    </row>
    <row r="229">
      <c r="A229" s="1214"/>
      <c r="B229" s="1214"/>
      <c r="C229" s="1214"/>
      <c r="D229" s="1267"/>
      <c r="E229" s="1214"/>
      <c r="F229" s="1214"/>
      <c r="G229" s="1214"/>
      <c r="H229" s="1214"/>
      <c r="I229" s="1214"/>
      <c r="J229" s="1214"/>
      <c r="K229" s="1214"/>
      <c r="L229" s="1214"/>
      <c r="M229" s="1214"/>
      <c r="N229" s="1214"/>
      <c r="O229" s="1214"/>
      <c r="P229" s="1214"/>
      <c r="Q229" s="1214"/>
      <c r="R229" s="1214"/>
      <c r="S229" s="1214"/>
      <c r="T229" s="1214"/>
      <c r="U229" s="1214"/>
      <c r="V229" s="1214"/>
      <c r="W229" s="1214"/>
      <c r="X229" s="1214"/>
      <c r="Y229" s="1214"/>
      <c r="Z229" s="1214"/>
    </row>
    <row r="230">
      <c r="A230" s="1214"/>
      <c r="B230" s="1214"/>
      <c r="C230" s="1214"/>
      <c r="D230" s="1267"/>
      <c r="E230" s="1214"/>
      <c r="F230" s="1214"/>
      <c r="G230" s="1214"/>
      <c r="H230" s="1214"/>
      <c r="I230" s="1214"/>
      <c r="J230" s="1214"/>
      <c r="K230" s="1214"/>
      <c r="L230" s="1214"/>
      <c r="M230" s="1214"/>
      <c r="N230" s="1214"/>
      <c r="O230" s="1214"/>
      <c r="P230" s="1214"/>
      <c r="Q230" s="1214"/>
      <c r="R230" s="1214"/>
      <c r="S230" s="1214"/>
      <c r="T230" s="1214"/>
      <c r="U230" s="1214"/>
      <c r="V230" s="1214"/>
      <c r="W230" s="1214"/>
      <c r="X230" s="1214"/>
      <c r="Y230" s="1214"/>
      <c r="Z230" s="1214"/>
    </row>
    <row r="231">
      <c r="A231" s="1214"/>
      <c r="B231" s="1214"/>
      <c r="C231" s="1214"/>
      <c r="D231" s="1267"/>
      <c r="E231" s="1214"/>
      <c r="F231" s="1214"/>
      <c r="G231" s="1214"/>
      <c r="H231" s="1214"/>
      <c r="I231" s="1214"/>
      <c r="J231" s="1214"/>
      <c r="K231" s="1214"/>
      <c r="L231" s="1214"/>
      <c r="M231" s="1214"/>
      <c r="N231" s="1214"/>
      <c r="O231" s="1214"/>
      <c r="P231" s="1214"/>
      <c r="Q231" s="1214"/>
      <c r="R231" s="1214"/>
      <c r="S231" s="1214"/>
      <c r="T231" s="1214"/>
      <c r="U231" s="1214"/>
      <c r="V231" s="1214"/>
      <c r="W231" s="1214"/>
      <c r="X231" s="1214"/>
      <c r="Y231" s="1214"/>
      <c r="Z231" s="1214"/>
    </row>
    <row r="232">
      <c r="A232" s="1214"/>
      <c r="B232" s="1214"/>
      <c r="C232" s="1214"/>
      <c r="D232" s="1267"/>
      <c r="E232" s="1214"/>
      <c r="F232" s="1214"/>
      <c r="G232" s="1214"/>
      <c r="H232" s="1214"/>
      <c r="I232" s="1214"/>
      <c r="J232" s="1214"/>
      <c r="K232" s="1214"/>
      <c r="L232" s="1214"/>
      <c r="M232" s="1214"/>
      <c r="N232" s="1214"/>
      <c r="O232" s="1214"/>
      <c r="P232" s="1214"/>
      <c r="Q232" s="1214"/>
      <c r="R232" s="1214"/>
      <c r="S232" s="1214"/>
      <c r="T232" s="1214"/>
      <c r="U232" s="1214"/>
      <c r="V232" s="1214"/>
      <c r="W232" s="1214"/>
      <c r="X232" s="1214"/>
      <c r="Y232" s="1214"/>
      <c r="Z232" s="1214"/>
    </row>
    <row r="233">
      <c r="A233" s="1214"/>
      <c r="B233" s="1214"/>
      <c r="C233" s="1214"/>
      <c r="D233" s="1267"/>
      <c r="E233" s="1214"/>
      <c r="F233" s="1214"/>
      <c r="G233" s="1214"/>
      <c r="H233" s="1214"/>
      <c r="I233" s="1214"/>
      <c r="J233" s="1214"/>
      <c r="K233" s="1214"/>
      <c r="L233" s="1214"/>
      <c r="M233" s="1214"/>
      <c r="N233" s="1214"/>
      <c r="O233" s="1214"/>
      <c r="P233" s="1214"/>
      <c r="Q233" s="1214"/>
      <c r="R233" s="1214"/>
      <c r="S233" s="1214"/>
      <c r="T233" s="1214"/>
      <c r="U233" s="1214"/>
      <c r="V233" s="1214"/>
      <c r="W233" s="1214"/>
      <c r="X233" s="1214"/>
      <c r="Y233" s="1214"/>
      <c r="Z233" s="1214"/>
    </row>
    <row r="234">
      <c r="A234" s="1214"/>
      <c r="B234" s="1214"/>
      <c r="C234" s="1214"/>
      <c r="D234" s="1267"/>
      <c r="E234" s="1214"/>
      <c r="F234" s="1214"/>
      <c r="G234" s="1214"/>
      <c r="H234" s="1214"/>
      <c r="I234" s="1214"/>
      <c r="J234" s="1214"/>
      <c r="K234" s="1214"/>
      <c r="L234" s="1214"/>
      <c r="M234" s="1214"/>
      <c r="N234" s="1214"/>
      <c r="O234" s="1214"/>
      <c r="P234" s="1214"/>
      <c r="Q234" s="1214"/>
      <c r="R234" s="1214"/>
      <c r="S234" s="1214"/>
      <c r="T234" s="1214"/>
      <c r="U234" s="1214"/>
      <c r="V234" s="1214"/>
      <c r="W234" s="1214"/>
      <c r="X234" s="1214"/>
      <c r="Y234" s="1214"/>
      <c r="Z234" s="1214"/>
    </row>
    <row r="235">
      <c r="A235" s="1214"/>
      <c r="B235" s="1214"/>
      <c r="C235" s="1214"/>
      <c r="D235" s="1267"/>
      <c r="E235" s="1214"/>
      <c r="F235" s="1214"/>
      <c r="G235" s="1214"/>
      <c r="H235" s="1214"/>
      <c r="I235" s="1214"/>
      <c r="J235" s="1214"/>
      <c r="K235" s="1214"/>
      <c r="L235" s="1214"/>
      <c r="M235" s="1214"/>
      <c r="N235" s="1214"/>
      <c r="O235" s="1214"/>
      <c r="P235" s="1214"/>
      <c r="Q235" s="1214"/>
      <c r="R235" s="1214"/>
      <c r="S235" s="1214"/>
      <c r="T235" s="1214"/>
      <c r="U235" s="1214"/>
      <c r="V235" s="1214"/>
      <c r="W235" s="1214"/>
      <c r="X235" s="1214"/>
      <c r="Y235" s="1214"/>
      <c r="Z235" s="1214"/>
    </row>
    <row r="236">
      <c r="A236" s="1214"/>
      <c r="B236" s="1214"/>
      <c r="C236" s="1214"/>
      <c r="D236" s="1267"/>
      <c r="E236" s="1214"/>
      <c r="F236" s="1214"/>
      <c r="G236" s="1214"/>
      <c r="H236" s="1214"/>
      <c r="I236" s="1214"/>
      <c r="J236" s="1214"/>
      <c r="K236" s="1214"/>
      <c r="L236" s="1214"/>
      <c r="M236" s="1214"/>
      <c r="N236" s="1214"/>
      <c r="O236" s="1214"/>
      <c r="P236" s="1214"/>
      <c r="Q236" s="1214"/>
      <c r="R236" s="1214"/>
      <c r="S236" s="1214"/>
      <c r="T236" s="1214"/>
      <c r="U236" s="1214"/>
      <c r="V236" s="1214"/>
      <c r="W236" s="1214"/>
      <c r="X236" s="1214"/>
      <c r="Y236" s="1214"/>
      <c r="Z236" s="1214"/>
    </row>
    <row r="237">
      <c r="A237" s="1214"/>
      <c r="B237" s="1214"/>
      <c r="C237" s="1214"/>
      <c r="D237" s="1267"/>
      <c r="E237" s="1214"/>
      <c r="F237" s="1214"/>
      <c r="G237" s="1214"/>
      <c r="H237" s="1214"/>
      <c r="I237" s="1214"/>
      <c r="J237" s="1214"/>
      <c r="K237" s="1214"/>
      <c r="L237" s="1214"/>
      <c r="M237" s="1214"/>
      <c r="N237" s="1214"/>
      <c r="O237" s="1214"/>
      <c r="P237" s="1214"/>
      <c r="Q237" s="1214"/>
      <c r="R237" s="1214"/>
      <c r="S237" s="1214"/>
      <c r="T237" s="1214"/>
      <c r="U237" s="1214"/>
      <c r="V237" s="1214"/>
      <c r="W237" s="1214"/>
      <c r="X237" s="1214"/>
      <c r="Y237" s="1214"/>
      <c r="Z237" s="1214"/>
    </row>
    <row r="238">
      <c r="A238" s="1214"/>
      <c r="B238" s="1214"/>
      <c r="C238" s="1214"/>
      <c r="D238" s="1267"/>
      <c r="E238" s="1214"/>
      <c r="F238" s="1214"/>
      <c r="G238" s="1214"/>
      <c r="H238" s="1214"/>
      <c r="I238" s="1214"/>
      <c r="J238" s="1214"/>
      <c r="K238" s="1214"/>
      <c r="L238" s="1214"/>
      <c r="M238" s="1214"/>
      <c r="N238" s="1214"/>
      <c r="O238" s="1214"/>
      <c r="P238" s="1214"/>
      <c r="Q238" s="1214"/>
      <c r="R238" s="1214"/>
      <c r="S238" s="1214"/>
      <c r="T238" s="1214"/>
      <c r="U238" s="1214"/>
      <c r="V238" s="1214"/>
      <c r="W238" s="1214"/>
      <c r="X238" s="1214"/>
      <c r="Y238" s="1214"/>
      <c r="Z238" s="1214"/>
    </row>
    <row r="239">
      <c r="A239" s="1214"/>
      <c r="B239" s="1214"/>
      <c r="C239" s="1214"/>
      <c r="D239" s="1267"/>
      <c r="E239" s="1214"/>
      <c r="F239" s="1214"/>
      <c r="G239" s="1214"/>
      <c r="H239" s="1214"/>
      <c r="I239" s="1214"/>
      <c r="J239" s="1214"/>
      <c r="K239" s="1214"/>
      <c r="L239" s="1214"/>
      <c r="M239" s="1214"/>
      <c r="N239" s="1214"/>
      <c r="O239" s="1214"/>
      <c r="P239" s="1214"/>
      <c r="Q239" s="1214"/>
      <c r="R239" s="1214"/>
      <c r="S239" s="1214"/>
      <c r="T239" s="1214"/>
      <c r="U239" s="1214"/>
      <c r="V239" s="1214"/>
      <c r="W239" s="1214"/>
      <c r="X239" s="1214"/>
      <c r="Y239" s="1214"/>
      <c r="Z239" s="1214"/>
    </row>
    <row r="240">
      <c r="A240" s="1214"/>
      <c r="B240" s="1214"/>
      <c r="C240" s="1214"/>
      <c r="D240" s="1267"/>
      <c r="E240" s="1214"/>
      <c r="F240" s="1214"/>
      <c r="G240" s="1214"/>
      <c r="H240" s="1214"/>
      <c r="I240" s="1214"/>
      <c r="J240" s="1214"/>
      <c r="K240" s="1214"/>
      <c r="L240" s="1214"/>
      <c r="M240" s="1214"/>
      <c r="N240" s="1214"/>
      <c r="O240" s="1214"/>
      <c r="P240" s="1214"/>
      <c r="Q240" s="1214"/>
      <c r="R240" s="1214"/>
      <c r="S240" s="1214"/>
      <c r="T240" s="1214"/>
      <c r="U240" s="1214"/>
      <c r="V240" s="1214"/>
      <c r="W240" s="1214"/>
      <c r="X240" s="1214"/>
      <c r="Y240" s="1214"/>
      <c r="Z240" s="1214"/>
    </row>
    <row r="241">
      <c r="A241" s="1214"/>
      <c r="B241" s="1214"/>
      <c r="C241" s="1214"/>
      <c r="D241" s="1267"/>
      <c r="E241" s="1214"/>
      <c r="F241" s="1214"/>
      <c r="G241" s="1214"/>
      <c r="H241" s="1214"/>
      <c r="I241" s="1214"/>
      <c r="J241" s="1214"/>
      <c r="K241" s="1214"/>
      <c r="L241" s="1214"/>
      <c r="M241" s="1214"/>
      <c r="N241" s="1214"/>
      <c r="O241" s="1214"/>
      <c r="P241" s="1214"/>
      <c r="Q241" s="1214"/>
      <c r="R241" s="1214"/>
      <c r="S241" s="1214"/>
      <c r="T241" s="1214"/>
      <c r="U241" s="1214"/>
      <c r="V241" s="1214"/>
      <c r="W241" s="1214"/>
      <c r="X241" s="1214"/>
      <c r="Y241" s="1214"/>
      <c r="Z241" s="1214"/>
    </row>
    <row r="242">
      <c r="A242" s="1214"/>
      <c r="B242" s="1214"/>
      <c r="C242" s="1214"/>
      <c r="D242" s="1267"/>
      <c r="E242" s="1214"/>
      <c r="F242" s="1214"/>
      <c r="G242" s="1214"/>
      <c r="H242" s="1214"/>
      <c r="I242" s="1214"/>
      <c r="J242" s="1214"/>
      <c r="K242" s="1214"/>
      <c r="L242" s="1214"/>
      <c r="M242" s="1214"/>
      <c r="N242" s="1214"/>
      <c r="O242" s="1214"/>
      <c r="P242" s="1214"/>
      <c r="Q242" s="1214"/>
      <c r="R242" s="1214"/>
      <c r="S242" s="1214"/>
      <c r="T242" s="1214"/>
      <c r="U242" s="1214"/>
      <c r="V242" s="1214"/>
      <c r="W242" s="1214"/>
      <c r="X242" s="1214"/>
      <c r="Y242" s="1214"/>
      <c r="Z242" s="1214"/>
    </row>
    <row r="243">
      <c r="A243" s="1214"/>
      <c r="B243" s="1214"/>
      <c r="C243" s="1214"/>
      <c r="D243" s="1267"/>
      <c r="E243" s="1214"/>
      <c r="F243" s="1214"/>
      <c r="G243" s="1214"/>
      <c r="H243" s="1214"/>
      <c r="I243" s="1214"/>
      <c r="J243" s="1214"/>
      <c r="K243" s="1214"/>
      <c r="L243" s="1214"/>
      <c r="M243" s="1214"/>
      <c r="N243" s="1214"/>
      <c r="O243" s="1214"/>
      <c r="P243" s="1214"/>
      <c r="Q243" s="1214"/>
      <c r="R243" s="1214"/>
      <c r="S243" s="1214"/>
      <c r="T243" s="1214"/>
      <c r="U243" s="1214"/>
      <c r="V243" s="1214"/>
      <c r="W243" s="1214"/>
      <c r="X243" s="1214"/>
      <c r="Y243" s="1214"/>
      <c r="Z243" s="1214"/>
    </row>
    <row r="244">
      <c r="A244" s="1214"/>
      <c r="B244" s="1214"/>
      <c r="C244" s="1214"/>
      <c r="D244" s="1267"/>
      <c r="E244" s="1214"/>
      <c r="F244" s="1214"/>
      <c r="G244" s="1214"/>
      <c r="H244" s="1214"/>
      <c r="I244" s="1214"/>
      <c r="J244" s="1214"/>
      <c r="K244" s="1214"/>
      <c r="L244" s="1214"/>
      <c r="M244" s="1214"/>
      <c r="N244" s="1214"/>
      <c r="O244" s="1214"/>
      <c r="P244" s="1214"/>
      <c r="Q244" s="1214"/>
      <c r="R244" s="1214"/>
      <c r="S244" s="1214"/>
      <c r="T244" s="1214"/>
      <c r="U244" s="1214"/>
      <c r="V244" s="1214"/>
      <c r="W244" s="1214"/>
      <c r="X244" s="1214"/>
      <c r="Y244" s="1214"/>
      <c r="Z244" s="1214"/>
    </row>
    <row r="245">
      <c r="A245" s="1214"/>
      <c r="B245" s="1214"/>
      <c r="C245" s="1214"/>
      <c r="D245" s="1267"/>
      <c r="E245" s="1214"/>
      <c r="F245" s="1214"/>
      <c r="G245" s="1214"/>
      <c r="H245" s="1214"/>
      <c r="I245" s="1214"/>
      <c r="J245" s="1214"/>
      <c r="K245" s="1214"/>
      <c r="L245" s="1214"/>
      <c r="M245" s="1214"/>
      <c r="N245" s="1214"/>
      <c r="O245" s="1214"/>
      <c r="P245" s="1214"/>
      <c r="Q245" s="1214"/>
      <c r="R245" s="1214"/>
      <c r="S245" s="1214"/>
      <c r="T245" s="1214"/>
      <c r="U245" s="1214"/>
      <c r="V245" s="1214"/>
      <c r="W245" s="1214"/>
      <c r="X245" s="1214"/>
      <c r="Y245" s="1214"/>
      <c r="Z245" s="1214"/>
    </row>
    <row r="246">
      <c r="A246" s="1214"/>
      <c r="B246" s="1214"/>
      <c r="C246" s="1214"/>
      <c r="D246" s="1267"/>
      <c r="E246" s="1214"/>
      <c r="F246" s="1214"/>
      <c r="G246" s="1214"/>
      <c r="H246" s="1214"/>
      <c r="I246" s="1214"/>
      <c r="J246" s="1214"/>
      <c r="K246" s="1214"/>
      <c r="L246" s="1214"/>
      <c r="M246" s="1214"/>
      <c r="N246" s="1214"/>
      <c r="O246" s="1214"/>
      <c r="P246" s="1214"/>
      <c r="Q246" s="1214"/>
      <c r="R246" s="1214"/>
      <c r="S246" s="1214"/>
      <c r="T246" s="1214"/>
      <c r="U246" s="1214"/>
      <c r="V246" s="1214"/>
      <c r="W246" s="1214"/>
      <c r="X246" s="1214"/>
      <c r="Y246" s="1214"/>
      <c r="Z246" s="1214"/>
    </row>
    <row r="247">
      <c r="A247" s="1214"/>
      <c r="B247" s="1214"/>
      <c r="C247" s="1214"/>
      <c r="D247" s="1267"/>
      <c r="E247" s="1214"/>
      <c r="F247" s="1214"/>
      <c r="G247" s="1214"/>
      <c r="H247" s="1214"/>
      <c r="I247" s="1214"/>
      <c r="J247" s="1214"/>
      <c r="K247" s="1214"/>
      <c r="L247" s="1214"/>
      <c r="M247" s="1214"/>
      <c r="N247" s="1214"/>
      <c r="O247" s="1214"/>
      <c r="P247" s="1214"/>
      <c r="Q247" s="1214"/>
      <c r="R247" s="1214"/>
      <c r="S247" s="1214"/>
      <c r="T247" s="1214"/>
      <c r="U247" s="1214"/>
      <c r="V247" s="1214"/>
      <c r="W247" s="1214"/>
      <c r="X247" s="1214"/>
      <c r="Y247" s="1214"/>
      <c r="Z247" s="1214"/>
    </row>
    <row r="248">
      <c r="A248" s="1214"/>
      <c r="B248" s="1214"/>
      <c r="C248" s="1214"/>
      <c r="D248" s="1267"/>
      <c r="E248" s="1214"/>
      <c r="F248" s="1214"/>
      <c r="G248" s="1214"/>
      <c r="H248" s="1214"/>
      <c r="I248" s="1214"/>
      <c r="J248" s="1214"/>
      <c r="K248" s="1214"/>
      <c r="L248" s="1214"/>
      <c r="M248" s="1214"/>
      <c r="N248" s="1214"/>
      <c r="O248" s="1214"/>
      <c r="P248" s="1214"/>
      <c r="Q248" s="1214"/>
      <c r="R248" s="1214"/>
      <c r="S248" s="1214"/>
      <c r="T248" s="1214"/>
      <c r="U248" s="1214"/>
      <c r="V248" s="1214"/>
      <c r="W248" s="1214"/>
      <c r="X248" s="1214"/>
      <c r="Y248" s="1214"/>
      <c r="Z248" s="1214"/>
    </row>
    <row r="249">
      <c r="A249" s="1214"/>
      <c r="B249" s="1214"/>
      <c r="C249" s="1214"/>
      <c r="D249" s="1267"/>
      <c r="E249" s="1214"/>
      <c r="F249" s="1214"/>
      <c r="G249" s="1214"/>
      <c r="H249" s="1214"/>
      <c r="I249" s="1214"/>
      <c r="J249" s="1214"/>
      <c r="K249" s="1214"/>
      <c r="L249" s="1214"/>
      <c r="M249" s="1214"/>
      <c r="N249" s="1214"/>
      <c r="O249" s="1214"/>
      <c r="P249" s="1214"/>
      <c r="Q249" s="1214"/>
      <c r="R249" s="1214"/>
      <c r="S249" s="1214"/>
      <c r="T249" s="1214"/>
      <c r="U249" s="1214"/>
      <c r="V249" s="1214"/>
      <c r="W249" s="1214"/>
      <c r="X249" s="1214"/>
      <c r="Y249" s="1214"/>
      <c r="Z249" s="1214"/>
    </row>
    <row r="250">
      <c r="A250" s="1214"/>
      <c r="B250" s="1214"/>
      <c r="C250" s="1214"/>
      <c r="D250" s="1267"/>
      <c r="E250" s="1214"/>
      <c r="F250" s="1214"/>
      <c r="G250" s="1214"/>
      <c r="H250" s="1214"/>
      <c r="I250" s="1214"/>
      <c r="J250" s="1214"/>
      <c r="K250" s="1214"/>
      <c r="L250" s="1214"/>
      <c r="M250" s="1214"/>
      <c r="N250" s="1214"/>
      <c r="O250" s="1214"/>
      <c r="P250" s="1214"/>
      <c r="Q250" s="1214"/>
      <c r="R250" s="1214"/>
      <c r="S250" s="1214"/>
      <c r="T250" s="1214"/>
      <c r="U250" s="1214"/>
      <c r="V250" s="1214"/>
      <c r="W250" s="1214"/>
      <c r="X250" s="1214"/>
      <c r="Y250" s="1214"/>
      <c r="Z250" s="1214"/>
    </row>
    <row r="251">
      <c r="A251" s="1214"/>
      <c r="B251" s="1214"/>
      <c r="C251" s="1214"/>
      <c r="D251" s="1267"/>
      <c r="E251" s="1214"/>
      <c r="F251" s="1214"/>
      <c r="G251" s="1214"/>
      <c r="H251" s="1214"/>
      <c r="I251" s="1214"/>
      <c r="J251" s="1214"/>
      <c r="K251" s="1214"/>
      <c r="L251" s="1214"/>
      <c r="M251" s="1214"/>
      <c r="N251" s="1214"/>
      <c r="O251" s="1214"/>
      <c r="P251" s="1214"/>
      <c r="Q251" s="1214"/>
      <c r="R251" s="1214"/>
      <c r="S251" s="1214"/>
      <c r="T251" s="1214"/>
      <c r="U251" s="1214"/>
      <c r="V251" s="1214"/>
      <c r="W251" s="1214"/>
      <c r="X251" s="1214"/>
      <c r="Y251" s="1214"/>
      <c r="Z251" s="1214"/>
    </row>
    <row r="252">
      <c r="A252" s="1214"/>
      <c r="B252" s="1214"/>
      <c r="C252" s="1214"/>
      <c r="D252" s="1267"/>
      <c r="E252" s="1214"/>
      <c r="F252" s="1214"/>
      <c r="G252" s="1214"/>
      <c r="H252" s="1214"/>
      <c r="I252" s="1214"/>
      <c r="J252" s="1214"/>
      <c r="K252" s="1214"/>
      <c r="L252" s="1214"/>
      <c r="M252" s="1214"/>
      <c r="N252" s="1214"/>
      <c r="O252" s="1214"/>
      <c r="P252" s="1214"/>
      <c r="Q252" s="1214"/>
      <c r="R252" s="1214"/>
      <c r="S252" s="1214"/>
      <c r="T252" s="1214"/>
      <c r="U252" s="1214"/>
      <c r="V252" s="1214"/>
      <c r="W252" s="1214"/>
      <c r="X252" s="1214"/>
      <c r="Y252" s="1214"/>
      <c r="Z252" s="1214"/>
    </row>
    <row r="253">
      <c r="A253" s="1214"/>
      <c r="B253" s="1214"/>
      <c r="C253" s="1214"/>
      <c r="D253" s="1267"/>
      <c r="E253" s="1214"/>
      <c r="F253" s="1214"/>
      <c r="G253" s="1214"/>
      <c r="H253" s="1214"/>
      <c r="I253" s="1214"/>
      <c r="J253" s="1214"/>
      <c r="K253" s="1214"/>
      <c r="L253" s="1214"/>
      <c r="M253" s="1214"/>
      <c r="N253" s="1214"/>
      <c r="O253" s="1214"/>
      <c r="P253" s="1214"/>
      <c r="Q253" s="1214"/>
      <c r="R253" s="1214"/>
      <c r="S253" s="1214"/>
      <c r="T253" s="1214"/>
      <c r="U253" s="1214"/>
      <c r="V253" s="1214"/>
      <c r="W253" s="1214"/>
      <c r="X253" s="1214"/>
      <c r="Y253" s="1214"/>
      <c r="Z253" s="1214"/>
    </row>
    <row r="254">
      <c r="A254" s="1214"/>
      <c r="B254" s="1214"/>
      <c r="C254" s="1214"/>
      <c r="D254" s="1267"/>
      <c r="E254" s="1214"/>
      <c r="F254" s="1214"/>
      <c r="G254" s="1214"/>
      <c r="H254" s="1214"/>
      <c r="I254" s="1214"/>
      <c r="J254" s="1214"/>
      <c r="K254" s="1214"/>
      <c r="L254" s="1214"/>
      <c r="M254" s="1214"/>
      <c r="N254" s="1214"/>
      <c r="O254" s="1214"/>
      <c r="P254" s="1214"/>
      <c r="Q254" s="1214"/>
      <c r="R254" s="1214"/>
      <c r="S254" s="1214"/>
      <c r="T254" s="1214"/>
      <c r="U254" s="1214"/>
      <c r="V254" s="1214"/>
      <c r="W254" s="1214"/>
      <c r="X254" s="1214"/>
      <c r="Y254" s="1214"/>
      <c r="Z254" s="1214"/>
    </row>
    <row r="255">
      <c r="A255" s="1214"/>
      <c r="B255" s="1214"/>
      <c r="C255" s="1214"/>
      <c r="D255" s="1267"/>
      <c r="E255" s="1214"/>
      <c r="F255" s="1214"/>
      <c r="G255" s="1214"/>
      <c r="H255" s="1214"/>
      <c r="I255" s="1214"/>
      <c r="J255" s="1214"/>
      <c r="K255" s="1214"/>
      <c r="L255" s="1214"/>
      <c r="M255" s="1214"/>
      <c r="N255" s="1214"/>
      <c r="O255" s="1214"/>
      <c r="P255" s="1214"/>
      <c r="Q255" s="1214"/>
      <c r="R255" s="1214"/>
      <c r="S255" s="1214"/>
      <c r="T255" s="1214"/>
      <c r="U255" s="1214"/>
      <c r="V255" s="1214"/>
      <c r="W255" s="1214"/>
      <c r="X255" s="1214"/>
      <c r="Y255" s="1214"/>
      <c r="Z255" s="1214"/>
    </row>
    <row r="256">
      <c r="A256" s="1214"/>
      <c r="B256" s="1214"/>
      <c r="C256" s="1214"/>
      <c r="D256" s="1267"/>
      <c r="E256" s="1214"/>
      <c r="F256" s="1214"/>
      <c r="G256" s="1214"/>
      <c r="H256" s="1214"/>
      <c r="I256" s="1214"/>
      <c r="J256" s="1214"/>
      <c r="K256" s="1214"/>
      <c r="L256" s="1214"/>
      <c r="M256" s="1214"/>
      <c r="N256" s="1214"/>
      <c r="O256" s="1214"/>
      <c r="P256" s="1214"/>
      <c r="Q256" s="1214"/>
      <c r="R256" s="1214"/>
      <c r="S256" s="1214"/>
      <c r="T256" s="1214"/>
      <c r="U256" s="1214"/>
      <c r="V256" s="1214"/>
      <c r="W256" s="1214"/>
      <c r="X256" s="1214"/>
      <c r="Y256" s="1214"/>
      <c r="Z256" s="1214"/>
    </row>
    <row r="257">
      <c r="A257" s="1214"/>
      <c r="B257" s="1214"/>
      <c r="C257" s="1214"/>
      <c r="D257" s="1267"/>
      <c r="E257" s="1214"/>
      <c r="F257" s="1214"/>
      <c r="G257" s="1214"/>
      <c r="H257" s="1214"/>
      <c r="I257" s="1214"/>
      <c r="J257" s="1214"/>
      <c r="K257" s="1214"/>
      <c r="L257" s="1214"/>
      <c r="M257" s="1214"/>
      <c r="N257" s="1214"/>
      <c r="O257" s="1214"/>
      <c r="P257" s="1214"/>
      <c r="Q257" s="1214"/>
      <c r="R257" s="1214"/>
      <c r="S257" s="1214"/>
      <c r="T257" s="1214"/>
      <c r="U257" s="1214"/>
      <c r="V257" s="1214"/>
      <c r="W257" s="1214"/>
      <c r="X257" s="1214"/>
      <c r="Y257" s="1214"/>
      <c r="Z257" s="1214"/>
    </row>
    <row r="258">
      <c r="A258" s="1214"/>
      <c r="B258" s="1214"/>
      <c r="C258" s="1214"/>
      <c r="D258" s="1267"/>
      <c r="E258" s="1214"/>
      <c r="F258" s="1214"/>
      <c r="G258" s="1214"/>
      <c r="H258" s="1214"/>
      <c r="I258" s="1214"/>
      <c r="J258" s="1214"/>
      <c r="K258" s="1214"/>
      <c r="L258" s="1214"/>
      <c r="M258" s="1214"/>
      <c r="N258" s="1214"/>
      <c r="O258" s="1214"/>
      <c r="P258" s="1214"/>
      <c r="Q258" s="1214"/>
      <c r="R258" s="1214"/>
      <c r="S258" s="1214"/>
      <c r="T258" s="1214"/>
      <c r="U258" s="1214"/>
      <c r="V258" s="1214"/>
      <c r="W258" s="1214"/>
      <c r="X258" s="1214"/>
      <c r="Y258" s="1214"/>
      <c r="Z258" s="1214"/>
    </row>
    <row r="259">
      <c r="A259" s="1214"/>
      <c r="B259" s="1214"/>
      <c r="C259" s="1214"/>
      <c r="D259" s="1267"/>
      <c r="E259" s="1214"/>
      <c r="F259" s="1214"/>
      <c r="G259" s="1214"/>
      <c r="H259" s="1214"/>
      <c r="I259" s="1214"/>
      <c r="J259" s="1214"/>
      <c r="K259" s="1214"/>
      <c r="L259" s="1214"/>
      <c r="M259" s="1214"/>
      <c r="N259" s="1214"/>
      <c r="O259" s="1214"/>
      <c r="P259" s="1214"/>
      <c r="Q259" s="1214"/>
      <c r="R259" s="1214"/>
      <c r="S259" s="1214"/>
      <c r="T259" s="1214"/>
      <c r="U259" s="1214"/>
      <c r="V259" s="1214"/>
      <c r="W259" s="1214"/>
      <c r="X259" s="1214"/>
      <c r="Y259" s="1214"/>
      <c r="Z259" s="1214"/>
    </row>
    <row r="260">
      <c r="A260" s="1214"/>
      <c r="B260" s="1214"/>
      <c r="C260" s="1214"/>
      <c r="D260" s="1267"/>
      <c r="E260" s="1214"/>
      <c r="F260" s="1214"/>
      <c r="G260" s="1214"/>
      <c r="H260" s="1214"/>
      <c r="I260" s="1214"/>
      <c r="J260" s="1214"/>
      <c r="K260" s="1214"/>
      <c r="L260" s="1214"/>
      <c r="M260" s="1214"/>
      <c r="N260" s="1214"/>
      <c r="O260" s="1214"/>
      <c r="P260" s="1214"/>
      <c r="Q260" s="1214"/>
      <c r="R260" s="1214"/>
      <c r="S260" s="1214"/>
      <c r="T260" s="1214"/>
      <c r="U260" s="1214"/>
      <c r="V260" s="1214"/>
      <c r="W260" s="1214"/>
      <c r="X260" s="1214"/>
      <c r="Y260" s="1214"/>
      <c r="Z260" s="1214"/>
    </row>
    <row r="261">
      <c r="A261" s="1214"/>
      <c r="B261" s="1214"/>
      <c r="C261" s="1214"/>
      <c r="D261" s="1267"/>
      <c r="E261" s="1214"/>
      <c r="F261" s="1214"/>
      <c r="G261" s="1214"/>
      <c r="H261" s="1214"/>
      <c r="I261" s="1214"/>
      <c r="J261" s="1214"/>
      <c r="K261" s="1214"/>
      <c r="L261" s="1214"/>
      <c r="M261" s="1214"/>
      <c r="N261" s="1214"/>
      <c r="O261" s="1214"/>
      <c r="P261" s="1214"/>
      <c r="Q261" s="1214"/>
      <c r="R261" s="1214"/>
      <c r="S261" s="1214"/>
      <c r="T261" s="1214"/>
      <c r="U261" s="1214"/>
      <c r="V261" s="1214"/>
      <c r="W261" s="1214"/>
      <c r="X261" s="1214"/>
      <c r="Y261" s="1214"/>
      <c r="Z261" s="1214"/>
    </row>
    <row r="262">
      <c r="A262" s="1214"/>
      <c r="B262" s="1214"/>
      <c r="C262" s="1214"/>
      <c r="D262" s="1267"/>
      <c r="E262" s="1214"/>
      <c r="F262" s="1214"/>
      <c r="G262" s="1214"/>
      <c r="H262" s="1214"/>
      <c r="I262" s="1214"/>
      <c r="J262" s="1214"/>
      <c r="K262" s="1214"/>
      <c r="L262" s="1214"/>
      <c r="M262" s="1214"/>
      <c r="N262" s="1214"/>
      <c r="O262" s="1214"/>
      <c r="P262" s="1214"/>
      <c r="Q262" s="1214"/>
      <c r="R262" s="1214"/>
      <c r="S262" s="1214"/>
      <c r="T262" s="1214"/>
      <c r="U262" s="1214"/>
      <c r="V262" s="1214"/>
      <c r="W262" s="1214"/>
      <c r="X262" s="1214"/>
      <c r="Y262" s="1214"/>
      <c r="Z262" s="1214"/>
    </row>
    <row r="263">
      <c r="A263" s="1214"/>
      <c r="B263" s="1214"/>
      <c r="C263" s="1214"/>
      <c r="D263" s="1267"/>
      <c r="E263" s="1214"/>
      <c r="F263" s="1214"/>
      <c r="G263" s="1214"/>
      <c r="H263" s="1214"/>
      <c r="I263" s="1214"/>
      <c r="J263" s="1214"/>
      <c r="K263" s="1214"/>
      <c r="L263" s="1214"/>
      <c r="M263" s="1214"/>
      <c r="N263" s="1214"/>
      <c r="O263" s="1214"/>
      <c r="P263" s="1214"/>
      <c r="Q263" s="1214"/>
      <c r="R263" s="1214"/>
      <c r="S263" s="1214"/>
      <c r="T263" s="1214"/>
      <c r="U263" s="1214"/>
      <c r="V263" s="1214"/>
      <c r="W263" s="1214"/>
      <c r="X263" s="1214"/>
      <c r="Y263" s="1214"/>
      <c r="Z263" s="1214"/>
    </row>
    <row r="264">
      <c r="A264" s="1214"/>
      <c r="B264" s="1214"/>
      <c r="C264" s="1214"/>
      <c r="D264" s="1267"/>
      <c r="E264" s="1214"/>
      <c r="F264" s="1214"/>
      <c r="G264" s="1214"/>
      <c r="H264" s="1214"/>
      <c r="I264" s="1214"/>
      <c r="J264" s="1214"/>
      <c r="K264" s="1214"/>
      <c r="L264" s="1214"/>
      <c r="M264" s="1214"/>
      <c r="N264" s="1214"/>
      <c r="O264" s="1214"/>
      <c r="P264" s="1214"/>
      <c r="Q264" s="1214"/>
      <c r="R264" s="1214"/>
      <c r="S264" s="1214"/>
      <c r="T264" s="1214"/>
      <c r="U264" s="1214"/>
      <c r="V264" s="1214"/>
      <c r="W264" s="1214"/>
      <c r="X264" s="1214"/>
      <c r="Y264" s="1214"/>
      <c r="Z264" s="1214"/>
    </row>
    <row r="265">
      <c r="A265" s="1214"/>
      <c r="B265" s="1214"/>
      <c r="C265" s="1214"/>
      <c r="D265" s="1267"/>
      <c r="E265" s="1214"/>
      <c r="F265" s="1214"/>
      <c r="G265" s="1214"/>
      <c r="H265" s="1214"/>
      <c r="I265" s="1214"/>
      <c r="J265" s="1214"/>
      <c r="K265" s="1214"/>
      <c r="L265" s="1214"/>
      <c r="M265" s="1214"/>
      <c r="N265" s="1214"/>
      <c r="O265" s="1214"/>
      <c r="P265" s="1214"/>
      <c r="Q265" s="1214"/>
      <c r="R265" s="1214"/>
      <c r="S265" s="1214"/>
      <c r="T265" s="1214"/>
      <c r="U265" s="1214"/>
      <c r="V265" s="1214"/>
      <c r="W265" s="1214"/>
      <c r="X265" s="1214"/>
      <c r="Y265" s="1214"/>
      <c r="Z265" s="1214"/>
    </row>
    <row r="266">
      <c r="A266" s="1214"/>
      <c r="B266" s="1214"/>
      <c r="C266" s="1214"/>
      <c r="D266" s="1267"/>
      <c r="E266" s="1214"/>
      <c r="F266" s="1214"/>
      <c r="G266" s="1214"/>
      <c r="H266" s="1214"/>
      <c r="I266" s="1214"/>
      <c r="J266" s="1214"/>
      <c r="K266" s="1214"/>
      <c r="L266" s="1214"/>
      <c r="M266" s="1214"/>
      <c r="N266" s="1214"/>
      <c r="O266" s="1214"/>
      <c r="P266" s="1214"/>
      <c r="Q266" s="1214"/>
      <c r="R266" s="1214"/>
      <c r="S266" s="1214"/>
      <c r="T266" s="1214"/>
      <c r="U266" s="1214"/>
      <c r="V266" s="1214"/>
      <c r="W266" s="1214"/>
      <c r="X266" s="1214"/>
      <c r="Y266" s="1214"/>
      <c r="Z266" s="1214"/>
    </row>
    <row r="267">
      <c r="A267" s="1214"/>
      <c r="B267" s="1214"/>
      <c r="C267" s="1214"/>
      <c r="D267" s="1267"/>
      <c r="E267" s="1214"/>
      <c r="F267" s="1214"/>
      <c r="G267" s="1214"/>
      <c r="H267" s="1214"/>
      <c r="I267" s="1214"/>
      <c r="J267" s="1214"/>
      <c r="K267" s="1214"/>
      <c r="L267" s="1214"/>
      <c r="M267" s="1214"/>
      <c r="N267" s="1214"/>
      <c r="O267" s="1214"/>
      <c r="P267" s="1214"/>
      <c r="Q267" s="1214"/>
      <c r="R267" s="1214"/>
      <c r="S267" s="1214"/>
      <c r="T267" s="1214"/>
      <c r="U267" s="1214"/>
      <c r="V267" s="1214"/>
      <c r="W267" s="1214"/>
      <c r="X267" s="1214"/>
      <c r="Y267" s="1214"/>
      <c r="Z267" s="1214"/>
    </row>
    <row r="268">
      <c r="A268" s="1214"/>
      <c r="B268" s="1214"/>
      <c r="C268" s="1214"/>
      <c r="D268" s="1267"/>
      <c r="E268" s="1214"/>
      <c r="F268" s="1214"/>
      <c r="G268" s="1214"/>
      <c r="H268" s="1214"/>
      <c r="I268" s="1214"/>
      <c r="J268" s="1214"/>
      <c r="K268" s="1214"/>
      <c r="L268" s="1214"/>
      <c r="M268" s="1214"/>
      <c r="N268" s="1214"/>
      <c r="O268" s="1214"/>
      <c r="P268" s="1214"/>
      <c r="Q268" s="1214"/>
      <c r="R268" s="1214"/>
      <c r="S268" s="1214"/>
      <c r="T268" s="1214"/>
      <c r="U268" s="1214"/>
      <c r="V268" s="1214"/>
      <c r="W268" s="1214"/>
      <c r="X268" s="1214"/>
      <c r="Y268" s="1214"/>
      <c r="Z268" s="1214"/>
    </row>
    <row r="269">
      <c r="A269" s="1214"/>
      <c r="B269" s="1214"/>
      <c r="C269" s="1214"/>
      <c r="D269" s="1267"/>
      <c r="E269" s="1214"/>
      <c r="F269" s="1214"/>
      <c r="G269" s="1214"/>
      <c r="H269" s="1214"/>
      <c r="I269" s="1214"/>
      <c r="J269" s="1214"/>
      <c r="K269" s="1214"/>
      <c r="L269" s="1214"/>
      <c r="M269" s="1214"/>
      <c r="N269" s="1214"/>
      <c r="O269" s="1214"/>
      <c r="P269" s="1214"/>
      <c r="Q269" s="1214"/>
      <c r="R269" s="1214"/>
      <c r="S269" s="1214"/>
      <c r="T269" s="1214"/>
      <c r="U269" s="1214"/>
      <c r="V269" s="1214"/>
      <c r="W269" s="1214"/>
      <c r="X269" s="1214"/>
      <c r="Y269" s="1214"/>
      <c r="Z269" s="1214"/>
    </row>
    <row r="270">
      <c r="A270" s="1214"/>
      <c r="B270" s="1214"/>
      <c r="C270" s="1214"/>
      <c r="D270" s="1267"/>
      <c r="E270" s="1214"/>
      <c r="F270" s="1214"/>
      <c r="G270" s="1214"/>
      <c r="H270" s="1214"/>
      <c r="I270" s="1214"/>
      <c r="J270" s="1214"/>
      <c r="K270" s="1214"/>
      <c r="L270" s="1214"/>
      <c r="M270" s="1214"/>
      <c r="N270" s="1214"/>
      <c r="O270" s="1214"/>
      <c r="P270" s="1214"/>
      <c r="Q270" s="1214"/>
      <c r="R270" s="1214"/>
      <c r="S270" s="1214"/>
      <c r="T270" s="1214"/>
      <c r="U270" s="1214"/>
      <c r="V270" s="1214"/>
      <c r="W270" s="1214"/>
      <c r="X270" s="1214"/>
      <c r="Y270" s="1214"/>
      <c r="Z270" s="1214"/>
    </row>
    <row r="271">
      <c r="A271" s="1214"/>
      <c r="B271" s="1214"/>
      <c r="C271" s="1214"/>
      <c r="D271" s="1267"/>
      <c r="E271" s="1214"/>
      <c r="F271" s="1214"/>
      <c r="G271" s="1214"/>
      <c r="H271" s="1214"/>
      <c r="I271" s="1214"/>
      <c r="J271" s="1214"/>
      <c r="K271" s="1214"/>
      <c r="L271" s="1214"/>
      <c r="M271" s="1214"/>
      <c r="N271" s="1214"/>
      <c r="O271" s="1214"/>
      <c r="P271" s="1214"/>
      <c r="Q271" s="1214"/>
      <c r="R271" s="1214"/>
      <c r="S271" s="1214"/>
      <c r="T271" s="1214"/>
      <c r="U271" s="1214"/>
      <c r="V271" s="1214"/>
      <c r="W271" s="1214"/>
      <c r="X271" s="1214"/>
      <c r="Y271" s="1214"/>
      <c r="Z271" s="1214"/>
    </row>
    <row r="272">
      <c r="A272" s="1214"/>
      <c r="B272" s="1214"/>
      <c r="C272" s="1214"/>
      <c r="D272" s="1267"/>
      <c r="E272" s="1214"/>
      <c r="F272" s="1214"/>
      <c r="G272" s="1214"/>
      <c r="H272" s="1214"/>
      <c r="I272" s="1214"/>
      <c r="J272" s="1214"/>
      <c r="K272" s="1214"/>
      <c r="L272" s="1214"/>
      <c r="M272" s="1214"/>
      <c r="N272" s="1214"/>
      <c r="O272" s="1214"/>
      <c r="P272" s="1214"/>
      <c r="Q272" s="1214"/>
      <c r="R272" s="1214"/>
      <c r="S272" s="1214"/>
      <c r="T272" s="1214"/>
      <c r="U272" s="1214"/>
      <c r="V272" s="1214"/>
      <c r="W272" s="1214"/>
      <c r="X272" s="1214"/>
      <c r="Y272" s="1214"/>
      <c r="Z272" s="1214"/>
    </row>
    <row r="273">
      <c r="A273" s="1214"/>
      <c r="B273" s="1214"/>
      <c r="C273" s="1214"/>
      <c r="D273" s="1267"/>
      <c r="E273" s="1214"/>
      <c r="F273" s="1214"/>
      <c r="G273" s="1214"/>
      <c r="H273" s="1214"/>
      <c r="I273" s="1214"/>
      <c r="J273" s="1214"/>
      <c r="K273" s="1214"/>
      <c r="L273" s="1214"/>
      <c r="M273" s="1214"/>
      <c r="N273" s="1214"/>
      <c r="O273" s="1214"/>
      <c r="P273" s="1214"/>
      <c r="Q273" s="1214"/>
      <c r="R273" s="1214"/>
      <c r="S273" s="1214"/>
      <c r="T273" s="1214"/>
      <c r="U273" s="1214"/>
      <c r="V273" s="1214"/>
      <c r="W273" s="1214"/>
      <c r="X273" s="1214"/>
      <c r="Y273" s="1214"/>
      <c r="Z273" s="1214"/>
    </row>
    <row r="274">
      <c r="A274" s="1214"/>
      <c r="B274" s="1214"/>
      <c r="C274" s="1214"/>
      <c r="D274" s="1267"/>
      <c r="E274" s="1214"/>
      <c r="F274" s="1214"/>
      <c r="G274" s="1214"/>
      <c r="H274" s="1214"/>
      <c r="I274" s="1214"/>
      <c r="J274" s="1214"/>
      <c r="K274" s="1214"/>
      <c r="L274" s="1214"/>
      <c r="M274" s="1214"/>
      <c r="N274" s="1214"/>
      <c r="O274" s="1214"/>
      <c r="P274" s="1214"/>
      <c r="Q274" s="1214"/>
      <c r="R274" s="1214"/>
      <c r="S274" s="1214"/>
      <c r="T274" s="1214"/>
      <c r="U274" s="1214"/>
      <c r="V274" s="1214"/>
      <c r="W274" s="1214"/>
      <c r="X274" s="1214"/>
      <c r="Y274" s="1214"/>
      <c r="Z274" s="1214"/>
    </row>
    <row r="275">
      <c r="A275" s="1214"/>
      <c r="B275" s="1214"/>
      <c r="C275" s="1214"/>
      <c r="D275" s="1267"/>
      <c r="E275" s="1214"/>
      <c r="F275" s="1214"/>
      <c r="G275" s="1214"/>
      <c r="H275" s="1214"/>
      <c r="I275" s="1214"/>
      <c r="J275" s="1214"/>
      <c r="K275" s="1214"/>
      <c r="L275" s="1214"/>
      <c r="M275" s="1214"/>
      <c r="N275" s="1214"/>
      <c r="O275" s="1214"/>
      <c r="P275" s="1214"/>
      <c r="Q275" s="1214"/>
      <c r="R275" s="1214"/>
      <c r="S275" s="1214"/>
      <c r="T275" s="1214"/>
      <c r="U275" s="1214"/>
      <c r="V275" s="1214"/>
      <c r="W275" s="1214"/>
      <c r="X275" s="1214"/>
      <c r="Y275" s="1214"/>
      <c r="Z275" s="1214"/>
    </row>
    <row r="276">
      <c r="A276" s="1214"/>
      <c r="B276" s="1214"/>
      <c r="C276" s="1214"/>
      <c r="D276" s="1267"/>
      <c r="E276" s="1214"/>
      <c r="F276" s="1214"/>
      <c r="G276" s="1214"/>
      <c r="H276" s="1214"/>
      <c r="I276" s="1214"/>
      <c r="J276" s="1214"/>
      <c r="K276" s="1214"/>
      <c r="L276" s="1214"/>
      <c r="M276" s="1214"/>
      <c r="N276" s="1214"/>
      <c r="O276" s="1214"/>
      <c r="P276" s="1214"/>
      <c r="Q276" s="1214"/>
      <c r="R276" s="1214"/>
      <c r="S276" s="1214"/>
      <c r="T276" s="1214"/>
      <c r="U276" s="1214"/>
      <c r="V276" s="1214"/>
      <c r="W276" s="1214"/>
      <c r="X276" s="1214"/>
      <c r="Y276" s="1214"/>
      <c r="Z276" s="1214"/>
    </row>
    <row r="277">
      <c r="A277" s="1214"/>
      <c r="B277" s="1214"/>
      <c r="C277" s="1214"/>
      <c r="D277" s="1267"/>
      <c r="E277" s="1214"/>
      <c r="F277" s="1214"/>
      <c r="G277" s="1214"/>
      <c r="H277" s="1214"/>
      <c r="I277" s="1214"/>
      <c r="J277" s="1214"/>
      <c r="K277" s="1214"/>
      <c r="L277" s="1214"/>
      <c r="M277" s="1214"/>
      <c r="N277" s="1214"/>
      <c r="O277" s="1214"/>
      <c r="P277" s="1214"/>
      <c r="Q277" s="1214"/>
      <c r="R277" s="1214"/>
      <c r="S277" s="1214"/>
      <c r="T277" s="1214"/>
      <c r="U277" s="1214"/>
      <c r="V277" s="1214"/>
      <c r="W277" s="1214"/>
      <c r="X277" s="1214"/>
      <c r="Y277" s="1214"/>
      <c r="Z277" s="1214"/>
    </row>
    <row r="278">
      <c r="A278" s="1214"/>
      <c r="B278" s="1214"/>
      <c r="C278" s="1214"/>
      <c r="D278" s="1267"/>
      <c r="E278" s="1214"/>
      <c r="F278" s="1214"/>
      <c r="G278" s="1214"/>
      <c r="H278" s="1214"/>
      <c r="I278" s="1214"/>
      <c r="J278" s="1214"/>
      <c r="K278" s="1214"/>
      <c r="L278" s="1214"/>
      <c r="M278" s="1214"/>
      <c r="N278" s="1214"/>
      <c r="O278" s="1214"/>
      <c r="P278" s="1214"/>
      <c r="Q278" s="1214"/>
      <c r="R278" s="1214"/>
      <c r="S278" s="1214"/>
      <c r="T278" s="1214"/>
      <c r="U278" s="1214"/>
      <c r="V278" s="1214"/>
      <c r="W278" s="1214"/>
      <c r="X278" s="1214"/>
      <c r="Y278" s="1214"/>
      <c r="Z278" s="1214"/>
    </row>
    <row r="279">
      <c r="A279" s="1214"/>
      <c r="B279" s="1214"/>
      <c r="C279" s="1214"/>
      <c r="D279" s="1267"/>
      <c r="E279" s="1214"/>
      <c r="F279" s="1214"/>
      <c r="G279" s="1214"/>
      <c r="H279" s="1214"/>
      <c r="I279" s="1214"/>
      <c r="J279" s="1214"/>
      <c r="K279" s="1214"/>
      <c r="L279" s="1214"/>
      <c r="M279" s="1214"/>
      <c r="N279" s="1214"/>
      <c r="O279" s="1214"/>
      <c r="P279" s="1214"/>
      <c r="Q279" s="1214"/>
      <c r="R279" s="1214"/>
      <c r="S279" s="1214"/>
      <c r="T279" s="1214"/>
      <c r="U279" s="1214"/>
      <c r="V279" s="1214"/>
      <c r="W279" s="1214"/>
      <c r="X279" s="1214"/>
      <c r="Y279" s="1214"/>
      <c r="Z279" s="1214"/>
    </row>
    <row r="280">
      <c r="A280" s="1214"/>
      <c r="B280" s="1214"/>
      <c r="C280" s="1214"/>
      <c r="D280" s="1267"/>
      <c r="E280" s="1214"/>
      <c r="F280" s="1214"/>
      <c r="G280" s="1214"/>
      <c r="H280" s="1214"/>
      <c r="I280" s="1214"/>
      <c r="J280" s="1214"/>
      <c r="K280" s="1214"/>
      <c r="L280" s="1214"/>
      <c r="M280" s="1214"/>
      <c r="N280" s="1214"/>
      <c r="O280" s="1214"/>
      <c r="P280" s="1214"/>
      <c r="Q280" s="1214"/>
      <c r="R280" s="1214"/>
      <c r="S280" s="1214"/>
      <c r="T280" s="1214"/>
      <c r="U280" s="1214"/>
      <c r="V280" s="1214"/>
      <c r="W280" s="1214"/>
      <c r="X280" s="1214"/>
      <c r="Y280" s="1214"/>
      <c r="Z280" s="1214"/>
    </row>
    <row r="281">
      <c r="A281" s="1214"/>
      <c r="B281" s="1214"/>
      <c r="C281" s="1214"/>
      <c r="D281" s="1267"/>
      <c r="E281" s="1214"/>
      <c r="F281" s="1214"/>
      <c r="G281" s="1214"/>
      <c r="H281" s="1214"/>
      <c r="I281" s="1214"/>
      <c r="J281" s="1214"/>
      <c r="K281" s="1214"/>
      <c r="L281" s="1214"/>
      <c r="M281" s="1214"/>
      <c r="N281" s="1214"/>
      <c r="O281" s="1214"/>
      <c r="P281" s="1214"/>
      <c r="Q281" s="1214"/>
      <c r="R281" s="1214"/>
      <c r="S281" s="1214"/>
      <c r="T281" s="1214"/>
      <c r="U281" s="1214"/>
      <c r="V281" s="1214"/>
      <c r="W281" s="1214"/>
      <c r="X281" s="1214"/>
      <c r="Y281" s="1214"/>
      <c r="Z281" s="1214"/>
    </row>
    <row r="282">
      <c r="A282" s="1214"/>
      <c r="B282" s="1214"/>
      <c r="C282" s="1214"/>
      <c r="D282" s="1267"/>
      <c r="E282" s="1214"/>
      <c r="F282" s="1214"/>
      <c r="G282" s="1214"/>
      <c r="H282" s="1214"/>
      <c r="I282" s="1214"/>
      <c r="J282" s="1214"/>
      <c r="K282" s="1214"/>
      <c r="L282" s="1214"/>
      <c r="M282" s="1214"/>
      <c r="N282" s="1214"/>
      <c r="O282" s="1214"/>
      <c r="P282" s="1214"/>
      <c r="Q282" s="1214"/>
      <c r="R282" s="1214"/>
      <c r="S282" s="1214"/>
      <c r="T282" s="1214"/>
      <c r="U282" s="1214"/>
      <c r="V282" s="1214"/>
      <c r="W282" s="1214"/>
      <c r="X282" s="1214"/>
      <c r="Y282" s="1214"/>
      <c r="Z282" s="1214"/>
    </row>
    <row r="283">
      <c r="A283" s="1214"/>
      <c r="B283" s="1214"/>
      <c r="C283" s="1214"/>
      <c r="D283" s="1267"/>
      <c r="E283" s="1214"/>
      <c r="F283" s="1214"/>
      <c r="G283" s="1214"/>
      <c r="H283" s="1214"/>
      <c r="I283" s="1214"/>
      <c r="J283" s="1214"/>
      <c r="K283" s="1214"/>
      <c r="L283" s="1214"/>
      <c r="M283" s="1214"/>
      <c r="N283" s="1214"/>
      <c r="O283" s="1214"/>
      <c r="P283" s="1214"/>
      <c r="Q283" s="1214"/>
      <c r="R283" s="1214"/>
      <c r="S283" s="1214"/>
      <c r="T283" s="1214"/>
      <c r="U283" s="1214"/>
      <c r="V283" s="1214"/>
      <c r="W283" s="1214"/>
      <c r="X283" s="1214"/>
      <c r="Y283" s="1214"/>
      <c r="Z283" s="1214"/>
    </row>
    <row r="284">
      <c r="A284" s="1214"/>
      <c r="B284" s="1214"/>
      <c r="C284" s="1214"/>
      <c r="D284" s="1267"/>
      <c r="E284" s="1214"/>
      <c r="F284" s="1214"/>
      <c r="G284" s="1214"/>
      <c r="H284" s="1214"/>
      <c r="I284" s="1214"/>
      <c r="J284" s="1214"/>
      <c r="K284" s="1214"/>
      <c r="L284" s="1214"/>
      <c r="M284" s="1214"/>
      <c r="N284" s="1214"/>
      <c r="O284" s="1214"/>
      <c r="P284" s="1214"/>
      <c r="Q284" s="1214"/>
      <c r="R284" s="1214"/>
      <c r="S284" s="1214"/>
      <c r="T284" s="1214"/>
      <c r="U284" s="1214"/>
      <c r="V284" s="1214"/>
      <c r="W284" s="1214"/>
      <c r="X284" s="1214"/>
      <c r="Y284" s="1214"/>
      <c r="Z284" s="1214"/>
    </row>
    <row r="285">
      <c r="A285" s="1214"/>
      <c r="B285" s="1214"/>
      <c r="C285" s="1214"/>
      <c r="D285" s="1267"/>
      <c r="E285" s="1214"/>
      <c r="F285" s="1214"/>
      <c r="G285" s="1214"/>
      <c r="H285" s="1214"/>
      <c r="I285" s="1214"/>
      <c r="J285" s="1214"/>
      <c r="K285" s="1214"/>
      <c r="L285" s="1214"/>
      <c r="M285" s="1214"/>
      <c r="N285" s="1214"/>
      <c r="O285" s="1214"/>
      <c r="P285" s="1214"/>
      <c r="Q285" s="1214"/>
      <c r="R285" s="1214"/>
      <c r="S285" s="1214"/>
      <c r="T285" s="1214"/>
      <c r="U285" s="1214"/>
      <c r="V285" s="1214"/>
      <c r="W285" s="1214"/>
      <c r="X285" s="1214"/>
      <c r="Y285" s="1214"/>
      <c r="Z285" s="1214"/>
    </row>
    <row r="286">
      <c r="A286" s="1214"/>
      <c r="B286" s="1214"/>
      <c r="C286" s="1214"/>
      <c r="D286" s="1267"/>
      <c r="E286" s="1214"/>
      <c r="F286" s="1214"/>
      <c r="G286" s="1214"/>
      <c r="H286" s="1214"/>
      <c r="I286" s="1214"/>
      <c r="J286" s="1214"/>
      <c r="K286" s="1214"/>
      <c r="L286" s="1214"/>
      <c r="M286" s="1214"/>
      <c r="N286" s="1214"/>
      <c r="O286" s="1214"/>
      <c r="P286" s="1214"/>
      <c r="Q286" s="1214"/>
      <c r="R286" s="1214"/>
      <c r="S286" s="1214"/>
      <c r="T286" s="1214"/>
      <c r="U286" s="1214"/>
      <c r="V286" s="1214"/>
      <c r="W286" s="1214"/>
      <c r="X286" s="1214"/>
      <c r="Y286" s="1214"/>
      <c r="Z286" s="1214"/>
    </row>
    <row r="287">
      <c r="A287" s="1214"/>
      <c r="B287" s="1214"/>
      <c r="C287" s="1214"/>
      <c r="D287" s="1267"/>
      <c r="E287" s="1214"/>
      <c r="F287" s="1214"/>
      <c r="G287" s="1214"/>
      <c r="H287" s="1214"/>
      <c r="I287" s="1214"/>
      <c r="J287" s="1214"/>
      <c r="K287" s="1214"/>
      <c r="L287" s="1214"/>
      <c r="M287" s="1214"/>
      <c r="N287" s="1214"/>
      <c r="O287" s="1214"/>
      <c r="P287" s="1214"/>
      <c r="Q287" s="1214"/>
      <c r="R287" s="1214"/>
      <c r="S287" s="1214"/>
      <c r="T287" s="1214"/>
      <c r="U287" s="1214"/>
      <c r="V287" s="1214"/>
      <c r="W287" s="1214"/>
      <c r="X287" s="1214"/>
      <c r="Y287" s="1214"/>
      <c r="Z287" s="1214"/>
    </row>
    <row r="288">
      <c r="A288" s="1214"/>
      <c r="B288" s="1214"/>
      <c r="C288" s="1214"/>
      <c r="D288" s="1267"/>
      <c r="E288" s="1214"/>
      <c r="F288" s="1214"/>
      <c r="G288" s="1214"/>
      <c r="H288" s="1214"/>
      <c r="I288" s="1214"/>
      <c r="J288" s="1214"/>
      <c r="K288" s="1214"/>
      <c r="L288" s="1214"/>
      <c r="M288" s="1214"/>
      <c r="N288" s="1214"/>
      <c r="O288" s="1214"/>
      <c r="P288" s="1214"/>
      <c r="Q288" s="1214"/>
      <c r="R288" s="1214"/>
      <c r="S288" s="1214"/>
      <c r="T288" s="1214"/>
      <c r="U288" s="1214"/>
      <c r="V288" s="1214"/>
      <c r="W288" s="1214"/>
      <c r="X288" s="1214"/>
      <c r="Y288" s="1214"/>
      <c r="Z288" s="1214"/>
    </row>
    <row r="289">
      <c r="A289" s="1214"/>
      <c r="B289" s="1214"/>
      <c r="C289" s="1214"/>
      <c r="D289" s="1267"/>
      <c r="E289" s="1214"/>
      <c r="F289" s="1214"/>
      <c r="G289" s="1214"/>
      <c r="H289" s="1214"/>
      <c r="I289" s="1214"/>
      <c r="J289" s="1214"/>
      <c r="K289" s="1214"/>
      <c r="L289" s="1214"/>
      <c r="M289" s="1214"/>
      <c r="N289" s="1214"/>
      <c r="O289" s="1214"/>
      <c r="P289" s="1214"/>
      <c r="Q289" s="1214"/>
      <c r="R289" s="1214"/>
      <c r="S289" s="1214"/>
      <c r="T289" s="1214"/>
      <c r="U289" s="1214"/>
      <c r="V289" s="1214"/>
      <c r="W289" s="1214"/>
      <c r="X289" s="1214"/>
      <c r="Y289" s="1214"/>
      <c r="Z289" s="1214"/>
    </row>
    <row r="290">
      <c r="A290" s="1214"/>
      <c r="B290" s="1214"/>
      <c r="C290" s="1214"/>
      <c r="D290" s="1267"/>
      <c r="E290" s="1214"/>
      <c r="F290" s="1214"/>
      <c r="G290" s="1214"/>
      <c r="H290" s="1214"/>
      <c r="I290" s="1214"/>
      <c r="J290" s="1214"/>
      <c r="K290" s="1214"/>
      <c r="L290" s="1214"/>
      <c r="M290" s="1214"/>
      <c r="N290" s="1214"/>
      <c r="O290" s="1214"/>
      <c r="P290" s="1214"/>
      <c r="Q290" s="1214"/>
      <c r="R290" s="1214"/>
      <c r="S290" s="1214"/>
      <c r="T290" s="1214"/>
      <c r="U290" s="1214"/>
      <c r="V290" s="1214"/>
      <c r="W290" s="1214"/>
      <c r="X290" s="1214"/>
      <c r="Y290" s="1214"/>
      <c r="Z290" s="1214"/>
    </row>
    <row r="291">
      <c r="A291" s="1214"/>
      <c r="B291" s="1214"/>
      <c r="C291" s="1214"/>
      <c r="D291" s="1267"/>
      <c r="E291" s="1214"/>
      <c r="F291" s="1214"/>
      <c r="G291" s="1214"/>
      <c r="H291" s="1214"/>
      <c r="I291" s="1214"/>
      <c r="J291" s="1214"/>
      <c r="K291" s="1214"/>
      <c r="L291" s="1214"/>
      <c r="M291" s="1214"/>
      <c r="N291" s="1214"/>
      <c r="O291" s="1214"/>
      <c r="P291" s="1214"/>
      <c r="Q291" s="1214"/>
      <c r="R291" s="1214"/>
      <c r="S291" s="1214"/>
      <c r="T291" s="1214"/>
      <c r="U291" s="1214"/>
      <c r="V291" s="1214"/>
      <c r="W291" s="1214"/>
      <c r="X291" s="1214"/>
      <c r="Y291" s="1214"/>
      <c r="Z291" s="1214"/>
    </row>
    <row r="292">
      <c r="A292" s="1214"/>
      <c r="B292" s="1214"/>
      <c r="C292" s="1214"/>
      <c r="D292" s="1267"/>
      <c r="E292" s="1214"/>
      <c r="F292" s="1214"/>
      <c r="G292" s="1214"/>
      <c r="H292" s="1214"/>
      <c r="I292" s="1214"/>
      <c r="J292" s="1214"/>
      <c r="K292" s="1214"/>
      <c r="L292" s="1214"/>
      <c r="M292" s="1214"/>
      <c r="N292" s="1214"/>
      <c r="O292" s="1214"/>
      <c r="P292" s="1214"/>
      <c r="Q292" s="1214"/>
      <c r="R292" s="1214"/>
      <c r="S292" s="1214"/>
      <c r="T292" s="1214"/>
      <c r="U292" s="1214"/>
      <c r="V292" s="1214"/>
      <c r="W292" s="1214"/>
      <c r="X292" s="1214"/>
      <c r="Y292" s="1214"/>
      <c r="Z292" s="1214"/>
    </row>
    <row r="293">
      <c r="A293" s="1214"/>
      <c r="B293" s="1214"/>
      <c r="C293" s="1214"/>
      <c r="D293" s="1267"/>
      <c r="E293" s="1214"/>
      <c r="F293" s="1214"/>
      <c r="G293" s="1214"/>
      <c r="H293" s="1214"/>
      <c r="I293" s="1214"/>
      <c r="J293" s="1214"/>
      <c r="K293" s="1214"/>
      <c r="L293" s="1214"/>
      <c r="M293" s="1214"/>
      <c r="N293" s="1214"/>
      <c r="O293" s="1214"/>
      <c r="P293" s="1214"/>
      <c r="Q293" s="1214"/>
      <c r="R293" s="1214"/>
      <c r="S293" s="1214"/>
      <c r="T293" s="1214"/>
      <c r="U293" s="1214"/>
      <c r="V293" s="1214"/>
      <c r="W293" s="1214"/>
      <c r="X293" s="1214"/>
      <c r="Y293" s="1214"/>
      <c r="Z293" s="1214"/>
    </row>
    <row r="294">
      <c r="A294" s="1214"/>
      <c r="B294" s="1214"/>
      <c r="C294" s="1214"/>
      <c r="D294" s="1267"/>
      <c r="E294" s="1214"/>
      <c r="F294" s="1214"/>
      <c r="G294" s="1214"/>
      <c r="H294" s="1214"/>
      <c r="I294" s="1214"/>
      <c r="J294" s="1214"/>
      <c r="K294" s="1214"/>
      <c r="L294" s="1214"/>
      <c r="M294" s="1214"/>
      <c r="N294" s="1214"/>
      <c r="O294" s="1214"/>
      <c r="P294" s="1214"/>
      <c r="Q294" s="1214"/>
      <c r="R294" s="1214"/>
      <c r="S294" s="1214"/>
      <c r="T294" s="1214"/>
      <c r="U294" s="1214"/>
      <c r="V294" s="1214"/>
      <c r="W294" s="1214"/>
      <c r="X294" s="1214"/>
      <c r="Y294" s="1214"/>
      <c r="Z294" s="1214"/>
    </row>
    <row r="295">
      <c r="A295" s="1214"/>
      <c r="B295" s="1214"/>
      <c r="C295" s="1214"/>
      <c r="D295" s="1267"/>
      <c r="E295" s="1214"/>
      <c r="F295" s="1214"/>
      <c r="G295" s="1214"/>
      <c r="H295" s="1214"/>
      <c r="I295" s="1214"/>
      <c r="J295" s="1214"/>
      <c r="K295" s="1214"/>
      <c r="L295" s="1214"/>
      <c r="M295" s="1214"/>
      <c r="N295" s="1214"/>
      <c r="O295" s="1214"/>
      <c r="P295" s="1214"/>
      <c r="Q295" s="1214"/>
      <c r="R295" s="1214"/>
      <c r="S295" s="1214"/>
      <c r="T295" s="1214"/>
      <c r="U295" s="1214"/>
      <c r="V295" s="1214"/>
      <c r="W295" s="1214"/>
      <c r="X295" s="1214"/>
      <c r="Y295" s="1214"/>
      <c r="Z295" s="1214"/>
    </row>
    <row r="296">
      <c r="A296" s="1214"/>
      <c r="B296" s="1214"/>
      <c r="C296" s="1214"/>
      <c r="D296" s="1267"/>
      <c r="E296" s="1214"/>
      <c r="F296" s="1214"/>
      <c r="G296" s="1214"/>
      <c r="H296" s="1214"/>
      <c r="I296" s="1214"/>
      <c r="J296" s="1214"/>
      <c r="K296" s="1214"/>
      <c r="L296" s="1214"/>
      <c r="M296" s="1214"/>
      <c r="N296" s="1214"/>
      <c r="O296" s="1214"/>
      <c r="P296" s="1214"/>
      <c r="Q296" s="1214"/>
      <c r="R296" s="1214"/>
      <c r="S296" s="1214"/>
      <c r="T296" s="1214"/>
      <c r="U296" s="1214"/>
      <c r="V296" s="1214"/>
      <c r="W296" s="1214"/>
      <c r="X296" s="1214"/>
      <c r="Y296" s="1214"/>
      <c r="Z296" s="1214"/>
    </row>
    <row r="297">
      <c r="A297" s="1214"/>
      <c r="B297" s="1214"/>
      <c r="C297" s="1214"/>
      <c r="D297" s="1267"/>
      <c r="E297" s="1214"/>
      <c r="F297" s="1214"/>
      <c r="G297" s="1214"/>
      <c r="H297" s="1214"/>
      <c r="I297" s="1214"/>
      <c r="J297" s="1214"/>
      <c r="K297" s="1214"/>
      <c r="L297" s="1214"/>
      <c r="M297" s="1214"/>
      <c r="N297" s="1214"/>
      <c r="O297" s="1214"/>
      <c r="P297" s="1214"/>
      <c r="Q297" s="1214"/>
      <c r="R297" s="1214"/>
      <c r="S297" s="1214"/>
      <c r="T297" s="1214"/>
      <c r="U297" s="1214"/>
      <c r="V297" s="1214"/>
      <c r="W297" s="1214"/>
      <c r="X297" s="1214"/>
      <c r="Y297" s="1214"/>
      <c r="Z297" s="1214"/>
    </row>
    <row r="298">
      <c r="A298" s="1214"/>
      <c r="B298" s="1214"/>
      <c r="C298" s="1214"/>
      <c r="D298" s="1267"/>
      <c r="E298" s="1214"/>
      <c r="F298" s="1214"/>
      <c r="G298" s="1214"/>
      <c r="H298" s="1214"/>
      <c r="I298" s="1214"/>
      <c r="J298" s="1214"/>
      <c r="K298" s="1214"/>
      <c r="L298" s="1214"/>
      <c r="M298" s="1214"/>
      <c r="N298" s="1214"/>
      <c r="O298" s="1214"/>
      <c r="P298" s="1214"/>
      <c r="Q298" s="1214"/>
      <c r="R298" s="1214"/>
      <c r="S298" s="1214"/>
      <c r="T298" s="1214"/>
      <c r="U298" s="1214"/>
      <c r="V298" s="1214"/>
      <c r="W298" s="1214"/>
      <c r="X298" s="1214"/>
      <c r="Y298" s="1214"/>
      <c r="Z298" s="1214"/>
    </row>
    <row r="299">
      <c r="A299" s="1214"/>
      <c r="B299" s="1214"/>
      <c r="C299" s="1214"/>
      <c r="D299" s="1267"/>
      <c r="E299" s="1214"/>
      <c r="F299" s="1214"/>
      <c r="G299" s="1214"/>
      <c r="H299" s="1214"/>
      <c r="I299" s="1214"/>
      <c r="J299" s="1214"/>
      <c r="K299" s="1214"/>
      <c r="L299" s="1214"/>
      <c r="M299" s="1214"/>
      <c r="N299" s="1214"/>
      <c r="O299" s="1214"/>
      <c r="P299" s="1214"/>
      <c r="Q299" s="1214"/>
      <c r="R299" s="1214"/>
      <c r="S299" s="1214"/>
      <c r="T299" s="1214"/>
      <c r="U299" s="1214"/>
      <c r="V299" s="1214"/>
      <c r="W299" s="1214"/>
      <c r="X299" s="1214"/>
      <c r="Y299" s="1214"/>
      <c r="Z299" s="1214"/>
    </row>
    <row r="300">
      <c r="A300" s="1214"/>
      <c r="B300" s="1214"/>
      <c r="C300" s="1214"/>
      <c r="D300" s="1267"/>
      <c r="E300" s="1214"/>
      <c r="F300" s="1214"/>
      <c r="G300" s="1214"/>
      <c r="H300" s="1214"/>
      <c r="I300" s="1214"/>
      <c r="J300" s="1214"/>
      <c r="K300" s="1214"/>
      <c r="L300" s="1214"/>
      <c r="M300" s="1214"/>
      <c r="N300" s="1214"/>
      <c r="O300" s="1214"/>
      <c r="P300" s="1214"/>
      <c r="Q300" s="1214"/>
      <c r="R300" s="1214"/>
      <c r="S300" s="1214"/>
      <c r="T300" s="1214"/>
      <c r="U300" s="1214"/>
      <c r="V300" s="1214"/>
      <c r="W300" s="1214"/>
      <c r="X300" s="1214"/>
      <c r="Y300" s="1214"/>
      <c r="Z300" s="1214"/>
    </row>
    <row r="301">
      <c r="A301" s="1214"/>
      <c r="B301" s="1214"/>
      <c r="C301" s="1214"/>
      <c r="D301" s="1267"/>
      <c r="E301" s="1214"/>
      <c r="F301" s="1214"/>
      <c r="G301" s="1214"/>
      <c r="H301" s="1214"/>
      <c r="I301" s="1214"/>
      <c r="J301" s="1214"/>
      <c r="K301" s="1214"/>
      <c r="L301" s="1214"/>
      <c r="M301" s="1214"/>
      <c r="N301" s="1214"/>
      <c r="O301" s="1214"/>
      <c r="P301" s="1214"/>
      <c r="Q301" s="1214"/>
      <c r="R301" s="1214"/>
      <c r="S301" s="1214"/>
      <c r="T301" s="1214"/>
      <c r="U301" s="1214"/>
      <c r="V301" s="1214"/>
      <c r="W301" s="1214"/>
      <c r="X301" s="1214"/>
      <c r="Y301" s="1214"/>
      <c r="Z301" s="1214"/>
    </row>
    <row r="302">
      <c r="A302" s="1214"/>
      <c r="B302" s="1214"/>
      <c r="C302" s="1214"/>
      <c r="D302" s="1267"/>
      <c r="E302" s="1214"/>
      <c r="F302" s="1214"/>
      <c r="G302" s="1214"/>
      <c r="H302" s="1214"/>
      <c r="I302" s="1214"/>
      <c r="J302" s="1214"/>
      <c r="K302" s="1214"/>
      <c r="L302" s="1214"/>
      <c r="M302" s="1214"/>
      <c r="N302" s="1214"/>
      <c r="O302" s="1214"/>
      <c r="P302" s="1214"/>
      <c r="Q302" s="1214"/>
      <c r="R302" s="1214"/>
      <c r="S302" s="1214"/>
      <c r="T302" s="1214"/>
      <c r="U302" s="1214"/>
      <c r="V302" s="1214"/>
      <c r="W302" s="1214"/>
      <c r="X302" s="1214"/>
      <c r="Y302" s="1214"/>
      <c r="Z302" s="1214"/>
    </row>
    <row r="303">
      <c r="A303" s="1214"/>
      <c r="B303" s="1214"/>
      <c r="C303" s="1214"/>
      <c r="D303" s="1267"/>
      <c r="E303" s="1214"/>
      <c r="F303" s="1214"/>
      <c r="G303" s="1214"/>
      <c r="H303" s="1214"/>
      <c r="I303" s="1214"/>
      <c r="J303" s="1214"/>
      <c r="K303" s="1214"/>
      <c r="L303" s="1214"/>
      <c r="M303" s="1214"/>
      <c r="N303" s="1214"/>
      <c r="O303" s="1214"/>
      <c r="P303" s="1214"/>
      <c r="Q303" s="1214"/>
      <c r="R303" s="1214"/>
      <c r="S303" s="1214"/>
      <c r="T303" s="1214"/>
      <c r="U303" s="1214"/>
      <c r="V303" s="1214"/>
      <c r="W303" s="1214"/>
      <c r="X303" s="1214"/>
      <c r="Y303" s="1214"/>
      <c r="Z303" s="1214"/>
    </row>
    <row r="304">
      <c r="A304" s="1214"/>
      <c r="B304" s="1214"/>
      <c r="C304" s="1214"/>
      <c r="D304" s="1267"/>
      <c r="E304" s="1214"/>
      <c r="F304" s="1214"/>
      <c r="G304" s="1214"/>
      <c r="H304" s="1214"/>
      <c r="I304" s="1214"/>
      <c r="J304" s="1214"/>
      <c r="K304" s="1214"/>
      <c r="L304" s="1214"/>
      <c r="M304" s="1214"/>
      <c r="N304" s="1214"/>
      <c r="O304" s="1214"/>
      <c r="P304" s="1214"/>
      <c r="Q304" s="1214"/>
      <c r="R304" s="1214"/>
      <c r="S304" s="1214"/>
      <c r="T304" s="1214"/>
      <c r="U304" s="1214"/>
      <c r="V304" s="1214"/>
      <c r="W304" s="1214"/>
      <c r="X304" s="1214"/>
      <c r="Y304" s="1214"/>
      <c r="Z304" s="1214"/>
    </row>
    <row r="305">
      <c r="A305" s="1214"/>
      <c r="B305" s="1214"/>
      <c r="C305" s="1214"/>
      <c r="D305" s="1267"/>
      <c r="E305" s="1214"/>
      <c r="F305" s="1214"/>
      <c r="G305" s="1214"/>
      <c r="H305" s="1214"/>
      <c r="I305" s="1214"/>
      <c r="J305" s="1214"/>
      <c r="K305" s="1214"/>
      <c r="L305" s="1214"/>
      <c r="M305" s="1214"/>
      <c r="N305" s="1214"/>
      <c r="O305" s="1214"/>
      <c r="P305" s="1214"/>
      <c r="Q305" s="1214"/>
      <c r="R305" s="1214"/>
      <c r="S305" s="1214"/>
      <c r="T305" s="1214"/>
      <c r="U305" s="1214"/>
      <c r="V305" s="1214"/>
      <c r="W305" s="1214"/>
      <c r="X305" s="1214"/>
      <c r="Y305" s="1214"/>
      <c r="Z305" s="1214"/>
    </row>
    <row r="306">
      <c r="A306" s="1214"/>
      <c r="B306" s="1214"/>
      <c r="C306" s="1214"/>
      <c r="D306" s="1267"/>
      <c r="E306" s="1214"/>
      <c r="F306" s="1214"/>
      <c r="G306" s="1214"/>
      <c r="H306" s="1214"/>
      <c r="I306" s="1214"/>
      <c r="J306" s="1214"/>
      <c r="K306" s="1214"/>
      <c r="L306" s="1214"/>
      <c r="M306" s="1214"/>
      <c r="N306" s="1214"/>
      <c r="O306" s="1214"/>
      <c r="P306" s="1214"/>
      <c r="Q306" s="1214"/>
      <c r="R306" s="1214"/>
      <c r="S306" s="1214"/>
      <c r="T306" s="1214"/>
      <c r="U306" s="1214"/>
      <c r="V306" s="1214"/>
      <c r="W306" s="1214"/>
      <c r="X306" s="1214"/>
      <c r="Y306" s="1214"/>
      <c r="Z306" s="1214"/>
    </row>
    <row r="307">
      <c r="A307" s="1214"/>
      <c r="B307" s="1214"/>
      <c r="C307" s="1214"/>
      <c r="D307" s="1267"/>
      <c r="E307" s="1214"/>
      <c r="F307" s="1214"/>
      <c r="G307" s="1214"/>
      <c r="H307" s="1214"/>
      <c r="I307" s="1214"/>
      <c r="J307" s="1214"/>
      <c r="K307" s="1214"/>
      <c r="L307" s="1214"/>
      <c r="M307" s="1214"/>
      <c r="N307" s="1214"/>
      <c r="O307" s="1214"/>
      <c r="P307" s="1214"/>
      <c r="Q307" s="1214"/>
      <c r="R307" s="1214"/>
      <c r="S307" s="1214"/>
      <c r="T307" s="1214"/>
      <c r="U307" s="1214"/>
      <c r="V307" s="1214"/>
      <c r="W307" s="1214"/>
      <c r="X307" s="1214"/>
      <c r="Y307" s="1214"/>
      <c r="Z307" s="1214"/>
    </row>
    <row r="308">
      <c r="A308" s="1214"/>
      <c r="B308" s="1214"/>
      <c r="C308" s="1214"/>
      <c r="D308" s="1267"/>
      <c r="E308" s="1214"/>
      <c r="F308" s="1214"/>
      <c r="G308" s="1214"/>
      <c r="H308" s="1214"/>
      <c r="I308" s="1214"/>
      <c r="J308" s="1214"/>
      <c r="K308" s="1214"/>
      <c r="L308" s="1214"/>
      <c r="M308" s="1214"/>
      <c r="N308" s="1214"/>
      <c r="O308" s="1214"/>
      <c r="P308" s="1214"/>
      <c r="Q308" s="1214"/>
      <c r="R308" s="1214"/>
      <c r="S308" s="1214"/>
      <c r="T308" s="1214"/>
      <c r="U308" s="1214"/>
      <c r="V308" s="1214"/>
      <c r="W308" s="1214"/>
      <c r="X308" s="1214"/>
      <c r="Y308" s="1214"/>
      <c r="Z308" s="1214"/>
    </row>
    <row r="309">
      <c r="A309" s="1214"/>
      <c r="B309" s="1214"/>
      <c r="C309" s="1214"/>
      <c r="D309" s="1267"/>
      <c r="E309" s="1214"/>
      <c r="F309" s="1214"/>
      <c r="G309" s="1214"/>
      <c r="H309" s="1214"/>
      <c r="I309" s="1214"/>
      <c r="J309" s="1214"/>
      <c r="K309" s="1214"/>
      <c r="L309" s="1214"/>
      <c r="M309" s="1214"/>
      <c r="N309" s="1214"/>
      <c r="O309" s="1214"/>
      <c r="P309" s="1214"/>
      <c r="Q309" s="1214"/>
      <c r="R309" s="1214"/>
      <c r="S309" s="1214"/>
      <c r="T309" s="1214"/>
      <c r="U309" s="1214"/>
      <c r="V309" s="1214"/>
      <c r="W309" s="1214"/>
      <c r="X309" s="1214"/>
      <c r="Y309" s="1214"/>
      <c r="Z309" s="1214"/>
    </row>
    <row r="310">
      <c r="A310" s="1214"/>
      <c r="B310" s="1214"/>
      <c r="C310" s="1214"/>
      <c r="D310" s="1267"/>
      <c r="E310" s="1214"/>
      <c r="F310" s="1214"/>
      <c r="G310" s="1214"/>
      <c r="H310" s="1214"/>
      <c r="I310" s="1214"/>
      <c r="J310" s="1214"/>
      <c r="K310" s="1214"/>
      <c r="L310" s="1214"/>
      <c r="M310" s="1214"/>
      <c r="N310" s="1214"/>
      <c r="O310" s="1214"/>
      <c r="P310" s="1214"/>
      <c r="Q310" s="1214"/>
      <c r="R310" s="1214"/>
      <c r="S310" s="1214"/>
      <c r="T310" s="1214"/>
      <c r="U310" s="1214"/>
      <c r="V310" s="1214"/>
      <c r="W310" s="1214"/>
      <c r="X310" s="1214"/>
      <c r="Y310" s="1214"/>
      <c r="Z310" s="1214"/>
    </row>
    <row r="311">
      <c r="A311" s="1214"/>
      <c r="B311" s="1214"/>
      <c r="C311" s="1214"/>
      <c r="D311" s="1267"/>
      <c r="E311" s="1214"/>
      <c r="F311" s="1214"/>
      <c r="G311" s="1214"/>
      <c r="H311" s="1214"/>
      <c r="I311" s="1214"/>
      <c r="J311" s="1214"/>
      <c r="K311" s="1214"/>
      <c r="L311" s="1214"/>
      <c r="M311" s="1214"/>
      <c r="N311" s="1214"/>
      <c r="O311" s="1214"/>
      <c r="P311" s="1214"/>
      <c r="Q311" s="1214"/>
      <c r="R311" s="1214"/>
      <c r="S311" s="1214"/>
      <c r="T311" s="1214"/>
      <c r="U311" s="1214"/>
      <c r="V311" s="1214"/>
      <c r="W311" s="1214"/>
      <c r="X311" s="1214"/>
      <c r="Y311" s="1214"/>
      <c r="Z311" s="1214"/>
    </row>
    <row r="312">
      <c r="A312" s="1214"/>
      <c r="B312" s="1214"/>
      <c r="C312" s="1214"/>
      <c r="D312" s="1267"/>
      <c r="E312" s="1214"/>
      <c r="F312" s="1214"/>
      <c r="G312" s="1214"/>
      <c r="H312" s="1214"/>
      <c r="I312" s="1214"/>
      <c r="J312" s="1214"/>
      <c r="K312" s="1214"/>
      <c r="L312" s="1214"/>
      <c r="M312" s="1214"/>
      <c r="N312" s="1214"/>
      <c r="O312" s="1214"/>
      <c r="P312" s="1214"/>
      <c r="Q312" s="1214"/>
      <c r="R312" s="1214"/>
      <c r="S312" s="1214"/>
      <c r="T312" s="1214"/>
      <c r="U312" s="1214"/>
      <c r="V312" s="1214"/>
      <c r="W312" s="1214"/>
      <c r="X312" s="1214"/>
      <c r="Y312" s="1214"/>
      <c r="Z312" s="1214"/>
    </row>
    <row r="313">
      <c r="A313" s="1214"/>
      <c r="B313" s="1214"/>
      <c r="C313" s="1214"/>
      <c r="D313" s="1267"/>
      <c r="E313" s="1214"/>
      <c r="F313" s="1214"/>
      <c r="G313" s="1214"/>
      <c r="H313" s="1214"/>
      <c r="I313" s="1214"/>
      <c r="J313" s="1214"/>
      <c r="K313" s="1214"/>
      <c r="L313" s="1214"/>
      <c r="M313" s="1214"/>
      <c r="N313" s="1214"/>
      <c r="O313" s="1214"/>
      <c r="P313" s="1214"/>
      <c r="Q313" s="1214"/>
      <c r="R313" s="1214"/>
      <c r="S313" s="1214"/>
      <c r="T313" s="1214"/>
      <c r="U313" s="1214"/>
      <c r="V313" s="1214"/>
      <c r="W313" s="1214"/>
      <c r="X313" s="1214"/>
      <c r="Y313" s="1214"/>
      <c r="Z313" s="1214"/>
    </row>
    <row r="314">
      <c r="A314" s="1214"/>
      <c r="B314" s="1214"/>
      <c r="C314" s="1214"/>
      <c r="D314" s="1267"/>
      <c r="E314" s="1214"/>
      <c r="F314" s="1214"/>
      <c r="G314" s="1214"/>
      <c r="H314" s="1214"/>
      <c r="I314" s="1214"/>
      <c r="J314" s="1214"/>
      <c r="K314" s="1214"/>
      <c r="L314" s="1214"/>
      <c r="M314" s="1214"/>
      <c r="N314" s="1214"/>
      <c r="O314" s="1214"/>
      <c r="P314" s="1214"/>
      <c r="Q314" s="1214"/>
      <c r="R314" s="1214"/>
      <c r="S314" s="1214"/>
      <c r="T314" s="1214"/>
      <c r="U314" s="1214"/>
      <c r="V314" s="1214"/>
      <c r="W314" s="1214"/>
      <c r="X314" s="1214"/>
      <c r="Y314" s="1214"/>
      <c r="Z314" s="1214"/>
    </row>
    <row r="315">
      <c r="A315" s="1214"/>
      <c r="B315" s="1214"/>
      <c r="C315" s="1214"/>
      <c r="D315" s="1267"/>
      <c r="E315" s="1214"/>
      <c r="F315" s="1214"/>
      <c r="G315" s="1214"/>
      <c r="H315" s="1214"/>
      <c r="I315" s="1214"/>
      <c r="J315" s="1214"/>
      <c r="K315" s="1214"/>
      <c r="L315" s="1214"/>
      <c r="M315" s="1214"/>
      <c r="N315" s="1214"/>
      <c r="O315" s="1214"/>
      <c r="P315" s="1214"/>
      <c r="Q315" s="1214"/>
      <c r="R315" s="1214"/>
      <c r="S315" s="1214"/>
      <c r="T315" s="1214"/>
      <c r="U315" s="1214"/>
      <c r="V315" s="1214"/>
      <c r="W315" s="1214"/>
      <c r="X315" s="1214"/>
      <c r="Y315" s="1214"/>
      <c r="Z315" s="1214"/>
    </row>
    <row r="316">
      <c r="A316" s="1214"/>
      <c r="B316" s="1214"/>
      <c r="C316" s="1214"/>
      <c r="D316" s="1267"/>
      <c r="E316" s="1214"/>
      <c r="F316" s="1214"/>
      <c r="G316" s="1214"/>
      <c r="H316" s="1214"/>
      <c r="I316" s="1214"/>
      <c r="J316" s="1214"/>
      <c r="K316" s="1214"/>
      <c r="L316" s="1214"/>
      <c r="M316" s="1214"/>
      <c r="N316" s="1214"/>
      <c r="O316" s="1214"/>
      <c r="P316" s="1214"/>
      <c r="Q316" s="1214"/>
      <c r="R316" s="1214"/>
      <c r="S316" s="1214"/>
      <c r="T316" s="1214"/>
      <c r="U316" s="1214"/>
      <c r="V316" s="1214"/>
      <c r="W316" s="1214"/>
      <c r="X316" s="1214"/>
      <c r="Y316" s="1214"/>
      <c r="Z316" s="1214"/>
    </row>
    <row r="317">
      <c r="A317" s="1214"/>
      <c r="B317" s="1214"/>
      <c r="C317" s="1214"/>
      <c r="D317" s="1267"/>
      <c r="E317" s="1214"/>
      <c r="F317" s="1214"/>
      <c r="G317" s="1214"/>
      <c r="H317" s="1214"/>
      <c r="I317" s="1214"/>
      <c r="J317" s="1214"/>
      <c r="K317" s="1214"/>
      <c r="L317" s="1214"/>
      <c r="M317" s="1214"/>
      <c r="N317" s="1214"/>
      <c r="O317" s="1214"/>
      <c r="P317" s="1214"/>
      <c r="Q317" s="1214"/>
      <c r="R317" s="1214"/>
      <c r="S317" s="1214"/>
      <c r="T317" s="1214"/>
      <c r="U317" s="1214"/>
      <c r="V317" s="1214"/>
      <c r="W317" s="1214"/>
      <c r="X317" s="1214"/>
      <c r="Y317" s="1214"/>
      <c r="Z317" s="1214"/>
    </row>
    <row r="318">
      <c r="A318" s="1214"/>
      <c r="B318" s="1214"/>
      <c r="C318" s="1214"/>
      <c r="D318" s="1267"/>
      <c r="E318" s="1214"/>
      <c r="F318" s="1214"/>
      <c r="G318" s="1214"/>
      <c r="H318" s="1214"/>
      <c r="I318" s="1214"/>
      <c r="J318" s="1214"/>
      <c r="K318" s="1214"/>
      <c r="L318" s="1214"/>
      <c r="M318" s="1214"/>
      <c r="N318" s="1214"/>
      <c r="O318" s="1214"/>
      <c r="P318" s="1214"/>
      <c r="Q318" s="1214"/>
      <c r="R318" s="1214"/>
      <c r="S318" s="1214"/>
      <c r="T318" s="1214"/>
      <c r="U318" s="1214"/>
      <c r="V318" s="1214"/>
      <c r="W318" s="1214"/>
      <c r="X318" s="1214"/>
      <c r="Y318" s="1214"/>
      <c r="Z318" s="1214"/>
    </row>
    <row r="319">
      <c r="A319" s="1214"/>
      <c r="B319" s="1214"/>
      <c r="C319" s="1214"/>
      <c r="D319" s="1267"/>
      <c r="E319" s="1214"/>
      <c r="F319" s="1214"/>
      <c r="G319" s="1214"/>
      <c r="H319" s="1214"/>
      <c r="I319" s="1214"/>
      <c r="J319" s="1214"/>
      <c r="K319" s="1214"/>
      <c r="L319" s="1214"/>
      <c r="M319" s="1214"/>
      <c r="N319" s="1214"/>
      <c r="O319" s="1214"/>
      <c r="P319" s="1214"/>
      <c r="Q319" s="1214"/>
      <c r="R319" s="1214"/>
      <c r="S319" s="1214"/>
      <c r="T319" s="1214"/>
      <c r="U319" s="1214"/>
      <c r="V319" s="1214"/>
      <c r="W319" s="1214"/>
      <c r="X319" s="1214"/>
      <c r="Y319" s="1214"/>
      <c r="Z319" s="1214"/>
    </row>
    <row r="320">
      <c r="A320" s="1214"/>
      <c r="B320" s="1214"/>
      <c r="C320" s="1214"/>
      <c r="D320" s="1267"/>
      <c r="E320" s="1214"/>
      <c r="F320" s="1214"/>
      <c r="G320" s="1214"/>
      <c r="H320" s="1214"/>
      <c r="I320" s="1214"/>
      <c r="J320" s="1214"/>
      <c r="K320" s="1214"/>
      <c r="L320" s="1214"/>
      <c r="M320" s="1214"/>
      <c r="N320" s="1214"/>
      <c r="O320" s="1214"/>
      <c r="P320" s="1214"/>
      <c r="Q320" s="1214"/>
      <c r="R320" s="1214"/>
      <c r="S320" s="1214"/>
      <c r="T320" s="1214"/>
      <c r="U320" s="1214"/>
      <c r="V320" s="1214"/>
      <c r="W320" s="1214"/>
      <c r="X320" s="1214"/>
      <c r="Y320" s="1214"/>
      <c r="Z320" s="1214"/>
    </row>
    <row r="321">
      <c r="A321" s="1214"/>
      <c r="B321" s="1214"/>
      <c r="C321" s="1214"/>
      <c r="D321" s="1267"/>
      <c r="E321" s="1214"/>
      <c r="F321" s="1214"/>
      <c r="G321" s="1214"/>
      <c r="H321" s="1214"/>
      <c r="I321" s="1214"/>
      <c r="J321" s="1214"/>
      <c r="K321" s="1214"/>
      <c r="L321" s="1214"/>
      <c r="M321" s="1214"/>
      <c r="N321" s="1214"/>
      <c r="O321" s="1214"/>
      <c r="P321" s="1214"/>
      <c r="Q321" s="1214"/>
      <c r="R321" s="1214"/>
      <c r="S321" s="1214"/>
      <c r="T321" s="1214"/>
      <c r="U321" s="1214"/>
      <c r="V321" s="1214"/>
      <c r="W321" s="1214"/>
      <c r="X321" s="1214"/>
      <c r="Y321" s="1214"/>
      <c r="Z321" s="1214"/>
    </row>
    <row r="322">
      <c r="A322" s="1214"/>
      <c r="B322" s="1214"/>
      <c r="C322" s="1214"/>
      <c r="D322" s="1267"/>
      <c r="E322" s="1214"/>
      <c r="F322" s="1214"/>
      <c r="G322" s="1214"/>
      <c r="H322" s="1214"/>
      <c r="I322" s="1214"/>
      <c r="J322" s="1214"/>
      <c r="K322" s="1214"/>
      <c r="L322" s="1214"/>
      <c r="M322" s="1214"/>
      <c r="N322" s="1214"/>
      <c r="O322" s="1214"/>
      <c r="P322" s="1214"/>
      <c r="Q322" s="1214"/>
      <c r="R322" s="1214"/>
      <c r="S322" s="1214"/>
      <c r="T322" s="1214"/>
      <c r="U322" s="1214"/>
      <c r="V322" s="1214"/>
      <c r="W322" s="1214"/>
      <c r="X322" s="1214"/>
      <c r="Y322" s="1214"/>
      <c r="Z322" s="1214"/>
    </row>
    <row r="323">
      <c r="A323" s="1214"/>
      <c r="B323" s="1214"/>
      <c r="C323" s="1214"/>
      <c r="D323" s="1267"/>
      <c r="E323" s="1214"/>
      <c r="F323" s="1214"/>
      <c r="G323" s="1214"/>
      <c r="H323" s="1214"/>
      <c r="I323" s="1214"/>
      <c r="J323" s="1214"/>
      <c r="K323" s="1214"/>
      <c r="L323" s="1214"/>
      <c r="M323" s="1214"/>
      <c r="N323" s="1214"/>
      <c r="O323" s="1214"/>
      <c r="P323" s="1214"/>
      <c r="Q323" s="1214"/>
      <c r="R323" s="1214"/>
      <c r="S323" s="1214"/>
      <c r="T323" s="1214"/>
      <c r="U323" s="1214"/>
      <c r="V323" s="1214"/>
      <c r="W323" s="1214"/>
      <c r="X323" s="1214"/>
      <c r="Y323" s="1214"/>
      <c r="Z323" s="1214"/>
    </row>
    <row r="324">
      <c r="A324" s="1214"/>
      <c r="B324" s="1214"/>
      <c r="C324" s="1214"/>
      <c r="D324" s="1267"/>
      <c r="E324" s="1214"/>
      <c r="F324" s="1214"/>
      <c r="G324" s="1214"/>
      <c r="H324" s="1214"/>
      <c r="I324" s="1214"/>
      <c r="J324" s="1214"/>
      <c r="K324" s="1214"/>
      <c r="L324" s="1214"/>
      <c r="M324" s="1214"/>
      <c r="N324" s="1214"/>
      <c r="O324" s="1214"/>
      <c r="P324" s="1214"/>
      <c r="Q324" s="1214"/>
      <c r="R324" s="1214"/>
      <c r="S324" s="1214"/>
      <c r="T324" s="1214"/>
      <c r="U324" s="1214"/>
      <c r="V324" s="1214"/>
      <c r="W324" s="1214"/>
      <c r="X324" s="1214"/>
      <c r="Y324" s="1214"/>
      <c r="Z324" s="1214"/>
    </row>
    <row r="325">
      <c r="A325" s="1214"/>
      <c r="B325" s="1214"/>
      <c r="C325" s="1214"/>
      <c r="D325" s="1267"/>
      <c r="E325" s="1214"/>
      <c r="F325" s="1214"/>
      <c r="G325" s="1214"/>
      <c r="H325" s="1214"/>
      <c r="I325" s="1214"/>
      <c r="J325" s="1214"/>
      <c r="K325" s="1214"/>
      <c r="L325" s="1214"/>
      <c r="M325" s="1214"/>
      <c r="N325" s="1214"/>
      <c r="O325" s="1214"/>
      <c r="P325" s="1214"/>
      <c r="Q325" s="1214"/>
      <c r="R325" s="1214"/>
      <c r="S325" s="1214"/>
      <c r="T325" s="1214"/>
      <c r="U325" s="1214"/>
      <c r="V325" s="1214"/>
      <c r="W325" s="1214"/>
      <c r="X325" s="1214"/>
      <c r="Y325" s="1214"/>
      <c r="Z325" s="1214"/>
    </row>
    <row r="326">
      <c r="A326" s="1214"/>
      <c r="B326" s="1214"/>
      <c r="C326" s="1214"/>
      <c r="D326" s="1267"/>
      <c r="E326" s="1214"/>
      <c r="F326" s="1214"/>
      <c r="G326" s="1214"/>
      <c r="H326" s="1214"/>
      <c r="I326" s="1214"/>
      <c r="J326" s="1214"/>
      <c r="K326" s="1214"/>
      <c r="L326" s="1214"/>
      <c r="M326" s="1214"/>
      <c r="N326" s="1214"/>
      <c r="O326" s="1214"/>
      <c r="P326" s="1214"/>
      <c r="Q326" s="1214"/>
      <c r="R326" s="1214"/>
      <c r="S326" s="1214"/>
      <c r="T326" s="1214"/>
      <c r="U326" s="1214"/>
      <c r="V326" s="1214"/>
      <c r="W326" s="1214"/>
      <c r="X326" s="1214"/>
      <c r="Y326" s="1214"/>
      <c r="Z326" s="1214"/>
    </row>
    <row r="327">
      <c r="A327" s="1214"/>
      <c r="B327" s="1214"/>
      <c r="C327" s="1214"/>
      <c r="D327" s="1267"/>
      <c r="E327" s="1214"/>
      <c r="F327" s="1214"/>
      <c r="G327" s="1214"/>
      <c r="H327" s="1214"/>
      <c r="I327" s="1214"/>
      <c r="J327" s="1214"/>
      <c r="K327" s="1214"/>
      <c r="L327" s="1214"/>
      <c r="M327" s="1214"/>
      <c r="N327" s="1214"/>
      <c r="O327" s="1214"/>
      <c r="P327" s="1214"/>
      <c r="Q327" s="1214"/>
      <c r="R327" s="1214"/>
      <c r="S327" s="1214"/>
      <c r="T327" s="1214"/>
      <c r="U327" s="1214"/>
      <c r="V327" s="1214"/>
      <c r="W327" s="1214"/>
      <c r="X327" s="1214"/>
      <c r="Y327" s="1214"/>
      <c r="Z327" s="1214"/>
    </row>
    <row r="328">
      <c r="A328" s="1214"/>
      <c r="B328" s="1214"/>
      <c r="C328" s="1214"/>
      <c r="D328" s="1267"/>
      <c r="E328" s="1214"/>
      <c r="F328" s="1214"/>
      <c r="G328" s="1214"/>
      <c r="H328" s="1214"/>
      <c r="I328" s="1214"/>
      <c r="J328" s="1214"/>
      <c r="K328" s="1214"/>
      <c r="L328" s="1214"/>
      <c r="M328" s="1214"/>
      <c r="N328" s="1214"/>
      <c r="O328" s="1214"/>
      <c r="P328" s="1214"/>
      <c r="Q328" s="1214"/>
      <c r="R328" s="1214"/>
      <c r="S328" s="1214"/>
      <c r="T328" s="1214"/>
      <c r="U328" s="1214"/>
      <c r="V328" s="1214"/>
      <c r="W328" s="1214"/>
      <c r="X328" s="1214"/>
      <c r="Y328" s="1214"/>
      <c r="Z328" s="1214"/>
    </row>
    <row r="329">
      <c r="A329" s="1214"/>
      <c r="B329" s="1214"/>
      <c r="C329" s="1214"/>
      <c r="D329" s="1267"/>
      <c r="E329" s="1214"/>
      <c r="F329" s="1214"/>
      <c r="G329" s="1214"/>
      <c r="H329" s="1214"/>
      <c r="I329" s="1214"/>
      <c r="J329" s="1214"/>
      <c r="K329" s="1214"/>
      <c r="L329" s="1214"/>
      <c r="M329" s="1214"/>
      <c r="N329" s="1214"/>
      <c r="O329" s="1214"/>
      <c r="P329" s="1214"/>
      <c r="Q329" s="1214"/>
      <c r="R329" s="1214"/>
      <c r="S329" s="1214"/>
      <c r="T329" s="1214"/>
      <c r="U329" s="1214"/>
      <c r="V329" s="1214"/>
      <c r="W329" s="1214"/>
      <c r="X329" s="1214"/>
      <c r="Y329" s="1214"/>
      <c r="Z329" s="1214"/>
    </row>
    <row r="330">
      <c r="A330" s="1214"/>
      <c r="B330" s="1214"/>
      <c r="C330" s="1214"/>
      <c r="D330" s="1267"/>
      <c r="E330" s="1214"/>
      <c r="F330" s="1214"/>
      <c r="G330" s="1214"/>
      <c r="H330" s="1214"/>
      <c r="I330" s="1214"/>
      <c r="J330" s="1214"/>
      <c r="K330" s="1214"/>
      <c r="L330" s="1214"/>
      <c r="M330" s="1214"/>
      <c r="N330" s="1214"/>
      <c r="O330" s="1214"/>
      <c r="P330" s="1214"/>
      <c r="Q330" s="1214"/>
      <c r="R330" s="1214"/>
      <c r="S330" s="1214"/>
      <c r="T330" s="1214"/>
      <c r="U330" s="1214"/>
      <c r="V330" s="1214"/>
      <c r="W330" s="1214"/>
      <c r="X330" s="1214"/>
      <c r="Y330" s="1214"/>
      <c r="Z330" s="1214"/>
    </row>
    <row r="331">
      <c r="A331" s="1214"/>
      <c r="B331" s="1214"/>
      <c r="C331" s="1214"/>
      <c r="D331" s="1267"/>
      <c r="E331" s="1214"/>
      <c r="F331" s="1214"/>
      <c r="G331" s="1214"/>
      <c r="H331" s="1214"/>
      <c r="I331" s="1214"/>
      <c r="J331" s="1214"/>
      <c r="K331" s="1214"/>
      <c r="L331" s="1214"/>
      <c r="M331" s="1214"/>
      <c r="N331" s="1214"/>
      <c r="O331" s="1214"/>
      <c r="P331" s="1214"/>
      <c r="Q331" s="1214"/>
      <c r="R331" s="1214"/>
      <c r="S331" s="1214"/>
      <c r="T331" s="1214"/>
      <c r="U331" s="1214"/>
      <c r="V331" s="1214"/>
      <c r="W331" s="1214"/>
      <c r="X331" s="1214"/>
      <c r="Y331" s="1214"/>
      <c r="Z331" s="1214"/>
    </row>
    <row r="332">
      <c r="A332" s="1214"/>
      <c r="B332" s="1214"/>
      <c r="C332" s="1214"/>
      <c r="D332" s="1267"/>
      <c r="E332" s="1214"/>
      <c r="F332" s="1214"/>
      <c r="G332" s="1214"/>
      <c r="H332" s="1214"/>
      <c r="I332" s="1214"/>
      <c r="J332" s="1214"/>
      <c r="K332" s="1214"/>
      <c r="L332" s="1214"/>
      <c r="M332" s="1214"/>
      <c r="N332" s="1214"/>
      <c r="O332" s="1214"/>
      <c r="P332" s="1214"/>
      <c r="Q332" s="1214"/>
      <c r="R332" s="1214"/>
      <c r="S332" s="1214"/>
      <c r="T332" s="1214"/>
      <c r="U332" s="1214"/>
      <c r="V332" s="1214"/>
      <c r="W332" s="1214"/>
      <c r="X332" s="1214"/>
      <c r="Y332" s="1214"/>
      <c r="Z332" s="1214"/>
    </row>
    <row r="333">
      <c r="A333" s="1214"/>
      <c r="B333" s="1214"/>
      <c r="C333" s="1214"/>
      <c r="D333" s="1267"/>
      <c r="E333" s="1214"/>
      <c r="F333" s="1214"/>
      <c r="G333" s="1214"/>
      <c r="H333" s="1214"/>
      <c r="I333" s="1214"/>
      <c r="J333" s="1214"/>
      <c r="K333" s="1214"/>
      <c r="L333" s="1214"/>
      <c r="M333" s="1214"/>
      <c r="N333" s="1214"/>
      <c r="O333" s="1214"/>
      <c r="P333" s="1214"/>
      <c r="Q333" s="1214"/>
      <c r="R333" s="1214"/>
      <c r="S333" s="1214"/>
      <c r="T333" s="1214"/>
      <c r="U333" s="1214"/>
      <c r="V333" s="1214"/>
      <c r="W333" s="1214"/>
      <c r="X333" s="1214"/>
      <c r="Y333" s="1214"/>
      <c r="Z333" s="1214"/>
    </row>
    <row r="334">
      <c r="A334" s="1214"/>
      <c r="B334" s="1214"/>
      <c r="C334" s="1214"/>
      <c r="D334" s="1267"/>
      <c r="E334" s="1214"/>
      <c r="F334" s="1214"/>
      <c r="G334" s="1214"/>
      <c r="H334" s="1214"/>
      <c r="I334" s="1214"/>
      <c r="J334" s="1214"/>
      <c r="K334" s="1214"/>
      <c r="L334" s="1214"/>
      <c r="M334" s="1214"/>
      <c r="N334" s="1214"/>
      <c r="O334" s="1214"/>
      <c r="P334" s="1214"/>
      <c r="Q334" s="1214"/>
      <c r="R334" s="1214"/>
      <c r="S334" s="1214"/>
      <c r="T334" s="1214"/>
      <c r="U334" s="1214"/>
      <c r="V334" s="1214"/>
      <c r="W334" s="1214"/>
      <c r="X334" s="1214"/>
      <c r="Y334" s="1214"/>
      <c r="Z334" s="1214"/>
    </row>
    <row r="335">
      <c r="A335" s="1214"/>
      <c r="B335" s="1214"/>
      <c r="C335" s="1214"/>
      <c r="D335" s="1267"/>
      <c r="E335" s="1214"/>
      <c r="F335" s="1214"/>
      <c r="G335" s="1214"/>
      <c r="H335" s="1214"/>
      <c r="I335" s="1214"/>
      <c r="J335" s="1214"/>
      <c r="K335" s="1214"/>
      <c r="L335" s="1214"/>
      <c r="M335" s="1214"/>
      <c r="N335" s="1214"/>
      <c r="O335" s="1214"/>
      <c r="P335" s="1214"/>
      <c r="Q335" s="1214"/>
      <c r="R335" s="1214"/>
      <c r="S335" s="1214"/>
      <c r="T335" s="1214"/>
      <c r="U335" s="1214"/>
      <c r="V335" s="1214"/>
      <c r="W335" s="1214"/>
      <c r="X335" s="1214"/>
      <c r="Y335" s="1214"/>
      <c r="Z335" s="1214"/>
    </row>
    <row r="336">
      <c r="A336" s="1214"/>
      <c r="B336" s="1214"/>
      <c r="C336" s="1214"/>
      <c r="D336" s="1267"/>
      <c r="E336" s="1214"/>
      <c r="F336" s="1214"/>
      <c r="G336" s="1214"/>
      <c r="H336" s="1214"/>
      <c r="I336" s="1214"/>
      <c r="J336" s="1214"/>
      <c r="K336" s="1214"/>
      <c r="L336" s="1214"/>
      <c r="M336" s="1214"/>
      <c r="N336" s="1214"/>
      <c r="O336" s="1214"/>
      <c r="P336" s="1214"/>
      <c r="Q336" s="1214"/>
      <c r="R336" s="1214"/>
      <c r="S336" s="1214"/>
      <c r="T336" s="1214"/>
      <c r="U336" s="1214"/>
      <c r="V336" s="1214"/>
      <c r="W336" s="1214"/>
      <c r="X336" s="1214"/>
      <c r="Y336" s="1214"/>
      <c r="Z336" s="1214"/>
    </row>
    <row r="337">
      <c r="A337" s="1214"/>
      <c r="B337" s="1214"/>
      <c r="C337" s="1214"/>
      <c r="D337" s="1267"/>
      <c r="E337" s="1214"/>
      <c r="F337" s="1214"/>
      <c r="G337" s="1214"/>
      <c r="H337" s="1214"/>
      <c r="I337" s="1214"/>
      <c r="J337" s="1214"/>
      <c r="K337" s="1214"/>
      <c r="L337" s="1214"/>
      <c r="M337" s="1214"/>
      <c r="N337" s="1214"/>
      <c r="O337" s="1214"/>
      <c r="P337" s="1214"/>
      <c r="Q337" s="1214"/>
      <c r="R337" s="1214"/>
      <c r="S337" s="1214"/>
      <c r="T337" s="1214"/>
      <c r="U337" s="1214"/>
      <c r="V337" s="1214"/>
      <c r="W337" s="1214"/>
      <c r="X337" s="1214"/>
      <c r="Y337" s="1214"/>
      <c r="Z337" s="1214"/>
    </row>
    <row r="338">
      <c r="A338" s="1214"/>
      <c r="B338" s="1214"/>
      <c r="C338" s="1214"/>
      <c r="D338" s="1267"/>
      <c r="E338" s="1214"/>
      <c r="F338" s="1214"/>
      <c r="G338" s="1214"/>
      <c r="H338" s="1214"/>
      <c r="I338" s="1214"/>
      <c r="J338" s="1214"/>
      <c r="K338" s="1214"/>
      <c r="L338" s="1214"/>
      <c r="M338" s="1214"/>
      <c r="N338" s="1214"/>
      <c r="O338" s="1214"/>
      <c r="P338" s="1214"/>
      <c r="Q338" s="1214"/>
      <c r="R338" s="1214"/>
      <c r="S338" s="1214"/>
      <c r="T338" s="1214"/>
      <c r="U338" s="1214"/>
      <c r="V338" s="1214"/>
      <c r="W338" s="1214"/>
      <c r="X338" s="1214"/>
      <c r="Y338" s="1214"/>
      <c r="Z338" s="1214"/>
    </row>
    <row r="339">
      <c r="A339" s="1214"/>
      <c r="B339" s="1214"/>
      <c r="C339" s="1214"/>
      <c r="D339" s="1267"/>
      <c r="E339" s="1214"/>
      <c r="F339" s="1214"/>
      <c r="G339" s="1214"/>
      <c r="H339" s="1214"/>
      <c r="I339" s="1214"/>
      <c r="J339" s="1214"/>
      <c r="K339" s="1214"/>
      <c r="L339" s="1214"/>
      <c r="M339" s="1214"/>
      <c r="N339" s="1214"/>
      <c r="O339" s="1214"/>
      <c r="P339" s="1214"/>
      <c r="Q339" s="1214"/>
      <c r="R339" s="1214"/>
      <c r="S339" s="1214"/>
      <c r="T339" s="1214"/>
      <c r="U339" s="1214"/>
      <c r="V339" s="1214"/>
      <c r="W339" s="1214"/>
      <c r="X339" s="1214"/>
      <c r="Y339" s="1214"/>
      <c r="Z339" s="1214"/>
    </row>
    <row r="340">
      <c r="A340" s="1214"/>
      <c r="B340" s="1214"/>
      <c r="C340" s="1214"/>
      <c r="D340" s="1267"/>
      <c r="E340" s="1214"/>
      <c r="F340" s="1214"/>
      <c r="G340" s="1214"/>
      <c r="H340" s="1214"/>
      <c r="I340" s="1214"/>
      <c r="J340" s="1214"/>
      <c r="K340" s="1214"/>
      <c r="L340" s="1214"/>
      <c r="M340" s="1214"/>
      <c r="N340" s="1214"/>
      <c r="O340" s="1214"/>
      <c r="P340" s="1214"/>
      <c r="Q340" s="1214"/>
      <c r="R340" s="1214"/>
      <c r="S340" s="1214"/>
      <c r="T340" s="1214"/>
      <c r="U340" s="1214"/>
      <c r="V340" s="1214"/>
      <c r="W340" s="1214"/>
      <c r="X340" s="1214"/>
      <c r="Y340" s="1214"/>
      <c r="Z340" s="1214"/>
    </row>
    <row r="341">
      <c r="A341" s="1214"/>
      <c r="B341" s="1214"/>
      <c r="C341" s="1214"/>
      <c r="D341" s="1267"/>
      <c r="E341" s="1214"/>
      <c r="F341" s="1214"/>
      <c r="G341" s="1214"/>
      <c r="H341" s="1214"/>
      <c r="I341" s="1214"/>
      <c r="J341" s="1214"/>
      <c r="K341" s="1214"/>
      <c r="L341" s="1214"/>
      <c r="M341" s="1214"/>
      <c r="N341" s="1214"/>
      <c r="O341" s="1214"/>
      <c r="P341" s="1214"/>
      <c r="Q341" s="1214"/>
      <c r="R341" s="1214"/>
      <c r="S341" s="1214"/>
      <c r="T341" s="1214"/>
      <c r="U341" s="1214"/>
      <c r="V341" s="1214"/>
      <c r="W341" s="1214"/>
      <c r="X341" s="1214"/>
      <c r="Y341" s="1214"/>
      <c r="Z341" s="1214"/>
    </row>
    <row r="342">
      <c r="A342" s="1214"/>
      <c r="B342" s="1214"/>
      <c r="C342" s="1214"/>
      <c r="D342" s="1267"/>
      <c r="E342" s="1214"/>
      <c r="F342" s="1214"/>
      <c r="G342" s="1214"/>
      <c r="H342" s="1214"/>
      <c r="I342" s="1214"/>
      <c r="J342" s="1214"/>
      <c r="K342" s="1214"/>
      <c r="L342" s="1214"/>
      <c r="M342" s="1214"/>
      <c r="N342" s="1214"/>
      <c r="O342" s="1214"/>
      <c r="P342" s="1214"/>
      <c r="Q342" s="1214"/>
      <c r="R342" s="1214"/>
      <c r="S342" s="1214"/>
      <c r="T342" s="1214"/>
      <c r="U342" s="1214"/>
      <c r="V342" s="1214"/>
      <c r="W342" s="1214"/>
      <c r="X342" s="1214"/>
      <c r="Y342" s="1214"/>
      <c r="Z342" s="1214"/>
    </row>
    <row r="343">
      <c r="A343" s="1214"/>
      <c r="B343" s="1214"/>
      <c r="C343" s="1214"/>
      <c r="D343" s="1267"/>
      <c r="E343" s="1214"/>
      <c r="F343" s="1214"/>
      <c r="G343" s="1214"/>
      <c r="H343" s="1214"/>
      <c r="I343" s="1214"/>
      <c r="J343" s="1214"/>
      <c r="K343" s="1214"/>
      <c r="L343" s="1214"/>
      <c r="M343" s="1214"/>
      <c r="N343" s="1214"/>
      <c r="O343" s="1214"/>
      <c r="P343" s="1214"/>
      <c r="Q343" s="1214"/>
      <c r="R343" s="1214"/>
      <c r="S343" s="1214"/>
      <c r="T343" s="1214"/>
      <c r="U343" s="1214"/>
      <c r="V343" s="1214"/>
      <c r="W343" s="1214"/>
      <c r="X343" s="1214"/>
      <c r="Y343" s="1214"/>
      <c r="Z343" s="1214"/>
    </row>
    <row r="344">
      <c r="A344" s="1214"/>
      <c r="B344" s="1214"/>
      <c r="C344" s="1214"/>
      <c r="D344" s="1267"/>
      <c r="E344" s="1214"/>
      <c r="F344" s="1214"/>
      <c r="G344" s="1214"/>
      <c r="H344" s="1214"/>
      <c r="I344" s="1214"/>
      <c r="J344" s="1214"/>
      <c r="K344" s="1214"/>
      <c r="L344" s="1214"/>
      <c r="M344" s="1214"/>
      <c r="N344" s="1214"/>
      <c r="O344" s="1214"/>
      <c r="P344" s="1214"/>
      <c r="Q344" s="1214"/>
      <c r="R344" s="1214"/>
      <c r="S344" s="1214"/>
      <c r="T344" s="1214"/>
      <c r="U344" s="1214"/>
      <c r="V344" s="1214"/>
      <c r="W344" s="1214"/>
      <c r="X344" s="1214"/>
      <c r="Y344" s="1214"/>
      <c r="Z344" s="1214"/>
    </row>
    <row r="345">
      <c r="A345" s="1214"/>
      <c r="B345" s="1214"/>
      <c r="C345" s="1214"/>
      <c r="D345" s="1267"/>
      <c r="E345" s="1214"/>
      <c r="F345" s="1214"/>
      <c r="G345" s="1214"/>
      <c r="H345" s="1214"/>
      <c r="I345" s="1214"/>
      <c r="J345" s="1214"/>
      <c r="K345" s="1214"/>
      <c r="L345" s="1214"/>
      <c r="M345" s="1214"/>
      <c r="N345" s="1214"/>
      <c r="O345" s="1214"/>
      <c r="P345" s="1214"/>
      <c r="Q345" s="1214"/>
      <c r="R345" s="1214"/>
      <c r="S345" s="1214"/>
      <c r="T345" s="1214"/>
      <c r="U345" s="1214"/>
      <c r="V345" s="1214"/>
      <c r="W345" s="1214"/>
      <c r="X345" s="1214"/>
      <c r="Y345" s="1214"/>
      <c r="Z345" s="1214"/>
    </row>
    <row r="346">
      <c r="A346" s="1214"/>
      <c r="B346" s="1214"/>
      <c r="C346" s="1214"/>
      <c r="D346" s="1267"/>
      <c r="E346" s="1214"/>
      <c r="F346" s="1214"/>
      <c r="G346" s="1214"/>
      <c r="H346" s="1214"/>
      <c r="I346" s="1214"/>
      <c r="J346" s="1214"/>
      <c r="K346" s="1214"/>
      <c r="L346" s="1214"/>
      <c r="M346" s="1214"/>
      <c r="N346" s="1214"/>
      <c r="O346" s="1214"/>
      <c r="P346" s="1214"/>
      <c r="Q346" s="1214"/>
      <c r="R346" s="1214"/>
      <c r="S346" s="1214"/>
      <c r="T346" s="1214"/>
      <c r="U346" s="1214"/>
      <c r="V346" s="1214"/>
      <c r="W346" s="1214"/>
      <c r="X346" s="1214"/>
      <c r="Y346" s="1214"/>
      <c r="Z346" s="1214"/>
    </row>
    <row r="347">
      <c r="A347" s="1214"/>
      <c r="B347" s="1214"/>
      <c r="C347" s="1214"/>
      <c r="D347" s="1267"/>
      <c r="E347" s="1214"/>
      <c r="F347" s="1214"/>
      <c r="G347" s="1214"/>
      <c r="H347" s="1214"/>
      <c r="I347" s="1214"/>
      <c r="J347" s="1214"/>
      <c r="K347" s="1214"/>
      <c r="L347" s="1214"/>
      <c r="M347" s="1214"/>
      <c r="N347" s="1214"/>
      <c r="O347" s="1214"/>
      <c r="P347" s="1214"/>
      <c r="Q347" s="1214"/>
      <c r="R347" s="1214"/>
      <c r="S347" s="1214"/>
      <c r="T347" s="1214"/>
      <c r="U347" s="1214"/>
      <c r="V347" s="1214"/>
      <c r="W347" s="1214"/>
      <c r="X347" s="1214"/>
      <c r="Y347" s="1214"/>
      <c r="Z347" s="1214"/>
    </row>
    <row r="348">
      <c r="A348" s="1214"/>
      <c r="B348" s="1214"/>
      <c r="C348" s="1214"/>
      <c r="D348" s="1267"/>
      <c r="E348" s="1214"/>
      <c r="F348" s="1214"/>
      <c r="G348" s="1214"/>
      <c r="H348" s="1214"/>
      <c r="I348" s="1214"/>
      <c r="J348" s="1214"/>
      <c r="K348" s="1214"/>
      <c r="L348" s="1214"/>
      <c r="M348" s="1214"/>
      <c r="N348" s="1214"/>
      <c r="O348" s="1214"/>
      <c r="P348" s="1214"/>
      <c r="Q348" s="1214"/>
      <c r="R348" s="1214"/>
      <c r="S348" s="1214"/>
      <c r="T348" s="1214"/>
      <c r="U348" s="1214"/>
      <c r="V348" s="1214"/>
      <c r="W348" s="1214"/>
      <c r="X348" s="1214"/>
      <c r="Y348" s="1214"/>
      <c r="Z348" s="1214"/>
    </row>
    <row r="349">
      <c r="A349" s="1214"/>
      <c r="B349" s="1214"/>
      <c r="C349" s="1214"/>
      <c r="D349" s="1267"/>
      <c r="E349" s="1214"/>
      <c r="F349" s="1214"/>
      <c r="G349" s="1214"/>
      <c r="H349" s="1214"/>
      <c r="I349" s="1214"/>
      <c r="J349" s="1214"/>
      <c r="K349" s="1214"/>
      <c r="L349" s="1214"/>
      <c r="M349" s="1214"/>
      <c r="N349" s="1214"/>
      <c r="O349" s="1214"/>
      <c r="P349" s="1214"/>
      <c r="Q349" s="1214"/>
      <c r="R349" s="1214"/>
      <c r="S349" s="1214"/>
      <c r="T349" s="1214"/>
      <c r="U349" s="1214"/>
      <c r="V349" s="1214"/>
      <c r="W349" s="1214"/>
      <c r="X349" s="1214"/>
      <c r="Y349" s="1214"/>
      <c r="Z349" s="1214"/>
    </row>
    <row r="350">
      <c r="A350" s="1214"/>
      <c r="B350" s="1214"/>
      <c r="C350" s="1214"/>
      <c r="D350" s="1267"/>
      <c r="E350" s="1214"/>
      <c r="F350" s="1214"/>
      <c r="G350" s="1214"/>
      <c r="H350" s="1214"/>
      <c r="I350" s="1214"/>
      <c r="J350" s="1214"/>
      <c r="K350" s="1214"/>
      <c r="L350" s="1214"/>
      <c r="M350" s="1214"/>
      <c r="N350" s="1214"/>
      <c r="O350" s="1214"/>
      <c r="P350" s="1214"/>
      <c r="Q350" s="1214"/>
      <c r="R350" s="1214"/>
      <c r="S350" s="1214"/>
      <c r="T350" s="1214"/>
      <c r="U350" s="1214"/>
      <c r="V350" s="1214"/>
      <c r="W350" s="1214"/>
      <c r="X350" s="1214"/>
      <c r="Y350" s="1214"/>
      <c r="Z350" s="1214"/>
    </row>
    <row r="351">
      <c r="A351" s="1214"/>
      <c r="B351" s="1214"/>
      <c r="C351" s="1214"/>
      <c r="D351" s="1267"/>
      <c r="E351" s="1214"/>
      <c r="F351" s="1214"/>
      <c r="G351" s="1214"/>
      <c r="H351" s="1214"/>
      <c r="I351" s="1214"/>
      <c r="J351" s="1214"/>
      <c r="K351" s="1214"/>
      <c r="L351" s="1214"/>
      <c r="M351" s="1214"/>
      <c r="N351" s="1214"/>
      <c r="O351" s="1214"/>
      <c r="P351" s="1214"/>
      <c r="Q351" s="1214"/>
      <c r="R351" s="1214"/>
      <c r="S351" s="1214"/>
      <c r="T351" s="1214"/>
      <c r="U351" s="1214"/>
      <c r="V351" s="1214"/>
      <c r="W351" s="1214"/>
      <c r="X351" s="1214"/>
      <c r="Y351" s="1214"/>
      <c r="Z351" s="1214"/>
    </row>
    <row r="352">
      <c r="A352" s="1214"/>
      <c r="B352" s="1214"/>
      <c r="C352" s="1214"/>
      <c r="D352" s="1267"/>
      <c r="E352" s="1214"/>
      <c r="F352" s="1214"/>
      <c r="G352" s="1214"/>
      <c r="H352" s="1214"/>
      <c r="I352" s="1214"/>
      <c r="J352" s="1214"/>
      <c r="K352" s="1214"/>
      <c r="L352" s="1214"/>
      <c r="M352" s="1214"/>
      <c r="N352" s="1214"/>
      <c r="O352" s="1214"/>
      <c r="P352" s="1214"/>
      <c r="Q352" s="1214"/>
      <c r="R352" s="1214"/>
      <c r="S352" s="1214"/>
      <c r="T352" s="1214"/>
      <c r="U352" s="1214"/>
      <c r="V352" s="1214"/>
      <c r="W352" s="1214"/>
      <c r="X352" s="1214"/>
      <c r="Y352" s="1214"/>
      <c r="Z352" s="1214"/>
    </row>
    <row r="353">
      <c r="A353" s="1214"/>
      <c r="B353" s="1214"/>
      <c r="C353" s="1214"/>
      <c r="D353" s="1267"/>
      <c r="E353" s="1214"/>
      <c r="F353" s="1214"/>
      <c r="G353" s="1214"/>
      <c r="H353" s="1214"/>
      <c r="I353" s="1214"/>
      <c r="J353" s="1214"/>
      <c r="K353" s="1214"/>
      <c r="L353" s="1214"/>
      <c r="M353" s="1214"/>
      <c r="N353" s="1214"/>
      <c r="O353" s="1214"/>
      <c r="P353" s="1214"/>
      <c r="Q353" s="1214"/>
      <c r="R353" s="1214"/>
      <c r="S353" s="1214"/>
      <c r="T353" s="1214"/>
      <c r="U353" s="1214"/>
      <c r="V353" s="1214"/>
      <c r="W353" s="1214"/>
      <c r="X353" s="1214"/>
      <c r="Y353" s="1214"/>
      <c r="Z353" s="1214"/>
    </row>
    <row r="354">
      <c r="A354" s="1214"/>
      <c r="B354" s="1214"/>
      <c r="C354" s="1214"/>
      <c r="D354" s="1267"/>
      <c r="E354" s="1214"/>
      <c r="F354" s="1214"/>
      <c r="G354" s="1214"/>
      <c r="H354" s="1214"/>
      <c r="I354" s="1214"/>
      <c r="J354" s="1214"/>
      <c r="K354" s="1214"/>
      <c r="L354" s="1214"/>
      <c r="M354" s="1214"/>
      <c r="N354" s="1214"/>
      <c r="O354" s="1214"/>
      <c r="P354" s="1214"/>
      <c r="Q354" s="1214"/>
      <c r="R354" s="1214"/>
      <c r="S354" s="1214"/>
      <c r="T354" s="1214"/>
      <c r="U354" s="1214"/>
      <c r="V354" s="1214"/>
      <c r="W354" s="1214"/>
      <c r="X354" s="1214"/>
      <c r="Y354" s="1214"/>
      <c r="Z354" s="1214"/>
    </row>
    <row r="355">
      <c r="A355" s="1214"/>
      <c r="B355" s="1214"/>
      <c r="C355" s="1214"/>
      <c r="D355" s="1267"/>
      <c r="E355" s="1214"/>
      <c r="F355" s="1214"/>
      <c r="G355" s="1214"/>
      <c r="H355" s="1214"/>
      <c r="I355" s="1214"/>
      <c r="J355" s="1214"/>
      <c r="K355" s="1214"/>
      <c r="L355" s="1214"/>
      <c r="M355" s="1214"/>
      <c r="N355" s="1214"/>
      <c r="O355" s="1214"/>
      <c r="P355" s="1214"/>
      <c r="Q355" s="1214"/>
      <c r="R355" s="1214"/>
      <c r="S355" s="1214"/>
      <c r="T355" s="1214"/>
      <c r="U355" s="1214"/>
      <c r="V355" s="1214"/>
      <c r="W355" s="1214"/>
      <c r="X355" s="1214"/>
      <c r="Y355" s="1214"/>
      <c r="Z355" s="1214"/>
    </row>
    <row r="356">
      <c r="A356" s="1214"/>
      <c r="B356" s="1214"/>
      <c r="C356" s="1214"/>
      <c r="D356" s="1267"/>
      <c r="E356" s="1214"/>
      <c r="F356" s="1214"/>
      <c r="G356" s="1214"/>
      <c r="H356" s="1214"/>
      <c r="I356" s="1214"/>
      <c r="J356" s="1214"/>
      <c r="K356" s="1214"/>
      <c r="L356" s="1214"/>
      <c r="M356" s="1214"/>
      <c r="N356" s="1214"/>
      <c r="O356" s="1214"/>
      <c r="P356" s="1214"/>
      <c r="Q356" s="1214"/>
      <c r="R356" s="1214"/>
      <c r="S356" s="1214"/>
      <c r="T356" s="1214"/>
      <c r="U356" s="1214"/>
      <c r="V356" s="1214"/>
      <c r="W356" s="1214"/>
      <c r="X356" s="1214"/>
      <c r="Y356" s="1214"/>
      <c r="Z356" s="1214"/>
    </row>
    <row r="357">
      <c r="A357" s="1214"/>
      <c r="B357" s="1214"/>
      <c r="C357" s="1214"/>
      <c r="D357" s="1267"/>
      <c r="E357" s="1214"/>
      <c r="F357" s="1214"/>
      <c r="G357" s="1214"/>
      <c r="H357" s="1214"/>
      <c r="I357" s="1214"/>
      <c r="J357" s="1214"/>
      <c r="K357" s="1214"/>
      <c r="L357" s="1214"/>
      <c r="M357" s="1214"/>
      <c r="N357" s="1214"/>
      <c r="O357" s="1214"/>
      <c r="P357" s="1214"/>
      <c r="Q357" s="1214"/>
      <c r="R357" s="1214"/>
      <c r="S357" s="1214"/>
      <c r="T357" s="1214"/>
      <c r="U357" s="1214"/>
      <c r="V357" s="1214"/>
      <c r="W357" s="1214"/>
      <c r="X357" s="1214"/>
      <c r="Y357" s="1214"/>
      <c r="Z357" s="1214"/>
    </row>
    <row r="358">
      <c r="A358" s="1214"/>
      <c r="B358" s="1214"/>
      <c r="C358" s="1214"/>
      <c r="D358" s="1267"/>
      <c r="E358" s="1214"/>
      <c r="F358" s="1214"/>
      <c r="G358" s="1214"/>
      <c r="H358" s="1214"/>
      <c r="I358" s="1214"/>
      <c r="J358" s="1214"/>
      <c r="K358" s="1214"/>
      <c r="L358" s="1214"/>
      <c r="M358" s="1214"/>
      <c r="N358" s="1214"/>
      <c r="O358" s="1214"/>
      <c r="P358" s="1214"/>
      <c r="Q358" s="1214"/>
      <c r="R358" s="1214"/>
      <c r="S358" s="1214"/>
      <c r="T358" s="1214"/>
      <c r="U358" s="1214"/>
      <c r="V358" s="1214"/>
      <c r="W358" s="1214"/>
      <c r="X358" s="1214"/>
      <c r="Y358" s="1214"/>
      <c r="Z358" s="1214"/>
    </row>
    <row r="359">
      <c r="A359" s="1214"/>
      <c r="B359" s="1214"/>
      <c r="C359" s="1214"/>
      <c r="D359" s="1267"/>
      <c r="E359" s="1214"/>
      <c r="F359" s="1214"/>
      <c r="G359" s="1214"/>
      <c r="H359" s="1214"/>
      <c r="I359" s="1214"/>
      <c r="J359" s="1214"/>
      <c r="K359" s="1214"/>
      <c r="L359" s="1214"/>
      <c r="M359" s="1214"/>
      <c r="N359" s="1214"/>
      <c r="O359" s="1214"/>
      <c r="P359" s="1214"/>
      <c r="Q359" s="1214"/>
      <c r="R359" s="1214"/>
      <c r="S359" s="1214"/>
      <c r="T359" s="1214"/>
      <c r="U359" s="1214"/>
      <c r="V359" s="1214"/>
      <c r="W359" s="1214"/>
      <c r="X359" s="1214"/>
      <c r="Y359" s="1214"/>
      <c r="Z359" s="1214"/>
    </row>
    <row r="360">
      <c r="A360" s="1214"/>
      <c r="B360" s="1214"/>
      <c r="C360" s="1214"/>
      <c r="D360" s="1267"/>
      <c r="E360" s="1214"/>
      <c r="F360" s="1214"/>
      <c r="G360" s="1214"/>
      <c r="H360" s="1214"/>
      <c r="I360" s="1214"/>
      <c r="J360" s="1214"/>
      <c r="K360" s="1214"/>
      <c r="L360" s="1214"/>
      <c r="M360" s="1214"/>
      <c r="N360" s="1214"/>
      <c r="O360" s="1214"/>
      <c r="P360" s="1214"/>
      <c r="Q360" s="1214"/>
      <c r="R360" s="1214"/>
      <c r="S360" s="1214"/>
      <c r="T360" s="1214"/>
      <c r="U360" s="1214"/>
      <c r="V360" s="1214"/>
      <c r="W360" s="1214"/>
      <c r="X360" s="1214"/>
      <c r="Y360" s="1214"/>
      <c r="Z360" s="1214"/>
    </row>
    <row r="361">
      <c r="A361" s="1214"/>
      <c r="B361" s="1214"/>
      <c r="C361" s="1214"/>
      <c r="D361" s="1267"/>
      <c r="E361" s="1214"/>
      <c r="F361" s="1214"/>
      <c r="G361" s="1214"/>
      <c r="H361" s="1214"/>
      <c r="I361" s="1214"/>
      <c r="J361" s="1214"/>
      <c r="K361" s="1214"/>
      <c r="L361" s="1214"/>
      <c r="M361" s="1214"/>
      <c r="N361" s="1214"/>
      <c r="O361" s="1214"/>
      <c r="P361" s="1214"/>
      <c r="Q361" s="1214"/>
      <c r="R361" s="1214"/>
      <c r="S361" s="1214"/>
      <c r="T361" s="1214"/>
      <c r="U361" s="1214"/>
      <c r="V361" s="1214"/>
      <c r="W361" s="1214"/>
      <c r="X361" s="1214"/>
      <c r="Y361" s="1214"/>
      <c r="Z361" s="1214"/>
    </row>
    <row r="362">
      <c r="A362" s="1214"/>
      <c r="B362" s="1214"/>
      <c r="C362" s="1214"/>
      <c r="D362" s="1267"/>
      <c r="E362" s="1214"/>
      <c r="F362" s="1214"/>
      <c r="G362" s="1214"/>
      <c r="H362" s="1214"/>
      <c r="I362" s="1214"/>
      <c r="J362" s="1214"/>
      <c r="K362" s="1214"/>
      <c r="L362" s="1214"/>
      <c r="M362" s="1214"/>
      <c r="N362" s="1214"/>
      <c r="O362" s="1214"/>
      <c r="P362" s="1214"/>
      <c r="Q362" s="1214"/>
      <c r="R362" s="1214"/>
      <c r="S362" s="1214"/>
      <c r="T362" s="1214"/>
      <c r="U362" s="1214"/>
      <c r="V362" s="1214"/>
      <c r="W362" s="1214"/>
      <c r="X362" s="1214"/>
      <c r="Y362" s="1214"/>
      <c r="Z362" s="1214"/>
    </row>
    <row r="363">
      <c r="A363" s="1214"/>
      <c r="B363" s="1214"/>
      <c r="C363" s="1214"/>
      <c r="D363" s="1267"/>
      <c r="E363" s="1214"/>
      <c r="F363" s="1214"/>
      <c r="G363" s="1214"/>
      <c r="H363" s="1214"/>
      <c r="I363" s="1214"/>
      <c r="J363" s="1214"/>
      <c r="K363" s="1214"/>
      <c r="L363" s="1214"/>
      <c r="M363" s="1214"/>
      <c r="N363" s="1214"/>
      <c r="O363" s="1214"/>
      <c r="P363" s="1214"/>
      <c r="Q363" s="1214"/>
      <c r="R363" s="1214"/>
      <c r="S363" s="1214"/>
      <c r="T363" s="1214"/>
      <c r="U363" s="1214"/>
      <c r="V363" s="1214"/>
      <c r="W363" s="1214"/>
      <c r="X363" s="1214"/>
      <c r="Y363" s="1214"/>
      <c r="Z363" s="1214"/>
    </row>
    <row r="364">
      <c r="A364" s="1214"/>
      <c r="B364" s="1214"/>
      <c r="C364" s="1214"/>
      <c r="D364" s="1267"/>
      <c r="E364" s="1214"/>
      <c r="F364" s="1214"/>
      <c r="G364" s="1214"/>
      <c r="H364" s="1214"/>
      <c r="I364" s="1214"/>
      <c r="J364" s="1214"/>
      <c r="K364" s="1214"/>
      <c r="L364" s="1214"/>
      <c r="M364" s="1214"/>
      <c r="N364" s="1214"/>
      <c r="O364" s="1214"/>
      <c r="P364" s="1214"/>
      <c r="Q364" s="1214"/>
      <c r="R364" s="1214"/>
      <c r="S364" s="1214"/>
      <c r="T364" s="1214"/>
      <c r="U364" s="1214"/>
      <c r="V364" s="1214"/>
      <c r="W364" s="1214"/>
      <c r="X364" s="1214"/>
      <c r="Y364" s="1214"/>
      <c r="Z364" s="1214"/>
    </row>
    <row r="365">
      <c r="A365" s="1214"/>
      <c r="B365" s="1214"/>
      <c r="C365" s="1214"/>
      <c r="D365" s="1267"/>
      <c r="E365" s="1214"/>
      <c r="F365" s="1214"/>
      <c r="G365" s="1214"/>
      <c r="H365" s="1214"/>
      <c r="I365" s="1214"/>
      <c r="J365" s="1214"/>
      <c r="K365" s="1214"/>
      <c r="L365" s="1214"/>
      <c r="M365" s="1214"/>
      <c r="N365" s="1214"/>
      <c r="O365" s="1214"/>
      <c r="P365" s="1214"/>
      <c r="Q365" s="1214"/>
      <c r="R365" s="1214"/>
      <c r="S365" s="1214"/>
      <c r="T365" s="1214"/>
      <c r="U365" s="1214"/>
      <c r="V365" s="1214"/>
      <c r="W365" s="1214"/>
      <c r="X365" s="1214"/>
      <c r="Y365" s="1214"/>
      <c r="Z365" s="1214"/>
    </row>
    <row r="366">
      <c r="A366" s="1214"/>
      <c r="B366" s="1214"/>
      <c r="C366" s="1214"/>
      <c r="D366" s="1267"/>
      <c r="E366" s="1214"/>
      <c r="F366" s="1214"/>
      <c r="G366" s="1214"/>
      <c r="H366" s="1214"/>
      <c r="I366" s="1214"/>
      <c r="J366" s="1214"/>
      <c r="K366" s="1214"/>
      <c r="L366" s="1214"/>
      <c r="M366" s="1214"/>
      <c r="N366" s="1214"/>
      <c r="O366" s="1214"/>
      <c r="P366" s="1214"/>
      <c r="Q366" s="1214"/>
      <c r="R366" s="1214"/>
      <c r="S366" s="1214"/>
      <c r="T366" s="1214"/>
      <c r="U366" s="1214"/>
      <c r="V366" s="1214"/>
      <c r="W366" s="1214"/>
      <c r="X366" s="1214"/>
      <c r="Y366" s="1214"/>
      <c r="Z366" s="1214"/>
    </row>
    <row r="367">
      <c r="A367" s="1214"/>
      <c r="B367" s="1214"/>
      <c r="C367" s="1214"/>
      <c r="D367" s="1267"/>
      <c r="E367" s="1214"/>
      <c r="F367" s="1214"/>
      <c r="G367" s="1214"/>
      <c r="H367" s="1214"/>
      <c r="I367" s="1214"/>
      <c r="J367" s="1214"/>
      <c r="K367" s="1214"/>
      <c r="L367" s="1214"/>
      <c r="M367" s="1214"/>
      <c r="N367" s="1214"/>
      <c r="O367" s="1214"/>
      <c r="P367" s="1214"/>
      <c r="Q367" s="1214"/>
      <c r="R367" s="1214"/>
      <c r="S367" s="1214"/>
      <c r="T367" s="1214"/>
      <c r="U367" s="1214"/>
      <c r="V367" s="1214"/>
      <c r="W367" s="1214"/>
      <c r="X367" s="1214"/>
      <c r="Y367" s="1214"/>
      <c r="Z367" s="1214"/>
    </row>
    <row r="368">
      <c r="A368" s="1214"/>
      <c r="B368" s="1214"/>
      <c r="C368" s="1214"/>
      <c r="D368" s="1267"/>
      <c r="E368" s="1214"/>
      <c r="F368" s="1214"/>
      <c r="G368" s="1214"/>
      <c r="H368" s="1214"/>
      <c r="I368" s="1214"/>
      <c r="J368" s="1214"/>
      <c r="K368" s="1214"/>
      <c r="L368" s="1214"/>
      <c r="M368" s="1214"/>
      <c r="N368" s="1214"/>
      <c r="O368" s="1214"/>
      <c r="P368" s="1214"/>
      <c r="Q368" s="1214"/>
      <c r="R368" s="1214"/>
      <c r="S368" s="1214"/>
      <c r="T368" s="1214"/>
      <c r="U368" s="1214"/>
      <c r="V368" s="1214"/>
      <c r="W368" s="1214"/>
      <c r="X368" s="1214"/>
      <c r="Y368" s="1214"/>
      <c r="Z368" s="1214"/>
    </row>
    <row r="369">
      <c r="A369" s="1214"/>
      <c r="B369" s="1214"/>
      <c r="C369" s="1214"/>
      <c r="D369" s="1267"/>
      <c r="E369" s="1214"/>
      <c r="F369" s="1214"/>
      <c r="G369" s="1214"/>
      <c r="H369" s="1214"/>
      <c r="I369" s="1214"/>
      <c r="J369" s="1214"/>
      <c r="K369" s="1214"/>
      <c r="L369" s="1214"/>
      <c r="M369" s="1214"/>
      <c r="N369" s="1214"/>
      <c r="O369" s="1214"/>
      <c r="P369" s="1214"/>
      <c r="Q369" s="1214"/>
      <c r="R369" s="1214"/>
      <c r="S369" s="1214"/>
      <c r="T369" s="1214"/>
      <c r="U369" s="1214"/>
      <c r="V369" s="1214"/>
      <c r="W369" s="1214"/>
      <c r="X369" s="1214"/>
      <c r="Y369" s="1214"/>
      <c r="Z369" s="1214"/>
    </row>
    <row r="370">
      <c r="A370" s="1214"/>
      <c r="B370" s="1214"/>
      <c r="C370" s="1214"/>
      <c r="D370" s="1267"/>
      <c r="E370" s="1214"/>
      <c r="F370" s="1214"/>
      <c r="G370" s="1214"/>
      <c r="H370" s="1214"/>
      <c r="I370" s="1214"/>
      <c r="J370" s="1214"/>
      <c r="K370" s="1214"/>
      <c r="L370" s="1214"/>
      <c r="M370" s="1214"/>
      <c r="N370" s="1214"/>
      <c r="O370" s="1214"/>
      <c r="P370" s="1214"/>
      <c r="Q370" s="1214"/>
      <c r="R370" s="1214"/>
      <c r="S370" s="1214"/>
      <c r="T370" s="1214"/>
      <c r="U370" s="1214"/>
      <c r="V370" s="1214"/>
      <c r="W370" s="1214"/>
      <c r="X370" s="1214"/>
      <c r="Y370" s="1214"/>
      <c r="Z370" s="1214"/>
    </row>
    <row r="371">
      <c r="A371" s="1214"/>
      <c r="B371" s="1214"/>
      <c r="C371" s="1214"/>
      <c r="D371" s="1267"/>
      <c r="E371" s="1214"/>
      <c r="F371" s="1214"/>
      <c r="G371" s="1214"/>
      <c r="H371" s="1214"/>
      <c r="I371" s="1214"/>
      <c r="J371" s="1214"/>
      <c r="K371" s="1214"/>
      <c r="L371" s="1214"/>
      <c r="M371" s="1214"/>
      <c r="N371" s="1214"/>
      <c r="O371" s="1214"/>
      <c r="P371" s="1214"/>
      <c r="Q371" s="1214"/>
      <c r="R371" s="1214"/>
      <c r="S371" s="1214"/>
      <c r="T371" s="1214"/>
      <c r="U371" s="1214"/>
      <c r="V371" s="1214"/>
      <c r="W371" s="1214"/>
      <c r="X371" s="1214"/>
      <c r="Y371" s="1214"/>
      <c r="Z371" s="1214"/>
    </row>
    <row r="372">
      <c r="A372" s="1214"/>
      <c r="B372" s="1214"/>
      <c r="C372" s="1214"/>
      <c r="D372" s="1267"/>
      <c r="E372" s="1214"/>
      <c r="F372" s="1214"/>
      <c r="G372" s="1214"/>
      <c r="H372" s="1214"/>
      <c r="I372" s="1214"/>
      <c r="J372" s="1214"/>
      <c r="K372" s="1214"/>
      <c r="L372" s="1214"/>
      <c r="M372" s="1214"/>
      <c r="N372" s="1214"/>
      <c r="O372" s="1214"/>
      <c r="P372" s="1214"/>
      <c r="Q372" s="1214"/>
      <c r="R372" s="1214"/>
      <c r="S372" s="1214"/>
      <c r="T372" s="1214"/>
      <c r="U372" s="1214"/>
      <c r="V372" s="1214"/>
      <c r="W372" s="1214"/>
      <c r="X372" s="1214"/>
      <c r="Y372" s="1214"/>
      <c r="Z372" s="1214"/>
    </row>
    <row r="373">
      <c r="A373" s="1214"/>
      <c r="B373" s="1214"/>
      <c r="C373" s="1214"/>
      <c r="D373" s="1267"/>
      <c r="E373" s="1214"/>
      <c r="F373" s="1214"/>
      <c r="G373" s="1214"/>
      <c r="H373" s="1214"/>
      <c r="I373" s="1214"/>
      <c r="J373" s="1214"/>
      <c r="K373" s="1214"/>
      <c r="L373" s="1214"/>
      <c r="M373" s="1214"/>
      <c r="N373" s="1214"/>
      <c r="O373" s="1214"/>
      <c r="P373" s="1214"/>
      <c r="Q373" s="1214"/>
      <c r="R373" s="1214"/>
      <c r="S373" s="1214"/>
      <c r="T373" s="1214"/>
      <c r="U373" s="1214"/>
      <c r="V373" s="1214"/>
      <c r="W373" s="1214"/>
      <c r="X373" s="1214"/>
      <c r="Y373" s="1214"/>
      <c r="Z373" s="1214"/>
    </row>
    <row r="374">
      <c r="A374" s="1214"/>
      <c r="B374" s="1214"/>
      <c r="C374" s="1214"/>
      <c r="D374" s="1267"/>
      <c r="E374" s="1214"/>
      <c r="F374" s="1214"/>
      <c r="G374" s="1214"/>
      <c r="H374" s="1214"/>
      <c r="I374" s="1214"/>
      <c r="J374" s="1214"/>
      <c r="K374" s="1214"/>
      <c r="L374" s="1214"/>
      <c r="M374" s="1214"/>
      <c r="N374" s="1214"/>
      <c r="O374" s="1214"/>
      <c r="P374" s="1214"/>
      <c r="Q374" s="1214"/>
      <c r="R374" s="1214"/>
      <c r="S374" s="1214"/>
      <c r="T374" s="1214"/>
      <c r="U374" s="1214"/>
      <c r="V374" s="1214"/>
      <c r="W374" s="1214"/>
      <c r="X374" s="1214"/>
      <c r="Y374" s="1214"/>
      <c r="Z374" s="1214"/>
    </row>
    <row r="375">
      <c r="A375" s="1214"/>
      <c r="B375" s="1214"/>
      <c r="C375" s="1214"/>
      <c r="D375" s="1267"/>
      <c r="E375" s="1214"/>
      <c r="F375" s="1214"/>
      <c r="G375" s="1214"/>
      <c r="H375" s="1214"/>
      <c r="I375" s="1214"/>
      <c r="J375" s="1214"/>
      <c r="K375" s="1214"/>
      <c r="L375" s="1214"/>
      <c r="M375" s="1214"/>
      <c r="N375" s="1214"/>
      <c r="O375" s="1214"/>
      <c r="P375" s="1214"/>
      <c r="Q375" s="1214"/>
      <c r="R375" s="1214"/>
      <c r="S375" s="1214"/>
      <c r="T375" s="1214"/>
      <c r="U375" s="1214"/>
      <c r="V375" s="1214"/>
      <c r="W375" s="1214"/>
      <c r="X375" s="1214"/>
      <c r="Y375" s="1214"/>
      <c r="Z375" s="1214"/>
    </row>
    <row r="376">
      <c r="A376" s="1214"/>
      <c r="B376" s="1214"/>
      <c r="C376" s="1214"/>
      <c r="D376" s="1267"/>
      <c r="E376" s="1214"/>
      <c r="F376" s="1214"/>
      <c r="G376" s="1214"/>
      <c r="H376" s="1214"/>
      <c r="I376" s="1214"/>
      <c r="J376" s="1214"/>
      <c r="K376" s="1214"/>
      <c r="L376" s="1214"/>
      <c r="M376" s="1214"/>
      <c r="N376" s="1214"/>
      <c r="O376" s="1214"/>
      <c r="P376" s="1214"/>
      <c r="Q376" s="1214"/>
      <c r="R376" s="1214"/>
      <c r="S376" s="1214"/>
      <c r="T376" s="1214"/>
      <c r="U376" s="1214"/>
      <c r="V376" s="1214"/>
      <c r="W376" s="1214"/>
      <c r="X376" s="1214"/>
      <c r="Y376" s="1214"/>
      <c r="Z376" s="1214"/>
    </row>
    <row r="377">
      <c r="A377" s="1214"/>
      <c r="B377" s="1214"/>
      <c r="C377" s="1214"/>
      <c r="D377" s="1267"/>
      <c r="E377" s="1214"/>
      <c r="F377" s="1214"/>
      <c r="G377" s="1214"/>
      <c r="H377" s="1214"/>
      <c r="I377" s="1214"/>
      <c r="J377" s="1214"/>
      <c r="K377" s="1214"/>
      <c r="L377" s="1214"/>
      <c r="M377" s="1214"/>
      <c r="N377" s="1214"/>
      <c r="O377" s="1214"/>
      <c r="P377" s="1214"/>
      <c r="Q377" s="1214"/>
      <c r="R377" s="1214"/>
      <c r="S377" s="1214"/>
      <c r="T377" s="1214"/>
      <c r="U377" s="1214"/>
      <c r="V377" s="1214"/>
      <c r="W377" s="1214"/>
      <c r="X377" s="1214"/>
      <c r="Y377" s="1214"/>
      <c r="Z377" s="1214"/>
    </row>
    <row r="378">
      <c r="A378" s="1214"/>
      <c r="B378" s="1214"/>
      <c r="C378" s="1214"/>
      <c r="D378" s="1267"/>
      <c r="E378" s="1214"/>
      <c r="F378" s="1214"/>
      <c r="G378" s="1214"/>
      <c r="H378" s="1214"/>
      <c r="I378" s="1214"/>
      <c r="J378" s="1214"/>
      <c r="K378" s="1214"/>
      <c r="L378" s="1214"/>
      <c r="M378" s="1214"/>
      <c r="N378" s="1214"/>
      <c r="O378" s="1214"/>
      <c r="P378" s="1214"/>
      <c r="Q378" s="1214"/>
      <c r="R378" s="1214"/>
      <c r="S378" s="1214"/>
      <c r="T378" s="1214"/>
      <c r="U378" s="1214"/>
      <c r="V378" s="1214"/>
      <c r="W378" s="1214"/>
      <c r="X378" s="1214"/>
      <c r="Y378" s="1214"/>
      <c r="Z378" s="1214"/>
    </row>
    <row r="379">
      <c r="A379" s="1214"/>
      <c r="B379" s="1214"/>
      <c r="C379" s="1214"/>
      <c r="D379" s="1267"/>
      <c r="E379" s="1214"/>
      <c r="F379" s="1214"/>
      <c r="G379" s="1214"/>
      <c r="H379" s="1214"/>
      <c r="I379" s="1214"/>
      <c r="J379" s="1214"/>
      <c r="K379" s="1214"/>
      <c r="L379" s="1214"/>
      <c r="M379" s="1214"/>
      <c r="N379" s="1214"/>
      <c r="O379" s="1214"/>
      <c r="P379" s="1214"/>
      <c r="Q379" s="1214"/>
      <c r="R379" s="1214"/>
      <c r="S379" s="1214"/>
      <c r="T379" s="1214"/>
      <c r="U379" s="1214"/>
      <c r="V379" s="1214"/>
      <c r="W379" s="1214"/>
      <c r="X379" s="1214"/>
      <c r="Y379" s="1214"/>
      <c r="Z379" s="1214"/>
    </row>
    <row r="380">
      <c r="A380" s="1214"/>
      <c r="B380" s="1214"/>
      <c r="C380" s="1214"/>
      <c r="D380" s="1267"/>
      <c r="E380" s="1214"/>
      <c r="F380" s="1214"/>
      <c r="G380" s="1214"/>
      <c r="H380" s="1214"/>
      <c r="I380" s="1214"/>
      <c r="J380" s="1214"/>
      <c r="K380" s="1214"/>
      <c r="L380" s="1214"/>
      <c r="M380" s="1214"/>
      <c r="N380" s="1214"/>
      <c r="O380" s="1214"/>
      <c r="P380" s="1214"/>
      <c r="Q380" s="1214"/>
      <c r="R380" s="1214"/>
      <c r="S380" s="1214"/>
      <c r="T380" s="1214"/>
      <c r="U380" s="1214"/>
      <c r="V380" s="1214"/>
      <c r="W380" s="1214"/>
      <c r="X380" s="1214"/>
      <c r="Y380" s="1214"/>
      <c r="Z380" s="1214"/>
    </row>
    <row r="381">
      <c r="A381" s="1214"/>
      <c r="B381" s="1214"/>
      <c r="C381" s="1214"/>
      <c r="D381" s="1267"/>
      <c r="E381" s="1214"/>
      <c r="F381" s="1214"/>
      <c r="G381" s="1214"/>
      <c r="H381" s="1214"/>
      <c r="I381" s="1214"/>
      <c r="J381" s="1214"/>
      <c r="K381" s="1214"/>
      <c r="L381" s="1214"/>
      <c r="M381" s="1214"/>
      <c r="N381" s="1214"/>
      <c r="O381" s="1214"/>
      <c r="P381" s="1214"/>
      <c r="Q381" s="1214"/>
      <c r="R381" s="1214"/>
      <c r="S381" s="1214"/>
      <c r="T381" s="1214"/>
      <c r="U381" s="1214"/>
      <c r="V381" s="1214"/>
      <c r="W381" s="1214"/>
      <c r="X381" s="1214"/>
      <c r="Y381" s="1214"/>
      <c r="Z381" s="1214"/>
    </row>
    <row r="382">
      <c r="A382" s="1214"/>
      <c r="B382" s="1214"/>
      <c r="C382" s="1214"/>
      <c r="D382" s="1267"/>
      <c r="E382" s="1214"/>
      <c r="F382" s="1214"/>
      <c r="G382" s="1214"/>
      <c r="H382" s="1214"/>
      <c r="I382" s="1214"/>
      <c r="J382" s="1214"/>
      <c r="K382" s="1214"/>
      <c r="L382" s="1214"/>
      <c r="M382" s="1214"/>
      <c r="N382" s="1214"/>
      <c r="O382" s="1214"/>
      <c r="P382" s="1214"/>
      <c r="Q382" s="1214"/>
      <c r="R382" s="1214"/>
      <c r="S382" s="1214"/>
      <c r="T382" s="1214"/>
      <c r="U382" s="1214"/>
      <c r="V382" s="1214"/>
      <c r="W382" s="1214"/>
      <c r="X382" s="1214"/>
      <c r="Y382" s="1214"/>
      <c r="Z382" s="1214"/>
    </row>
    <row r="383">
      <c r="A383" s="1214"/>
      <c r="B383" s="1214"/>
      <c r="C383" s="1214"/>
      <c r="D383" s="1267"/>
      <c r="E383" s="1214"/>
      <c r="F383" s="1214"/>
      <c r="G383" s="1214"/>
      <c r="H383" s="1214"/>
      <c r="I383" s="1214"/>
      <c r="J383" s="1214"/>
      <c r="K383" s="1214"/>
      <c r="L383" s="1214"/>
      <c r="M383" s="1214"/>
      <c r="N383" s="1214"/>
      <c r="O383" s="1214"/>
      <c r="P383" s="1214"/>
      <c r="Q383" s="1214"/>
      <c r="R383" s="1214"/>
      <c r="S383" s="1214"/>
      <c r="T383" s="1214"/>
      <c r="U383" s="1214"/>
      <c r="V383" s="1214"/>
      <c r="W383" s="1214"/>
      <c r="X383" s="1214"/>
      <c r="Y383" s="1214"/>
      <c r="Z383" s="1214"/>
    </row>
    <row r="384">
      <c r="A384" s="1214"/>
      <c r="B384" s="1214"/>
      <c r="C384" s="1214"/>
      <c r="D384" s="1267"/>
      <c r="E384" s="1214"/>
      <c r="F384" s="1214"/>
      <c r="G384" s="1214"/>
      <c r="H384" s="1214"/>
      <c r="I384" s="1214"/>
      <c r="J384" s="1214"/>
      <c r="K384" s="1214"/>
      <c r="L384" s="1214"/>
      <c r="M384" s="1214"/>
      <c r="N384" s="1214"/>
      <c r="O384" s="1214"/>
      <c r="P384" s="1214"/>
      <c r="Q384" s="1214"/>
      <c r="R384" s="1214"/>
      <c r="S384" s="1214"/>
      <c r="T384" s="1214"/>
      <c r="U384" s="1214"/>
      <c r="V384" s="1214"/>
      <c r="W384" s="1214"/>
      <c r="X384" s="1214"/>
      <c r="Y384" s="1214"/>
      <c r="Z384" s="1214"/>
    </row>
    <row r="385">
      <c r="A385" s="1214"/>
      <c r="B385" s="1214"/>
      <c r="C385" s="1214"/>
      <c r="D385" s="1267"/>
      <c r="E385" s="1214"/>
      <c r="F385" s="1214"/>
      <c r="G385" s="1214"/>
      <c r="H385" s="1214"/>
      <c r="I385" s="1214"/>
      <c r="J385" s="1214"/>
      <c r="K385" s="1214"/>
      <c r="L385" s="1214"/>
      <c r="M385" s="1214"/>
      <c r="N385" s="1214"/>
      <c r="O385" s="1214"/>
      <c r="P385" s="1214"/>
      <c r="Q385" s="1214"/>
      <c r="R385" s="1214"/>
      <c r="S385" s="1214"/>
      <c r="T385" s="1214"/>
      <c r="U385" s="1214"/>
      <c r="V385" s="1214"/>
      <c r="W385" s="1214"/>
      <c r="X385" s="1214"/>
      <c r="Y385" s="1214"/>
      <c r="Z385" s="1214"/>
    </row>
    <row r="386">
      <c r="A386" s="1214"/>
      <c r="B386" s="1214"/>
      <c r="C386" s="1214"/>
      <c r="D386" s="1267"/>
      <c r="E386" s="1214"/>
      <c r="F386" s="1214"/>
      <c r="G386" s="1214"/>
      <c r="H386" s="1214"/>
      <c r="I386" s="1214"/>
      <c r="J386" s="1214"/>
      <c r="K386" s="1214"/>
      <c r="L386" s="1214"/>
      <c r="M386" s="1214"/>
      <c r="N386" s="1214"/>
      <c r="O386" s="1214"/>
      <c r="P386" s="1214"/>
      <c r="Q386" s="1214"/>
      <c r="R386" s="1214"/>
      <c r="S386" s="1214"/>
      <c r="T386" s="1214"/>
      <c r="U386" s="1214"/>
      <c r="V386" s="1214"/>
      <c r="W386" s="1214"/>
      <c r="X386" s="1214"/>
      <c r="Y386" s="1214"/>
      <c r="Z386" s="1214"/>
    </row>
    <row r="387">
      <c r="A387" s="1214"/>
      <c r="B387" s="1214"/>
      <c r="C387" s="1214"/>
      <c r="D387" s="1267"/>
      <c r="E387" s="1214"/>
      <c r="F387" s="1214"/>
      <c r="G387" s="1214"/>
      <c r="H387" s="1214"/>
      <c r="I387" s="1214"/>
      <c r="J387" s="1214"/>
      <c r="K387" s="1214"/>
      <c r="L387" s="1214"/>
      <c r="M387" s="1214"/>
      <c r="N387" s="1214"/>
      <c r="O387" s="1214"/>
      <c r="P387" s="1214"/>
      <c r="Q387" s="1214"/>
      <c r="R387" s="1214"/>
      <c r="S387" s="1214"/>
      <c r="T387" s="1214"/>
      <c r="U387" s="1214"/>
      <c r="V387" s="1214"/>
      <c r="W387" s="1214"/>
      <c r="X387" s="1214"/>
      <c r="Y387" s="1214"/>
      <c r="Z387" s="1214"/>
    </row>
    <row r="388">
      <c r="A388" s="1214"/>
      <c r="B388" s="1214"/>
      <c r="C388" s="1214"/>
      <c r="D388" s="1267"/>
      <c r="E388" s="1214"/>
      <c r="F388" s="1214"/>
      <c r="G388" s="1214"/>
      <c r="H388" s="1214"/>
      <c r="I388" s="1214"/>
      <c r="J388" s="1214"/>
      <c r="K388" s="1214"/>
      <c r="L388" s="1214"/>
      <c r="M388" s="1214"/>
      <c r="N388" s="1214"/>
      <c r="O388" s="1214"/>
      <c r="P388" s="1214"/>
      <c r="Q388" s="1214"/>
      <c r="R388" s="1214"/>
      <c r="S388" s="1214"/>
      <c r="T388" s="1214"/>
      <c r="U388" s="1214"/>
      <c r="V388" s="1214"/>
      <c r="W388" s="1214"/>
      <c r="X388" s="1214"/>
      <c r="Y388" s="1214"/>
      <c r="Z388" s="1214"/>
    </row>
    <row r="389">
      <c r="A389" s="1214"/>
      <c r="B389" s="1214"/>
      <c r="C389" s="1214"/>
      <c r="D389" s="1267"/>
      <c r="E389" s="1214"/>
      <c r="F389" s="1214"/>
      <c r="G389" s="1214"/>
      <c r="H389" s="1214"/>
      <c r="I389" s="1214"/>
      <c r="J389" s="1214"/>
      <c r="K389" s="1214"/>
      <c r="L389" s="1214"/>
      <c r="M389" s="1214"/>
      <c r="N389" s="1214"/>
      <c r="O389" s="1214"/>
      <c r="P389" s="1214"/>
      <c r="Q389" s="1214"/>
      <c r="R389" s="1214"/>
      <c r="S389" s="1214"/>
      <c r="T389" s="1214"/>
      <c r="U389" s="1214"/>
      <c r="V389" s="1214"/>
      <c r="W389" s="1214"/>
      <c r="X389" s="1214"/>
      <c r="Y389" s="1214"/>
      <c r="Z389" s="1214"/>
    </row>
    <row r="390">
      <c r="A390" s="1214"/>
      <c r="B390" s="1214"/>
      <c r="C390" s="1214"/>
      <c r="D390" s="1267"/>
      <c r="E390" s="1214"/>
      <c r="F390" s="1214"/>
      <c r="G390" s="1214"/>
      <c r="H390" s="1214"/>
      <c r="I390" s="1214"/>
      <c r="J390" s="1214"/>
      <c r="K390" s="1214"/>
      <c r="L390" s="1214"/>
      <c r="M390" s="1214"/>
      <c r="N390" s="1214"/>
      <c r="O390" s="1214"/>
      <c r="P390" s="1214"/>
      <c r="Q390" s="1214"/>
      <c r="R390" s="1214"/>
      <c r="S390" s="1214"/>
      <c r="T390" s="1214"/>
      <c r="U390" s="1214"/>
      <c r="V390" s="1214"/>
      <c r="W390" s="1214"/>
      <c r="X390" s="1214"/>
      <c r="Y390" s="1214"/>
      <c r="Z390" s="1214"/>
    </row>
    <row r="391">
      <c r="A391" s="1214"/>
      <c r="B391" s="1214"/>
      <c r="C391" s="1214"/>
      <c r="D391" s="1267"/>
      <c r="E391" s="1214"/>
      <c r="F391" s="1214"/>
      <c r="G391" s="1214"/>
      <c r="H391" s="1214"/>
      <c r="I391" s="1214"/>
      <c r="J391" s="1214"/>
      <c r="K391" s="1214"/>
      <c r="L391" s="1214"/>
      <c r="M391" s="1214"/>
      <c r="N391" s="1214"/>
      <c r="O391" s="1214"/>
      <c r="P391" s="1214"/>
      <c r="Q391" s="1214"/>
      <c r="R391" s="1214"/>
      <c r="S391" s="1214"/>
      <c r="T391" s="1214"/>
      <c r="U391" s="1214"/>
      <c r="V391" s="1214"/>
      <c r="W391" s="1214"/>
      <c r="X391" s="1214"/>
      <c r="Y391" s="1214"/>
      <c r="Z391" s="1214"/>
    </row>
    <row r="392">
      <c r="A392" s="1214"/>
      <c r="B392" s="1214"/>
      <c r="C392" s="1214"/>
      <c r="D392" s="1267"/>
      <c r="E392" s="1214"/>
      <c r="F392" s="1214"/>
      <c r="G392" s="1214"/>
      <c r="H392" s="1214"/>
      <c r="I392" s="1214"/>
      <c r="J392" s="1214"/>
      <c r="K392" s="1214"/>
      <c r="L392" s="1214"/>
      <c r="M392" s="1214"/>
      <c r="N392" s="1214"/>
      <c r="O392" s="1214"/>
      <c r="P392" s="1214"/>
      <c r="Q392" s="1214"/>
      <c r="R392" s="1214"/>
      <c r="S392" s="1214"/>
      <c r="T392" s="1214"/>
      <c r="U392" s="1214"/>
      <c r="V392" s="1214"/>
      <c r="W392" s="1214"/>
      <c r="X392" s="1214"/>
      <c r="Y392" s="1214"/>
      <c r="Z392" s="1214"/>
    </row>
    <row r="393">
      <c r="A393" s="1214"/>
      <c r="B393" s="1214"/>
      <c r="C393" s="1214"/>
      <c r="D393" s="1267"/>
      <c r="E393" s="1214"/>
      <c r="F393" s="1214"/>
      <c r="G393" s="1214"/>
      <c r="H393" s="1214"/>
      <c r="I393" s="1214"/>
      <c r="J393" s="1214"/>
      <c r="K393" s="1214"/>
      <c r="L393" s="1214"/>
      <c r="M393" s="1214"/>
      <c r="N393" s="1214"/>
      <c r="O393" s="1214"/>
      <c r="P393" s="1214"/>
      <c r="Q393" s="1214"/>
      <c r="R393" s="1214"/>
      <c r="S393" s="1214"/>
      <c r="T393" s="1214"/>
      <c r="U393" s="1214"/>
      <c r="V393" s="1214"/>
      <c r="W393" s="1214"/>
      <c r="X393" s="1214"/>
      <c r="Y393" s="1214"/>
      <c r="Z393" s="1214"/>
    </row>
    <row r="394">
      <c r="A394" s="1214"/>
      <c r="B394" s="1214"/>
      <c r="C394" s="1214"/>
      <c r="D394" s="1267"/>
      <c r="E394" s="1214"/>
      <c r="F394" s="1214"/>
      <c r="G394" s="1214"/>
      <c r="H394" s="1214"/>
      <c r="I394" s="1214"/>
      <c r="J394" s="1214"/>
      <c r="K394" s="1214"/>
      <c r="L394" s="1214"/>
      <c r="M394" s="1214"/>
      <c r="N394" s="1214"/>
      <c r="O394" s="1214"/>
      <c r="P394" s="1214"/>
      <c r="Q394" s="1214"/>
      <c r="R394" s="1214"/>
      <c r="S394" s="1214"/>
      <c r="T394" s="1214"/>
      <c r="U394" s="1214"/>
      <c r="V394" s="1214"/>
      <c r="W394" s="1214"/>
      <c r="X394" s="1214"/>
      <c r="Y394" s="1214"/>
      <c r="Z394" s="1214"/>
    </row>
    <row r="395">
      <c r="A395" s="1214"/>
      <c r="B395" s="1214"/>
      <c r="C395" s="1214"/>
      <c r="D395" s="1267"/>
      <c r="E395" s="1214"/>
      <c r="F395" s="1214"/>
      <c r="G395" s="1214"/>
      <c r="H395" s="1214"/>
      <c r="I395" s="1214"/>
      <c r="J395" s="1214"/>
      <c r="K395" s="1214"/>
      <c r="L395" s="1214"/>
      <c r="M395" s="1214"/>
      <c r="N395" s="1214"/>
      <c r="O395" s="1214"/>
      <c r="P395" s="1214"/>
      <c r="Q395" s="1214"/>
      <c r="R395" s="1214"/>
      <c r="S395" s="1214"/>
      <c r="T395" s="1214"/>
      <c r="U395" s="1214"/>
      <c r="V395" s="1214"/>
      <c r="W395" s="1214"/>
      <c r="X395" s="1214"/>
      <c r="Y395" s="1214"/>
      <c r="Z395" s="1214"/>
    </row>
    <row r="396">
      <c r="A396" s="1214"/>
      <c r="B396" s="1214"/>
      <c r="C396" s="1214"/>
      <c r="D396" s="1267"/>
      <c r="E396" s="1214"/>
      <c r="F396" s="1214"/>
      <c r="G396" s="1214"/>
      <c r="H396" s="1214"/>
      <c r="I396" s="1214"/>
      <c r="J396" s="1214"/>
      <c r="K396" s="1214"/>
      <c r="L396" s="1214"/>
      <c r="M396" s="1214"/>
      <c r="N396" s="1214"/>
      <c r="O396" s="1214"/>
      <c r="P396" s="1214"/>
      <c r="Q396" s="1214"/>
      <c r="R396" s="1214"/>
      <c r="S396" s="1214"/>
      <c r="T396" s="1214"/>
      <c r="U396" s="1214"/>
      <c r="V396" s="1214"/>
      <c r="W396" s="1214"/>
      <c r="X396" s="1214"/>
      <c r="Y396" s="1214"/>
      <c r="Z396" s="1214"/>
    </row>
    <row r="397">
      <c r="A397" s="1214"/>
      <c r="B397" s="1214"/>
      <c r="C397" s="1214"/>
      <c r="D397" s="1267"/>
      <c r="E397" s="1214"/>
      <c r="F397" s="1214"/>
      <c r="G397" s="1214"/>
      <c r="H397" s="1214"/>
      <c r="I397" s="1214"/>
      <c r="J397" s="1214"/>
      <c r="K397" s="1214"/>
      <c r="L397" s="1214"/>
      <c r="M397" s="1214"/>
      <c r="N397" s="1214"/>
      <c r="O397" s="1214"/>
      <c r="P397" s="1214"/>
      <c r="Q397" s="1214"/>
      <c r="R397" s="1214"/>
      <c r="S397" s="1214"/>
      <c r="T397" s="1214"/>
      <c r="U397" s="1214"/>
      <c r="V397" s="1214"/>
      <c r="W397" s="1214"/>
      <c r="X397" s="1214"/>
      <c r="Y397" s="1214"/>
      <c r="Z397" s="1214"/>
    </row>
    <row r="398">
      <c r="A398" s="1214"/>
      <c r="B398" s="1214"/>
      <c r="C398" s="1214"/>
      <c r="D398" s="1267"/>
      <c r="E398" s="1214"/>
      <c r="F398" s="1214"/>
      <c r="G398" s="1214"/>
      <c r="H398" s="1214"/>
      <c r="I398" s="1214"/>
      <c r="J398" s="1214"/>
      <c r="K398" s="1214"/>
      <c r="L398" s="1214"/>
      <c r="M398" s="1214"/>
      <c r="N398" s="1214"/>
      <c r="O398" s="1214"/>
      <c r="P398" s="1214"/>
      <c r="Q398" s="1214"/>
      <c r="R398" s="1214"/>
      <c r="S398" s="1214"/>
      <c r="T398" s="1214"/>
      <c r="U398" s="1214"/>
      <c r="V398" s="1214"/>
      <c r="W398" s="1214"/>
      <c r="X398" s="1214"/>
      <c r="Y398" s="1214"/>
      <c r="Z398" s="1214"/>
    </row>
    <row r="399">
      <c r="A399" s="1214"/>
      <c r="B399" s="1214"/>
      <c r="C399" s="1214"/>
      <c r="D399" s="1267"/>
      <c r="E399" s="1214"/>
      <c r="F399" s="1214"/>
      <c r="G399" s="1214"/>
      <c r="H399" s="1214"/>
      <c r="I399" s="1214"/>
      <c r="J399" s="1214"/>
      <c r="K399" s="1214"/>
      <c r="L399" s="1214"/>
      <c r="M399" s="1214"/>
      <c r="N399" s="1214"/>
      <c r="O399" s="1214"/>
      <c r="P399" s="1214"/>
      <c r="Q399" s="1214"/>
      <c r="R399" s="1214"/>
      <c r="S399" s="1214"/>
      <c r="T399" s="1214"/>
      <c r="U399" s="1214"/>
      <c r="V399" s="1214"/>
      <c r="W399" s="1214"/>
      <c r="X399" s="1214"/>
      <c r="Y399" s="1214"/>
      <c r="Z399" s="1214"/>
    </row>
    <row r="400">
      <c r="A400" s="1214"/>
      <c r="B400" s="1214"/>
      <c r="C400" s="1214"/>
      <c r="D400" s="1267"/>
      <c r="E400" s="1214"/>
      <c r="F400" s="1214"/>
      <c r="G400" s="1214"/>
      <c r="H400" s="1214"/>
      <c r="I400" s="1214"/>
      <c r="J400" s="1214"/>
      <c r="K400" s="1214"/>
      <c r="L400" s="1214"/>
      <c r="M400" s="1214"/>
      <c r="N400" s="1214"/>
      <c r="O400" s="1214"/>
      <c r="P400" s="1214"/>
      <c r="Q400" s="1214"/>
      <c r="R400" s="1214"/>
      <c r="S400" s="1214"/>
      <c r="T400" s="1214"/>
      <c r="U400" s="1214"/>
      <c r="V400" s="1214"/>
      <c r="W400" s="1214"/>
      <c r="X400" s="1214"/>
      <c r="Y400" s="1214"/>
      <c r="Z400" s="1214"/>
    </row>
    <row r="401">
      <c r="A401" s="1214"/>
      <c r="B401" s="1214"/>
      <c r="C401" s="1214"/>
      <c r="D401" s="1267"/>
      <c r="E401" s="1214"/>
      <c r="F401" s="1214"/>
      <c r="G401" s="1214"/>
      <c r="H401" s="1214"/>
      <c r="I401" s="1214"/>
      <c r="J401" s="1214"/>
      <c r="K401" s="1214"/>
      <c r="L401" s="1214"/>
      <c r="M401" s="1214"/>
      <c r="N401" s="1214"/>
      <c r="O401" s="1214"/>
      <c r="P401" s="1214"/>
      <c r="Q401" s="1214"/>
      <c r="R401" s="1214"/>
      <c r="S401" s="1214"/>
      <c r="T401" s="1214"/>
      <c r="U401" s="1214"/>
      <c r="V401" s="1214"/>
      <c r="W401" s="1214"/>
      <c r="X401" s="1214"/>
      <c r="Y401" s="1214"/>
      <c r="Z401" s="1214"/>
    </row>
    <row r="402">
      <c r="A402" s="1214"/>
      <c r="B402" s="1214"/>
      <c r="C402" s="1214"/>
      <c r="D402" s="1267"/>
      <c r="E402" s="1214"/>
      <c r="F402" s="1214"/>
      <c r="G402" s="1214"/>
      <c r="H402" s="1214"/>
      <c r="I402" s="1214"/>
      <c r="J402" s="1214"/>
      <c r="K402" s="1214"/>
      <c r="L402" s="1214"/>
      <c r="M402" s="1214"/>
      <c r="N402" s="1214"/>
      <c r="O402" s="1214"/>
      <c r="P402" s="1214"/>
      <c r="Q402" s="1214"/>
      <c r="R402" s="1214"/>
      <c r="S402" s="1214"/>
      <c r="T402" s="1214"/>
      <c r="U402" s="1214"/>
      <c r="V402" s="1214"/>
      <c r="W402" s="1214"/>
      <c r="X402" s="1214"/>
      <c r="Y402" s="1214"/>
      <c r="Z402" s="1214"/>
    </row>
    <row r="403">
      <c r="A403" s="1214"/>
      <c r="B403" s="1214"/>
      <c r="C403" s="1214"/>
      <c r="D403" s="1267"/>
      <c r="E403" s="1214"/>
      <c r="F403" s="1214"/>
      <c r="G403" s="1214"/>
      <c r="H403" s="1214"/>
      <c r="I403" s="1214"/>
      <c r="J403" s="1214"/>
      <c r="K403" s="1214"/>
      <c r="L403" s="1214"/>
      <c r="M403" s="1214"/>
      <c r="N403" s="1214"/>
      <c r="O403" s="1214"/>
      <c r="P403" s="1214"/>
      <c r="Q403" s="1214"/>
      <c r="R403" s="1214"/>
      <c r="S403" s="1214"/>
      <c r="T403" s="1214"/>
      <c r="U403" s="1214"/>
      <c r="V403" s="1214"/>
      <c r="W403" s="1214"/>
      <c r="X403" s="1214"/>
      <c r="Y403" s="1214"/>
      <c r="Z403" s="1214"/>
    </row>
    <row r="404">
      <c r="A404" s="1214"/>
      <c r="B404" s="1214"/>
      <c r="C404" s="1214"/>
      <c r="D404" s="1267"/>
      <c r="E404" s="1214"/>
      <c r="F404" s="1214"/>
      <c r="G404" s="1214"/>
      <c r="H404" s="1214"/>
      <c r="I404" s="1214"/>
      <c r="J404" s="1214"/>
      <c r="K404" s="1214"/>
      <c r="L404" s="1214"/>
      <c r="M404" s="1214"/>
      <c r="N404" s="1214"/>
      <c r="O404" s="1214"/>
      <c r="P404" s="1214"/>
      <c r="Q404" s="1214"/>
      <c r="R404" s="1214"/>
      <c r="S404" s="1214"/>
      <c r="T404" s="1214"/>
      <c r="U404" s="1214"/>
      <c r="V404" s="1214"/>
      <c r="W404" s="1214"/>
      <c r="X404" s="1214"/>
      <c r="Y404" s="1214"/>
      <c r="Z404" s="1214"/>
    </row>
    <row r="405">
      <c r="A405" s="1214"/>
      <c r="B405" s="1214"/>
      <c r="C405" s="1214"/>
      <c r="D405" s="1267"/>
      <c r="E405" s="1214"/>
      <c r="F405" s="1214"/>
      <c r="G405" s="1214"/>
      <c r="H405" s="1214"/>
      <c r="I405" s="1214"/>
      <c r="J405" s="1214"/>
      <c r="K405" s="1214"/>
      <c r="L405" s="1214"/>
      <c r="M405" s="1214"/>
      <c r="N405" s="1214"/>
      <c r="O405" s="1214"/>
      <c r="P405" s="1214"/>
      <c r="Q405" s="1214"/>
      <c r="R405" s="1214"/>
      <c r="S405" s="1214"/>
      <c r="T405" s="1214"/>
      <c r="U405" s="1214"/>
      <c r="V405" s="1214"/>
      <c r="W405" s="1214"/>
      <c r="X405" s="1214"/>
      <c r="Y405" s="1214"/>
      <c r="Z405" s="1214"/>
    </row>
    <row r="406">
      <c r="A406" s="1214"/>
      <c r="B406" s="1214"/>
      <c r="C406" s="1214"/>
      <c r="D406" s="1267"/>
      <c r="E406" s="1214"/>
      <c r="F406" s="1214"/>
      <c r="G406" s="1214"/>
      <c r="H406" s="1214"/>
      <c r="I406" s="1214"/>
      <c r="J406" s="1214"/>
      <c r="K406" s="1214"/>
      <c r="L406" s="1214"/>
      <c r="M406" s="1214"/>
      <c r="N406" s="1214"/>
      <c r="O406" s="1214"/>
      <c r="P406" s="1214"/>
      <c r="Q406" s="1214"/>
      <c r="R406" s="1214"/>
      <c r="S406" s="1214"/>
      <c r="T406" s="1214"/>
      <c r="U406" s="1214"/>
      <c r="V406" s="1214"/>
      <c r="W406" s="1214"/>
      <c r="X406" s="1214"/>
      <c r="Y406" s="1214"/>
      <c r="Z406" s="1214"/>
    </row>
    <row r="407">
      <c r="A407" s="1214"/>
      <c r="B407" s="1214"/>
      <c r="C407" s="1214"/>
      <c r="D407" s="1267"/>
      <c r="E407" s="1214"/>
      <c r="F407" s="1214"/>
      <c r="G407" s="1214"/>
      <c r="H407" s="1214"/>
      <c r="I407" s="1214"/>
      <c r="J407" s="1214"/>
      <c r="K407" s="1214"/>
      <c r="L407" s="1214"/>
      <c r="M407" s="1214"/>
      <c r="N407" s="1214"/>
      <c r="O407" s="1214"/>
      <c r="P407" s="1214"/>
      <c r="Q407" s="1214"/>
      <c r="R407" s="1214"/>
      <c r="S407" s="1214"/>
      <c r="T407" s="1214"/>
      <c r="U407" s="1214"/>
      <c r="V407" s="1214"/>
      <c r="W407" s="1214"/>
      <c r="X407" s="1214"/>
      <c r="Y407" s="1214"/>
      <c r="Z407" s="1214"/>
    </row>
    <row r="408">
      <c r="A408" s="1214"/>
      <c r="B408" s="1214"/>
      <c r="C408" s="1214"/>
      <c r="D408" s="1267"/>
      <c r="E408" s="1214"/>
      <c r="F408" s="1214"/>
      <c r="G408" s="1214"/>
      <c r="H408" s="1214"/>
      <c r="I408" s="1214"/>
      <c r="J408" s="1214"/>
      <c r="K408" s="1214"/>
      <c r="L408" s="1214"/>
      <c r="M408" s="1214"/>
      <c r="N408" s="1214"/>
      <c r="O408" s="1214"/>
      <c r="P408" s="1214"/>
      <c r="Q408" s="1214"/>
      <c r="R408" s="1214"/>
      <c r="S408" s="1214"/>
      <c r="T408" s="1214"/>
      <c r="U408" s="1214"/>
      <c r="V408" s="1214"/>
      <c r="W408" s="1214"/>
      <c r="X408" s="1214"/>
      <c r="Y408" s="1214"/>
      <c r="Z408" s="1214"/>
    </row>
    <row r="409">
      <c r="A409" s="1214"/>
      <c r="B409" s="1214"/>
      <c r="C409" s="1214"/>
      <c r="D409" s="1267"/>
      <c r="E409" s="1214"/>
      <c r="F409" s="1214"/>
      <c r="G409" s="1214"/>
      <c r="H409" s="1214"/>
      <c r="I409" s="1214"/>
      <c r="J409" s="1214"/>
      <c r="K409" s="1214"/>
      <c r="L409" s="1214"/>
      <c r="M409" s="1214"/>
      <c r="N409" s="1214"/>
      <c r="O409" s="1214"/>
      <c r="P409" s="1214"/>
      <c r="Q409" s="1214"/>
      <c r="R409" s="1214"/>
      <c r="S409" s="1214"/>
      <c r="T409" s="1214"/>
      <c r="U409" s="1214"/>
      <c r="V409" s="1214"/>
      <c r="W409" s="1214"/>
      <c r="X409" s="1214"/>
      <c r="Y409" s="1214"/>
      <c r="Z409" s="1214"/>
    </row>
    <row r="410">
      <c r="A410" s="1214"/>
      <c r="B410" s="1214"/>
      <c r="C410" s="1214"/>
      <c r="D410" s="1267"/>
      <c r="E410" s="1214"/>
      <c r="F410" s="1214"/>
      <c r="G410" s="1214"/>
      <c r="H410" s="1214"/>
      <c r="I410" s="1214"/>
      <c r="J410" s="1214"/>
      <c r="K410" s="1214"/>
      <c r="L410" s="1214"/>
      <c r="M410" s="1214"/>
      <c r="N410" s="1214"/>
      <c r="O410" s="1214"/>
      <c r="P410" s="1214"/>
      <c r="Q410" s="1214"/>
      <c r="R410" s="1214"/>
      <c r="S410" s="1214"/>
      <c r="T410" s="1214"/>
      <c r="U410" s="1214"/>
      <c r="V410" s="1214"/>
      <c r="W410" s="1214"/>
      <c r="X410" s="1214"/>
      <c r="Y410" s="1214"/>
      <c r="Z410" s="1214"/>
    </row>
    <row r="411">
      <c r="A411" s="1214"/>
      <c r="B411" s="1214"/>
      <c r="C411" s="1214"/>
      <c r="D411" s="1267"/>
      <c r="E411" s="1214"/>
      <c r="F411" s="1214"/>
      <c r="G411" s="1214"/>
      <c r="H411" s="1214"/>
      <c r="I411" s="1214"/>
      <c r="J411" s="1214"/>
      <c r="K411" s="1214"/>
      <c r="L411" s="1214"/>
      <c r="M411" s="1214"/>
      <c r="N411" s="1214"/>
      <c r="O411" s="1214"/>
      <c r="P411" s="1214"/>
      <c r="Q411" s="1214"/>
      <c r="R411" s="1214"/>
      <c r="S411" s="1214"/>
      <c r="T411" s="1214"/>
      <c r="U411" s="1214"/>
      <c r="V411" s="1214"/>
      <c r="W411" s="1214"/>
      <c r="X411" s="1214"/>
      <c r="Y411" s="1214"/>
      <c r="Z411" s="1214"/>
    </row>
    <row r="412">
      <c r="A412" s="1214"/>
      <c r="B412" s="1214"/>
      <c r="C412" s="1214"/>
      <c r="D412" s="1267"/>
      <c r="E412" s="1214"/>
      <c r="F412" s="1214"/>
      <c r="G412" s="1214"/>
      <c r="H412" s="1214"/>
      <c r="I412" s="1214"/>
      <c r="J412" s="1214"/>
      <c r="K412" s="1214"/>
      <c r="L412" s="1214"/>
      <c r="M412" s="1214"/>
      <c r="N412" s="1214"/>
      <c r="O412" s="1214"/>
      <c r="P412" s="1214"/>
      <c r="Q412" s="1214"/>
      <c r="R412" s="1214"/>
      <c r="S412" s="1214"/>
      <c r="T412" s="1214"/>
      <c r="U412" s="1214"/>
      <c r="V412" s="1214"/>
      <c r="W412" s="1214"/>
      <c r="X412" s="1214"/>
      <c r="Y412" s="1214"/>
      <c r="Z412" s="1214"/>
    </row>
    <row r="413">
      <c r="A413" s="1214"/>
      <c r="B413" s="1214"/>
      <c r="C413" s="1214"/>
      <c r="D413" s="1267"/>
      <c r="E413" s="1214"/>
      <c r="F413" s="1214"/>
      <c r="G413" s="1214"/>
      <c r="H413" s="1214"/>
      <c r="I413" s="1214"/>
      <c r="J413" s="1214"/>
      <c r="K413" s="1214"/>
      <c r="L413" s="1214"/>
      <c r="M413" s="1214"/>
      <c r="N413" s="1214"/>
      <c r="O413" s="1214"/>
      <c r="P413" s="1214"/>
      <c r="Q413" s="1214"/>
      <c r="R413" s="1214"/>
      <c r="S413" s="1214"/>
      <c r="T413" s="1214"/>
      <c r="U413" s="1214"/>
      <c r="V413" s="1214"/>
      <c r="W413" s="1214"/>
      <c r="X413" s="1214"/>
      <c r="Y413" s="1214"/>
      <c r="Z413" s="1214"/>
    </row>
    <row r="414">
      <c r="A414" s="1214"/>
      <c r="B414" s="1214"/>
      <c r="C414" s="1214"/>
      <c r="D414" s="1267"/>
      <c r="E414" s="1214"/>
      <c r="F414" s="1214"/>
      <c r="G414" s="1214"/>
      <c r="H414" s="1214"/>
      <c r="I414" s="1214"/>
      <c r="J414" s="1214"/>
      <c r="K414" s="1214"/>
      <c r="L414" s="1214"/>
      <c r="M414" s="1214"/>
      <c r="N414" s="1214"/>
      <c r="O414" s="1214"/>
      <c r="P414" s="1214"/>
      <c r="Q414" s="1214"/>
      <c r="R414" s="1214"/>
      <c r="S414" s="1214"/>
      <c r="T414" s="1214"/>
      <c r="U414" s="1214"/>
      <c r="V414" s="1214"/>
      <c r="W414" s="1214"/>
      <c r="X414" s="1214"/>
      <c r="Y414" s="1214"/>
      <c r="Z414" s="1214"/>
    </row>
    <row r="415">
      <c r="A415" s="1214"/>
      <c r="B415" s="1214"/>
      <c r="C415" s="1214"/>
      <c r="D415" s="1267"/>
      <c r="E415" s="1214"/>
      <c r="F415" s="1214"/>
      <c r="G415" s="1214"/>
      <c r="H415" s="1214"/>
      <c r="I415" s="1214"/>
      <c r="J415" s="1214"/>
      <c r="K415" s="1214"/>
      <c r="L415" s="1214"/>
      <c r="M415" s="1214"/>
      <c r="N415" s="1214"/>
      <c r="O415" s="1214"/>
      <c r="P415" s="1214"/>
      <c r="Q415" s="1214"/>
      <c r="R415" s="1214"/>
      <c r="S415" s="1214"/>
      <c r="T415" s="1214"/>
      <c r="U415" s="1214"/>
      <c r="V415" s="1214"/>
      <c r="W415" s="1214"/>
      <c r="X415" s="1214"/>
      <c r="Y415" s="1214"/>
      <c r="Z415" s="1214"/>
    </row>
    <row r="416">
      <c r="A416" s="1214"/>
      <c r="B416" s="1214"/>
      <c r="C416" s="1214"/>
      <c r="D416" s="1267"/>
      <c r="E416" s="1214"/>
      <c r="F416" s="1214"/>
      <c r="G416" s="1214"/>
      <c r="H416" s="1214"/>
      <c r="I416" s="1214"/>
      <c r="J416" s="1214"/>
      <c r="K416" s="1214"/>
      <c r="L416" s="1214"/>
      <c r="M416" s="1214"/>
      <c r="N416" s="1214"/>
      <c r="O416" s="1214"/>
      <c r="P416" s="1214"/>
      <c r="Q416" s="1214"/>
      <c r="R416" s="1214"/>
      <c r="S416" s="1214"/>
      <c r="T416" s="1214"/>
      <c r="U416" s="1214"/>
      <c r="V416" s="1214"/>
      <c r="W416" s="1214"/>
      <c r="X416" s="1214"/>
      <c r="Y416" s="1214"/>
      <c r="Z416" s="1214"/>
    </row>
    <row r="417">
      <c r="A417" s="1214"/>
      <c r="B417" s="1214"/>
      <c r="C417" s="1214"/>
      <c r="D417" s="1267"/>
      <c r="E417" s="1214"/>
      <c r="F417" s="1214"/>
      <c r="G417" s="1214"/>
      <c r="H417" s="1214"/>
      <c r="I417" s="1214"/>
      <c r="J417" s="1214"/>
      <c r="K417" s="1214"/>
      <c r="L417" s="1214"/>
      <c r="M417" s="1214"/>
      <c r="N417" s="1214"/>
      <c r="O417" s="1214"/>
      <c r="P417" s="1214"/>
      <c r="Q417" s="1214"/>
      <c r="R417" s="1214"/>
      <c r="S417" s="1214"/>
      <c r="T417" s="1214"/>
      <c r="U417" s="1214"/>
      <c r="V417" s="1214"/>
      <c r="W417" s="1214"/>
      <c r="X417" s="1214"/>
      <c r="Y417" s="1214"/>
      <c r="Z417" s="1214"/>
    </row>
    <row r="418">
      <c r="A418" s="1214"/>
      <c r="B418" s="1214"/>
      <c r="C418" s="1214"/>
      <c r="D418" s="1267"/>
      <c r="E418" s="1214"/>
      <c r="F418" s="1214"/>
      <c r="G418" s="1214"/>
      <c r="H418" s="1214"/>
      <c r="I418" s="1214"/>
      <c r="J418" s="1214"/>
      <c r="K418" s="1214"/>
      <c r="L418" s="1214"/>
      <c r="M418" s="1214"/>
      <c r="N418" s="1214"/>
      <c r="O418" s="1214"/>
      <c r="P418" s="1214"/>
      <c r="Q418" s="1214"/>
      <c r="R418" s="1214"/>
      <c r="S418" s="1214"/>
      <c r="T418" s="1214"/>
      <c r="U418" s="1214"/>
      <c r="V418" s="1214"/>
      <c r="W418" s="1214"/>
      <c r="X418" s="1214"/>
      <c r="Y418" s="1214"/>
      <c r="Z418" s="1214"/>
    </row>
    <row r="419">
      <c r="A419" s="1214"/>
      <c r="B419" s="1214"/>
      <c r="C419" s="1214"/>
      <c r="D419" s="1267"/>
      <c r="E419" s="1214"/>
      <c r="F419" s="1214"/>
      <c r="G419" s="1214"/>
      <c r="H419" s="1214"/>
      <c r="I419" s="1214"/>
      <c r="J419" s="1214"/>
      <c r="K419" s="1214"/>
      <c r="L419" s="1214"/>
      <c r="M419" s="1214"/>
      <c r="N419" s="1214"/>
      <c r="O419" s="1214"/>
      <c r="P419" s="1214"/>
      <c r="Q419" s="1214"/>
      <c r="R419" s="1214"/>
      <c r="S419" s="1214"/>
      <c r="T419" s="1214"/>
      <c r="U419" s="1214"/>
      <c r="V419" s="1214"/>
      <c r="W419" s="1214"/>
      <c r="X419" s="1214"/>
      <c r="Y419" s="1214"/>
      <c r="Z419" s="1214"/>
    </row>
    <row r="420">
      <c r="A420" s="1214"/>
      <c r="B420" s="1214"/>
      <c r="C420" s="1214"/>
      <c r="D420" s="1267"/>
      <c r="E420" s="1214"/>
      <c r="F420" s="1214"/>
      <c r="G420" s="1214"/>
      <c r="H420" s="1214"/>
      <c r="I420" s="1214"/>
      <c r="J420" s="1214"/>
      <c r="K420" s="1214"/>
      <c r="L420" s="1214"/>
      <c r="M420" s="1214"/>
      <c r="N420" s="1214"/>
      <c r="O420" s="1214"/>
      <c r="P420" s="1214"/>
      <c r="Q420" s="1214"/>
      <c r="R420" s="1214"/>
      <c r="S420" s="1214"/>
      <c r="T420" s="1214"/>
      <c r="U420" s="1214"/>
      <c r="V420" s="1214"/>
      <c r="W420" s="1214"/>
      <c r="X420" s="1214"/>
      <c r="Y420" s="1214"/>
      <c r="Z420" s="1214"/>
    </row>
    <row r="421">
      <c r="A421" s="1214"/>
      <c r="B421" s="1214"/>
      <c r="C421" s="1214"/>
      <c r="D421" s="1267"/>
      <c r="E421" s="1214"/>
      <c r="F421" s="1214"/>
      <c r="G421" s="1214"/>
      <c r="H421" s="1214"/>
      <c r="I421" s="1214"/>
      <c r="J421" s="1214"/>
      <c r="K421" s="1214"/>
      <c r="L421" s="1214"/>
      <c r="M421" s="1214"/>
      <c r="N421" s="1214"/>
      <c r="O421" s="1214"/>
      <c r="P421" s="1214"/>
      <c r="Q421" s="1214"/>
      <c r="R421" s="1214"/>
      <c r="S421" s="1214"/>
      <c r="T421" s="1214"/>
      <c r="U421" s="1214"/>
      <c r="V421" s="1214"/>
      <c r="W421" s="1214"/>
      <c r="X421" s="1214"/>
      <c r="Y421" s="1214"/>
      <c r="Z421" s="1214"/>
    </row>
    <row r="422">
      <c r="A422" s="1214"/>
      <c r="B422" s="1214"/>
      <c r="C422" s="1214"/>
      <c r="D422" s="1267"/>
      <c r="E422" s="1214"/>
      <c r="F422" s="1214"/>
      <c r="G422" s="1214"/>
      <c r="H422" s="1214"/>
      <c r="I422" s="1214"/>
      <c r="J422" s="1214"/>
      <c r="K422" s="1214"/>
      <c r="L422" s="1214"/>
      <c r="M422" s="1214"/>
      <c r="N422" s="1214"/>
      <c r="O422" s="1214"/>
      <c r="P422" s="1214"/>
      <c r="Q422" s="1214"/>
      <c r="R422" s="1214"/>
      <c r="S422" s="1214"/>
      <c r="T422" s="1214"/>
      <c r="U422" s="1214"/>
      <c r="V422" s="1214"/>
      <c r="W422" s="1214"/>
      <c r="X422" s="1214"/>
      <c r="Y422" s="1214"/>
      <c r="Z422" s="1214"/>
    </row>
    <row r="423">
      <c r="A423" s="1214"/>
      <c r="B423" s="1214"/>
      <c r="C423" s="1214"/>
      <c r="D423" s="1267"/>
      <c r="E423" s="1214"/>
      <c r="F423" s="1214"/>
      <c r="G423" s="1214"/>
      <c r="H423" s="1214"/>
      <c r="I423" s="1214"/>
      <c r="J423" s="1214"/>
      <c r="K423" s="1214"/>
      <c r="L423" s="1214"/>
      <c r="M423" s="1214"/>
      <c r="N423" s="1214"/>
      <c r="O423" s="1214"/>
      <c r="P423" s="1214"/>
      <c r="Q423" s="1214"/>
      <c r="R423" s="1214"/>
      <c r="S423" s="1214"/>
      <c r="T423" s="1214"/>
      <c r="U423" s="1214"/>
      <c r="V423" s="1214"/>
      <c r="W423" s="1214"/>
      <c r="X423" s="1214"/>
      <c r="Y423" s="1214"/>
      <c r="Z423" s="1214"/>
    </row>
    <row r="424">
      <c r="A424" s="1214"/>
      <c r="B424" s="1214"/>
      <c r="C424" s="1214"/>
      <c r="D424" s="1267"/>
      <c r="E424" s="1214"/>
      <c r="F424" s="1214"/>
      <c r="G424" s="1214"/>
      <c r="H424" s="1214"/>
      <c r="I424" s="1214"/>
      <c r="J424" s="1214"/>
      <c r="K424" s="1214"/>
      <c r="L424" s="1214"/>
      <c r="M424" s="1214"/>
      <c r="N424" s="1214"/>
      <c r="O424" s="1214"/>
      <c r="P424" s="1214"/>
      <c r="Q424" s="1214"/>
      <c r="R424" s="1214"/>
      <c r="S424" s="1214"/>
      <c r="T424" s="1214"/>
      <c r="U424" s="1214"/>
      <c r="V424" s="1214"/>
      <c r="W424" s="1214"/>
      <c r="X424" s="1214"/>
      <c r="Y424" s="1214"/>
      <c r="Z424" s="1214"/>
    </row>
    <row r="425">
      <c r="A425" s="1214"/>
      <c r="B425" s="1214"/>
      <c r="C425" s="1214"/>
      <c r="D425" s="1267"/>
      <c r="E425" s="1214"/>
      <c r="F425" s="1214"/>
      <c r="G425" s="1214"/>
      <c r="H425" s="1214"/>
      <c r="I425" s="1214"/>
      <c r="J425" s="1214"/>
      <c r="K425" s="1214"/>
      <c r="L425" s="1214"/>
      <c r="M425" s="1214"/>
      <c r="N425" s="1214"/>
      <c r="O425" s="1214"/>
      <c r="P425" s="1214"/>
      <c r="Q425" s="1214"/>
      <c r="R425" s="1214"/>
      <c r="S425" s="1214"/>
      <c r="T425" s="1214"/>
      <c r="U425" s="1214"/>
      <c r="V425" s="1214"/>
      <c r="W425" s="1214"/>
      <c r="X425" s="1214"/>
      <c r="Y425" s="1214"/>
      <c r="Z425" s="1214"/>
    </row>
    <row r="426">
      <c r="A426" s="1214"/>
      <c r="B426" s="1214"/>
      <c r="C426" s="1214"/>
      <c r="D426" s="1267"/>
      <c r="E426" s="1214"/>
      <c r="F426" s="1214"/>
      <c r="G426" s="1214"/>
      <c r="H426" s="1214"/>
      <c r="I426" s="1214"/>
      <c r="J426" s="1214"/>
      <c r="K426" s="1214"/>
      <c r="L426" s="1214"/>
      <c r="M426" s="1214"/>
      <c r="N426" s="1214"/>
      <c r="O426" s="1214"/>
      <c r="P426" s="1214"/>
      <c r="Q426" s="1214"/>
      <c r="R426" s="1214"/>
      <c r="S426" s="1214"/>
      <c r="T426" s="1214"/>
      <c r="U426" s="1214"/>
      <c r="V426" s="1214"/>
      <c r="W426" s="1214"/>
      <c r="X426" s="1214"/>
      <c r="Y426" s="1214"/>
      <c r="Z426" s="1214"/>
    </row>
    <row r="427">
      <c r="A427" s="1214"/>
      <c r="B427" s="1214"/>
      <c r="C427" s="1214"/>
      <c r="D427" s="1267"/>
      <c r="E427" s="1214"/>
      <c r="F427" s="1214"/>
      <c r="G427" s="1214"/>
      <c r="H427" s="1214"/>
      <c r="I427" s="1214"/>
      <c r="J427" s="1214"/>
      <c r="K427" s="1214"/>
      <c r="L427" s="1214"/>
      <c r="M427" s="1214"/>
      <c r="N427" s="1214"/>
      <c r="O427" s="1214"/>
      <c r="P427" s="1214"/>
      <c r="Q427" s="1214"/>
      <c r="R427" s="1214"/>
      <c r="S427" s="1214"/>
      <c r="T427" s="1214"/>
      <c r="U427" s="1214"/>
      <c r="V427" s="1214"/>
      <c r="W427" s="1214"/>
      <c r="X427" s="1214"/>
      <c r="Y427" s="1214"/>
      <c r="Z427" s="1214"/>
    </row>
    <row r="428">
      <c r="A428" s="1214"/>
      <c r="B428" s="1214"/>
      <c r="C428" s="1214"/>
      <c r="D428" s="1267"/>
      <c r="E428" s="1214"/>
      <c r="F428" s="1214"/>
      <c r="G428" s="1214"/>
      <c r="H428" s="1214"/>
      <c r="I428" s="1214"/>
      <c r="J428" s="1214"/>
      <c r="K428" s="1214"/>
      <c r="L428" s="1214"/>
      <c r="M428" s="1214"/>
      <c r="N428" s="1214"/>
      <c r="O428" s="1214"/>
      <c r="P428" s="1214"/>
      <c r="Q428" s="1214"/>
      <c r="R428" s="1214"/>
      <c r="S428" s="1214"/>
      <c r="T428" s="1214"/>
      <c r="U428" s="1214"/>
      <c r="V428" s="1214"/>
      <c r="W428" s="1214"/>
      <c r="X428" s="1214"/>
      <c r="Y428" s="1214"/>
      <c r="Z428" s="1214"/>
    </row>
    <row r="429">
      <c r="A429" s="1214"/>
      <c r="B429" s="1214"/>
      <c r="C429" s="1214"/>
      <c r="D429" s="1267"/>
      <c r="E429" s="1214"/>
      <c r="F429" s="1214"/>
      <c r="G429" s="1214"/>
      <c r="H429" s="1214"/>
      <c r="I429" s="1214"/>
      <c r="J429" s="1214"/>
      <c r="K429" s="1214"/>
      <c r="L429" s="1214"/>
      <c r="M429" s="1214"/>
      <c r="N429" s="1214"/>
      <c r="O429" s="1214"/>
      <c r="P429" s="1214"/>
      <c r="Q429" s="1214"/>
      <c r="R429" s="1214"/>
      <c r="S429" s="1214"/>
      <c r="T429" s="1214"/>
      <c r="U429" s="1214"/>
      <c r="V429" s="1214"/>
      <c r="W429" s="1214"/>
      <c r="X429" s="1214"/>
      <c r="Y429" s="1214"/>
      <c r="Z429" s="1214"/>
    </row>
    <row r="430">
      <c r="A430" s="1214"/>
      <c r="B430" s="1214"/>
      <c r="C430" s="1214"/>
      <c r="D430" s="1267"/>
      <c r="E430" s="1214"/>
      <c r="F430" s="1214"/>
      <c r="G430" s="1214"/>
      <c r="H430" s="1214"/>
      <c r="I430" s="1214"/>
      <c r="J430" s="1214"/>
      <c r="K430" s="1214"/>
      <c r="L430" s="1214"/>
      <c r="M430" s="1214"/>
      <c r="N430" s="1214"/>
      <c r="O430" s="1214"/>
      <c r="P430" s="1214"/>
      <c r="Q430" s="1214"/>
      <c r="R430" s="1214"/>
      <c r="S430" s="1214"/>
      <c r="T430" s="1214"/>
      <c r="U430" s="1214"/>
      <c r="V430" s="1214"/>
      <c r="W430" s="1214"/>
      <c r="X430" s="1214"/>
      <c r="Y430" s="1214"/>
      <c r="Z430" s="1214"/>
    </row>
    <row r="431">
      <c r="A431" s="1214"/>
      <c r="B431" s="1214"/>
      <c r="C431" s="1214"/>
      <c r="D431" s="1267"/>
      <c r="E431" s="1214"/>
      <c r="F431" s="1214"/>
      <c r="G431" s="1214"/>
      <c r="H431" s="1214"/>
      <c r="I431" s="1214"/>
      <c r="J431" s="1214"/>
      <c r="K431" s="1214"/>
      <c r="L431" s="1214"/>
      <c r="M431" s="1214"/>
      <c r="N431" s="1214"/>
      <c r="O431" s="1214"/>
      <c r="P431" s="1214"/>
      <c r="Q431" s="1214"/>
      <c r="R431" s="1214"/>
      <c r="S431" s="1214"/>
      <c r="T431" s="1214"/>
      <c r="U431" s="1214"/>
      <c r="V431" s="1214"/>
      <c r="W431" s="1214"/>
      <c r="X431" s="1214"/>
      <c r="Y431" s="1214"/>
      <c r="Z431" s="1214"/>
    </row>
    <row r="432">
      <c r="A432" s="1214"/>
      <c r="B432" s="1214"/>
      <c r="C432" s="1214"/>
      <c r="D432" s="1267"/>
      <c r="E432" s="1214"/>
      <c r="F432" s="1214"/>
      <c r="G432" s="1214"/>
      <c r="H432" s="1214"/>
      <c r="I432" s="1214"/>
      <c r="J432" s="1214"/>
      <c r="K432" s="1214"/>
      <c r="L432" s="1214"/>
      <c r="M432" s="1214"/>
      <c r="N432" s="1214"/>
      <c r="O432" s="1214"/>
      <c r="P432" s="1214"/>
      <c r="Q432" s="1214"/>
      <c r="R432" s="1214"/>
      <c r="S432" s="1214"/>
      <c r="T432" s="1214"/>
      <c r="U432" s="1214"/>
      <c r="V432" s="1214"/>
      <c r="W432" s="1214"/>
      <c r="X432" s="1214"/>
      <c r="Y432" s="1214"/>
      <c r="Z432" s="1214"/>
    </row>
    <row r="433">
      <c r="A433" s="1214"/>
      <c r="B433" s="1214"/>
      <c r="C433" s="1214"/>
      <c r="D433" s="1267"/>
      <c r="E433" s="1214"/>
      <c r="F433" s="1214"/>
      <c r="G433" s="1214"/>
      <c r="H433" s="1214"/>
      <c r="I433" s="1214"/>
      <c r="J433" s="1214"/>
      <c r="K433" s="1214"/>
      <c r="L433" s="1214"/>
      <c r="M433" s="1214"/>
      <c r="N433" s="1214"/>
      <c r="O433" s="1214"/>
      <c r="P433" s="1214"/>
      <c r="Q433" s="1214"/>
      <c r="R433" s="1214"/>
      <c r="S433" s="1214"/>
      <c r="T433" s="1214"/>
      <c r="U433" s="1214"/>
      <c r="V433" s="1214"/>
      <c r="W433" s="1214"/>
      <c r="X433" s="1214"/>
      <c r="Y433" s="1214"/>
      <c r="Z433" s="1214"/>
    </row>
    <row r="434">
      <c r="A434" s="1214"/>
      <c r="B434" s="1214"/>
      <c r="C434" s="1214"/>
      <c r="D434" s="1267"/>
      <c r="E434" s="1214"/>
      <c r="F434" s="1214"/>
      <c r="G434" s="1214"/>
      <c r="H434" s="1214"/>
      <c r="I434" s="1214"/>
      <c r="J434" s="1214"/>
      <c r="K434" s="1214"/>
      <c r="L434" s="1214"/>
      <c r="M434" s="1214"/>
      <c r="N434" s="1214"/>
      <c r="O434" s="1214"/>
      <c r="P434" s="1214"/>
      <c r="Q434" s="1214"/>
      <c r="R434" s="1214"/>
      <c r="S434" s="1214"/>
      <c r="T434" s="1214"/>
      <c r="U434" s="1214"/>
      <c r="V434" s="1214"/>
      <c r="W434" s="1214"/>
      <c r="X434" s="1214"/>
      <c r="Y434" s="1214"/>
      <c r="Z434" s="1214"/>
    </row>
    <row r="435">
      <c r="A435" s="1214"/>
      <c r="B435" s="1214"/>
      <c r="C435" s="1214"/>
      <c r="D435" s="1267"/>
      <c r="E435" s="1214"/>
      <c r="F435" s="1214"/>
      <c r="G435" s="1214"/>
      <c r="H435" s="1214"/>
      <c r="I435" s="1214"/>
      <c r="J435" s="1214"/>
      <c r="K435" s="1214"/>
      <c r="L435" s="1214"/>
      <c r="M435" s="1214"/>
      <c r="N435" s="1214"/>
      <c r="O435" s="1214"/>
      <c r="P435" s="1214"/>
      <c r="Q435" s="1214"/>
      <c r="R435" s="1214"/>
      <c r="S435" s="1214"/>
      <c r="T435" s="1214"/>
      <c r="U435" s="1214"/>
      <c r="V435" s="1214"/>
      <c r="W435" s="1214"/>
      <c r="X435" s="1214"/>
      <c r="Y435" s="1214"/>
      <c r="Z435" s="1214"/>
    </row>
    <row r="436">
      <c r="A436" s="1214"/>
      <c r="B436" s="1214"/>
      <c r="C436" s="1214"/>
      <c r="D436" s="1267"/>
      <c r="E436" s="1214"/>
      <c r="F436" s="1214"/>
      <c r="G436" s="1214"/>
      <c r="H436" s="1214"/>
      <c r="I436" s="1214"/>
      <c r="J436" s="1214"/>
      <c r="K436" s="1214"/>
      <c r="L436" s="1214"/>
      <c r="M436" s="1214"/>
      <c r="N436" s="1214"/>
      <c r="O436" s="1214"/>
      <c r="P436" s="1214"/>
      <c r="Q436" s="1214"/>
      <c r="R436" s="1214"/>
      <c r="S436" s="1214"/>
      <c r="T436" s="1214"/>
      <c r="U436" s="1214"/>
      <c r="V436" s="1214"/>
      <c r="W436" s="1214"/>
      <c r="X436" s="1214"/>
      <c r="Y436" s="1214"/>
      <c r="Z436" s="1214"/>
    </row>
    <row r="437">
      <c r="A437" s="1214"/>
      <c r="B437" s="1214"/>
      <c r="C437" s="1214"/>
      <c r="D437" s="1267"/>
      <c r="E437" s="1214"/>
      <c r="F437" s="1214"/>
      <c r="G437" s="1214"/>
      <c r="H437" s="1214"/>
      <c r="I437" s="1214"/>
      <c r="J437" s="1214"/>
      <c r="K437" s="1214"/>
      <c r="L437" s="1214"/>
      <c r="M437" s="1214"/>
      <c r="N437" s="1214"/>
      <c r="O437" s="1214"/>
      <c r="P437" s="1214"/>
      <c r="Q437" s="1214"/>
      <c r="R437" s="1214"/>
      <c r="S437" s="1214"/>
      <c r="T437" s="1214"/>
      <c r="U437" s="1214"/>
      <c r="V437" s="1214"/>
      <c r="W437" s="1214"/>
      <c r="X437" s="1214"/>
      <c r="Y437" s="1214"/>
      <c r="Z437" s="1214"/>
    </row>
    <row r="438">
      <c r="A438" s="1214"/>
      <c r="B438" s="1214"/>
      <c r="C438" s="1214"/>
      <c r="D438" s="1267"/>
      <c r="E438" s="1214"/>
      <c r="F438" s="1214"/>
      <c r="G438" s="1214"/>
      <c r="H438" s="1214"/>
      <c r="I438" s="1214"/>
      <c r="J438" s="1214"/>
      <c r="K438" s="1214"/>
      <c r="L438" s="1214"/>
      <c r="M438" s="1214"/>
      <c r="N438" s="1214"/>
      <c r="O438" s="1214"/>
      <c r="P438" s="1214"/>
      <c r="Q438" s="1214"/>
      <c r="R438" s="1214"/>
      <c r="S438" s="1214"/>
      <c r="T438" s="1214"/>
      <c r="U438" s="1214"/>
      <c r="V438" s="1214"/>
      <c r="W438" s="1214"/>
      <c r="X438" s="1214"/>
      <c r="Y438" s="1214"/>
      <c r="Z438" s="1214"/>
    </row>
    <row r="439">
      <c r="A439" s="1214"/>
      <c r="B439" s="1214"/>
      <c r="C439" s="1214"/>
      <c r="D439" s="1267"/>
      <c r="E439" s="1214"/>
      <c r="F439" s="1214"/>
      <c r="G439" s="1214"/>
      <c r="H439" s="1214"/>
      <c r="I439" s="1214"/>
      <c r="J439" s="1214"/>
      <c r="K439" s="1214"/>
      <c r="L439" s="1214"/>
      <c r="M439" s="1214"/>
      <c r="N439" s="1214"/>
      <c r="O439" s="1214"/>
      <c r="P439" s="1214"/>
      <c r="Q439" s="1214"/>
      <c r="R439" s="1214"/>
      <c r="S439" s="1214"/>
      <c r="T439" s="1214"/>
      <c r="U439" s="1214"/>
      <c r="V439" s="1214"/>
      <c r="W439" s="1214"/>
      <c r="X439" s="1214"/>
      <c r="Y439" s="1214"/>
      <c r="Z439" s="1214"/>
    </row>
    <row r="440">
      <c r="A440" s="1214"/>
      <c r="B440" s="1214"/>
      <c r="C440" s="1214"/>
      <c r="D440" s="1267"/>
      <c r="E440" s="1214"/>
      <c r="F440" s="1214"/>
      <c r="G440" s="1214"/>
      <c r="H440" s="1214"/>
      <c r="I440" s="1214"/>
      <c r="J440" s="1214"/>
      <c r="K440" s="1214"/>
      <c r="L440" s="1214"/>
      <c r="M440" s="1214"/>
      <c r="N440" s="1214"/>
      <c r="O440" s="1214"/>
      <c r="P440" s="1214"/>
      <c r="Q440" s="1214"/>
      <c r="R440" s="1214"/>
      <c r="S440" s="1214"/>
      <c r="T440" s="1214"/>
      <c r="U440" s="1214"/>
      <c r="V440" s="1214"/>
      <c r="W440" s="1214"/>
      <c r="X440" s="1214"/>
      <c r="Y440" s="1214"/>
      <c r="Z440" s="1214"/>
    </row>
    <row r="441">
      <c r="A441" s="1214"/>
      <c r="B441" s="1214"/>
      <c r="C441" s="1214"/>
      <c r="D441" s="1267"/>
      <c r="E441" s="1214"/>
      <c r="F441" s="1214"/>
      <c r="G441" s="1214"/>
      <c r="H441" s="1214"/>
      <c r="I441" s="1214"/>
      <c r="J441" s="1214"/>
      <c r="K441" s="1214"/>
      <c r="L441" s="1214"/>
      <c r="M441" s="1214"/>
      <c r="N441" s="1214"/>
      <c r="O441" s="1214"/>
      <c r="P441" s="1214"/>
      <c r="Q441" s="1214"/>
      <c r="R441" s="1214"/>
      <c r="S441" s="1214"/>
      <c r="T441" s="1214"/>
      <c r="U441" s="1214"/>
      <c r="V441" s="1214"/>
      <c r="W441" s="1214"/>
      <c r="X441" s="1214"/>
      <c r="Y441" s="1214"/>
      <c r="Z441" s="1214"/>
    </row>
    <row r="442">
      <c r="A442" s="1214"/>
      <c r="B442" s="1214"/>
      <c r="C442" s="1214"/>
      <c r="D442" s="1267"/>
      <c r="E442" s="1214"/>
      <c r="F442" s="1214"/>
      <c r="G442" s="1214"/>
      <c r="H442" s="1214"/>
      <c r="I442" s="1214"/>
      <c r="J442" s="1214"/>
      <c r="K442" s="1214"/>
      <c r="L442" s="1214"/>
      <c r="M442" s="1214"/>
      <c r="N442" s="1214"/>
      <c r="O442" s="1214"/>
      <c r="P442" s="1214"/>
      <c r="Q442" s="1214"/>
      <c r="R442" s="1214"/>
      <c r="S442" s="1214"/>
      <c r="T442" s="1214"/>
      <c r="U442" s="1214"/>
      <c r="V442" s="1214"/>
      <c r="W442" s="1214"/>
      <c r="X442" s="1214"/>
      <c r="Y442" s="1214"/>
      <c r="Z442" s="1214"/>
    </row>
    <row r="443">
      <c r="A443" s="1214"/>
      <c r="B443" s="1214"/>
      <c r="C443" s="1214"/>
      <c r="D443" s="1267"/>
      <c r="E443" s="1214"/>
      <c r="F443" s="1214"/>
      <c r="G443" s="1214"/>
      <c r="H443" s="1214"/>
      <c r="I443" s="1214"/>
      <c r="J443" s="1214"/>
      <c r="K443" s="1214"/>
      <c r="L443" s="1214"/>
      <c r="M443" s="1214"/>
      <c r="N443" s="1214"/>
      <c r="O443" s="1214"/>
      <c r="P443" s="1214"/>
      <c r="Q443" s="1214"/>
      <c r="R443" s="1214"/>
      <c r="S443" s="1214"/>
      <c r="T443" s="1214"/>
      <c r="U443" s="1214"/>
      <c r="V443" s="1214"/>
      <c r="W443" s="1214"/>
      <c r="X443" s="1214"/>
      <c r="Y443" s="1214"/>
      <c r="Z443" s="1214"/>
    </row>
    <row r="444">
      <c r="A444" s="1214"/>
      <c r="B444" s="1214"/>
      <c r="C444" s="1214"/>
      <c r="D444" s="1267"/>
      <c r="E444" s="1214"/>
      <c r="F444" s="1214"/>
      <c r="G444" s="1214"/>
      <c r="H444" s="1214"/>
      <c r="I444" s="1214"/>
      <c r="J444" s="1214"/>
      <c r="K444" s="1214"/>
      <c r="L444" s="1214"/>
      <c r="M444" s="1214"/>
      <c r="N444" s="1214"/>
      <c r="O444" s="1214"/>
      <c r="P444" s="1214"/>
      <c r="Q444" s="1214"/>
      <c r="R444" s="1214"/>
      <c r="S444" s="1214"/>
      <c r="T444" s="1214"/>
      <c r="U444" s="1214"/>
      <c r="V444" s="1214"/>
      <c r="W444" s="1214"/>
      <c r="X444" s="1214"/>
      <c r="Y444" s="1214"/>
      <c r="Z444" s="1214"/>
    </row>
    <row r="445">
      <c r="A445" s="1214"/>
      <c r="B445" s="1214"/>
      <c r="C445" s="1214"/>
      <c r="D445" s="1267"/>
      <c r="E445" s="1214"/>
      <c r="F445" s="1214"/>
      <c r="G445" s="1214"/>
      <c r="H445" s="1214"/>
      <c r="I445" s="1214"/>
      <c r="J445" s="1214"/>
      <c r="K445" s="1214"/>
      <c r="L445" s="1214"/>
      <c r="M445" s="1214"/>
      <c r="N445" s="1214"/>
      <c r="O445" s="1214"/>
      <c r="P445" s="1214"/>
      <c r="Q445" s="1214"/>
      <c r="R445" s="1214"/>
      <c r="S445" s="1214"/>
      <c r="T445" s="1214"/>
      <c r="U445" s="1214"/>
      <c r="V445" s="1214"/>
      <c r="W445" s="1214"/>
      <c r="X445" s="1214"/>
      <c r="Y445" s="1214"/>
      <c r="Z445" s="1214"/>
    </row>
    <row r="446">
      <c r="A446" s="1214"/>
      <c r="B446" s="1214"/>
      <c r="C446" s="1214"/>
      <c r="D446" s="1267"/>
      <c r="E446" s="1214"/>
      <c r="F446" s="1214"/>
      <c r="G446" s="1214"/>
      <c r="H446" s="1214"/>
      <c r="I446" s="1214"/>
      <c r="J446" s="1214"/>
      <c r="K446" s="1214"/>
      <c r="L446" s="1214"/>
      <c r="M446" s="1214"/>
      <c r="N446" s="1214"/>
      <c r="O446" s="1214"/>
      <c r="P446" s="1214"/>
      <c r="Q446" s="1214"/>
      <c r="R446" s="1214"/>
      <c r="S446" s="1214"/>
      <c r="T446" s="1214"/>
      <c r="U446" s="1214"/>
      <c r="V446" s="1214"/>
      <c r="W446" s="1214"/>
      <c r="X446" s="1214"/>
      <c r="Y446" s="1214"/>
      <c r="Z446" s="1214"/>
    </row>
    <row r="447">
      <c r="A447" s="1214"/>
      <c r="B447" s="1214"/>
      <c r="C447" s="1214"/>
      <c r="D447" s="1267"/>
      <c r="E447" s="1214"/>
      <c r="F447" s="1214"/>
      <c r="G447" s="1214"/>
      <c r="H447" s="1214"/>
      <c r="I447" s="1214"/>
      <c r="J447" s="1214"/>
      <c r="K447" s="1214"/>
      <c r="L447" s="1214"/>
      <c r="M447" s="1214"/>
      <c r="N447" s="1214"/>
      <c r="O447" s="1214"/>
      <c r="P447" s="1214"/>
      <c r="Q447" s="1214"/>
      <c r="R447" s="1214"/>
      <c r="S447" s="1214"/>
      <c r="T447" s="1214"/>
      <c r="U447" s="1214"/>
      <c r="V447" s="1214"/>
      <c r="W447" s="1214"/>
      <c r="X447" s="1214"/>
      <c r="Y447" s="1214"/>
      <c r="Z447" s="1214"/>
    </row>
    <row r="448">
      <c r="A448" s="1214"/>
      <c r="B448" s="1214"/>
      <c r="C448" s="1214"/>
      <c r="D448" s="1267"/>
      <c r="E448" s="1214"/>
      <c r="F448" s="1214"/>
      <c r="G448" s="1214"/>
      <c r="H448" s="1214"/>
      <c r="I448" s="1214"/>
      <c r="J448" s="1214"/>
      <c r="K448" s="1214"/>
      <c r="L448" s="1214"/>
      <c r="M448" s="1214"/>
      <c r="N448" s="1214"/>
      <c r="O448" s="1214"/>
      <c r="P448" s="1214"/>
      <c r="Q448" s="1214"/>
      <c r="R448" s="1214"/>
      <c r="S448" s="1214"/>
      <c r="T448" s="1214"/>
      <c r="U448" s="1214"/>
      <c r="V448" s="1214"/>
      <c r="W448" s="1214"/>
      <c r="X448" s="1214"/>
      <c r="Y448" s="1214"/>
      <c r="Z448" s="1214"/>
    </row>
    <row r="449">
      <c r="A449" s="1214"/>
      <c r="B449" s="1214"/>
      <c r="C449" s="1214"/>
      <c r="D449" s="1267"/>
      <c r="E449" s="1214"/>
      <c r="F449" s="1214"/>
      <c r="G449" s="1214"/>
      <c r="H449" s="1214"/>
      <c r="I449" s="1214"/>
      <c r="J449" s="1214"/>
      <c r="K449" s="1214"/>
      <c r="L449" s="1214"/>
      <c r="M449" s="1214"/>
      <c r="N449" s="1214"/>
      <c r="O449" s="1214"/>
      <c r="P449" s="1214"/>
      <c r="Q449" s="1214"/>
      <c r="R449" s="1214"/>
      <c r="S449" s="1214"/>
      <c r="T449" s="1214"/>
      <c r="U449" s="1214"/>
      <c r="V449" s="1214"/>
      <c r="W449" s="1214"/>
      <c r="X449" s="1214"/>
      <c r="Y449" s="1214"/>
      <c r="Z449" s="1214"/>
    </row>
    <row r="450">
      <c r="A450" s="1214"/>
      <c r="B450" s="1214"/>
      <c r="C450" s="1214"/>
      <c r="D450" s="1267"/>
      <c r="E450" s="1214"/>
      <c r="F450" s="1214"/>
      <c r="G450" s="1214"/>
      <c r="H450" s="1214"/>
      <c r="I450" s="1214"/>
      <c r="J450" s="1214"/>
      <c r="K450" s="1214"/>
      <c r="L450" s="1214"/>
      <c r="M450" s="1214"/>
      <c r="N450" s="1214"/>
      <c r="O450" s="1214"/>
      <c r="P450" s="1214"/>
      <c r="Q450" s="1214"/>
      <c r="R450" s="1214"/>
      <c r="S450" s="1214"/>
      <c r="T450" s="1214"/>
      <c r="U450" s="1214"/>
      <c r="V450" s="1214"/>
      <c r="W450" s="1214"/>
      <c r="X450" s="1214"/>
      <c r="Y450" s="1214"/>
      <c r="Z450" s="1214"/>
    </row>
    <row r="451">
      <c r="A451" s="1214"/>
      <c r="B451" s="1214"/>
      <c r="C451" s="1214"/>
      <c r="D451" s="1267"/>
      <c r="E451" s="1214"/>
      <c r="F451" s="1214"/>
      <c r="G451" s="1214"/>
      <c r="H451" s="1214"/>
      <c r="I451" s="1214"/>
      <c r="J451" s="1214"/>
      <c r="K451" s="1214"/>
      <c r="L451" s="1214"/>
      <c r="M451" s="1214"/>
      <c r="N451" s="1214"/>
      <c r="O451" s="1214"/>
      <c r="P451" s="1214"/>
      <c r="Q451" s="1214"/>
      <c r="R451" s="1214"/>
      <c r="S451" s="1214"/>
      <c r="T451" s="1214"/>
      <c r="U451" s="1214"/>
      <c r="V451" s="1214"/>
      <c r="W451" s="1214"/>
      <c r="X451" s="1214"/>
      <c r="Y451" s="1214"/>
      <c r="Z451" s="1214"/>
    </row>
    <row r="452">
      <c r="A452" s="1214"/>
      <c r="B452" s="1214"/>
      <c r="C452" s="1214"/>
      <c r="D452" s="1267"/>
      <c r="E452" s="1214"/>
      <c r="F452" s="1214"/>
      <c r="G452" s="1214"/>
      <c r="H452" s="1214"/>
      <c r="I452" s="1214"/>
      <c r="J452" s="1214"/>
      <c r="K452" s="1214"/>
      <c r="L452" s="1214"/>
      <c r="M452" s="1214"/>
      <c r="N452" s="1214"/>
      <c r="O452" s="1214"/>
      <c r="P452" s="1214"/>
      <c r="Q452" s="1214"/>
      <c r="R452" s="1214"/>
      <c r="S452" s="1214"/>
      <c r="T452" s="1214"/>
      <c r="U452" s="1214"/>
      <c r="V452" s="1214"/>
      <c r="W452" s="1214"/>
      <c r="X452" s="1214"/>
      <c r="Y452" s="1214"/>
      <c r="Z452" s="1214"/>
    </row>
    <row r="453">
      <c r="A453" s="1214"/>
      <c r="B453" s="1214"/>
      <c r="C453" s="1214"/>
      <c r="D453" s="1267"/>
      <c r="E453" s="1214"/>
      <c r="F453" s="1214"/>
      <c r="G453" s="1214"/>
      <c r="H453" s="1214"/>
      <c r="I453" s="1214"/>
      <c r="J453" s="1214"/>
      <c r="K453" s="1214"/>
      <c r="L453" s="1214"/>
      <c r="M453" s="1214"/>
      <c r="N453" s="1214"/>
      <c r="O453" s="1214"/>
      <c r="P453" s="1214"/>
      <c r="Q453" s="1214"/>
      <c r="R453" s="1214"/>
      <c r="S453" s="1214"/>
      <c r="T453" s="1214"/>
      <c r="U453" s="1214"/>
      <c r="V453" s="1214"/>
      <c r="W453" s="1214"/>
      <c r="X453" s="1214"/>
      <c r="Y453" s="1214"/>
      <c r="Z453" s="1214"/>
    </row>
    <row r="454">
      <c r="A454" s="1214"/>
      <c r="B454" s="1214"/>
      <c r="C454" s="1214"/>
      <c r="D454" s="1267"/>
      <c r="E454" s="1214"/>
      <c r="F454" s="1214"/>
      <c r="G454" s="1214"/>
      <c r="H454" s="1214"/>
      <c r="I454" s="1214"/>
      <c r="J454" s="1214"/>
      <c r="K454" s="1214"/>
      <c r="L454" s="1214"/>
      <c r="M454" s="1214"/>
      <c r="N454" s="1214"/>
      <c r="O454" s="1214"/>
      <c r="P454" s="1214"/>
      <c r="Q454" s="1214"/>
      <c r="R454" s="1214"/>
      <c r="S454" s="1214"/>
      <c r="T454" s="1214"/>
      <c r="U454" s="1214"/>
      <c r="V454" s="1214"/>
      <c r="W454" s="1214"/>
      <c r="X454" s="1214"/>
      <c r="Y454" s="1214"/>
      <c r="Z454" s="1214"/>
    </row>
    <row r="455">
      <c r="A455" s="1214"/>
      <c r="B455" s="1214"/>
      <c r="C455" s="1214"/>
      <c r="D455" s="1267"/>
      <c r="E455" s="1214"/>
      <c r="F455" s="1214"/>
      <c r="G455" s="1214"/>
      <c r="H455" s="1214"/>
      <c r="I455" s="1214"/>
      <c r="J455" s="1214"/>
      <c r="K455" s="1214"/>
      <c r="L455" s="1214"/>
      <c r="M455" s="1214"/>
      <c r="N455" s="1214"/>
      <c r="O455" s="1214"/>
      <c r="P455" s="1214"/>
      <c r="Q455" s="1214"/>
      <c r="R455" s="1214"/>
      <c r="S455" s="1214"/>
      <c r="T455" s="1214"/>
      <c r="U455" s="1214"/>
      <c r="V455" s="1214"/>
      <c r="W455" s="1214"/>
      <c r="X455" s="1214"/>
      <c r="Y455" s="1214"/>
      <c r="Z455" s="1214"/>
    </row>
    <row r="456">
      <c r="A456" s="1214"/>
      <c r="B456" s="1214"/>
      <c r="C456" s="1214"/>
      <c r="D456" s="1267"/>
      <c r="E456" s="1214"/>
      <c r="F456" s="1214"/>
      <c r="G456" s="1214"/>
      <c r="H456" s="1214"/>
      <c r="I456" s="1214"/>
      <c r="J456" s="1214"/>
      <c r="K456" s="1214"/>
      <c r="L456" s="1214"/>
      <c r="M456" s="1214"/>
      <c r="N456" s="1214"/>
      <c r="O456" s="1214"/>
      <c r="P456" s="1214"/>
      <c r="Q456" s="1214"/>
      <c r="R456" s="1214"/>
      <c r="S456" s="1214"/>
      <c r="T456" s="1214"/>
      <c r="U456" s="1214"/>
      <c r="V456" s="1214"/>
      <c r="W456" s="1214"/>
      <c r="X456" s="1214"/>
      <c r="Y456" s="1214"/>
      <c r="Z456" s="1214"/>
    </row>
    <row r="457">
      <c r="A457" s="1214"/>
      <c r="B457" s="1214"/>
      <c r="C457" s="1214"/>
      <c r="D457" s="1267"/>
      <c r="E457" s="1214"/>
      <c r="F457" s="1214"/>
      <c r="G457" s="1214"/>
      <c r="H457" s="1214"/>
      <c r="I457" s="1214"/>
      <c r="J457" s="1214"/>
      <c r="K457" s="1214"/>
      <c r="L457" s="1214"/>
      <c r="M457" s="1214"/>
      <c r="N457" s="1214"/>
      <c r="O457" s="1214"/>
      <c r="P457" s="1214"/>
      <c r="Q457" s="1214"/>
      <c r="R457" s="1214"/>
      <c r="S457" s="1214"/>
      <c r="T457" s="1214"/>
      <c r="U457" s="1214"/>
      <c r="V457" s="1214"/>
      <c r="W457" s="1214"/>
      <c r="X457" s="1214"/>
      <c r="Y457" s="1214"/>
      <c r="Z457" s="1214"/>
    </row>
    <row r="458">
      <c r="A458" s="1214"/>
      <c r="B458" s="1214"/>
      <c r="C458" s="1214"/>
      <c r="D458" s="1267"/>
      <c r="E458" s="1214"/>
      <c r="F458" s="1214"/>
      <c r="G458" s="1214"/>
      <c r="H458" s="1214"/>
      <c r="I458" s="1214"/>
      <c r="J458" s="1214"/>
      <c r="K458" s="1214"/>
      <c r="L458" s="1214"/>
      <c r="M458" s="1214"/>
      <c r="N458" s="1214"/>
      <c r="O458" s="1214"/>
      <c r="P458" s="1214"/>
      <c r="Q458" s="1214"/>
      <c r="R458" s="1214"/>
      <c r="S458" s="1214"/>
      <c r="T458" s="1214"/>
      <c r="U458" s="1214"/>
      <c r="V458" s="1214"/>
      <c r="W458" s="1214"/>
      <c r="X458" s="1214"/>
      <c r="Y458" s="1214"/>
      <c r="Z458" s="1214"/>
    </row>
    <row r="459">
      <c r="A459" s="1214"/>
      <c r="B459" s="1214"/>
      <c r="C459" s="1214"/>
      <c r="D459" s="1267"/>
      <c r="E459" s="1214"/>
      <c r="F459" s="1214"/>
      <c r="G459" s="1214"/>
      <c r="H459" s="1214"/>
      <c r="I459" s="1214"/>
      <c r="J459" s="1214"/>
      <c r="K459" s="1214"/>
      <c r="L459" s="1214"/>
      <c r="M459" s="1214"/>
      <c r="N459" s="1214"/>
      <c r="O459" s="1214"/>
      <c r="P459" s="1214"/>
      <c r="Q459" s="1214"/>
      <c r="R459" s="1214"/>
      <c r="S459" s="1214"/>
      <c r="T459" s="1214"/>
      <c r="U459" s="1214"/>
      <c r="V459" s="1214"/>
      <c r="W459" s="1214"/>
      <c r="X459" s="1214"/>
      <c r="Y459" s="1214"/>
      <c r="Z459" s="1214"/>
    </row>
    <row r="460">
      <c r="A460" s="1214"/>
      <c r="B460" s="1214"/>
      <c r="C460" s="1214"/>
      <c r="D460" s="1267"/>
      <c r="E460" s="1214"/>
      <c r="F460" s="1214"/>
      <c r="G460" s="1214"/>
      <c r="H460" s="1214"/>
      <c r="I460" s="1214"/>
      <c r="J460" s="1214"/>
      <c r="K460" s="1214"/>
      <c r="L460" s="1214"/>
      <c r="M460" s="1214"/>
      <c r="N460" s="1214"/>
      <c r="O460" s="1214"/>
      <c r="P460" s="1214"/>
      <c r="Q460" s="1214"/>
      <c r="R460" s="1214"/>
      <c r="S460" s="1214"/>
      <c r="T460" s="1214"/>
      <c r="U460" s="1214"/>
      <c r="V460" s="1214"/>
      <c r="W460" s="1214"/>
      <c r="X460" s="1214"/>
      <c r="Y460" s="1214"/>
      <c r="Z460" s="1214"/>
    </row>
    <row r="461">
      <c r="A461" s="1214"/>
      <c r="B461" s="1214"/>
      <c r="C461" s="1214"/>
      <c r="D461" s="1267"/>
      <c r="E461" s="1214"/>
      <c r="F461" s="1214"/>
      <c r="G461" s="1214"/>
      <c r="H461" s="1214"/>
      <c r="I461" s="1214"/>
      <c r="J461" s="1214"/>
      <c r="K461" s="1214"/>
      <c r="L461" s="1214"/>
      <c r="M461" s="1214"/>
      <c r="N461" s="1214"/>
      <c r="O461" s="1214"/>
      <c r="P461" s="1214"/>
      <c r="Q461" s="1214"/>
      <c r="R461" s="1214"/>
      <c r="S461" s="1214"/>
      <c r="T461" s="1214"/>
      <c r="U461" s="1214"/>
      <c r="V461" s="1214"/>
      <c r="W461" s="1214"/>
      <c r="X461" s="1214"/>
      <c r="Y461" s="1214"/>
      <c r="Z461" s="1214"/>
    </row>
    <row r="462">
      <c r="A462" s="1214"/>
      <c r="B462" s="1214"/>
      <c r="C462" s="1214"/>
      <c r="D462" s="1267"/>
      <c r="E462" s="1214"/>
      <c r="F462" s="1214"/>
      <c r="G462" s="1214"/>
      <c r="H462" s="1214"/>
      <c r="I462" s="1214"/>
      <c r="J462" s="1214"/>
      <c r="K462" s="1214"/>
      <c r="L462" s="1214"/>
      <c r="M462" s="1214"/>
      <c r="N462" s="1214"/>
      <c r="O462" s="1214"/>
      <c r="P462" s="1214"/>
      <c r="Q462" s="1214"/>
      <c r="R462" s="1214"/>
      <c r="S462" s="1214"/>
      <c r="T462" s="1214"/>
      <c r="U462" s="1214"/>
      <c r="V462" s="1214"/>
      <c r="W462" s="1214"/>
      <c r="X462" s="1214"/>
      <c r="Y462" s="1214"/>
      <c r="Z462" s="1214"/>
    </row>
    <row r="463">
      <c r="A463" s="1214"/>
      <c r="B463" s="1214"/>
      <c r="C463" s="1214"/>
      <c r="D463" s="1267"/>
      <c r="E463" s="1214"/>
      <c r="F463" s="1214"/>
      <c r="G463" s="1214"/>
      <c r="H463" s="1214"/>
      <c r="I463" s="1214"/>
      <c r="J463" s="1214"/>
      <c r="K463" s="1214"/>
      <c r="L463" s="1214"/>
      <c r="M463" s="1214"/>
      <c r="N463" s="1214"/>
      <c r="O463" s="1214"/>
      <c r="P463" s="1214"/>
      <c r="Q463" s="1214"/>
      <c r="R463" s="1214"/>
      <c r="S463" s="1214"/>
      <c r="T463" s="1214"/>
      <c r="U463" s="1214"/>
      <c r="V463" s="1214"/>
      <c r="W463" s="1214"/>
      <c r="X463" s="1214"/>
      <c r="Y463" s="1214"/>
      <c r="Z463" s="1214"/>
    </row>
    <row r="464">
      <c r="A464" s="1214"/>
      <c r="B464" s="1214"/>
      <c r="C464" s="1214"/>
      <c r="D464" s="1267"/>
      <c r="E464" s="1214"/>
      <c r="F464" s="1214"/>
      <c r="G464" s="1214"/>
      <c r="H464" s="1214"/>
      <c r="I464" s="1214"/>
      <c r="J464" s="1214"/>
      <c r="K464" s="1214"/>
      <c r="L464" s="1214"/>
      <c r="M464" s="1214"/>
      <c r="N464" s="1214"/>
      <c r="O464" s="1214"/>
      <c r="P464" s="1214"/>
      <c r="Q464" s="1214"/>
      <c r="R464" s="1214"/>
      <c r="S464" s="1214"/>
      <c r="T464" s="1214"/>
      <c r="U464" s="1214"/>
      <c r="V464" s="1214"/>
      <c r="W464" s="1214"/>
      <c r="X464" s="1214"/>
      <c r="Y464" s="1214"/>
      <c r="Z464" s="1214"/>
    </row>
    <row r="465">
      <c r="A465" s="1214"/>
      <c r="B465" s="1214"/>
      <c r="C465" s="1214"/>
      <c r="D465" s="1267"/>
      <c r="E465" s="1214"/>
      <c r="F465" s="1214"/>
      <c r="G465" s="1214"/>
      <c r="H465" s="1214"/>
      <c r="I465" s="1214"/>
      <c r="J465" s="1214"/>
      <c r="K465" s="1214"/>
      <c r="L465" s="1214"/>
      <c r="M465" s="1214"/>
      <c r="N465" s="1214"/>
      <c r="O465" s="1214"/>
      <c r="P465" s="1214"/>
      <c r="Q465" s="1214"/>
      <c r="R465" s="1214"/>
      <c r="S465" s="1214"/>
      <c r="T465" s="1214"/>
      <c r="U465" s="1214"/>
      <c r="V465" s="1214"/>
      <c r="W465" s="1214"/>
      <c r="X465" s="1214"/>
      <c r="Y465" s="1214"/>
      <c r="Z465" s="1214"/>
    </row>
    <row r="466">
      <c r="A466" s="1214"/>
      <c r="B466" s="1214"/>
      <c r="C466" s="1214"/>
      <c r="D466" s="1267"/>
      <c r="E466" s="1214"/>
      <c r="F466" s="1214"/>
      <c r="G466" s="1214"/>
      <c r="H466" s="1214"/>
      <c r="I466" s="1214"/>
      <c r="J466" s="1214"/>
      <c r="K466" s="1214"/>
      <c r="L466" s="1214"/>
      <c r="M466" s="1214"/>
      <c r="N466" s="1214"/>
      <c r="O466" s="1214"/>
      <c r="P466" s="1214"/>
      <c r="Q466" s="1214"/>
      <c r="R466" s="1214"/>
      <c r="S466" s="1214"/>
      <c r="T466" s="1214"/>
      <c r="U466" s="1214"/>
      <c r="V466" s="1214"/>
      <c r="W466" s="1214"/>
      <c r="X466" s="1214"/>
      <c r="Y466" s="1214"/>
      <c r="Z466" s="1214"/>
    </row>
    <row r="467">
      <c r="A467" s="1214"/>
      <c r="B467" s="1214"/>
      <c r="C467" s="1214"/>
      <c r="D467" s="1267"/>
      <c r="E467" s="1214"/>
      <c r="F467" s="1214"/>
      <c r="G467" s="1214"/>
      <c r="H467" s="1214"/>
      <c r="I467" s="1214"/>
      <c r="J467" s="1214"/>
      <c r="K467" s="1214"/>
      <c r="L467" s="1214"/>
      <c r="M467" s="1214"/>
      <c r="N467" s="1214"/>
      <c r="O467" s="1214"/>
      <c r="P467" s="1214"/>
      <c r="Q467" s="1214"/>
      <c r="R467" s="1214"/>
      <c r="S467" s="1214"/>
      <c r="T467" s="1214"/>
      <c r="U467" s="1214"/>
      <c r="V467" s="1214"/>
      <c r="W467" s="1214"/>
      <c r="X467" s="1214"/>
      <c r="Y467" s="1214"/>
      <c r="Z467" s="1214"/>
    </row>
    <row r="468">
      <c r="A468" s="1214"/>
      <c r="B468" s="1214"/>
      <c r="C468" s="1214"/>
      <c r="D468" s="1267"/>
      <c r="E468" s="1214"/>
      <c r="F468" s="1214"/>
      <c r="G468" s="1214"/>
      <c r="H468" s="1214"/>
      <c r="I468" s="1214"/>
      <c r="J468" s="1214"/>
      <c r="K468" s="1214"/>
      <c r="L468" s="1214"/>
      <c r="M468" s="1214"/>
      <c r="N468" s="1214"/>
      <c r="O468" s="1214"/>
      <c r="P468" s="1214"/>
      <c r="Q468" s="1214"/>
      <c r="R468" s="1214"/>
      <c r="S468" s="1214"/>
      <c r="T468" s="1214"/>
      <c r="U468" s="1214"/>
      <c r="V468" s="1214"/>
      <c r="W468" s="1214"/>
      <c r="X468" s="1214"/>
      <c r="Y468" s="1214"/>
      <c r="Z468" s="1214"/>
    </row>
    <row r="469">
      <c r="A469" s="1214"/>
      <c r="B469" s="1214"/>
      <c r="C469" s="1214"/>
      <c r="D469" s="1267"/>
      <c r="E469" s="1214"/>
      <c r="F469" s="1214"/>
      <c r="G469" s="1214"/>
      <c r="H469" s="1214"/>
      <c r="I469" s="1214"/>
      <c r="J469" s="1214"/>
      <c r="K469" s="1214"/>
      <c r="L469" s="1214"/>
      <c r="M469" s="1214"/>
      <c r="N469" s="1214"/>
      <c r="O469" s="1214"/>
      <c r="P469" s="1214"/>
      <c r="Q469" s="1214"/>
      <c r="R469" s="1214"/>
      <c r="S469" s="1214"/>
      <c r="T469" s="1214"/>
      <c r="U469" s="1214"/>
      <c r="V469" s="1214"/>
      <c r="W469" s="1214"/>
      <c r="X469" s="1214"/>
      <c r="Y469" s="1214"/>
      <c r="Z469" s="1214"/>
    </row>
    <row r="470">
      <c r="A470" s="1214"/>
      <c r="B470" s="1214"/>
      <c r="C470" s="1214"/>
      <c r="D470" s="1267"/>
      <c r="E470" s="1214"/>
      <c r="F470" s="1214"/>
      <c r="G470" s="1214"/>
      <c r="H470" s="1214"/>
      <c r="I470" s="1214"/>
      <c r="J470" s="1214"/>
      <c r="K470" s="1214"/>
      <c r="L470" s="1214"/>
      <c r="M470" s="1214"/>
      <c r="N470" s="1214"/>
      <c r="O470" s="1214"/>
      <c r="P470" s="1214"/>
      <c r="Q470" s="1214"/>
      <c r="R470" s="1214"/>
      <c r="S470" s="1214"/>
      <c r="T470" s="1214"/>
      <c r="U470" s="1214"/>
      <c r="V470" s="1214"/>
      <c r="W470" s="1214"/>
      <c r="X470" s="1214"/>
      <c r="Y470" s="1214"/>
      <c r="Z470" s="1214"/>
    </row>
    <row r="471">
      <c r="A471" s="1214"/>
      <c r="B471" s="1214"/>
      <c r="C471" s="1214"/>
      <c r="D471" s="1267"/>
      <c r="E471" s="1214"/>
      <c r="F471" s="1214"/>
      <c r="G471" s="1214"/>
      <c r="H471" s="1214"/>
      <c r="I471" s="1214"/>
      <c r="J471" s="1214"/>
      <c r="K471" s="1214"/>
      <c r="L471" s="1214"/>
      <c r="M471" s="1214"/>
      <c r="N471" s="1214"/>
      <c r="O471" s="1214"/>
      <c r="P471" s="1214"/>
      <c r="Q471" s="1214"/>
      <c r="R471" s="1214"/>
      <c r="S471" s="1214"/>
      <c r="T471" s="1214"/>
      <c r="U471" s="1214"/>
      <c r="V471" s="1214"/>
      <c r="W471" s="1214"/>
      <c r="X471" s="1214"/>
      <c r="Y471" s="1214"/>
      <c r="Z471" s="1214"/>
    </row>
    <row r="472">
      <c r="A472" s="1214"/>
      <c r="B472" s="1214"/>
      <c r="C472" s="1214"/>
      <c r="D472" s="1267"/>
      <c r="E472" s="1214"/>
      <c r="F472" s="1214"/>
      <c r="G472" s="1214"/>
      <c r="H472" s="1214"/>
      <c r="I472" s="1214"/>
      <c r="J472" s="1214"/>
      <c r="K472" s="1214"/>
      <c r="L472" s="1214"/>
      <c r="M472" s="1214"/>
      <c r="N472" s="1214"/>
      <c r="O472" s="1214"/>
      <c r="P472" s="1214"/>
      <c r="Q472" s="1214"/>
      <c r="R472" s="1214"/>
      <c r="S472" s="1214"/>
      <c r="T472" s="1214"/>
      <c r="U472" s="1214"/>
      <c r="V472" s="1214"/>
      <c r="W472" s="1214"/>
      <c r="X472" s="1214"/>
      <c r="Y472" s="1214"/>
      <c r="Z472" s="1214"/>
    </row>
    <row r="473">
      <c r="A473" s="1214"/>
      <c r="B473" s="1214"/>
      <c r="C473" s="1214"/>
      <c r="D473" s="1267"/>
      <c r="E473" s="1214"/>
      <c r="F473" s="1214"/>
      <c r="G473" s="1214"/>
      <c r="H473" s="1214"/>
      <c r="I473" s="1214"/>
      <c r="J473" s="1214"/>
      <c r="K473" s="1214"/>
      <c r="L473" s="1214"/>
      <c r="M473" s="1214"/>
      <c r="N473" s="1214"/>
      <c r="O473" s="1214"/>
      <c r="P473" s="1214"/>
      <c r="Q473" s="1214"/>
      <c r="R473" s="1214"/>
      <c r="S473" s="1214"/>
      <c r="T473" s="1214"/>
      <c r="U473" s="1214"/>
      <c r="V473" s="1214"/>
      <c r="W473" s="1214"/>
      <c r="X473" s="1214"/>
      <c r="Y473" s="1214"/>
      <c r="Z473" s="1214"/>
    </row>
    <row r="474">
      <c r="A474" s="1214"/>
      <c r="B474" s="1214"/>
      <c r="C474" s="1214"/>
      <c r="D474" s="1267"/>
      <c r="E474" s="1214"/>
      <c r="F474" s="1214"/>
      <c r="G474" s="1214"/>
      <c r="H474" s="1214"/>
      <c r="I474" s="1214"/>
      <c r="J474" s="1214"/>
      <c r="K474" s="1214"/>
      <c r="L474" s="1214"/>
      <c r="M474" s="1214"/>
      <c r="N474" s="1214"/>
      <c r="O474" s="1214"/>
      <c r="P474" s="1214"/>
      <c r="Q474" s="1214"/>
      <c r="R474" s="1214"/>
      <c r="S474" s="1214"/>
      <c r="T474" s="1214"/>
      <c r="U474" s="1214"/>
      <c r="V474" s="1214"/>
      <c r="W474" s="1214"/>
      <c r="X474" s="1214"/>
      <c r="Y474" s="1214"/>
      <c r="Z474" s="1214"/>
    </row>
    <row r="475">
      <c r="A475" s="1214"/>
      <c r="B475" s="1214"/>
      <c r="C475" s="1214"/>
      <c r="D475" s="1267"/>
      <c r="E475" s="1214"/>
      <c r="F475" s="1214"/>
      <c r="G475" s="1214"/>
      <c r="H475" s="1214"/>
      <c r="I475" s="1214"/>
      <c r="J475" s="1214"/>
      <c r="K475" s="1214"/>
      <c r="L475" s="1214"/>
      <c r="M475" s="1214"/>
      <c r="N475" s="1214"/>
      <c r="O475" s="1214"/>
      <c r="P475" s="1214"/>
      <c r="Q475" s="1214"/>
      <c r="R475" s="1214"/>
      <c r="S475" s="1214"/>
      <c r="T475" s="1214"/>
      <c r="U475" s="1214"/>
      <c r="V475" s="1214"/>
      <c r="W475" s="1214"/>
      <c r="X475" s="1214"/>
      <c r="Y475" s="1214"/>
      <c r="Z475" s="1214"/>
    </row>
    <row r="476">
      <c r="A476" s="1214"/>
      <c r="B476" s="1214"/>
      <c r="C476" s="1214"/>
      <c r="D476" s="1267"/>
      <c r="E476" s="1214"/>
      <c r="F476" s="1214"/>
      <c r="G476" s="1214"/>
      <c r="H476" s="1214"/>
      <c r="I476" s="1214"/>
      <c r="J476" s="1214"/>
      <c r="K476" s="1214"/>
      <c r="L476" s="1214"/>
      <c r="M476" s="1214"/>
      <c r="N476" s="1214"/>
      <c r="O476" s="1214"/>
      <c r="P476" s="1214"/>
      <c r="Q476" s="1214"/>
      <c r="R476" s="1214"/>
      <c r="S476" s="1214"/>
      <c r="T476" s="1214"/>
      <c r="U476" s="1214"/>
      <c r="V476" s="1214"/>
      <c r="W476" s="1214"/>
      <c r="X476" s="1214"/>
      <c r="Y476" s="1214"/>
      <c r="Z476" s="1214"/>
    </row>
    <row r="477">
      <c r="A477" s="1214"/>
      <c r="B477" s="1214"/>
      <c r="C477" s="1214"/>
      <c r="D477" s="1267"/>
      <c r="E477" s="1214"/>
      <c r="F477" s="1214"/>
      <c r="G477" s="1214"/>
      <c r="H477" s="1214"/>
      <c r="I477" s="1214"/>
      <c r="J477" s="1214"/>
      <c r="K477" s="1214"/>
      <c r="L477" s="1214"/>
      <c r="M477" s="1214"/>
      <c r="N477" s="1214"/>
      <c r="O477" s="1214"/>
      <c r="P477" s="1214"/>
      <c r="Q477" s="1214"/>
      <c r="R477" s="1214"/>
      <c r="S477" s="1214"/>
      <c r="T477" s="1214"/>
      <c r="U477" s="1214"/>
      <c r="V477" s="1214"/>
      <c r="W477" s="1214"/>
      <c r="X477" s="1214"/>
      <c r="Y477" s="1214"/>
      <c r="Z477" s="1214"/>
    </row>
    <row r="478">
      <c r="A478" s="1214"/>
      <c r="B478" s="1214"/>
      <c r="C478" s="1214"/>
      <c r="D478" s="1267"/>
      <c r="E478" s="1214"/>
      <c r="F478" s="1214"/>
      <c r="G478" s="1214"/>
      <c r="H478" s="1214"/>
      <c r="I478" s="1214"/>
      <c r="J478" s="1214"/>
      <c r="K478" s="1214"/>
      <c r="L478" s="1214"/>
      <c r="M478" s="1214"/>
      <c r="N478" s="1214"/>
      <c r="O478" s="1214"/>
      <c r="P478" s="1214"/>
      <c r="Q478" s="1214"/>
      <c r="R478" s="1214"/>
      <c r="S478" s="1214"/>
      <c r="T478" s="1214"/>
      <c r="U478" s="1214"/>
      <c r="V478" s="1214"/>
      <c r="W478" s="1214"/>
      <c r="X478" s="1214"/>
      <c r="Y478" s="1214"/>
      <c r="Z478" s="1214"/>
    </row>
    <row r="479">
      <c r="A479" s="1214"/>
      <c r="B479" s="1214"/>
      <c r="C479" s="1214"/>
      <c r="D479" s="1267"/>
      <c r="E479" s="1214"/>
      <c r="F479" s="1214"/>
      <c r="G479" s="1214"/>
      <c r="H479" s="1214"/>
      <c r="I479" s="1214"/>
      <c r="J479" s="1214"/>
      <c r="K479" s="1214"/>
      <c r="L479" s="1214"/>
      <c r="M479" s="1214"/>
      <c r="N479" s="1214"/>
      <c r="O479" s="1214"/>
      <c r="P479" s="1214"/>
      <c r="Q479" s="1214"/>
      <c r="R479" s="1214"/>
      <c r="S479" s="1214"/>
      <c r="T479" s="1214"/>
      <c r="U479" s="1214"/>
      <c r="V479" s="1214"/>
      <c r="W479" s="1214"/>
      <c r="X479" s="1214"/>
      <c r="Y479" s="1214"/>
      <c r="Z479" s="1214"/>
    </row>
    <row r="480">
      <c r="A480" s="1214"/>
      <c r="B480" s="1214"/>
      <c r="C480" s="1214"/>
      <c r="D480" s="1267"/>
      <c r="E480" s="1214"/>
      <c r="F480" s="1214"/>
      <c r="G480" s="1214"/>
      <c r="H480" s="1214"/>
      <c r="I480" s="1214"/>
      <c r="J480" s="1214"/>
      <c r="K480" s="1214"/>
      <c r="L480" s="1214"/>
      <c r="M480" s="1214"/>
      <c r="N480" s="1214"/>
      <c r="O480" s="1214"/>
      <c r="P480" s="1214"/>
      <c r="Q480" s="1214"/>
      <c r="R480" s="1214"/>
      <c r="S480" s="1214"/>
      <c r="T480" s="1214"/>
      <c r="U480" s="1214"/>
      <c r="V480" s="1214"/>
      <c r="W480" s="1214"/>
      <c r="X480" s="1214"/>
      <c r="Y480" s="1214"/>
      <c r="Z480" s="1214"/>
    </row>
    <row r="481">
      <c r="A481" s="1214"/>
      <c r="B481" s="1214"/>
      <c r="C481" s="1214"/>
      <c r="D481" s="1267"/>
      <c r="E481" s="1214"/>
      <c r="F481" s="1214"/>
      <c r="G481" s="1214"/>
      <c r="H481" s="1214"/>
      <c r="I481" s="1214"/>
      <c r="J481" s="1214"/>
      <c r="K481" s="1214"/>
      <c r="L481" s="1214"/>
      <c r="M481" s="1214"/>
      <c r="N481" s="1214"/>
      <c r="O481" s="1214"/>
      <c r="P481" s="1214"/>
      <c r="Q481" s="1214"/>
      <c r="R481" s="1214"/>
      <c r="S481" s="1214"/>
      <c r="T481" s="1214"/>
      <c r="U481" s="1214"/>
      <c r="V481" s="1214"/>
      <c r="W481" s="1214"/>
      <c r="X481" s="1214"/>
      <c r="Y481" s="1214"/>
      <c r="Z481" s="1214"/>
    </row>
    <row r="482">
      <c r="A482" s="1214"/>
      <c r="B482" s="1214"/>
      <c r="C482" s="1214"/>
      <c r="D482" s="1267"/>
      <c r="E482" s="1214"/>
      <c r="F482" s="1214"/>
      <c r="G482" s="1214"/>
      <c r="H482" s="1214"/>
      <c r="I482" s="1214"/>
      <c r="J482" s="1214"/>
      <c r="K482" s="1214"/>
      <c r="L482" s="1214"/>
      <c r="M482" s="1214"/>
      <c r="N482" s="1214"/>
      <c r="O482" s="1214"/>
      <c r="P482" s="1214"/>
      <c r="Q482" s="1214"/>
      <c r="R482" s="1214"/>
      <c r="S482" s="1214"/>
      <c r="T482" s="1214"/>
      <c r="U482" s="1214"/>
      <c r="V482" s="1214"/>
      <c r="W482" s="1214"/>
      <c r="X482" s="1214"/>
      <c r="Y482" s="1214"/>
      <c r="Z482" s="1214"/>
    </row>
    <row r="483">
      <c r="A483" s="1214"/>
      <c r="B483" s="1214"/>
      <c r="C483" s="1214"/>
      <c r="D483" s="1267"/>
      <c r="E483" s="1214"/>
      <c r="F483" s="1214"/>
      <c r="G483" s="1214"/>
      <c r="H483" s="1214"/>
      <c r="I483" s="1214"/>
      <c r="J483" s="1214"/>
      <c r="K483" s="1214"/>
      <c r="L483" s="1214"/>
      <c r="M483" s="1214"/>
      <c r="N483" s="1214"/>
      <c r="O483" s="1214"/>
      <c r="P483" s="1214"/>
      <c r="Q483" s="1214"/>
      <c r="R483" s="1214"/>
      <c r="S483" s="1214"/>
      <c r="T483" s="1214"/>
      <c r="U483" s="1214"/>
      <c r="V483" s="1214"/>
      <c r="W483" s="1214"/>
      <c r="X483" s="1214"/>
      <c r="Y483" s="1214"/>
      <c r="Z483" s="1214"/>
    </row>
    <row r="484">
      <c r="A484" s="1214"/>
      <c r="B484" s="1214"/>
      <c r="C484" s="1214"/>
      <c r="D484" s="1267"/>
      <c r="E484" s="1214"/>
      <c r="F484" s="1214"/>
      <c r="G484" s="1214"/>
      <c r="H484" s="1214"/>
      <c r="I484" s="1214"/>
      <c r="J484" s="1214"/>
      <c r="K484" s="1214"/>
      <c r="L484" s="1214"/>
      <c r="M484" s="1214"/>
      <c r="N484" s="1214"/>
      <c r="O484" s="1214"/>
      <c r="P484" s="1214"/>
      <c r="Q484" s="1214"/>
      <c r="R484" s="1214"/>
      <c r="S484" s="1214"/>
      <c r="T484" s="1214"/>
      <c r="U484" s="1214"/>
      <c r="V484" s="1214"/>
      <c r="W484" s="1214"/>
      <c r="X484" s="1214"/>
      <c r="Y484" s="1214"/>
      <c r="Z484" s="1214"/>
    </row>
    <row r="485">
      <c r="A485" s="1214"/>
      <c r="B485" s="1214"/>
      <c r="C485" s="1214"/>
      <c r="D485" s="1267"/>
      <c r="E485" s="1214"/>
      <c r="F485" s="1214"/>
      <c r="G485" s="1214"/>
      <c r="H485" s="1214"/>
      <c r="I485" s="1214"/>
      <c r="J485" s="1214"/>
      <c r="K485" s="1214"/>
      <c r="L485" s="1214"/>
      <c r="M485" s="1214"/>
      <c r="N485" s="1214"/>
      <c r="O485" s="1214"/>
      <c r="P485" s="1214"/>
      <c r="Q485" s="1214"/>
      <c r="R485" s="1214"/>
      <c r="S485" s="1214"/>
      <c r="T485" s="1214"/>
      <c r="U485" s="1214"/>
      <c r="V485" s="1214"/>
      <c r="W485" s="1214"/>
      <c r="X485" s="1214"/>
      <c r="Y485" s="1214"/>
      <c r="Z485" s="1214"/>
    </row>
    <row r="486">
      <c r="A486" s="1214"/>
      <c r="B486" s="1214"/>
      <c r="C486" s="1214"/>
      <c r="D486" s="1267"/>
      <c r="E486" s="1214"/>
      <c r="F486" s="1214"/>
      <c r="G486" s="1214"/>
      <c r="H486" s="1214"/>
      <c r="I486" s="1214"/>
      <c r="J486" s="1214"/>
      <c r="K486" s="1214"/>
      <c r="L486" s="1214"/>
      <c r="M486" s="1214"/>
      <c r="N486" s="1214"/>
      <c r="O486" s="1214"/>
      <c r="P486" s="1214"/>
      <c r="Q486" s="1214"/>
      <c r="R486" s="1214"/>
      <c r="S486" s="1214"/>
      <c r="T486" s="1214"/>
      <c r="U486" s="1214"/>
      <c r="V486" s="1214"/>
      <c r="W486" s="1214"/>
      <c r="X486" s="1214"/>
      <c r="Y486" s="1214"/>
      <c r="Z486" s="1214"/>
    </row>
    <row r="487">
      <c r="A487" s="1214"/>
      <c r="B487" s="1214"/>
      <c r="C487" s="1214"/>
      <c r="D487" s="1267"/>
      <c r="E487" s="1214"/>
      <c r="F487" s="1214"/>
      <c r="G487" s="1214"/>
      <c r="H487" s="1214"/>
      <c r="I487" s="1214"/>
      <c r="J487" s="1214"/>
      <c r="K487" s="1214"/>
      <c r="L487" s="1214"/>
      <c r="M487" s="1214"/>
      <c r="N487" s="1214"/>
      <c r="O487" s="1214"/>
      <c r="P487" s="1214"/>
      <c r="Q487" s="1214"/>
      <c r="R487" s="1214"/>
      <c r="S487" s="1214"/>
      <c r="T487" s="1214"/>
      <c r="U487" s="1214"/>
      <c r="V487" s="1214"/>
      <c r="W487" s="1214"/>
      <c r="X487" s="1214"/>
      <c r="Y487" s="1214"/>
      <c r="Z487" s="1214"/>
    </row>
    <row r="488">
      <c r="A488" s="1214"/>
      <c r="B488" s="1214"/>
      <c r="C488" s="1214"/>
      <c r="D488" s="1267"/>
      <c r="E488" s="1214"/>
      <c r="F488" s="1214"/>
      <c r="G488" s="1214"/>
      <c r="H488" s="1214"/>
      <c r="I488" s="1214"/>
      <c r="J488" s="1214"/>
      <c r="K488" s="1214"/>
      <c r="L488" s="1214"/>
      <c r="M488" s="1214"/>
      <c r="N488" s="1214"/>
      <c r="O488" s="1214"/>
      <c r="P488" s="1214"/>
      <c r="Q488" s="1214"/>
      <c r="R488" s="1214"/>
      <c r="S488" s="1214"/>
      <c r="T488" s="1214"/>
      <c r="U488" s="1214"/>
      <c r="V488" s="1214"/>
      <c r="W488" s="1214"/>
      <c r="X488" s="1214"/>
      <c r="Y488" s="1214"/>
      <c r="Z488" s="1214"/>
    </row>
    <row r="489">
      <c r="A489" s="1214"/>
      <c r="B489" s="1214"/>
      <c r="C489" s="1214"/>
      <c r="D489" s="1267"/>
      <c r="E489" s="1214"/>
      <c r="F489" s="1214"/>
      <c r="G489" s="1214"/>
      <c r="H489" s="1214"/>
      <c r="I489" s="1214"/>
      <c r="J489" s="1214"/>
      <c r="K489" s="1214"/>
      <c r="L489" s="1214"/>
      <c r="M489" s="1214"/>
      <c r="N489" s="1214"/>
      <c r="O489" s="1214"/>
      <c r="P489" s="1214"/>
      <c r="Q489" s="1214"/>
      <c r="R489" s="1214"/>
      <c r="S489" s="1214"/>
      <c r="T489" s="1214"/>
      <c r="U489" s="1214"/>
      <c r="V489" s="1214"/>
      <c r="W489" s="1214"/>
      <c r="X489" s="1214"/>
      <c r="Y489" s="1214"/>
      <c r="Z489" s="1214"/>
    </row>
    <row r="490">
      <c r="A490" s="1214"/>
      <c r="B490" s="1214"/>
      <c r="C490" s="1214"/>
      <c r="D490" s="1267"/>
      <c r="E490" s="1214"/>
      <c r="F490" s="1214"/>
      <c r="G490" s="1214"/>
      <c r="H490" s="1214"/>
      <c r="I490" s="1214"/>
      <c r="J490" s="1214"/>
      <c r="K490" s="1214"/>
      <c r="L490" s="1214"/>
      <c r="M490" s="1214"/>
      <c r="N490" s="1214"/>
      <c r="O490" s="1214"/>
      <c r="P490" s="1214"/>
      <c r="Q490" s="1214"/>
      <c r="R490" s="1214"/>
      <c r="S490" s="1214"/>
      <c r="T490" s="1214"/>
      <c r="U490" s="1214"/>
      <c r="V490" s="1214"/>
      <c r="W490" s="1214"/>
      <c r="X490" s="1214"/>
      <c r="Y490" s="1214"/>
      <c r="Z490" s="1214"/>
    </row>
    <row r="491">
      <c r="A491" s="1214"/>
      <c r="B491" s="1214"/>
      <c r="C491" s="1214"/>
      <c r="D491" s="1267"/>
      <c r="E491" s="1214"/>
      <c r="F491" s="1214"/>
      <c r="G491" s="1214"/>
      <c r="H491" s="1214"/>
      <c r="I491" s="1214"/>
      <c r="J491" s="1214"/>
      <c r="K491" s="1214"/>
      <c r="L491" s="1214"/>
      <c r="M491" s="1214"/>
      <c r="N491" s="1214"/>
      <c r="O491" s="1214"/>
      <c r="P491" s="1214"/>
      <c r="Q491" s="1214"/>
      <c r="R491" s="1214"/>
      <c r="S491" s="1214"/>
      <c r="T491" s="1214"/>
      <c r="U491" s="1214"/>
      <c r="V491" s="1214"/>
      <c r="W491" s="1214"/>
      <c r="X491" s="1214"/>
      <c r="Y491" s="1214"/>
      <c r="Z491" s="1214"/>
    </row>
    <row r="492">
      <c r="A492" s="1214"/>
      <c r="B492" s="1214"/>
      <c r="C492" s="1214"/>
      <c r="D492" s="1267"/>
      <c r="E492" s="1214"/>
      <c r="F492" s="1214"/>
      <c r="G492" s="1214"/>
      <c r="H492" s="1214"/>
      <c r="I492" s="1214"/>
      <c r="J492" s="1214"/>
      <c r="K492" s="1214"/>
      <c r="L492" s="1214"/>
      <c r="M492" s="1214"/>
      <c r="N492" s="1214"/>
      <c r="O492" s="1214"/>
      <c r="P492" s="1214"/>
      <c r="Q492" s="1214"/>
      <c r="R492" s="1214"/>
      <c r="S492" s="1214"/>
      <c r="T492" s="1214"/>
      <c r="U492" s="1214"/>
      <c r="V492" s="1214"/>
      <c r="W492" s="1214"/>
      <c r="X492" s="1214"/>
      <c r="Y492" s="1214"/>
      <c r="Z492" s="1214"/>
    </row>
    <row r="493">
      <c r="A493" s="1214"/>
      <c r="B493" s="1214"/>
      <c r="C493" s="1214"/>
      <c r="D493" s="1267"/>
      <c r="E493" s="1214"/>
      <c r="F493" s="1214"/>
      <c r="G493" s="1214"/>
      <c r="H493" s="1214"/>
      <c r="I493" s="1214"/>
      <c r="J493" s="1214"/>
      <c r="K493" s="1214"/>
      <c r="L493" s="1214"/>
      <c r="M493" s="1214"/>
      <c r="N493" s="1214"/>
      <c r="O493" s="1214"/>
      <c r="P493" s="1214"/>
      <c r="Q493" s="1214"/>
      <c r="R493" s="1214"/>
      <c r="S493" s="1214"/>
      <c r="T493" s="1214"/>
      <c r="U493" s="1214"/>
      <c r="V493" s="1214"/>
      <c r="W493" s="1214"/>
      <c r="X493" s="1214"/>
      <c r="Y493" s="1214"/>
      <c r="Z493" s="1214"/>
    </row>
    <row r="494">
      <c r="A494" s="1214"/>
      <c r="B494" s="1214"/>
      <c r="C494" s="1214"/>
      <c r="D494" s="1267"/>
      <c r="E494" s="1214"/>
      <c r="F494" s="1214"/>
      <c r="G494" s="1214"/>
      <c r="H494" s="1214"/>
      <c r="I494" s="1214"/>
      <c r="J494" s="1214"/>
      <c r="K494" s="1214"/>
      <c r="L494" s="1214"/>
      <c r="M494" s="1214"/>
      <c r="N494" s="1214"/>
      <c r="O494" s="1214"/>
      <c r="P494" s="1214"/>
      <c r="Q494" s="1214"/>
      <c r="R494" s="1214"/>
      <c r="S494" s="1214"/>
      <c r="T494" s="1214"/>
      <c r="U494" s="1214"/>
      <c r="V494" s="1214"/>
      <c r="W494" s="1214"/>
      <c r="X494" s="1214"/>
      <c r="Y494" s="1214"/>
      <c r="Z494" s="1214"/>
    </row>
    <row r="495">
      <c r="A495" s="1214"/>
      <c r="B495" s="1214"/>
      <c r="C495" s="1214"/>
      <c r="D495" s="1267"/>
      <c r="E495" s="1214"/>
      <c r="F495" s="1214"/>
      <c r="G495" s="1214"/>
      <c r="H495" s="1214"/>
      <c r="I495" s="1214"/>
      <c r="J495" s="1214"/>
      <c r="K495" s="1214"/>
      <c r="L495" s="1214"/>
      <c r="M495" s="1214"/>
      <c r="N495" s="1214"/>
      <c r="O495" s="1214"/>
      <c r="P495" s="1214"/>
      <c r="Q495" s="1214"/>
      <c r="R495" s="1214"/>
      <c r="S495" s="1214"/>
      <c r="T495" s="1214"/>
      <c r="U495" s="1214"/>
      <c r="V495" s="1214"/>
      <c r="W495" s="1214"/>
      <c r="X495" s="1214"/>
      <c r="Y495" s="1214"/>
      <c r="Z495" s="1214"/>
    </row>
    <row r="496">
      <c r="A496" s="1214"/>
      <c r="B496" s="1214"/>
      <c r="C496" s="1214"/>
      <c r="D496" s="1267"/>
      <c r="E496" s="1214"/>
      <c r="F496" s="1214"/>
      <c r="G496" s="1214"/>
      <c r="H496" s="1214"/>
      <c r="I496" s="1214"/>
      <c r="J496" s="1214"/>
      <c r="K496" s="1214"/>
      <c r="L496" s="1214"/>
      <c r="M496" s="1214"/>
      <c r="N496" s="1214"/>
      <c r="O496" s="1214"/>
      <c r="P496" s="1214"/>
      <c r="Q496" s="1214"/>
      <c r="R496" s="1214"/>
      <c r="S496" s="1214"/>
      <c r="T496" s="1214"/>
      <c r="U496" s="1214"/>
      <c r="V496" s="1214"/>
      <c r="W496" s="1214"/>
      <c r="X496" s="1214"/>
      <c r="Y496" s="1214"/>
      <c r="Z496" s="1214"/>
    </row>
    <row r="497">
      <c r="A497" s="1214"/>
      <c r="B497" s="1214"/>
      <c r="C497" s="1214"/>
      <c r="D497" s="1267"/>
      <c r="E497" s="1214"/>
      <c r="F497" s="1214"/>
      <c r="G497" s="1214"/>
      <c r="H497" s="1214"/>
      <c r="I497" s="1214"/>
      <c r="J497" s="1214"/>
      <c r="K497" s="1214"/>
      <c r="L497" s="1214"/>
      <c r="M497" s="1214"/>
      <c r="N497" s="1214"/>
      <c r="O497" s="1214"/>
      <c r="P497" s="1214"/>
      <c r="Q497" s="1214"/>
      <c r="R497" s="1214"/>
      <c r="S497" s="1214"/>
      <c r="T497" s="1214"/>
      <c r="U497" s="1214"/>
      <c r="V497" s="1214"/>
      <c r="W497" s="1214"/>
      <c r="X497" s="1214"/>
      <c r="Y497" s="1214"/>
      <c r="Z497" s="1214"/>
    </row>
    <row r="498">
      <c r="A498" s="1214"/>
      <c r="B498" s="1214"/>
      <c r="C498" s="1214"/>
      <c r="D498" s="1267"/>
      <c r="E498" s="1214"/>
      <c r="F498" s="1214"/>
      <c r="G498" s="1214"/>
      <c r="H498" s="1214"/>
      <c r="I498" s="1214"/>
      <c r="J498" s="1214"/>
      <c r="K498" s="1214"/>
      <c r="L498" s="1214"/>
      <c r="M498" s="1214"/>
      <c r="N498" s="1214"/>
      <c r="O498" s="1214"/>
      <c r="P498" s="1214"/>
      <c r="Q498" s="1214"/>
      <c r="R498" s="1214"/>
      <c r="S498" s="1214"/>
      <c r="T498" s="1214"/>
      <c r="U498" s="1214"/>
      <c r="V498" s="1214"/>
      <c r="W498" s="1214"/>
      <c r="X498" s="1214"/>
      <c r="Y498" s="1214"/>
      <c r="Z498" s="1214"/>
    </row>
    <row r="499">
      <c r="A499" s="1214"/>
      <c r="B499" s="1214"/>
      <c r="C499" s="1214"/>
      <c r="D499" s="1267"/>
      <c r="E499" s="1214"/>
      <c r="F499" s="1214"/>
      <c r="G499" s="1214"/>
      <c r="H499" s="1214"/>
      <c r="I499" s="1214"/>
      <c r="J499" s="1214"/>
      <c r="K499" s="1214"/>
      <c r="L499" s="1214"/>
      <c r="M499" s="1214"/>
      <c r="N499" s="1214"/>
      <c r="O499" s="1214"/>
      <c r="P499" s="1214"/>
      <c r="Q499" s="1214"/>
      <c r="R499" s="1214"/>
      <c r="S499" s="1214"/>
      <c r="T499" s="1214"/>
      <c r="U499" s="1214"/>
      <c r="V499" s="1214"/>
      <c r="W499" s="1214"/>
      <c r="X499" s="1214"/>
      <c r="Y499" s="1214"/>
      <c r="Z499" s="1214"/>
    </row>
    <row r="500">
      <c r="A500" s="1214"/>
      <c r="B500" s="1214"/>
      <c r="C500" s="1214"/>
      <c r="D500" s="1267"/>
      <c r="E500" s="1214"/>
      <c r="F500" s="1214"/>
      <c r="G500" s="1214"/>
      <c r="H500" s="1214"/>
      <c r="I500" s="1214"/>
      <c r="J500" s="1214"/>
      <c r="K500" s="1214"/>
      <c r="L500" s="1214"/>
      <c r="M500" s="1214"/>
      <c r="N500" s="1214"/>
      <c r="O500" s="1214"/>
      <c r="P500" s="1214"/>
      <c r="Q500" s="1214"/>
      <c r="R500" s="1214"/>
      <c r="S500" s="1214"/>
      <c r="T500" s="1214"/>
      <c r="U500" s="1214"/>
      <c r="V500" s="1214"/>
      <c r="W500" s="1214"/>
      <c r="X500" s="1214"/>
      <c r="Y500" s="1214"/>
      <c r="Z500" s="1214"/>
    </row>
    <row r="501">
      <c r="A501" s="1214"/>
      <c r="B501" s="1214"/>
      <c r="C501" s="1214"/>
      <c r="D501" s="1267"/>
      <c r="E501" s="1214"/>
      <c r="F501" s="1214"/>
      <c r="G501" s="1214"/>
      <c r="H501" s="1214"/>
      <c r="I501" s="1214"/>
      <c r="J501" s="1214"/>
      <c r="K501" s="1214"/>
      <c r="L501" s="1214"/>
      <c r="M501" s="1214"/>
      <c r="N501" s="1214"/>
      <c r="O501" s="1214"/>
      <c r="P501" s="1214"/>
      <c r="Q501" s="1214"/>
      <c r="R501" s="1214"/>
      <c r="S501" s="1214"/>
      <c r="T501" s="1214"/>
      <c r="U501" s="1214"/>
      <c r="V501" s="1214"/>
      <c r="W501" s="1214"/>
      <c r="X501" s="1214"/>
      <c r="Y501" s="1214"/>
      <c r="Z501" s="1214"/>
    </row>
    <row r="502">
      <c r="A502" s="1214"/>
      <c r="B502" s="1214"/>
      <c r="C502" s="1214"/>
      <c r="D502" s="1267"/>
      <c r="E502" s="1214"/>
      <c r="F502" s="1214"/>
      <c r="G502" s="1214"/>
      <c r="H502" s="1214"/>
      <c r="I502" s="1214"/>
      <c r="J502" s="1214"/>
      <c r="K502" s="1214"/>
      <c r="L502" s="1214"/>
      <c r="M502" s="1214"/>
      <c r="N502" s="1214"/>
      <c r="O502" s="1214"/>
      <c r="P502" s="1214"/>
      <c r="Q502" s="1214"/>
      <c r="R502" s="1214"/>
      <c r="S502" s="1214"/>
      <c r="T502" s="1214"/>
      <c r="U502" s="1214"/>
      <c r="V502" s="1214"/>
      <c r="W502" s="1214"/>
      <c r="X502" s="1214"/>
      <c r="Y502" s="1214"/>
      <c r="Z502" s="1214"/>
    </row>
    <row r="503">
      <c r="A503" s="1214"/>
      <c r="B503" s="1214"/>
      <c r="C503" s="1214"/>
      <c r="D503" s="1267"/>
      <c r="E503" s="1214"/>
      <c r="F503" s="1214"/>
      <c r="G503" s="1214"/>
      <c r="H503" s="1214"/>
      <c r="I503" s="1214"/>
      <c r="J503" s="1214"/>
      <c r="K503" s="1214"/>
      <c r="L503" s="1214"/>
      <c r="M503" s="1214"/>
      <c r="N503" s="1214"/>
      <c r="O503" s="1214"/>
      <c r="P503" s="1214"/>
      <c r="Q503" s="1214"/>
      <c r="R503" s="1214"/>
      <c r="S503" s="1214"/>
      <c r="T503" s="1214"/>
      <c r="U503" s="1214"/>
      <c r="V503" s="1214"/>
      <c r="W503" s="1214"/>
      <c r="X503" s="1214"/>
      <c r="Y503" s="1214"/>
      <c r="Z503" s="1214"/>
    </row>
    <row r="504">
      <c r="A504" s="1214"/>
      <c r="B504" s="1214"/>
      <c r="C504" s="1214"/>
      <c r="D504" s="1267"/>
      <c r="E504" s="1214"/>
      <c r="F504" s="1214"/>
      <c r="G504" s="1214"/>
      <c r="H504" s="1214"/>
      <c r="I504" s="1214"/>
      <c r="J504" s="1214"/>
      <c r="K504" s="1214"/>
      <c r="L504" s="1214"/>
      <c r="M504" s="1214"/>
      <c r="N504" s="1214"/>
      <c r="O504" s="1214"/>
      <c r="P504" s="1214"/>
      <c r="Q504" s="1214"/>
      <c r="R504" s="1214"/>
      <c r="S504" s="1214"/>
      <c r="T504" s="1214"/>
      <c r="U504" s="1214"/>
      <c r="V504" s="1214"/>
      <c r="W504" s="1214"/>
      <c r="X504" s="1214"/>
      <c r="Y504" s="1214"/>
      <c r="Z504" s="1214"/>
    </row>
    <row r="505">
      <c r="A505" s="1214"/>
      <c r="B505" s="1214"/>
      <c r="C505" s="1214"/>
      <c r="D505" s="1267"/>
      <c r="E505" s="1214"/>
      <c r="F505" s="1214"/>
      <c r="G505" s="1214"/>
      <c r="H505" s="1214"/>
      <c r="I505" s="1214"/>
      <c r="J505" s="1214"/>
      <c r="K505" s="1214"/>
      <c r="L505" s="1214"/>
      <c r="M505" s="1214"/>
      <c r="N505" s="1214"/>
      <c r="O505" s="1214"/>
      <c r="P505" s="1214"/>
      <c r="Q505" s="1214"/>
      <c r="R505" s="1214"/>
      <c r="S505" s="1214"/>
      <c r="T505" s="1214"/>
      <c r="U505" s="1214"/>
      <c r="V505" s="1214"/>
      <c r="W505" s="1214"/>
      <c r="X505" s="1214"/>
      <c r="Y505" s="1214"/>
      <c r="Z505" s="1214"/>
    </row>
    <row r="506">
      <c r="A506" s="1214"/>
      <c r="B506" s="1214"/>
      <c r="C506" s="1214"/>
      <c r="D506" s="1267"/>
      <c r="E506" s="1214"/>
      <c r="F506" s="1214"/>
      <c r="G506" s="1214"/>
      <c r="H506" s="1214"/>
      <c r="I506" s="1214"/>
      <c r="J506" s="1214"/>
      <c r="K506" s="1214"/>
      <c r="L506" s="1214"/>
      <c r="M506" s="1214"/>
      <c r="N506" s="1214"/>
      <c r="O506" s="1214"/>
      <c r="P506" s="1214"/>
      <c r="Q506" s="1214"/>
      <c r="R506" s="1214"/>
      <c r="S506" s="1214"/>
      <c r="T506" s="1214"/>
      <c r="U506" s="1214"/>
      <c r="V506" s="1214"/>
      <c r="W506" s="1214"/>
      <c r="X506" s="1214"/>
      <c r="Y506" s="1214"/>
      <c r="Z506" s="1214"/>
    </row>
    <row r="507">
      <c r="A507" s="1214"/>
      <c r="B507" s="1214"/>
      <c r="C507" s="1214"/>
      <c r="D507" s="1267"/>
      <c r="E507" s="1214"/>
      <c r="F507" s="1214"/>
      <c r="G507" s="1214"/>
      <c r="H507" s="1214"/>
      <c r="I507" s="1214"/>
      <c r="J507" s="1214"/>
      <c r="K507" s="1214"/>
      <c r="L507" s="1214"/>
      <c r="M507" s="1214"/>
      <c r="N507" s="1214"/>
      <c r="O507" s="1214"/>
      <c r="P507" s="1214"/>
      <c r="Q507" s="1214"/>
      <c r="R507" s="1214"/>
      <c r="S507" s="1214"/>
      <c r="T507" s="1214"/>
      <c r="U507" s="1214"/>
      <c r="V507" s="1214"/>
      <c r="W507" s="1214"/>
      <c r="X507" s="1214"/>
      <c r="Y507" s="1214"/>
      <c r="Z507" s="1214"/>
    </row>
    <row r="508">
      <c r="A508" s="1214"/>
      <c r="B508" s="1214"/>
      <c r="C508" s="1214"/>
      <c r="D508" s="1267"/>
      <c r="E508" s="1214"/>
      <c r="F508" s="1214"/>
      <c r="G508" s="1214"/>
      <c r="H508" s="1214"/>
      <c r="I508" s="1214"/>
      <c r="J508" s="1214"/>
      <c r="K508" s="1214"/>
      <c r="L508" s="1214"/>
      <c r="M508" s="1214"/>
      <c r="N508" s="1214"/>
      <c r="O508" s="1214"/>
      <c r="P508" s="1214"/>
      <c r="Q508" s="1214"/>
      <c r="R508" s="1214"/>
      <c r="S508" s="1214"/>
      <c r="T508" s="1214"/>
      <c r="U508" s="1214"/>
      <c r="V508" s="1214"/>
      <c r="W508" s="1214"/>
      <c r="X508" s="1214"/>
      <c r="Y508" s="1214"/>
      <c r="Z508" s="1214"/>
    </row>
    <row r="509">
      <c r="A509" s="1214"/>
      <c r="B509" s="1214"/>
      <c r="C509" s="1214"/>
      <c r="D509" s="1267"/>
      <c r="E509" s="1214"/>
      <c r="F509" s="1214"/>
      <c r="G509" s="1214"/>
      <c r="H509" s="1214"/>
      <c r="I509" s="1214"/>
      <c r="J509" s="1214"/>
      <c r="K509" s="1214"/>
      <c r="L509" s="1214"/>
      <c r="M509" s="1214"/>
      <c r="N509" s="1214"/>
      <c r="O509" s="1214"/>
      <c r="P509" s="1214"/>
      <c r="Q509" s="1214"/>
      <c r="R509" s="1214"/>
      <c r="S509" s="1214"/>
      <c r="T509" s="1214"/>
      <c r="U509" s="1214"/>
      <c r="V509" s="1214"/>
      <c r="W509" s="1214"/>
      <c r="X509" s="1214"/>
      <c r="Y509" s="1214"/>
      <c r="Z509" s="1214"/>
    </row>
    <row r="510">
      <c r="A510" s="1214"/>
      <c r="B510" s="1214"/>
      <c r="C510" s="1214"/>
      <c r="D510" s="1267"/>
      <c r="E510" s="1214"/>
      <c r="F510" s="1214"/>
      <c r="G510" s="1214"/>
      <c r="H510" s="1214"/>
      <c r="I510" s="1214"/>
      <c r="J510" s="1214"/>
      <c r="K510" s="1214"/>
      <c r="L510" s="1214"/>
      <c r="M510" s="1214"/>
      <c r="N510" s="1214"/>
      <c r="O510" s="1214"/>
      <c r="P510" s="1214"/>
      <c r="Q510" s="1214"/>
      <c r="R510" s="1214"/>
      <c r="S510" s="1214"/>
      <c r="T510" s="1214"/>
      <c r="U510" s="1214"/>
      <c r="V510" s="1214"/>
      <c r="W510" s="1214"/>
      <c r="X510" s="1214"/>
      <c r="Y510" s="1214"/>
      <c r="Z510" s="1214"/>
    </row>
    <row r="511">
      <c r="A511" s="1214"/>
      <c r="B511" s="1214"/>
      <c r="C511" s="1214"/>
      <c r="D511" s="1267"/>
      <c r="E511" s="1214"/>
      <c r="F511" s="1214"/>
      <c r="G511" s="1214"/>
      <c r="H511" s="1214"/>
      <c r="I511" s="1214"/>
      <c r="J511" s="1214"/>
      <c r="K511" s="1214"/>
      <c r="L511" s="1214"/>
      <c r="M511" s="1214"/>
      <c r="N511" s="1214"/>
      <c r="O511" s="1214"/>
      <c r="P511" s="1214"/>
      <c r="Q511" s="1214"/>
      <c r="R511" s="1214"/>
      <c r="S511" s="1214"/>
      <c r="T511" s="1214"/>
      <c r="U511" s="1214"/>
      <c r="V511" s="1214"/>
      <c r="W511" s="1214"/>
      <c r="X511" s="1214"/>
      <c r="Y511" s="1214"/>
      <c r="Z511" s="1214"/>
    </row>
    <row r="512">
      <c r="A512" s="1214"/>
      <c r="B512" s="1214"/>
      <c r="C512" s="1214"/>
      <c r="D512" s="1267"/>
      <c r="E512" s="1214"/>
      <c r="F512" s="1214"/>
      <c r="G512" s="1214"/>
      <c r="H512" s="1214"/>
      <c r="I512" s="1214"/>
      <c r="J512" s="1214"/>
      <c r="K512" s="1214"/>
      <c r="L512" s="1214"/>
      <c r="M512" s="1214"/>
      <c r="N512" s="1214"/>
      <c r="O512" s="1214"/>
      <c r="P512" s="1214"/>
      <c r="Q512" s="1214"/>
      <c r="R512" s="1214"/>
      <c r="S512" s="1214"/>
      <c r="T512" s="1214"/>
      <c r="U512" s="1214"/>
      <c r="V512" s="1214"/>
      <c r="W512" s="1214"/>
      <c r="X512" s="1214"/>
      <c r="Y512" s="1214"/>
      <c r="Z512" s="1214"/>
    </row>
    <row r="513">
      <c r="A513" s="1214"/>
      <c r="B513" s="1214"/>
      <c r="C513" s="1214"/>
      <c r="D513" s="1267"/>
      <c r="E513" s="1214"/>
      <c r="F513" s="1214"/>
      <c r="G513" s="1214"/>
      <c r="H513" s="1214"/>
      <c r="I513" s="1214"/>
      <c r="J513" s="1214"/>
      <c r="K513" s="1214"/>
      <c r="L513" s="1214"/>
      <c r="M513" s="1214"/>
      <c r="N513" s="1214"/>
      <c r="O513" s="1214"/>
      <c r="P513" s="1214"/>
      <c r="Q513" s="1214"/>
      <c r="R513" s="1214"/>
      <c r="S513" s="1214"/>
      <c r="T513" s="1214"/>
      <c r="U513" s="1214"/>
      <c r="V513" s="1214"/>
      <c r="W513" s="1214"/>
      <c r="X513" s="1214"/>
      <c r="Y513" s="1214"/>
      <c r="Z513" s="1214"/>
    </row>
    <row r="514">
      <c r="A514" s="1214"/>
      <c r="B514" s="1214"/>
      <c r="C514" s="1214"/>
      <c r="D514" s="1267"/>
      <c r="E514" s="1214"/>
      <c r="F514" s="1214"/>
      <c r="G514" s="1214"/>
      <c r="H514" s="1214"/>
      <c r="I514" s="1214"/>
      <c r="J514" s="1214"/>
      <c r="K514" s="1214"/>
      <c r="L514" s="1214"/>
      <c r="M514" s="1214"/>
      <c r="N514" s="1214"/>
      <c r="O514" s="1214"/>
      <c r="P514" s="1214"/>
      <c r="Q514" s="1214"/>
      <c r="R514" s="1214"/>
      <c r="S514" s="1214"/>
      <c r="T514" s="1214"/>
      <c r="U514" s="1214"/>
      <c r="V514" s="1214"/>
      <c r="W514" s="1214"/>
      <c r="X514" s="1214"/>
      <c r="Y514" s="1214"/>
      <c r="Z514" s="1214"/>
    </row>
    <row r="515">
      <c r="A515" s="1214"/>
      <c r="B515" s="1214"/>
      <c r="C515" s="1214"/>
      <c r="D515" s="1267"/>
      <c r="E515" s="1214"/>
      <c r="F515" s="1214"/>
      <c r="G515" s="1214"/>
      <c r="H515" s="1214"/>
      <c r="I515" s="1214"/>
      <c r="J515" s="1214"/>
      <c r="K515" s="1214"/>
      <c r="L515" s="1214"/>
      <c r="M515" s="1214"/>
      <c r="N515" s="1214"/>
      <c r="O515" s="1214"/>
      <c r="P515" s="1214"/>
      <c r="Q515" s="1214"/>
      <c r="R515" s="1214"/>
      <c r="S515" s="1214"/>
      <c r="T515" s="1214"/>
      <c r="U515" s="1214"/>
      <c r="V515" s="1214"/>
      <c r="W515" s="1214"/>
      <c r="X515" s="1214"/>
      <c r="Y515" s="1214"/>
      <c r="Z515" s="1214"/>
    </row>
    <row r="516">
      <c r="A516" s="1214"/>
      <c r="B516" s="1214"/>
      <c r="C516" s="1214"/>
      <c r="D516" s="1267"/>
      <c r="E516" s="1214"/>
      <c r="F516" s="1214"/>
      <c r="G516" s="1214"/>
      <c r="H516" s="1214"/>
      <c r="I516" s="1214"/>
      <c r="J516" s="1214"/>
      <c r="K516" s="1214"/>
      <c r="L516" s="1214"/>
      <c r="M516" s="1214"/>
      <c r="N516" s="1214"/>
      <c r="O516" s="1214"/>
      <c r="P516" s="1214"/>
      <c r="Q516" s="1214"/>
      <c r="R516" s="1214"/>
      <c r="S516" s="1214"/>
      <c r="T516" s="1214"/>
      <c r="U516" s="1214"/>
      <c r="V516" s="1214"/>
      <c r="W516" s="1214"/>
      <c r="X516" s="1214"/>
      <c r="Y516" s="1214"/>
      <c r="Z516" s="1214"/>
    </row>
    <row r="517">
      <c r="A517" s="1214"/>
      <c r="B517" s="1214"/>
      <c r="C517" s="1214"/>
      <c r="D517" s="1267"/>
      <c r="E517" s="1214"/>
      <c r="F517" s="1214"/>
      <c r="G517" s="1214"/>
      <c r="H517" s="1214"/>
      <c r="I517" s="1214"/>
      <c r="J517" s="1214"/>
      <c r="K517" s="1214"/>
      <c r="L517" s="1214"/>
      <c r="M517" s="1214"/>
      <c r="N517" s="1214"/>
      <c r="O517" s="1214"/>
      <c r="P517" s="1214"/>
      <c r="Q517" s="1214"/>
      <c r="R517" s="1214"/>
      <c r="S517" s="1214"/>
      <c r="T517" s="1214"/>
      <c r="U517" s="1214"/>
      <c r="V517" s="1214"/>
      <c r="W517" s="1214"/>
      <c r="X517" s="1214"/>
      <c r="Y517" s="1214"/>
      <c r="Z517" s="1214"/>
    </row>
    <row r="518">
      <c r="A518" s="1214"/>
      <c r="B518" s="1214"/>
      <c r="C518" s="1214"/>
      <c r="D518" s="1267"/>
      <c r="E518" s="1214"/>
      <c r="F518" s="1214"/>
      <c r="G518" s="1214"/>
      <c r="H518" s="1214"/>
      <c r="I518" s="1214"/>
      <c r="J518" s="1214"/>
      <c r="K518" s="1214"/>
      <c r="L518" s="1214"/>
      <c r="M518" s="1214"/>
      <c r="N518" s="1214"/>
      <c r="O518" s="1214"/>
      <c r="P518" s="1214"/>
      <c r="Q518" s="1214"/>
      <c r="R518" s="1214"/>
      <c r="S518" s="1214"/>
      <c r="T518" s="1214"/>
      <c r="U518" s="1214"/>
      <c r="V518" s="1214"/>
      <c r="W518" s="1214"/>
      <c r="X518" s="1214"/>
      <c r="Y518" s="1214"/>
      <c r="Z518" s="1214"/>
    </row>
    <row r="519">
      <c r="A519" s="1214"/>
      <c r="B519" s="1214"/>
      <c r="C519" s="1214"/>
      <c r="D519" s="1267"/>
      <c r="E519" s="1214"/>
      <c r="F519" s="1214"/>
      <c r="G519" s="1214"/>
      <c r="H519" s="1214"/>
      <c r="I519" s="1214"/>
      <c r="J519" s="1214"/>
      <c r="K519" s="1214"/>
      <c r="L519" s="1214"/>
      <c r="M519" s="1214"/>
      <c r="N519" s="1214"/>
      <c r="O519" s="1214"/>
      <c r="P519" s="1214"/>
      <c r="Q519" s="1214"/>
      <c r="R519" s="1214"/>
      <c r="S519" s="1214"/>
      <c r="T519" s="1214"/>
      <c r="U519" s="1214"/>
      <c r="V519" s="1214"/>
      <c r="W519" s="1214"/>
      <c r="X519" s="1214"/>
      <c r="Y519" s="1214"/>
      <c r="Z519" s="1214"/>
    </row>
    <row r="520">
      <c r="A520" s="1214"/>
      <c r="B520" s="1214"/>
      <c r="C520" s="1214"/>
      <c r="D520" s="1267"/>
      <c r="E520" s="1214"/>
      <c r="F520" s="1214"/>
      <c r="G520" s="1214"/>
      <c r="H520" s="1214"/>
      <c r="I520" s="1214"/>
      <c r="J520" s="1214"/>
      <c r="K520" s="1214"/>
      <c r="L520" s="1214"/>
      <c r="M520" s="1214"/>
      <c r="N520" s="1214"/>
      <c r="O520" s="1214"/>
      <c r="P520" s="1214"/>
      <c r="Q520" s="1214"/>
      <c r="R520" s="1214"/>
      <c r="S520" s="1214"/>
      <c r="T520" s="1214"/>
      <c r="U520" s="1214"/>
      <c r="V520" s="1214"/>
      <c r="W520" s="1214"/>
      <c r="X520" s="1214"/>
      <c r="Y520" s="1214"/>
      <c r="Z520" s="1214"/>
    </row>
    <row r="521">
      <c r="A521" s="1214"/>
      <c r="B521" s="1214"/>
      <c r="C521" s="1214"/>
      <c r="D521" s="1267"/>
      <c r="E521" s="1214"/>
      <c r="F521" s="1214"/>
      <c r="G521" s="1214"/>
      <c r="H521" s="1214"/>
      <c r="I521" s="1214"/>
      <c r="J521" s="1214"/>
      <c r="K521" s="1214"/>
      <c r="L521" s="1214"/>
      <c r="M521" s="1214"/>
      <c r="N521" s="1214"/>
      <c r="O521" s="1214"/>
      <c r="P521" s="1214"/>
      <c r="Q521" s="1214"/>
      <c r="R521" s="1214"/>
      <c r="S521" s="1214"/>
      <c r="T521" s="1214"/>
      <c r="U521" s="1214"/>
      <c r="V521" s="1214"/>
      <c r="W521" s="1214"/>
      <c r="X521" s="1214"/>
      <c r="Y521" s="1214"/>
      <c r="Z521" s="1214"/>
    </row>
    <row r="522">
      <c r="A522" s="1214"/>
      <c r="B522" s="1214"/>
      <c r="C522" s="1214"/>
      <c r="D522" s="1267"/>
      <c r="E522" s="1214"/>
      <c r="F522" s="1214"/>
      <c r="G522" s="1214"/>
      <c r="H522" s="1214"/>
      <c r="I522" s="1214"/>
      <c r="J522" s="1214"/>
      <c r="K522" s="1214"/>
      <c r="L522" s="1214"/>
      <c r="M522" s="1214"/>
      <c r="N522" s="1214"/>
      <c r="O522" s="1214"/>
      <c r="P522" s="1214"/>
      <c r="Q522" s="1214"/>
      <c r="R522" s="1214"/>
      <c r="S522" s="1214"/>
      <c r="T522" s="1214"/>
      <c r="U522" s="1214"/>
      <c r="V522" s="1214"/>
      <c r="W522" s="1214"/>
      <c r="X522" s="1214"/>
      <c r="Y522" s="1214"/>
      <c r="Z522" s="1214"/>
    </row>
    <row r="523">
      <c r="A523" s="1214"/>
      <c r="B523" s="1214"/>
      <c r="C523" s="1214"/>
      <c r="D523" s="1267"/>
      <c r="E523" s="1214"/>
      <c r="F523" s="1214"/>
      <c r="G523" s="1214"/>
      <c r="H523" s="1214"/>
      <c r="I523" s="1214"/>
      <c r="J523" s="1214"/>
      <c r="K523" s="1214"/>
      <c r="L523" s="1214"/>
      <c r="M523" s="1214"/>
      <c r="N523" s="1214"/>
      <c r="O523" s="1214"/>
      <c r="P523" s="1214"/>
      <c r="Q523" s="1214"/>
      <c r="R523" s="1214"/>
      <c r="S523" s="1214"/>
      <c r="T523" s="1214"/>
      <c r="U523" s="1214"/>
      <c r="V523" s="1214"/>
      <c r="W523" s="1214"/>
      <c r="X523" s="1214"/>
      <c r="Y523" s="1214"/>
      <c r="Z523" s="1214"/>
    </row>
    <row r="524">
      <c r="A524" s="1214"/>
      <c r="B524" s="1214"/>
      <c r="C524" s="1214"/>
      <c r="D524" s="1267"/>
      <c r="E524" s="1214"/>
      <c r="F524" s="1214"/>
      <c r="G524" s="1214"/>
      <c r="H524" s="1214"/>
      <c r="I524" s="1214"/>
      <c r="J524" s="1214"/>
      <c r="K524" s="1214"/>
      <c r="L524" s="1214"/>
      <c r="M524" s="1214"/>
      <c r="N524" s="1214"/>
      <c r="O524" s="1214"/>
      <c r="P524" s="1214"/>
      <c r="Q524" s="1214"/>
      <c r="R524" s="1214"/>
      <c r="S524" s="1214"/>
      <c r="T524" s="1214"/>
      <c r="U524" s="1214"/>
      <c r="V524" s="1214"/>
      <c r="W524" s="1214"/>
      <c r="X524" s="1214"/>
      <c r="Y524" s="1214"/>
      <c r="Z524" s="1214"/>
    </row>
    <row r="525">
      <c r="A525" s="1214"/>
      <c r="B525" s="1214"/>
      <c r="C525" s="1214"/>
      <c r="D525" s="1267"/>
      <c r="E525" s="1214"/>
      <c r="F525" s="1214"/>
      <c r="G525" s="1214"/>
      <c r="H525" s="1214"/>
      <c r="I525" s="1214"/>
      <c r="J525" s="1214"/>
      <c r="K525" s="1214"/>
      <c r="L525" s="1214"/>
      <c r="M525" s="1214"/>
      <c r="N525" s="1214"/>
      <c r="O525" s="1214"/>
      <c r="P525" s="1214"/>
      <c r="Q525" s="1214"/>
      <c r="R525" s="1214"/>
      <c r="S525" s="1214"/>
      <c r="T525" s="1214"/>
      <c r="U525" s="1214"/>
      <c r="V525" s="1214"/>
      <c r="W525" s="1214"/>
      <c r="X525" s="1214"/>
      <c r="Y525" s="1214"/>
      <c r="Z525" s="1214"/>
    </row>
    <row r="526">
      <c r="A526" s="1214"/>
      <c r="B526" s="1214"/>
      <c r="C526" s="1214"/>
      <c r="D526" s="1267"/>
      <c r="E526" s="1214"/>
      <c r="F526" s="1214"/>
      <c r="G526" s="1214"/>
      <c r="H526" s="1214"/>
      <c r="I526" s="1214"/>
      <c r="J526" s="1214"/>
      <c r="K526" s="1214"/>
      <c r="L526" s="1214"/>
      <c r="M526" s="1214"/>
      <c r="N526" s="1214"/>
      <c r="O526" s="1214"/>
      <c r="P526" s="1214"/>
      <c r="Q526" s="1214"/>
      <c r="R526" s="1214"/>
      <c r="S526" s="1214"/>
      <c r="T526" s="1214"/>
      <c r="U526" s="1214"/>
      <c r="V526" s="1214"/>
      <c r="W526" s="1214"/>
      <c r="X526" s="1214"/>
      <c r="Y526" s="1214"/>
      <c r="Z526" s="1214"/>
    </row>
    <row r="527">
      <c r="A527" s="1214"/>
      <c r="B527" s="1214"/>
      <c r="C527" s="1214"/>
      <c r="D527" s="1267"/>
      <c r="E527" s="1214"/>
      <c r="F527" s="1214"/>
      <c r="G527" s="1214"/>
      <c r="H527" s="1214"/>
      <c r="I527" s="1214"/>
      <c r="J527" s="1214"/>
      <c r="K527" s="1214"/>
      <c r="L527" s="1214"/>
      <c r="M527" s="1214"/>
      <c r="N527" s="1214"/>
      <c r="O527" s="1214"/>
      <c r="P527" s="1214"/>
      <c r="Q527" s="1214"/>
      <c r="R527" s="1214"/>
      <c r="S527" s="1214"/>
      <c r="T527" s="1214"/>
      <c r="U527" s="1214"/>
      <c r="V527" s="1214"/>
      <c r="W527" s="1214"/>
      <c r="X527" s="1214"/>
      <c r="Y527" s="1214"/>
      <c r="Z527" s="1214"/>
    </row>
    <row r="528">
      <c r="A528" s="1214"/>
      <c r="B528" s="1214"/>
      <c r="C528" s="1214"/>
      <c r="D528" s="1267"/>
      <c r="E528" s="1214"/>
      <c r="F528" s="1214"/>
      <c r="G528" s="1214"/>
      <c r="H528" s="1214"/>
      <c r="I528" s="1214"/>
      <c r="J528" s="1214"/>
      <c r="K528" s="1214"/>
      <c r="L528" s="1214"/>
      <c r="M528" s="1214"/>
      <c r="N528" s="1214"/>
      <c r="O528" s="1214"/>
      <c r="P528" s="1214"/>
      <c r="Q528" s="1214"/>
      <c r="R528" s="1214"/>
      <c r="S528" s="1214"/>
      <c r="T528" s="1214"/>
      <c r="U528" s="1214"/>
      <c r="V528" s="1214"/>
      <c r="W528" s="1214"/>
      <c r="X528" s="1214"/>
      <c r="Y528" s="1214"/>
      <c r="Z528" s="1214"/>
    </row>
    <row r="529">
      <c r="A529" s="1214"/>
      <c r="B529" s="1214"/>
      <c r="C529" s="1214"/>
      <c r="D529" s="1267"/>
      <c r="E529" s="1214"/>
      <c r="F529" s="1214"/>
      <c r="G529" s="1214"/>
      <c r="H529" s="1214"/>
      <c r="I529" s="1214"/>
      <c r="J529" s="1214"/>
      <c r="K529" s="1214"/>
      <c r="L529" s="1214"/>
      <c r="M529" s="1214"/>
      <c r="N529" s="1214"/>
      <c r="O529" s="1214"/>
      <c r="P529" s="1214"/>
      <c r="Q529" s="1214"/>
      <c r="R529" s="1214"/>
      <c r="S529" s="1214"/>
      <c r="T529" s="1214"/>
      <c r="U529" s="1214"/>
      <c r="V529" s="1214"/>
      <c r="W529" s="1214"/>
      <c r="X529" s="1214"/>
      <c r="Y529" s="1214"/>
      <c r="Z529" s="1214"/>
    </row>
    <row r="530">
      <c r="A530" s="1214"/>
      <c r="B530" s="1214"/>
      <c r="C530" s="1214"/>
      <c r="D530" s="1267"/>
      <c r="E530" s="1214"/>
      <c r="F530" s="1214"/>
      <c r="G530" s="1214"/>
      <c r="H530" s="1214"/>
      <c r="I530" s="1214"/>
      <c r="J530" s="1214"/>
      <c r="K530" s="1214"/>
      <c r="L530" s="1214"/>
      <c r="M530" s="1214"/>
      <c r="N530" s="1214"/>
      <c r="O530" s="1214"/>
      <c r="P530" s="1214"/>
      <c r="Q530" s="1214"/>
      <c r="R530" s="1214"/>
      <c r="S530" s="1214"/>
      <c r="T530" s="1214"/>
      <c r="U530" s="1214"/>
      <c r="V530" s="1214"/>
      <c r="W530" s="1214"/>
      <c r="X530" s="1214"/>
      <c r="Y530" s="1214"/>
      <c r="Z530" s="1214"/>
    </row>
    <row r="531">
      <c r="A531" s="1214"/>
      <c r="B531" s="1214"/>
      <c r="C531" s="1214"/>
      <c r="D531" s="1267"/>
      <c r="E531" s="1214"/>
      <c r="F531" s="1214"/>
      <c r="G531" s="1214"/>
      <c r="H531" s="1214"/>
      <c r="I531" s="1214"/>
      <c r="J531" s="1214"/>
      <c r="K531" s="1214"/>
      <c r="L531" s="1214"/>
      <c r="M531" s="1214"/>
      <c r="N531" s="1214"/>
      <c r="O531" s="1214"/>
      <c r="P531" s="1214"/>
      <c r="Q531" s="1214"/>
      <c r="R531" s="1214"/>
      <c r="S531" s="1214"/>
      <c r="T531" s="1214"/>
      <c r="U531" s="1214"/>
      <c r="V531" s="1214"/>
      <c r="W531" s="1214"/>
      <c r="X531" s="1214"/>
      <c r="Y531" s="1214"/>
      <c r="Z531" s="1214"/>
    </row>
    <row r="532">
      <c r="A532" s="1214"/>
      <c r="B532" s="1214"/>
      <c r="C532" s="1214"/>
      <c r="D532" s="1267"/>
      <c r="E532" s="1214"/>
      <c r="F532" s="1214"/>
      <c r="G532" s="1214"/>
      <c r="H532" s="1214"/>
      <c r="I532" s="1214"/>
      <c r="J532" s="1214"/>
      <c r="K532" s="1214"/>
      <c r="L532" s="1214"/>
      <c r="M532" s="1214"/>
      <c r="N532" s="1214"/>
      <c r="O532" s="1214"/>
      <c r="P532" s="1214"/>
      <c r="Q532" s="1214"/>
      <c r="R532" s="1214"/>
      <c r="S532" s="1214"/>
      <c r="T532" s="1214"/>
      <c r="U532" s="1214"/>
      <c r="V532" s="1214"/>
      <c r="W532" s="1214"/>
      <c r="X532" s="1214"/>
      <c r="Y532" s="1214"/>
      <c r="Z532" s="1214"/>
    </row>
    <row r="533">
      <c r="A533" s="1214"/>
      <c r="B533" s="1214"/>
      <c r="C533" s="1214"/>
      <c r="D533" s="1267"/>
      <c r="E533" s="1214"/>
      <c r="F533" s="1214"/>
      <c r="G533" s="1214"/>
      <c r="H533" s="1214"/>
      <c r="I533" s="1214"/>
      <c r="J533" s="1214"/>
      <c r="K533" s="1214"/>
      <c r="L533" s="1214"/>
      <c r="M533" s="1214"/>
      <c r="N533" s="1214"/>
      <c r="O533" s="1214"/>
      <c r="P533" s="1214"/>
      <c r="Q533" s="1214"/>
      <c r="R533" s="1214"/>
      <c r="S533" s="1214"/>
      <c r="T533" s="1214"/>
      <c r="U533" s="1214"/>
      <c r="V533" s="1214"/>
      <c r="W533" s="1214"/>
      <c r="X533" s="1214"/>
      <c r="Y533" s="1214"/>
      <c r="Z533" s="1214"/>
    </row>
    <row r="534">
      <c r="A534" s="1214"/>
      <c r="B534" s="1214"/>
      <c r="C534" s="1214"/>
      <c r="D534" s="1267"/>
      <c r="E534" s="1214"/>
      <c r="F534" s="1214"/>
      <c r="G534" s="1214"/>
      <c r="H534" s="1214"/>
      <c r="I534" s="1214"/>
      <c r="J534" s="1214"/>
      <c r="K534" s="1214"/>
      <c r="L534" s="1214"/>
      <c r="M534" s="1214"/>
      <c r="N534" s="1214"/>
      <c r="O534" s="1214"/>
      <c r="P534" s="1214"/>
      <c r="Q534" s="1214"/>
      <c r="R534" s="1214"/>
      <c r="S534" s="1214"/>
      <c r="T534" s="1214"/>
      <c r="U534" s="1214"/>
      <c r="V534" s="1214"/>
      <c r="W534" s="1214"/>
      <c r="X534" s="1214"/>
      <c r="Y534" s="1214"/>
      <c r="Z534" s="1214"/>
    </row>
    <row r="535">
      <c r="A535" s="1214"/>
      <c r="B535" s="1214"/>
      <c r="C535" s="1214"/>
      <c r="D535" s="1267"/>
      <c r="E535" s="1214"/>
      <c r="F535" s="1214"/>
      <c r="G535" s="1214"/>
      <c r="H535" s="1214"/>
      <c r="I535" s="1214"/>
      <c r="J535" s="1214"/>
      <c r="K535" s="1214"/>
      <c r="L535" s="1214"/>
      <c r="M535" s="1214"/>
      <c r="N535" s="1214"/>
      <c r="O535" s="1214"/>
      <c r="P535" s="1214"/>
      <c r="Q535" s="1214"/>
      <c r="R535" s="1214"/>
      <c r="S535" s="1214"/>
      <c r="T535" s="1214"/>
      <c r="U535" s="1214"/>
      <c r="V535" s="1214"/>
      <c r="W535" s="1214"/>
      <c r="X535" s="1214"/>
      <c r="Y535" s="1214"/>
      <c r="Z535" s="1214"/>
    </row>
    <row r="536">
      <c r="A536" s="1214"/>
      <c r="B536" s="1214"/>
      <c r="C536" s="1214"/>
      <c r="D536" s="1267"/>
      <c r="E536" s="1214"/>
      <c r="F536" s="1214"/>
      <c r="G536" s="1214"/>
      <c r="H536" s="1214"/>
      <c r="I536" s="1214"/>
      <c r="J536" s="1214"/>
      <c r="K536" s="1214"/>
      <c r="L536" s="1214"/>
      <c r="M536" s="1214"/>
      <c r="N536" s="1214"/>
      <c r="O536" s="1214"/>
      <c r="P536" s="1214"/>
      <c r="Q536" s="1214"/>
      <c r="R536" s="1214"/>
      <c r="S536" s="1214"/>
      <c r="T536" s="1214"/>
      <c r="U536" s="1214"/>
      <c r="V536" s="1214"/>
      <c r="W536" s="1214"/>
      <c r="X536" s="1214"/>
      <c r="Y536" s="1214"/>
      <c r="Z536" s="1214"/>
    </row>
    <row r="537">
      <c r="A537" s="1214"/>
      <c r="B537" s="1214"/>
      <c r="C537" s="1214"/>
      <c r="D537" s="1267"/>
      <c r="E537" s="1214"/>
      <c r="F537" s="1214"/>
      <c r="G537" s="1214"/>
      <c r="H537" s="1214"/>
      <c r="I537" s="1214"/>
      <c r="J537" s="1214"/>
      <c r="K537" s="1214"/>
      <c r="L537" s="1214"/>
      <c r="M537" s="1214"/>
      <c r="N537" s="1214"/>
      <c r="O537" s="1214"/>
      <c r="P537" s="1214"/>
      <c r="Q537" s="1214"/>
      <c r="R537" s="1214"/>
      <c r="S537" s="1214"/>
      <c r="T537" s="1214"/>
      <c r="U537" s="1214"/>
      <c r="V537" s="1214"/>
      <c r="W537" s="1214"/>
      <c r="X537" s="1214"/>
      <c r="Y537" s="1214"/>
      <c r="Z537" s="1214"/>
    </row>
    <row r="538">
      <c r="A538" s="1214"/>
      <c r="B538" s="1214"/>
      <c r="C538" s="1214"/>
      <c r="D538" s="1267"/>
      <c r="E538" s="1214"/>
      <c r="F538" s="1214"/>
      <c r="G538" s="1214"/>
      <c r="H538" s="1214"/>
      <c r="I538" s="1214"/>
      <c r="J538" s="1214"/>
      <c r="K538" s="1214"/>
      <c r="L538" s="1214"/>
      <c r="M538" s="1214"/>
      <c r="N538" s="1214"/>
      <c r="O538" s="1214"/>
      <c r="P538" s="1214"/>
      <c r="Q538" s="1214"/>
      <c r="R538" s="1214"/>
      <c r="S538" s="1214"/>
      <c r="T538" s="1214"/>
      <c r="U538" s="1214"/>
      <c r="V538" s="1214"/>
      <c r="W538" s="1214"/>
      <c r="X538" s="1214"/>
      <c r="Y538" s="1214"/>
      <c r="Z538" s="1214"/>
    </row>
    <row r="539">
      <c r="A539" s="1214"/>
      <c r="B539" s="1214"/>
      <c r="C539" s="1214"/>
      <c r="D539" s="1267"/>
      <c r="E539" s="1214"/>
      <c r="F539" s="1214"/>
      <c r="G539" s="1214"/>
      <c r="H539" s="1214"/>
      <c r="I539" s="1214"/>
      <c r="J539" s="1214"/>
      <c r="K539" s="1214"/>
      <c r="L539" s="1214"/>
      <c r="M539" s="1214"/>
      <c r="N539" s="1214"/>
      <c r="O539" s="1214"/>
      <c r="P539" s="1214"/>
      <c r="Q539" s="1214"/>
      <c r="R539" s="1214"/>
      <c r="S539" s="1214"/>
      <c r="T539" s="1214"/>
      <c r="U539" s="1214"/>
      <c r="V539" s="1214"/>
      <c r="W539" s="1214"/>
      <c r="X539" s="1214"/>
      <c r="Y539" s="1214"/>
      <c r="Z539" s="1214"/>
    </row>
    <row r="540">
      <c r="A540" s="1214"/>
      <c r="B540" s="1214"/>
      <c r="C540" s="1214"/>
      <c r="D540" s="1267"/>
      <c r="E540" s="1214"/>
      <c r="F540" s="1214"/>
      <c r="G540" s="1214"/>
      <c r="H540" s="1214"/>
      <c r="I540" s="1214"/>
      <c r="J540" s="1214"/>
      <c r="K540" s="1214"/>
      <c r="L540" s="1214"/>
      <c r="M540" s="1214"/>
      <c r="N540" s="1214"/>
      <c r="O540" s="1214"/>
      <c r="P540" s="1214"/>
      <c r="Q540" s="1214"/>
      <c r="R540" s="1214"/>
      <c r="S540" s="1214"/>
      <c r="T540" s="1214"/>
      <c r="U540" s="1214"/>
      <c r="V540" s="1214"/>
      <c r="W540" s="1214"/>
      <c r="X540" s="1214"/>
      <c r="Y540" s="1214"/>
      <c r="Z540" s="1214"/>
    </row>
    <row r="541">
      <c r="A541" s="1214"/>
      <c r="B541" s="1214"/>
      <c r="C541" s="1214"/>
      <c r="D541" s="1267"/>
      <c r="E541" s="1214"/>
      <c r="F541" s="1214"/>
      <c r="G541" s="1214"/>
      <c r="H541" s="1214"/>
      <c r="I541" s="1214"/>
      <c r="J541" s="1214"/>
      <c r="K541" s="1214"/>
      <c r="L541" s="1214"/>
      <c r="M541" s="1214"/>
      <c r="N541" s="1214"/>
      <c r="O541" s="1214"/>
      <c r="P541" s="1214"/>
      <c r="Q541" s="1214"/>
      <c r="R541" s="1214"/>
      <c r="S541" s="1214"/>
      <c r="T541" s="1214"/>
      <c r="U541" s="1214"/>
      <c r="V541" s="1214"/>
      <c r="W541" s="1214"/>
      <c r="X541" s="1214"/>
      <c r="Y541" s="1214"/>
      <c r="Z541" s="1214"/>
    </row>
    <row r="542">
      <c r="A542" s="1214"/>
      <c r="B542" s="1214"/>
      <c r="C542" s="1214"/>
      <c r="D542" s="1267"/>
      <c r="E542" s="1214"/>
      <c r="F542" s="1214"/>
      <c r="G542" s="1214"/>
      <c r="H542" s="1214"/>
      <c r="I542" s="1214"/>
      <c r="J542" s="1214"/>
      <c r="K542" s="1214"/>
      <c r="L542" s="1214"/>
      <c r="M542" s="1214"/>
      <c r="N542" s="1214"/>
      <c r="O542" s="1214"/>
      <c r="P542" s="1214"/>
      <c r="Q542" s="1214"/>
      <c r="R542" s="1214"/>
      <c r="S542" s="1214"/>
      <c r="T542" s="1214"/>
      <c r="U542" s="1214"/>
      <c r="V542" s="1214"/>
      <c r="W542" s="1214"/>
      <c r="X542" s="1214"/>
      <c r="Y542" s="1214"/>
      <c r="Z542" s="1214"/>
    </row>
    <row r="543">
      <c r="A543" s="1214"/>
      <c r="B543" s="1214"/>
      <c r="C543" s="1214"/>
      <c r="D543" s="1267"/>
      <c r="E543" s="1214"/>
      <c r="F543" s="1214"/>
      <c r="G543" s="1214"/>
      <c r="H543" s="1214"/>
      <c r="I543" s="1214"/>
      <c r="J543" s="1214"/>
      <c r="K543" s="1214"/>
      <c r="L543" s="1214"/>
      <c r="M543" s="1214"/>
      <c r="N543" s="1214"/>
      <c r="O543" s="1214"/>
      <c r="P543" s="1214"/>
      <c r="Q543" s="1214"/>
      <c r="R543" s="1214"/>
      <c r="S543" s="1214"/>
      <c r="T543" s="1214"/>
      <c r="U543" s="1214"/>
      <c r="V543" s="1214"/>
      <c r="W543" s="1214"/>
      <c r="X543" s="1214"/>
      <c r="Y543" s="1214"/>
      <c r="Z543" s="1214"/>
    </row>
    <row r="544">
      <c r="A544" s="1214"/>
      <c r="B544" s="1214"/>
      <c r="C544" s="1214"/>
      <c r="D544" s="1267"/>
      <c r="E544" s="1214"/>
      <c r="F544" s="1214"/>
      <c r="G544" s="1214"/>
      <c r="H544" s="1214"/>
      <c r="I544" s="1214"/>
      <c r="J544" s="1214"/>
      <c r="K544" s="1214"/>
      <c r="L544" s="1214"/>
      <c r="M544" s="1214"/>
      <c r="N544" s="1214"/>
      <c r="O544" s="1214"/>
      <c r="P544" s="1214"/>
      <c r="Q544" s="1214"/>
      <c r="R544" s="1214"/>
      <c r="S544" s="1214"/>
      <c r="T544" s="1214"/>
      <c r="U544" s="1214"/>
      <c r="V544" s="1214"/>
      <c r="W544" s="1214"/>
      <c r="X544" s="1214"/>
      <c r="Y544" s="1214"/>
      <c r="Z544" s="1214"/>
    </row>
    <row r="545">
      <c r="A545" s="1214"/>
      <c r="B545" s="1214"/>
      <c r="C545" s="1214"/>
      <c r="D545" s="1267"/>
      <c r="E545" s="1214"/>
      <c r="F545" s="1214"/>
      <c r="G545" s="1214"/>
      <c r="H545" s="1214"/>
      <c r="I545" s="1214"/>
      <c r="J545" s="1214"/>
      <c r="K545" s="1214"/>
      <c r="L545" s="1214"/>
      <c r="M545" s="1214"/>
      <c r="N545" s="1214"/>
      <c r="O545" s="1214"/>
      <c r="P545" s="1214"/>
      <c r="Q545" s="1214"/>
      <c r="R545" s="1214"/>
      <c r="S545" s="1214"/>
      <c r="T545" s="1214"/>
      <c r="U545" s="1214"/>
      <c r="V545" s="1214"/>
      <c r="W545" s="1214"/>
      <c r="X545" s="1214"/>
      <c r="Y545" s="1214"/>
      <c r="Z545" s="1214"/>
    </row>
    <row r="546">
      <c r="A546" s="1214"/>
      <c r="B546" s="1214"/>
      <c r="C546" s="1214"/>
      <c r="D546" s="1267"/>
      <c r="E546" s="1214"/>
      <c r="F546" s="1214"/>
      <c r="G546" s="1214"/>
      <c r="H546" s="1214"/>
      <c r="I546" s="1214"/>
      <c r="J546" s="1214"/>
      <c r="K546" s="1214"/>
      <c r="L546" s="1214"/>
      <c r="M546" s="1214"/>
      <c r="N546" s="1214"/>
      <c r="O546" s="1214"/>
      <c r="P546" s="1214"/>
      <c r="Q546" s="1214"/>
      <c r="R546" s="1214"/>
      <c r="S546" s="1214"/>
      <c r="T546" s="1214"/>
      <c r="U546" s="1214"/>
      <c r="V546" s="1214"/>
      <c r="W546" s="1214"/>
      <c r="X546" s="1214"/>
      <c r="Y546" s="1214"/>
      <c r="Z546" s="1214"/>
    </row>
    <row r="547">
      <c r="A547" s="1214"/>
      <c r="B547" s="1214"/>
      <c r="C547" s="1214"/>
      <c r="D547" s="1267"/>
      <c r="E547" s="1214"/>
      <c r="F547" s="1214"/>
      <c r="G547" s="1214"/>
      <c r="H547" s="1214"/>
      <c r="I547" s="1214"/>
      <c r="J547" s="1214"/>
      <c r="K547" s="1214"/>
      <c r="L547" s="1214"/>
      <c r="M547" s="1214"/>
      <c r="N547" s="1214"/>
      <c r="O547" s="1214"/>
      <c r="P547" s="1214"/>
      <c r="Q547" s="1214"/>
      <c r="R547" s="1214"/>
      <c r="S547" s="1214"/>
      <c r="T547" s="1214"/>
      <c r="U547" s="1214"/>
      <c r="V547" s="1214"/>
      <c r="W547" s="1214"/>
      <c r="X547" s="1214"/>
      <c r="Y547" s="1214"/>
      <c r="Z547" s="1214"/>
    </row>
    <row r="548">
      <c r="A548" s="1214"/>
      <c r="B548" s="1214"/>
      <c r="C548" s="1214"/>
      <c r="D548" s="1267"/>
      <c r="E548" s="1214"/>
      <c r="F548" s="1214"/>
      <c r="G548" s="1214"/>
      <c r="H548" s="1214"/>
      <c r="I548" s="1214"/>
      <c r="J548" s="1214"/>
      <c r="K548" s="1214"/>
      <c r="L548" s="1214"/>
      <c r="M548" s="1214"/>
      <c r="N548" s="1214"/>
      <c r="O548" s="1214"/>
      <c r="P548" s="1214"/>
      <c r="Q548" s="1214"/>
      <c r="R548" s="1214"/>
      <c r="S548" s="1214"/>
      <c r="T548" s="1214"/>
      <c r="U548" s="1214"/>
      <c r="V548" s="1214"/>
      <c r="W548" s="1214"/>
      <c r="X548" s="1214"/>
      <c r="Y548" s="1214"/>
      <c r="Z548" s="1214"/>
    </row>
    <row r="549">
      <c r="A549" s="1214"/>
      <c r="B549" s="1214"/>
      <c r="C549" s="1214"/>
      <c r="D549" s="1267"/>
      <c r="E549" s="1214"/>
      <c r="F549" s="1214"/>
      <c r="G549" s="1214"/>
      <c r="H549" s="1214"/>
      <c r="I549" s="1214"/>
      <c r="J549" s="1214"/>
      <c r="K549" s="1214"/>
      <c r="L549" s="1214"/>
      <c r="M549" s="1214"/>
      <c r="N549" s="1214"/>
      <c r="O549" s="1214"/>
      <c r="P549" s="1214"/>
      <c r="Q549" s="1214"/>
      <c r="R549" s="1214"/>
      <c r="S549" s="1214"/>
      <c r="T549" s="1214"/>
      <c r="U549" s="1214"/>
      <c r="V549" s="1214"/>
      <c r="W549" s="1214"/>
      <c r="X549" s="1214"/>
      <c r="Y549" s="1214"/>
      <c r="Z549" s="1214"/>
    </row>
    <row r="550">
      <c r="A550" s="1214"/>
      <c r="B550" s="1214"/>
      <c r="C550" s="1214"/>
      <c r="D550" s="1267"/>
      <c r="E550" s="1214"/>
      <c r="F550" s="1214"/>
      <c r="G550" s="1214"/>
      <c r="H550" s="1214"/>
      <c r="I550" s="1214"/>
      <c r="J550" s="1214"/>
      <c r="K550" s="1214"/>
      <c r="L550" s="1214"/>
      <c r="M550" s="1214"/>
      <c r="N550" s="1214"/>
      <c r="O550" s="1214"/>
      <c r="P550" s="1214"/>
      <c r="Q550" s="1214"/>
      <c r="R550" s="1214"/>
      <c r="S550" s="1214"/>
      <c r="T550" s="1214"/>
      <c r="U550" s="1214"/>
      <c r="V550" s="1214"/>
      <c r="W550" s="1214"/>
      <c r="X550" s="1214"/>
      <c r="Y550" s="1214"/>
      <c r="Z550" s="1214"/>
    </row>
    <row r="551">
      <c r="A551" s="1214"/>
      <c r="B551" s="1214"/>
      <c r="C551" s="1214"/>
      <c r="D551" s="1267"/>
      <c r="E551" s="1214"/>
      <c r="F551" s="1214"/>
      <c r="G551" s="1214"/>
      <c r="H551" s="1214"/>
      <c r="I551" s="1214"/>
      <c r="J551" s="1214"/>
      <c r="K551" s="1214"/>
      <c r="L551" s="1214"/>
      <c r="M551" s="1214"/>
      <c r="N551" s="1214"/>
      <c r="O551" s="1214"/>
      <c r="P551" s="1214"/>
      <c r="Q551" s="1214"/>
      <c r="R551" s="1214"/>
      <c r="S551" s="1214"/>
      <c r="T551" s="1214"/>
      <c r="U551" s="1214"/>
      <c r="V551" s="1214"/>
      <c r="W551" s="1214"/>
      <c r="X551" s="1214"/>
      <c r="Y551" s="1214"/>
      <c r="Z551" s="1214"/>
    </row>
    <row r="552">
      <c r="A552" s="1214"/>
      <c r="B552" s="1214"/>
      <c r="C552" s="1214"/>
      <c r="D552" s="1267"/>
      <c r="E552" s="1214"/>
      <c r="F552" s="1214"/>
      <c r="G552" s="1214"/>
      <c r="H552" s="1214"/>
      <c r="I552" s="1214"/>
      <c r="J552" s="1214"/>
      <c r="K552" s="1214"/>
      <c r="L552" s="1214"/>
      <c r="M552" s="1214"/>
      <c r="N552" s="1214"/>
      <c r="O552" s="1214"/>
      <c r="P552" s="1214"/>
      <c r="Q552" s="1214"/>
      <c r="R552" s="1214"/>
      <c r="S552" s="1214"/>
      <c r="T552" s="1214"/>
      <c r="U552" s="1214"/>
      <c r="V552" s="1214"/>
      <c r="W552" s="1214"/>
      <c r="X552" s="1214"/>
      <c r="Y552" s="1214"/>
      <c r="Z552" s="1214"/>
    </row>
    <row r="553">
      <c r="A553" s="1214"/>
      <c r="B553" s="1214"/>
      <c r="C553" s="1214"/>
      <c r="D553" s="1267"/>
      <c r="E553" s="1214"/>
      <c r="F553" s="1214"/>
      <c r="G553" s="1214"/>
      <c r="H553" s="1214"/>
      <c r="I553" s="1214"/>
      <c r="J553" s="1214"/>
      <c r="K553" s="1214"/>
      <c r="L553" s="1214"/>
      <c r="M553" s="1214"/>
      <c r="N553" s="1214"/>
      <c r="O553" s="1214"/>
      <c r="P553" s="1214"/>
      <c r="Q553" s="1214"/>
      <c r="R553" s="1214"/>
      <c r="S553" s="1214"/>
      <c r="T553" s="1214"/>
      <c r="U553" s="1214"/>
      <c r="V553" s="1214"/>
      <c r="W553" s="1214"/>
      <c r="X553" s="1214"/>
      <c r="Y553" s="1214"/>
      <c r="Z553" s="1214"/>
    </row>
    <row r="554">
      <c r="A554" s="1214"/>
      <c r="B554" s="1214"/>
      <c r="C554" s="1214"/>
      <c r="D554" s="1267"/>
      <c r="E554" s="1214"/>
      <c r="F554" s="1214"/>
      <c r="G554" s="1214"/>
      <c r="H554" s="1214"/>
      <c r="I554" s="1214"/>
      <c r="J554" s="1214"/>
      <c r="K554" s="1214"/>
      <c r="L554" s="1214"/>
      <c r="M554" s="1214"/>
      <c r="N554" s="1214"/>
      <c r="O554" s="1214"/>
      <c r="P554" s="1214"/>
      <c r="Q554" s="1214"/>
      <c r="R554" s="1214"/>
      <c r="S554" s="1214"/>
      <c r="T554" s="1214"/>
      <c r="U554" s="1214"/>
      <c r="V554" s="1214"/>
      <c r="W554" s="1214"/>
      <c r="X554" s="1214"/>
      <c r="Y554" s="1214"/>
      <c r="Z554" s="1214"/>
    </row>
    <row r="555">
      <c r="A555" s="1214"/>
      <c r="B555" s="1214"/>
      <c r="C555" s="1214"/>
      <c r="D555" s="1267"/>
      <c r="E555" s="1214"/>
      <c r="F555" s="1214"/>
      <c r="G555" s="1214"/>
      <c r="H555" s="1214"/>
      <c r="I555" s="1214"/>
      <c r="J555" s="1214"/>
      <c r="K555" s="1214"/>
      <c r="L555" s="1214"/>
      <c r="M555" s="1214"/>
      <c r="N555" s="1214"/>
      <c r="O555" s="1214"/>
      <c r="P555" s="1214"/>
      <c r="Q555" s="1214"/>
      <c r="R555" s="1214"/>
      <c r="S555" s="1214"/>
      <c r="T555" s="1214"/>
      <c r="U555" s="1214"/>
      <c r="V555" s="1214"/>
      <c r="W555" s="1214"/>
      <c r="X555" s="1214"/>
      <c r="Y555" s="1214"/>
      <c r="Z555" s="1214"/>
    </row>
    <row r="556">
      <c r="A556" s="1214"/>
      <c r="B556" s="1214"/>
      <c r="C556" s="1214"/>
      <c r="D556" s="1267"/>
      <c r="E556" s="1214"/>
      <c r="F556" s="1214"/>
      <c r="G556" s="1214"/>
      <c r="H556" s="1214"/>
      <c r="I556" s="1214"/>
      <c r="J556" s="1214"/>
      <c r="K556" s="1214"/>
      <c r="L556" s="1214"/>
      <c r="M556" s="1214"/>
      <c r="N556" s="1214"/>
      <c r="O556" s="1214"/>
      <c r="P556" s="1214"/>
      <c r="Q556" s="1214"/>
      <c r="R556" s="1214"/>
      <c r="S556" s="1214"/>
      <c r="T556" s="1214"/>
      <c r="U556" s="1214"/>
      <c r="V556" s="1214"/>
      <c r="W556" s="1214"/>
      <c r="X556" s="1214"/>
      <c r="Y556" s="1214"/>
      <c r="Z556" s="1214"/>
    </row>
    <row r="557">
      <c r="A557" s="1214"/>
      <c r="B557" s="1214"/>
      <c r="C557" s="1214"/>
      <c r="D557" s="1267"/>
      <c r="E557" s="1214"/>
      <c r="F557" s="1214"/>
      <c r="G557" s="1214"/>
      <c r="H557" s="1214"/>
      <c r="I557" s="1214"/>
      <c r="J557" s="1214"/>
      <c r="K557" s="1214"/>
      <c r="L557" s="1214"/>
      <c r="M557" s="1214"/>
      <c r="N557" s="1214"/>
      <c r="O557" s="1214"/>
      <c r="P557" s="1214"/>
      <c r="Q557" s="1214"/>
      <c r="R557" s="1214"/>
      <c r="S557" s="1214"/>
      <c r="T557" s="1214"/>
      <c r="U557" s="1214"/>
      <c r="V557" s="1214"/>
      <c r="W557" s="1214"/>
      <c r="X557" s="1214"/>
      <c r="Y557" s="1214"/>
      <c r="Z557" s="1214"/>
    </row>
    <row r="558">
      <c r="A558" s="1214"/>
      <c r="B558" s="1214"/>
      <c r="C558" s="1214"/>
      <c r="D558" s="1267"/>
      <c r="E558" s="1214"/>
      <c r="F558" s="1214"/>
      <c r="G558" s="1214"/>
      <c r="H558" s="1214"/>
      <c r="I558" s="1214"/>
      <c r="J558" s="1214"/>
      <c r="K558" s="1214"/>
      <c r="L558" s="1214"/>
      <c r="M558" s="1214"/>
      <c r="N558" s="1214"/>
      <c r="O558" s="1214"/>
      <c r="P558" s="1214"/>
      <c r="Q558" s="1214"/>
      <c r="R558" s="1214"/>
      <c r="S558" s="1214"/>
      <c r="T558" s="1214"/>
      <c r="U558" s="1214"/>
      <c r="V558" s="1214"/>
      <c r="W558" s="1214"/>
      <c r="X558" s="1214"/>
      <c r="Y558" s="1214"/>
      <c r="Z558" s="1214"/>
    </row>
    <row r="559">
      <c r="A559" s="1214"/>
      <c r="B559" s="1214"/>
      <c r="C559" s="1214"/>
      <c r="D559" s="1267"/>
      <c r="E559" s="1214"/>
      <c r="F559" s="1214"/>
      <c r="G559" s="1214"/>
      <c r="H559" s="1214"/>
      <c r="I559" s="1214"/>
      <c r="J559" s="1214"/>
      <c r="K559" s="1214"/>
      <c r="L559" s="1214"/>
      <c r="M559" s="1214"/>
      <c r="N559" s="1214"/>
      <c r="O559" s="1214"/>
      <c r="P559" s="1214"/>
      <c r="Q559" s="1214"/>
      <c r="R559" s="1214"/>
      <c r="S559" s="1214"/>
      <c r="T559" s="1214"/>
      <c r="U559" s="1214"/>
      <c r="V559" s="1214"/>
      <c r="W559" s="1214"/>
      <c r="X559" s="1214"/>
      <c r="Y559" s="1214"/>
      <c r="Z559" s="1214"/>
    </row>
    <row r="560">
      <c r="A560" s="1214"/>
      <c r="B560" s="1214"/>
      <c r="C560" s="1214"/>
      <c r="D560" s="1267"/>
      <c r="E560" s="1214"/>
      <c r="F560" s="1214"/>
      <c r="G560" s="1214"/>
      <c r="H560" s="1214"/>
      <c r="I560" s="1214"/>
      <c r="J560" s="1214"/>
      <c r="K560" s="1214"/>
      <c r="L560" s="1214"/>
      <c r="M560" s="1214"/>
      <c r="N560" s="1214"/>
      <c r="O560" s="1214"/>
      <c r="P560" s="1214"/>
      <c r="Q560" s="1214"/>
      <c r="R560" s="1214"/>
      <c r="S560" s="1214"/>
      <c r="T560" s="1214"/>
      <c r="U560" s="1214"/>
      <c r="V560" s="1214"/>
      <c r="W560" s="1214"/>
      <c r="X560" s="1214"/>
      <c r="Y560" s="1214"/>
      <c r="Z560" s="1214"/>
    </row>
    <row r="561">
      <c r="A561" s="1214"/>
      <c r="B561" s="1214"/>
      <c r="C561" s="1214"/>
      <c r="D561" s="1267"/>
      <c r="E561" s="1214"/>
      <c r="F561" s="1214"/>
      <c r="G561" s="1214"/>
      <c r="H561" s="1214"/>
      <c r="I561" s="1214"/>
      <c r="J561" s="1214"/>
      <c r="K561" s="1214"/>
      <c r="L561" s="1214"/>
      <c r="M561" s="1214"/>
      <c r="N561" s="1214"/>
      <c r="O561" s="1214"/>
      <c r="P561" s="1214"/>
      <c r="Q561" s="1214"/>
      <c r="R561" s="1214"/>
      <c r="S561" s="1214"/>
      <c r="T561" s="1214"/>
      <c r="U561" s="1214"/>
      <c r="V561" s="1214"/>
      <c r="W561" s="1214"/>
      <c r="X561" s="1214"/>
      <c r="Y561" s="1214"/>
      <c r="Z561" s="1214"/>
    </row>
    <row r="562">
      <c r="A562" s="1214"/>
      <c r="B562" s="1214"/>
      <c r="C562" s="1214"/>
      <c r="D562" s="1267"/>
      <c r="E562" s="1214"/>
      <c r="F562" s="1214"/>
      <c r="G562" s="1214"/>
      <c r="H562" s="1214"/>
      <c r="I562" s="1214"/>
      <c r="J562" s="1214"/>
      <c r="K562" s="1214"/>
      <c r="L562" s="1214"/>
      <c r="M562" s="1214"/>
      <c r="N562" s="1214"/>
      <c r="O562" s="1214"/>
      <c r="P562" s="1214"/>
      <c r="Q562" s="1214"/>
      <c r="R562" s="1214"/>
      <c r="S562" s="1214"/>
      <c r="T562" s="1214"/>
      <c r="U562" s="1214"/>
      <c r="V562" s="1214"/>
      <c r="W562" s="1214"/>
      <c r="X562" s="1214"/>
      <c r="Y562" s="1214"/>
      <c r="Z562" s="1214"/>
    </row>
    <row r="563">
      <c r="A563" s="1214"/>
      <c r="B563" s="1214"/>
      <c r="C563" s="1214"/>
      <c r="D563" s="1267"/>
      <c r="E563" s="1214"/>
      <c r="F563" s="1214"/>
      <c r="G563" s="1214"/>
      <c r="H563" s="1214"/>
      <c r="I563" s="1214"/>
      <c r="J563" s="1214"/>
      <c r="K563" s="1214"/>
      <c r="L563" s="1214"/>
      <c r="M563" s="1214"/>
      <c r="N563" s="1214"/>
      <c r="O563" s="1214"/>
      <c r="P563" s="1214"/>
      <c r="Q563" s="1214"/>
      <c r="R563" s="1214"/>
      <c r="S563" s="1214"/>
      <c r="T563" s="1214"/>
      <c r="U563" s="1214"/>
      <c r="V563" s="1214"/>
      <c r="W563" s="1214"/>
      <c r="X563" s="1214"/>
      <c r="Y563" s="1214"/>
      <c r="Z563" s="1214"/>
    </row>
    <row r="564">
      <c r="A564" s="1214"/>
      <c r="B564" s="1214"/>
      <c r="C564" s="1214"/>
      <c r="D564" s="1267"/>
      <c r="E564" s="1214"/>
      <c r="F564" s="1214"/>
      <c r="G564" s="1214"/>
      <c r="H564" s="1214"/>
      <c r="I564" s="1214"/>
      <c r="J564" s="1214"/>
      <c r="K564" s="1214"/>
      <c r="L564" s="1214"/>
      <c r="M564" s="1214"/>
      <c r="N564" s="1214"/>
      <c r="O564" s="1214"/>
      <c r="P564" s="1214"/>
      <c r="Q564" s="1214"/>
      <c r="R564" s="1214"/>
      <c r="S564" s="1214"/>
      <c r="T564" s="1214"/>
      <c r="U564" s="1214"/>
      <c r="V564" s="1214"/>
      <c r="W564" s="1214"/>
      <c r="X564" s="1214"/>
      <c r="Y564" s="1214"/>
      <c r="Z564" s="1214"/>
    </row>
    <row r="565">
      <c r="A565" s="1214"/>
      <c r="B565" s="1214"/>
      <c r="C565" s="1214"/>
      <c r="D565" s="1267"/>
      <c r="E565" s="1214"/>
      <c r="F565" s="1214"/>
      <c r="G565" s="1214"/>
      <c r="H565" s="1214"/>
      <c r="I565" s="1214"/>
      <c r="J565" s="1214"/>
      <c r="K565" s="1214"/>
      <c r="L565" s="1214"/>
      <c r="M565" s="1214"/>
      <c r="N565" s="1214"/>
      <c r="O565" s="1214"/>
      <c r="P565" s="1214"/>
      <c r="Q565" s="1214"/>
      <c r="R565" s="1214"/>
      <c r="S565" s="1214"/>
      <c r="T565" s="1214"/>
      <c r="U565" s="1214"/>
      <c r="V565" s="1214"/>
      <c r="W565" s="1214"/>
      <c r="X565" s="1214"/>
      <c r="Y565" s="1214"/>
      <c r="Z565" s="1214"/>
    </row>
    <row r="566">
      <c r="A566" s="1214"/>
      <c r="B566" s="1214"/>
      <c r="C566" s="1214"/>
      <c r="D566" s="1267"/>
      <c r="E566" s="1214"/>
      <c r="F566" s="1214"/>
      <c r="G566" s="1214"/>
      <c r="H566" s="1214"/>
      <c r="I566" s="1214"/>
      <c r="J566" s="1214"/>
      <c r="K566" s="1214"/>
      <c r="L566" s="1214"/>
      <c r="M566" s="1214"/>
      <c r="N566" s="1214"/>
      <c r="O566" s="1214"/>
      <c r="P566" s="1214"/>
      <c r="Q566" s="1214"/>
      <c r="R566" s="1214"/>
      <c r="S566" s="1214"/>
      <c r="T566" s="1214"/>
      <c r="U566" s="1214"/>
      <c r="V566" s="1214"/>
      <c r="W566" s="1214"/>
      <c r="X566" s="1214"/>
      <c r="Y566" s="1214"/>
      <c r="Z566" s="1214"/>
    </row>
    <row r="567">
      <c r="A567" s="1214"/>
      <c r="B567" s="1214"/>
      <c r="C567" s="1214"/>
      <c r="D567" s="1267"/>
      <c r="E567" s="1214"/>
      <c r="F567" s="1214"/>
      <c r="G567" s="1214"/>
      <c r="H567" s="1214"/>
      <c r="I567" s="1214"/>
      <c r="J567" s="1214"/>
      <c r="K567" s="1214"/>
      <c r="L567" s="1214"/>
      <c r="M567" s="1214"/>
      <c r="N567" s="1214"/>
      <c r="O567" s="1214"/>
      <c r="P567" s="1214"/>
      <c r="Q567" s="1214"/>
      <c r="R567" s="1214"/>
      <c r="S567" s="1214"/>
      <c r="T567" s="1214"/>
      <c r="U567" s="1214"/>
      <c r="V567" s="1214"/>
      <c r="W567" s="1214"/>
      <c r="X567" s="1214"/>
      <c r="Y567" s="1214"/>
      <c r="Z567" s="1214"/>
    </row>
    <row r="568">
      <c r="A568" s="1214"/>
      <c r="B568" s="1214"/>
      <c r="C568" s="1214"/>
      <c r="D568" s="1267"/>
      <c r="E568" s="1214"/>
      <c r="F568" s="1214"/>
      <c r="G568" s="1214"/>
      <c r="H568" s="1214"/>
      <c r="I568" s="1214"/>
      <c r="J568" s="1214"/>
      <c r="K568" s="1214"/>
      <c r="L568" s="1214"/>
      <c r="M568" s="1214"/>
      <c r="N568" s="1214"/>
      <c r="O568" s="1214"/>
      <c r="P568" s="1214"/>
      <c r="Q568" s="1214"/>
      <c r="R568" s="1214"/>
      <c r="S568" s="1214"/>
      <c r="T568" s="1214"/>
      <c r="U568" s="1214"/>
      <c r="V568" s="1214"/>
      <c r="W568" s="1214"/>
      <c r="X568" s="1214"/>
      <c r="Y568" s="1214"/>
      <c r="Z568" s="1214"/>
    </row>
    <row r="569">
      <c r="A569" s="1214"/>
      <c r="B569" s="1214"/>
      <c r="C569" s="1214"/>
      <c r="D569" s="1267"/>
      <c r="E569" s="1214"/>
      <c r="F569" s="1214"/>
      <c r="G569" s="1214"/>
      <c r="H569" s="1214"/>
      <c r="I569" s="1214"/>
      <c r="J569" s="1214"/>
      <c r="K569" s="1214"/>
      <c r="L569" s="1214"/>
      <c r="M569" s="1214"/>
      <c r="N569" s="1214"/>
      <c r="O569" s="1214"/>
      <c r="P569" s="1214"/>
      <c r="Q569" s="1214"/>
      <c r="R569" s="1214"/>
      <c r="S569" s="1214"/>
      <c r="T569" s="1214"/>
      <c r="U569" s="1214"/>
      <c r="V569" s="1214"/>
      <c r="W569" s="1214"/>
      <c r="X569" s="1214"/>
      <c r="Y569" s="1214"/>
      <c r="Z569" s="1214"/>
    </row>
    <row r="570">
      <c r="A570" s="1214"/>
      <c r="B570" s="1214"/>
      <c r="C570" s="1214"/>
      <c r="D570" s="1267"/>
      <c r="E570" s="1214"/>
      <c r="F570" s="1214"/>
      <c r="G570" s="1214"/>
      <c r="H570" s="1214"/>
      <c r="I570" s="1214"/>
      <c r="J570" s="1214"/>
      <c r="K570" s="1214"/>
      <c r="L570" s="1214"/>
      <c r="M570" s="1214"/>
      <c r="N570" s="1214"/>
      <c r="O570" s="1214"/>
      <c r="P570" s="1214"/>
      <c r="Q570" s="1214"/>
      <c r="R570" s="1214"/>
      <c r="S570" s="1214"/>
      <c r="T570" s="1214"/>
      <c r="U570" s="1214"/>
      <c r="V570" s="1214"/>
      <c r="W570" s="1214"/>
      <c r="X570" s="1214"/>
      <c r="Y570" s="1214"/>
      <c r="Z570" s="1214"/>
    </row>
    <row r="571">
      <c r="A571" s="1214"/>
      <c r="B571" s="1214"/>
      <c r="C571" s="1214"/>
      <c r="D571" s="1267"/>
      <c r="E571" s="1214"/>
      <c r="F571" s="1214"/>
      <c r="G571" s="1214"/>
      <c r="H571" s="1214"/>
      <c r="I571" s="1214"/>
      <c r="J571" s="1214"/>
      <c r="K571" s="1214"/>
      <c r="L571" s="1214"/>
      <c r="M571" s="1214"/>
      <c r="N571" s="1214"/>
      <c r="O571" s="1214"/>
      <c r="P571" s="1214"/>
      <c r="Q571" s="1214"/>
      <c r="R571" s="1214"/>
      <c r="S571" s="1214"/>
      <c r="T571" s="1214"/>
      <c r="U571" s="1214"/>
      <c r="V571" s="1214"/>
      <c r="W571" s="1214"/>
      <c r="X571" s="1214"/>
      <c r="Y571" s="1214"/>
      <c r="Z571" s="1214"/>
    </row>
    <row r="572">
      <c r="A572" s="1214"/>
      <c r="B572" s="1214"/>
      <c r="C572" s="1214"/>
      <c r="D572" s="1267"/>
      <c r="E572" s="1214"/>
      <c r="F572" s="1214"/>
      <c r="G572" s="1214"/>
      <c r="H572" s="1214"/>
      <c r="I572" s="1214"/>
      <c r="J572" s="1214"/>
      <c r="K572" s="1214"/>
      <c r="L572" s="1214"/>
      <c r="M572" s="1214"/>
      <c r="N572" s="1214"/>
      <c r="O572" s="1214"/>
      <c r="P572" s="1214"/>
      <c r="Q572" s="1214"/>
      <c r="R572" s="1214"/>
      <c r="S572" s="1214"/>
      <c r="T572" s="1214"/>
      <c r="U572" s="1214"/>
      <c r="V572" s="1214"/>
      <c r="W572" s="1214"/>
      <c r="X572" s="1214"/>
      <c r="Y572" s="1214"/>
      <c r="Z572" s="1214"/>
    </row>
    <row r="573">
      <c r="A573" s="1214"/>
      <c r="B573" s="1214"/>
      <c r="C573" s="1214"/>
      <c r="D573" s="1267"/>
      <c r="E573" s="1214"/>
      <c r="F573" s="1214"/>
      <c r="G573" s="1214"/>
      <c r="H573" s="1214"/>
      <c r="I573" s="1214"/>
      <c r="J573" s="1214"/>
      <c r="K573" s="1214"/>
      <c r="L573" s="1214"/>
      <c r="M573" s="1214"/>
      <c r="N573" s="1214"/>
      <c r="O573" s="1214"/>
      <c r="P573" s="1214"/>
      <c r="Q573" s="1214"/>
      <c r="R573" s="1214"/>
      <c r="S573" s="1214"/>
      <c r="T573" s="1214"/>
      <c r="U573" s="1214"/>
      <c r="V573" s="1214"/>
      <c r="W573" s="1214"/>
      <c r="X573" s="1214"/>
      <c r="Y573" s="1214"/>
      <c r="Z573" s="1214"/>
    </row>
    <row r="574">
      <c r="A574" s="1214"/>
      <c r="B574" s="1214"/>
      <c r="C574" s="1214"/>
      <c r="D574" s="1267"/>
      <c r="E574" s="1214"/>
      <c r="F574" s="1214"/>
      <c r="G574" s="1214"/>
      <c r="H574" s="1214"/>
      <c r="I574" s="1214"/>
      <c r="J574" s="1214"/>
      <c r="K574" s="1214"/>
      <c r="L574" s="1214"/>
      <c r="M574" s="1214"/>
      <c r="N574" s="1214"/>
      <c r="O574" s="1214"/>
      <c r="P574" s="1214"/>
      <c r="Q574" s="1214"/>
      <c r="R574" s="1214"/>
      <c r="S574" s="1214"/>
      <c r="T574" s="1214"/>
      <c r="U574" s="1214"/>
      <c r="V574" s="1214"/>
      <c r="W574" s="1214"/>
      <c r="X574" s="1214"/>
      <c r="Y574" s="1214"/>
      <c r="Z574" s="1214"/>
    </row>
    <row r="575">
      <c r="A575" s="1214"/>
      <c r="B575" s="1214"/>
      <c r="C575" s="1214"/>
      <c r="D575" s="1267"/>
      <c r="E575" s="1214"/>
      <c r="F575" s="1214"/>
      <c r="G575" s="1214"/>
      <c r="H575" s="1214"/>
      <c r="I575" s="1214"/>
      <c r="J575" s="1214"/>
      <c r="K575" s="1214"/>
      <c r="L575" s="1214"/>
      <c r="M575" s="1214"/>
      <c r="N575" s="1214"/>
      <c r="O575" s="1214"/>
      <c r="P575" s="1214"/>
      <c r="Q575" s="1214"/>
      <c r="R575" s="1214"/>
      <c r="S575" s="1214"/>
      <c r="T575" s="1214"/>
      <c r="U575" s="1214"/>
      <c r="V575" s="1214"/>
      <c r="W575" s="1214"/>
      <c r="X575" s="1214"/>
      <c r="Y575" s="1214"/>
      <c r="Z575" s="1214"/>
    </row>
    <row r="576">
      <c r="A576" s="1214"/>
      <c r="B576" s="1214"/>
      <c r="C576" s="1214"/>
      <c r="D576" s="1267"/>
      <c r="E576" s="1214"/>
      <c r="F576" s="1214"/>
      <c r="G576" s="1214"/>
      <c r="H576" s="1214"/>
      <c r="I576" s="1214"/>
      <c r="J576" s="1214"/>
      <c r="K576" s="1214"/>
      <c r="L576" s="1214"/>
      <c r="M576" s="1214"/>
      <c r="N576" s="1214"/>
      <c r="O576" s="1214"/>
      <c r="P576" s="1214"/>
      <c r="Q576" s="1214"/>
      <c r="R576" s="1214"/>
      <c r="S576" s="1214"/>
      <c r="T576" s="1214"/>
      <c r="U576" s="1214"/>
      <c r="V576" s="1214"/>
      <c r="W576" s="1214"/>
      <c r="X576" s="1214"/>
      <c r="Y576" s="1214"/>
      <c r="Z576" s="1214"/>
    </row>
    <row r="577">
      <c r="A577" s="1214"/>
      <c r="B577" s="1214"/>
      <c r="C577" s="1214"/>
      <c r="D577" s="1267"/>
      <c r="E577" s="1214"/>
      <c r="F577" s="1214"/>
      <c r="G577" s="1214"/>
      <c r="H577" s="1214"/>
      <c r="I577" s="1214"/>
      <c r="J577" s="1214"/>
      <c r="K577" s="1214"/>
      <c r="L577" s="1214"/>
      <c r="M577" s="1214"/>
      <c r="N577" s="1214"/>
      <c r="O577" s="1214"/>
      <c r="P577" s="1214"/>
      <c r="Q577" s="1214"/>
      <c r="R577" s="1214"/>
      <c r="S577" s="1214"/>
      <c r="T577" s="1214"/>
      <c r="U577" s="1214"/>
      <c r="V577" s="1214"/>
      <c r="W577" s="1214"/>
      <c r="X577" s="1214"/>
      <c r="Y577" s="1214"/>
      <c r="Z577" s="1214"/>
    </row>
    <row r="578">
      <c r="A578" s="1214"/>
      <c r="B578" s="1214"/>
      <c r="C578" s="1214"/>
      <c r="D578" s="1267"/>
      <c r="E578" s="1214"/>
      <c r="F578" s="1214"/>
      <c r="G578" s="1214"/>
      <c r="H578" s="1214"/>
      <c r="I578" s="1214"/>
      <c r="J578" s="1214"/>
      <c r="K578" s="1214"/>
      <c r="L578" s="1214"/>
      <c r="M578" s="1214"/>
      <c r="N578" s="1214"/>
      <c r="O578" s="1214"/>
      <c r="P578" s="1214"/>
      <c r="Q578" s="1214"/>
      <c r="R578" s="1214"/>
      <c r="S578" s="1214"/>
      <c r="T578" s="1214"/>
      <c r="U578" s="1214"/>
      <c r="V578" s="1214"/>
      <c r="W578" s="1214"/>
      <c r="X578" s="1214"/>
      <c r="Y578" s="1214"/>
      <c r="Z578" s="1214"/>
    </row>
    <row r="579">
      <c r="A579" s="1214"/>
      <c r="B579" s="1214"/>
      <c r="C579" s="1214"/>
      <c r="D579" s="1267"/>
      <c r="E579" s="1214"/>
      <c r="F579" s="1214"/>
      <c r="G579" s="1214"/>
      <c r="H579" s="1214"/>
      <c r="I579" s="1214"/>
      <c r="J579" s="1214"/>
      <c r="K579" s="1214"/>
      <c r="L579" s="1214"/>
      <c r="M579" s="1214"/>
      <c r="N579" s="1214"/>
      <c r="O579" s="1214"/>
      <c r="P579" s="1214"/>
      <c r="Q579" s="1214"/>
      <c r="R579" s="1214"/>
      <c r="S579" s="1214"/>
      <c r="T579" s="1214"/>
      <c r="U579" s="1214"/>
      <c r="V579" s="1214"/>
      <c r="W579" s="1214"/>
      <c r="X579" s="1214"/>
      <c r="Y579" s="1214"/>
      <c r="Z579" s="1214"/>
    </row>
    <row r="580">
      <c r="A580" s="1214"/>
      <c r="B580" s="1214"/>
      <c r="C580" s="1214"/>
      <c r="D580" s="1267"/>
      <c r="E580" s="1214"/>
      <c r="F580" s="1214"/>
      <c r="G580" s="1214"/>
      <c r="H580" s="1214"/>
      <c r="I580" s="1214"/>
      <c r="J580" s="1214"/>
      <c r="K580" s="1214"/>
      <c r="L580" s="1214"/>
      <c r="M580" s="1214"/>
      <c r="N580" s="1214"/>
      <c r="O580" s="1214"/>
      <c r="P580" s="1214"/>
      <c r="Q580" s="1214"/>
      <c r="R580" s="1214"/>
      <c r="S580" s="1214"/>
      <c r="T580" s="1214"/>
      <c r="U580" s="1214"/>
      <c r="V580" s="1214"/>
      <c r="W580" s="1214"/>
      <c r="X580" s="1214"/>
      <c r="Y580" s="1214"/>
      <c r="Z580" s="1214"/>
    </row>
    <row r="581">
      <c r="A581" s="1214"/>
      <c r="B581" s="1214"/>
      <c r="C581" s="1214"/>
      <c r="D581" s="1267"/>
      <c r="E581" s="1214"/>
      <c r="F581" s="1214"/>
      <c r="G581" s="1214"/>
      <c r="H581" s="1214"/>
      <c r="I581" s="1214"/>
      <c r="J581" s="1214"/>
      <c r="K581" s="1214"/>
      <c r="L581" s="1214"/>
      <c r="M581" s="1214"/>
      <c r="N581" s="1214"/>
      <c r="O581" s="1214"/>
      <c r="P581" s="1214"/>
      <c r="Q581" s="1214"/>
      <c r="R581" s="1214"/>
      <c r="S581" s="1214"/>
      <c r="T581" s="1214"/>
      <c r="U581" s="1214"/>
      <c r="V581" s="1214"/>
      <c r="W581" s="1214"/>
      <c r="X581" s="1214"/>
      <c r="Y581" s="1214"/>
      <c r="Z581" s="1214"/>
    </row>
    <row r="582">
      <c r="A582" s="1214"/>
      <c r="B582" s="1214"/>
      <c r="C582" s="1214"/>
      <c r="D582" s="1267"/>
      <c r="E582" s="1214"/>
      <c r="F582" s="1214"/>
      <c r="G582" s="1214"/>
      <c r="H582" s="1214"/>
      <c r="I582" s="1214"/>
      <c r="J582" s="1214"/>
      <c r="K582" s="1214"/>
      <c r="L582" s="1214"/>
      <c r="M582" s="1214"/>
      <c r="N582" s="1214"/>
      <c r="O582" s="1214"/>
      <c r="P582" s="1214"/>
      <c r="Q582" s="1214"/>
      <c r="R582" s="1214"/>
      <c r="S582" s="1214"/>
      <c r="T582" s="1214"/>
      <c r="U582" s="1214"/>
      <c r="V582" s="1214"/>
      <c r="W582" s="1214"/>
      <c r="X582" s="1214"/>
      <c r="Y582" s="1214"/>
      <c r="Z582" s="1214"/>
    </row>
    <row r="583">
      <c r="A583" s="1214"/>
      <c r="B583" s="1214"/>
      <c r="C583" s="1214"/>
      <c r="D583" s="1267"/>
      <c r="E583" s="1214"/>
      <c r="F583" s="1214"/>
      <c r="G583" s="1214"/>
      <c r="H583" s="1214"/>
      <c r="I583" s="1214"/>
      <c r="J583" s="1214"/>
      <c r="K583" s="1214"/>
      <c r="L583" s="1214"/>
      <c r="M583" s="1214"/>
      <c r="N583" s="1214"/>
      <c r="O583" s="1214"/>
      <c r="P583" s="1214"/>
      <c r="Q583" s="1214"/>
      <c r="R583" s="1214"/>
      <c r="S583" s="1214"/>
      <c r="T583" s="1214"/>
      <c r="U583" s="1214"/>
      <c r="V583" s="1214"/>
      <c r="W583" s="1214"/>
      <c r="X583" s="1214"/>
      <c r="Y583" s="1214"/>
      <c r="Z583" s="1214"/>
    </row>
    <row r="584">
      <c r="A584" s="1214"/>
      <c r="B584" s="1214"/>
      <c r="C584" s="1214"/>
      <c r="D584" s="1267"/>
      <c r="E584" s="1214"/>
      <c r="F584" s="1214"/>
      <c r="G584" s="1214"/>
      <c r="H584" s="1214"/>
      <c r="I584" s="1214"/>
      <c r="J584" s="1214"/>
      <c r="K584" s="1214"/>
      <c r="L584" s="1214"/>
      <c r="M584" s="1214"/>
      <c r="N584" s="1214"/>
      <c r="O584" s="1214"/>
      <c r="P584" s="1214"/>
      <c r="Q584" s="1214"/>
      <c r="R584" s="1214"/>
      <c r="S584" s="1214"/>
      <c r="T584" s="1214"/>
      <c r="U584" s="1214"/>
      <c r="V584" s="1214"/>
      <c r="W584" s="1214"/>
      <c r="X584" s="1214"/>
      <c r="Y584" s="1214"/>
      <c r="Z584" s="1214"/>
    </row>
    <row r="585">
      <c r="A585" s="1214"/>
      <c r="B585" s="1214"/>
      <c r="C585" s="1214"/>
      <c r="D585" s="1267"/>
      <c r="E585" s="1214"/>
      <c r="F585" s="1214"/>
      <c r="G585" s="1214"/>
      <c r="H585" s="1214"/>
      <c r="I585" s="1214"/>
      <c r="J585" s="1214"/>
      <c r="K585" s="1214"/>
      <c r="L585" s="1214"/>
      <c r="M585" s="1214"/>
      <c r="N585" s="1214"/>
      <c r="O585" s="1214"/>
      <c r="P585" s="1214"/>
      <c r="Q585" s="1214"/>
      <c r="R585" s="1214"/>
      <c r="S585" s="1214"/>
      <c r="T585" s="1214"/>
      <c r="U585" s="1214"/>
      <c r="V585" s="1214"/>
      <c r="W585" s="1214"/>
      <c r="X585" s="1214"/>
      <c r="Y585" s="1214"/>
      <c r="Z585" s="1214"/>
    </row>
    <row r="586">
      <c r="A586" s="1214"/>
      <c r="B586" s="1214"/>
      <c r="C586" s="1214"/>
      <c r="D586" s="1267"/>
      <c r="E586" s="1214"/>
      <c r="F586" s="1214"/>
      <c r="G586" s="1214"/>
      <c r="H586" s="1214"/>
      <c r="I586" s="1214"/>
      <c r="J586" s="1214"/>
      <c r="K586" s="1214"/>
      <c r="L586" s="1214"/>
      <c r="M586" s="1214"/>
      <c r="N586" s="1214"/>
      <c r="O586" s="1214"/>
      <c r="P586" s="1214"/>
      <c r="Q586" s="1214"/>
      <c r="R586" s="1214"/>
      <c r="S586" s="1214"/>
      <c r="T586" s="1214"/>
      <c r="U586" s="1214"/>
      <c r="V586" s="1214"/>
      <c r="W586" s="1214"/>
      <c r="X586" s="1214"/>
      <c r="Y586" s="1214"/>
      <c r="Z586" s="1214"/>
    </row>
    <row r="587">
      <c r="A587" s="1214"/>
      <c r="B587" s="1214"/>
      <c r="C587" s="1214"/>
      <c r="D587" s="1267"/>
      <c r="E587" s="1214"/>
      <c r="F587" s="1214"/>
      <c r="G587" s="1214"/>
      <c r="H587" s="1214"/>
      <c r="I587" s="1214"/>
      <c r="J587" s="1214"/>
      <c r="K587" s="1214"/>
      <c r="L587" s="1214"/>
      <c r="M587" s="1214"/>
      <c r="N587" s="1214"/>
      <c r="O587" s="1214"/>
      <c r="P587" s="1214"/>
      <c r="Q587" s="1214"/>
      <c r="R587" s="1214"/>
      <c r="S587" s="1214"/>
      <c r="T587" s="1214"/>
      <c r="U587" s="1214"/>
      <c r="V587" s="1214"/>
      <c r="W587" s="1214"/>
      <c r="X587" s="1214"/>
      <c r="Y587" s="1214"/>
      <c r="Z587" s="1214"/>
    </row>
    <row r="588">
      <c r="A588" s="1214"/>
      <c r="B588" s="1214"/>
      <c r="C588" s="1214"/>
      <c r="D588" s="1267"/>
      <c r="E588" s="1214"/>
      <c r="F588" s="1214"/>
      <c r="G588" s="1214"/>
      <c r="H588" s="1214"/>
      <c r="I588" s="1214"/>
      <c r="J588" s="1214"/>
      <c r="K588" s="1214"/>
      <c r="L588" s="1214"/>
      <c r="M588" s="1214"/>
      <c r="N588" s="1214"/>
      <c r="O588" s="1214"/>
      <c r="P588" s="1214"/>
      <c r="Q588" s="1214"/>
      <c r="R588" s="1214"/>
      <c r="S588" s="1214"/>
      <c r="T588" s="1214"/>
      <c r="U588" s="1214"/>
      <c r="V588" s="1214"/>
      <c r="W588" s="1214"/>
      <c r="X588" s="1214"/>
      <c r="Y588" s="1214"/>
      <c r="Z588" s="1214"/>
    </row>
    <row r="589">
      <c r="A589" s="1214"/>
      <c r="B589" s="1214"/>
      <c r="C589" s="1214"/>
      <c r="D589" s="1267"/>
      <c r="E589" s="1214"/>
      <c r="F589" s="1214"/>
      <c r="G589" s="1214"/>
      <c r="H589" s="1214"/>
      <c r="I589" s="1214"/>
      <c r="J589" s="1214"/>
      <c r="K589" s="1214"/>
      <c r="L589" s="1214"/>
      <c r="M589" s="1214"/>
      <c r="N589" s="1214"/>
      <c r="O589" s="1214"/>
      <c r="P589" s="1214"/>
      <c r="Q589" s="1214"/>
      <c r="R589" s="1214"/>
      <c r="S589" s="1214"/>
      <c r="T589" s="1214"/>
      <c r="U589" s="1214"/>
      <c r="V589" s="1214"/>
      <c r="W589" s="1214"/>
      <c r="X589" s="1214"/>
      <c r="Y589" s="1214"/>
      <c r="Z589" s="1214"/>
    </row>
    <row r="590">
      <c r="A590" s="1214"/>
      <c r="B590" s="1214"/>
      <c r="C590" s="1214"/>
      <c r="D590" s="1267"/>
      <c r="E590" s="1214"/>
      <c r="F590" s="1214"/>
      <c r="G590" s="1214"/>
      <c r="H590" s="1214"/>
      <c r="I590" s="1214"/>
      <c r="J590" s="1214"/>
      <c r="K590" s="1214"/>
      <c r="L590" s="1214"/>
      <c r="M590" s="1214"/>
      <c r="N590" s="1214"/>
      <c r="O590" s="1214"/>
      <c r="P590" s="1214"/>
      <c r="Q590" s="1214"/>
      <c r="R590" s="1214"/>
      <c r="S590" s="1214"/>
      <c r="T590" s="1214"/>
      <c r="U590" s="1214"/>
      <c r="V590" s="1214"/>
      <c r="W590" s="1214"/>
      <c r="X590" s="1214"/>
      <c r="Y590" s="1214"/>
      <c r="Z590" s="1214"/>
    </row>
    <row r="591">
      <c r="A591" s="1214"/>
      <c r="B591" s="1214"/>
      <c r="C591" s="1214"/>
      <c r="D591" s="1267"/>
      <c r="E591" s="1214"/>
      <c r="F591" s="1214"/>
      <c r="G591" s="1214"/>
      <c r="H591" s="1214"/>
      <c r="I591" s="1214"/>
      <c r="J591" s="1214"/>
      <c r="K591" s="1214"/>
      <c r="L591" s="1214"/>
      <c r="M591" s="1214"/>
      <c r="N591" s="1214"/>
      <c r="O591" s="1214"/>
      <c r="P591" s="1214"/>
      <c r="Q591" s="1214"/>
      <c r="R591" s="1214"/>
      <c r="S591" s="1214"/>
      <c r="T591" s="1214"/>
      <c r="U591" s="1214"/>
      <c r="V591" s="1214"/>
      <c r="W591" s="1214"/>
      <c r="X591" s="1214"/>
      <c r="Y591" s="1214"/>
      <c r="Z591" s="1214"/>
    </row>
    <row r="592">
      <c r="A592" s="1214"/>
      <c r="B592" s="1214"/>
      <c r="C592" s="1214"/>
      <c r="D592" s="1267"/>
      <c r="E592" s="1214"/>
      <c r="F592" s="1214"/>
      <c r="G592" s="1214"/>
      <c r="H592" s="1214"/>
      <c r="I592" s="1214"/>
      <c r="J592" s="1214"/>
      <c r="K592" s="1214"/>
      <c r="L592" s="1214"/>
      <c r="M592" s="1214"/>
      <c r="N592" s="1214"/>
      <c r="O592" s="1214"/>
      <c r="P592" s="1214"/>
      <c r="Q592" s="1214"/>
      <c r="R592" s="1214"/>
      <c r="S592" s="1214"/>
      <c r="T592" s="1214"/>
      <c r="U592" s="1214"/>
      <c r="V592" s="1214"/>
      <c r="W592" s="1214"/>
      <c r="X592" s="1214"/>
      <c r="Y592" s="1214"/>
      <c r="Z592" s="1214"/>
    </row>
    <row r="593">
      <c r="A593" s="1214"/>
      <c r="B593" s="1214"/>
      <c r="C593" s="1214"/>
      <c r="D593" s="1267"/>
      <c r="E593" s="1214"/>
      <c r="F593" s="1214"/>
      <c r="G593" s="1214"/>
      <c r="H593" s="1214"/>
      <c r="I593" s="1214"/>
      <c r="J593" s="1214"/>
      <c r="K593" s="1214"/>
      <c r="L593" s="1214"/>
      <c r="M593" s="1214"/>
      <c r="N593" s="1214"/>
      <c r="O593" s="1214"/>
      <c r="P593" s="1214"/>
      <c r="Q593" s="1214"/>
      <c r="R593" s="1214"/>
      <c r="S593" s="1214"/>
      <c r="T593" s="1214"/>
      <c r="U593" s="1214"/>
      <c r="V593" s="1214"/>
      <c r="W593" s="1214"/>
      <c r="X593" s="1214"/>
      <c r="Y593" s="1214"/>
      <c r="Z593" s="1214"/>
    </row>
    <row r="594">
      <c r="A594" s="1214"/>
      <c r="B594" s="1214"/>
      <c r="C594" s="1214"/>
      <c r="D594" s="1267"/>
      <c r="E594" s="1214"/>
      <c r="F594" s="1214"/>
      <c r="G594" s="1214"/>
      <c r="H594" s="1214"/>
      <c r="I594" s="1214"/>
      <c r="J594" s="1214"/>
      <c r="K594" s="1214"/>
      <c r="L594" s="1214"/>
      <c r="M594" s="1214"/>
      <c r="N594" s="1214"/>
      <c r="O594" s="1214"/>
      <c r="P594" s="1214"/>
      <c r="Q594" s="1214"/>
      <c r="R594" s="1214"/>
      <c r="S594" s="1214"/>
      <c r="T594" s="1214"/>
      <c r="U594" s="1214"/>
      <c r="V594" s="1214"/>
      <c r="W594" s="1214"/>
      <c r="X594" s="1214"/>
      <c r="Y594" s="1214"/>
      <c r="Z594" s="1214"/>
    </row>
    <row r="595">
      <c r="A595" s="1214"/>
      <c r="B595" s="1214"/>
      <c r="C595" s="1214"/>
      <c r="D595" s="1267"/>
      <c r="E595" s="1214"/>
      <c r="F595" s="1214"/>
      <c r="G595" s="1214"/>
      <c r="H595" s="1214"/>
      <c r="I595" s="1214"/>
      <c r="J595" s="1214"/>
      <c r="K595" s="1214"/>
      <c r="L595" s="1214"/>
      <c r="M595" s="1214"/>
      <c r="N595" s="1214"/>
      <c r="O595" s="1214"/>
      <c r="P595" s="1214"/>
      <c r="Q595" s="1214"/>
      <c r="R595" s="1214"/>
      <c r="S595" s="1214"/>
      <c r="T595" s="1214"/>
      <c r="U595" s="1214"/>
      <c r="V595" s="1214"/>
      <c r="W595" s="1214"/>
      <c r="X595" s="1214"/>
      <c r="Y595" s="1214"/>
      <c r="Z595" s="1214"/>
    </row>
    <row r="596">
      <c r="A596" s="1214"/>
      <c r="B596" s="1214"/>
      <c r="C596" s="1214"/>
      <c r="D596" s="1267"/>
      <c r="E596" s="1214"/>
      <c r="F596" s="1214"/>
      <c r="G596" s="1214"/>
      <c r="H596" s="1214"/>
      <c r="I596" s="1214"/>
      <c r="J596" s="1214"/>
      <c r="K596" s="1214"/>
      <c r="L596" s="1214"/>
      <c r="M596" s="1214"/>
      <c r="N596" s="1214"/>
      <c r="O596" s="1214"/>
      <c r="P596" s="1214"/>
      <c r="Q596" s="1214"/>
      <c r="R596" s="1214"/>
      <c r="S596" s="1214"/>
      <c r="T596" s="1214"/>
      <c r="U596" s="1214"/>
      <c r="V596" s="1214"/>
      <c r="W596" s="1214"/>
      <c r="X596" s="1214"/>
      <c r="Y596" s="1214"/>
      <c r="Z596" s="1214"/>
    </row>
    <row r="597">
      <c r="A597" s="1214"/>
      <c r="B597" s="1214"/>
      <c r="C597" s="1214"/>
      <c r="D597" s="1267"/>
      <c r="E597" s="1214"/>
      <c r="F597" s="1214"/>
      <c r="G597" s="1214"/>
      <c r="H597" s="1214"/>
      <c r="I597" s="1214"/>
      <c r="J597" s="1214"/>
      <c r="K597" s="1214"/>
      <c r="L597" s="1214"/>
      <c r="M597" s="1214"/>
      <c r="N597" s="1214"/>
      <c r="O597" s="1214"/>
      <c r="P597" s="1214"/>
      <c r="Q597" s="1214"/>
      <c r="R597" s="1214"/>
      <c r="S597" s="1214"/>
      <c r="T597" s="1214"/>
      <c r="U597" s="1214"/>
      <c r="V597" s="1214"/>
      <c r="W597" s="1214"/>
      <c r="X597" s="1214"/>
      <c r="Y597" s="1214"/>
      <c r="Z597" s="1214"/>
    </row>
    <row r="598">
      <c r="A598" s="1214"/>
      <c r="B598" s="1214"/>
      <c r="C598" s="1214"/>
      <c r="D598" s="1267"/>
      <c r="E598" s="1214"/>
      <c r="F598" s="1214"/>
      <c r="G598" s="1214"/>
      <c r="H598" s="1214"/>
      <c r="I598" s="1214"/>
      <c r="J598" s="1214"/>
      <c r="K598" s="1214"/>
      <c r="L598" s="1214"/>
      <c r="M598" s="1214"/>
      <c r="N598" s="1214"/>
      <c r="O598" s="1214"/>
      <c r="P598" s="1214"/>
      <c r="Q598" s="1214"/>
      <c r="R598" s="1214"/>
      <c r="S598" s="1214"/>
      <c r="T598" s="1214"/>
      <c r="U598" s="1214"/>
      <c r="V598" s="1214"/>
      <c r="W598" s="1214"/>
      <c r="X598" s="1214"/>
      <c r="Y598" s="1214"/>
      <c r="Z598" s="1214"/>
    </row>
    <row r="599">
      <c r="A599" s="1214"/>
      <c r="B599" s="1214"/>
      <c r="C599" s="1214"/>
      <c r="D599" s="1267"/>
      <c r="E599" s="1214"/>
      <c r="F599" s="1214"/>
      <c r="G599" s="1214"/>
      <c r="H599" s="1214"/>
      <c r="I599" s="1214"/>
      <c r="J599" s="1214"/>
      <c r="K599" s="1214"/>
      <c r="L599" s="1214"/>
      <c r="M599" s="1214"/>
      <c r="N599" s="1214"/>
      <c r="O599" s="1214"/>
      <c r="P599" s="1214"/>
      <c r="Q599" s="1214"/>
      <c r="R599" s="1214"/>
      <c r="S599" s="1214"/>
      <c r="T599" s="1214"/>
      <c r="U599" s="1214"/>
      <c r="V599" s="1214"/>
      <c r="W599" s="1214"/>
      <c r="X599" s="1214"/>
      <c r="Y599" s="1214"/>
      <c r="Z599" s="1214"/>
    </row>
    <row r="600">
      <c r="A600" s="1214"/>
      <c r="B600" s="1214"/>
      <c r="C600" s="1214"/>
      <c r="D600" s="1267"/>
      <c r="E600" s="1214"/>
      <c r="F600" s="1214"/>
      <c r="G600" s="1214"/>
      <c r="H600" s="1214"/>
      <c r="I600" s="1214"/>
      <c r="J600" s="1214"/>
      <c r="K600" s="1214"/>
      <c r="L600" s="1214"/>
      <c r="M600" s="1214"/>
      <c r="N600" s="1214"/>
      <c r="O600" s="1214"/>
      <c r="P600" s="1214"/>
      <c r="Q600" s="1214"/>
      <c r="R600" s="1214"/>
      <c r="S600" s="1214"/>
      <c r="T600" s="1214"/>
      <c r="U600" s="1214"/>
      <c r="V600" s="1214"/>
      <c r="W600" s="1214"/>
      <c r="X600" s="1214"/>
      <c r="Y600" s="1214"/>
      <c r="Z600" s="1214"/>
    </row>
    <row r="601">
      <c r="A601" s="1214"/>
      <c r="B601" s="1214"/>
      <c r="C601" s="1214"/>
      <c r="D601" s="1267"/>
      <c r="E601" s="1214"/>
      <c r="F601" s="1214"/>
      <c r="G601" s="1214"/>
      <c r="H601" s="1214"/>
      <c r="I601" s="1214"/>
      <c r="J601" s="1214"/>
      <c r="K601" s="1214"/>
      <c r="L601" s="1214"/>
      <c r="M601" s="1214"/>
      <c r="N601" s="1214"/>
      <c r="O601" s="1214"/>
      <c r="P601" s="1214"/>
      <c r="Q601" s="1214"/>
      <c r="R601" s="1214"/>
      <c r="S601" s="1214"/>
      <c r="T601" s="1214"/>
      <c r="U601" s="1214"/>
      <c r="V601" s="1214"/>
      <c r="W601" s="1214"/>
      <c r="X601" s="1214"/>
      <c r="Y601" s="1214"/>
      <c r="Z601" s="1214"/>
    </row>
    <row r="602">
      <c r="A602" s="1214"/>
      <c r="B602" s="1214"/>
      <c r="C602" s="1214"/>
      <c r="D602" s="1267"/>
      <c r="E602" s="1214"/>
      <c r="F602" s="1214"/>
      <c r="G602" s="1214"/>
      <c r="H602" s="1214"/>
      <c r="I602" s="1214"/>
      <c r="J602" s="1214"/>
      <c r="K602" s="1214"/>
      <c r="L602" s="1214"/>
      <c r="M602" s="1214"/>
      <c r="N602" s="1214"/>
      <c r="O602" s="1214"/>
      <c r="P602" s="1214"/>
      <c r="Q602" s="1214"/>
      <c r="R602" s="1214"/>
      <c r="S602" s="1214"/>
      <c r="T602" s="1214"/>
      <c r="U602" s="1214"/>
      <c r="V602" s="1214"/>
      <c r="W602" s="1214"/>
      <c r="X602" s="1214"/>
      <c r="Y602" s="1214"/>
      <c r="Z602" s="1214"/>
    </row>
    <row r="603">
      <c r="A603" s="1214"/>
      <c r="B603" s="1214"/>
      <c r="C603" s="1214"/>
      <c r="D603" s="1267"/>
      <c r="E603" s="1214"/>
      <c r="F603" s="1214"/>
      <c r="G603" s="1214"/>
      <c r="H603" s="1214"/>
      <c r="I603" s="1214"/>
      <c r="J603" s="1214"/>
      <c r="K603" s="1214"/>
      <c r="L603" s="1214"/>
      <c r="M603" s="1214"/>
      <c r="N603" s="1214"/>
      <c r="O603" s="1214"/>
      <c r="P603" s="1214"/>
      <c r="Q603" s="1214"/>
      <c r="R603" s="1214"/>
      <c r="S603" s="1214"/>
      <c r="T603" s="1214"/>
      <c r="U603" s="1214"/>
      <c r="V603" s="1214"/>
      <c r="W603" s="1214"/>
      <c r="X603" s="1214"/>
      <c r="Y603" s="1214"/>
      <c r="Z603" s="1214"/>
    </row>
    <row r="604">
      <c r="A604" s="1214"/>
      <c r="B604" s="1214"/>
      <c r="C604" s="1214"/>
      <c r="D604" s="1267"/>
      <c r="E604" s="1214"/>
      <c r="F604" s="1214"/>
      <c r="G604" s="1214"/>
      <c r="H604" s="1214"/>
      <c r="I604" s="1214"/>
      <c r="J604" s="1214"/>
      <c r="K604" s="1214"/>
      <c r="L604" s="1214"/>
      <c r="M604" s="1214"/>
      <c r="N604" s="1214"/>
      <c r="O604" s="1214"/>
      <c r="P604" s="1214"/>
      <c r="Q604" s="1214"/>
      <c r="R604" s="1214"/>
      <c r="S604" s="1214"/>
      <c r="T604" s="1214"/>
      <c r="U604" s="1214"/>
      <c r="V604" s="1214"/>
      <c r="W604" s="1214"/>
      <c r="X604" s="1214"/>
      <c r="Y604" s="1214"/>
      <c r="Z604" s="1214"/>
    </row>
    <row r="605">
      <c r="A605" s="1214"/>
      <c r="B605" s="1214"/>
      <c r="C605" s="1214"/>
      <c r="D605" s="1267"/>
      <c r="E605" s="1214"/>
      <c r="F605" s="1214"/>
      <c r="G605" s="1214"/>
      <c r="H605" s="1214"/>
      <c r="I605" s="1214"/>
      <c r="J605" s="1214"/>
      <c r="K605" s="1214"/>
      <c r="L605" s="1214"/>
      <c r="M605" s="1214"/>
      <c r="N605" s="1214"/>
      <c r="O605" s="1214"/>
      <c r="P605" s="1214"/>
      <c r="Q605" s="1214"/>
      <c r="R605" s="1214"/>
      <c r="S605" s="1214"/>
      <c r="T605" s="1214"/>
      <c r="U605" s="1214"/>
      <c r="V605" s="1214"/>
      <c r="W605" s="1214"/>
      <c r="X605" s="1214"/>
      <c r="Y605" s="1214"/>
      <c r="Z605" s="1214"/>
    </row>
    <row r="606">
      <c r="A606" s="1214"/>
      <c r="B606" s="1214"/>
      <c r="C606" s="1214"/>
      <c r="D606" s="1267"/>
      <c r="E606" s="1214"/>
      <c r="F606" s="1214"/>
      <c r="G606" s="1214"/>
      <c r="H606" s="1214"/>
      <c r="I606" s="1214"/>
      <c r="J606" s="1214"/>
      <c r="K606" s="1214"/>
      <c r="L606" s="1214"/>
      <c r="M606" s="1214"/>
      <c r="N606" s="1214"/>
      <c r="O606" s="1214"/>
      <c r="P606" s="1214"/>
      <c r="Q606" s="1214"/>
      <c r="R606" s="1214"/>
      <c r="S606" s="1214"/>
      <c r="T606" s="1214"/>
      <c r="U606" s="1214"/>
      <c r="V606" s="1214"/>
      <c r="W606" s="1214"/>
      <c r="X606" s="1214"/>
      <c r="Y606" s="1214"/>
      <c r="Z606" s="1214"/>
    </row>
    <row r="607">
      <c r="A607" s="1214"/>
      <c r="B607" s="1214"/>
      <c r="C607" s="1214"/>
      <c r="D607" s="1267"/>
      <c r="E607" s="1214"/>
      <c r="F607" s="1214"/>
      <c r="G607" s="1214"/>
      <c r="H607" s="1214"/>
      <c r="I607" s="1214"/>
      <c r="J607" s="1214"/>
      <c r="K607" s="1214"/>
      <c r="L607" s="1214"/>
      <c r="M607" s="1214"/>
      <c r="N607" s="1214"/>
      <c r="O607" s="1214"/>
      <c r="P607" s="1214"/>
      <c r="Q607" s="1214"/>
      <c r="R607" s="1214"/>
      <c r="S607" s="1214"/>
      <c r="T607" s="1214"/>
      <c r="U607" s="1214"/>
      <c r="V607" s="1214"/>
      <c r="W607" s="1214"/>
      <c r="X607" s="1214"/>
      <c r="Y607" s="1214"/>
      <c r="Z607" s="1214"/>
    </row>
    <row r="608">
      <c r="A608" s="1214"/>
      <c r="B608" s="1214"/>
      <c r="C608" s="1214"/>
      <c r="D608" s="1267"/>
      <c r="E608" s="1214"/>
      <c r="F608" s="1214"/>
      <c r="G608" s="1214"/>
      <c r="H608" s="1214"/>
      <c r="I608" s="1214"/>
      <c r="J608" s="1214"/>
      <c r="K608" s="1214"/>
      <c r="L608" s="1214"/>
      <c r="M608" s="1214"/>
      <c r="N608" s="1214"/>
      <c r="O608" s="1214"/>
      <c r="P608" s="1214"/>
      <c r="Q608" s="1214"/>
      <c r="R608" s="1214"/>
      <c r="S608" s="1214"/>
      <c r="T608" s="1214"/>
      <c r="U608" s="1214"/>
      <c r="V608" s="1214"/>
      <c r="W608" s="1214"/>
      <c r="X608" s="1214"/>
      <c r="Y608" s="1214"/>
      <c r="Z608" s="1214"/>
    </row>
    <row r="609">
      <c r="A609" s="1214"/>
      <c r="B609" s="1214"/>
      <c r="C609" s="1214"/>
      <c r="D609" s="1267"/>
      <c r="E609" s="1214"/>
      <c r="F609" s="1214"/>
      <c r="G609" s="1214"/>
      <c r="H609" s="1214"/>
      <c r="I609" s="1214"/>
      <c r="J609" s="1214"/>
      <c r="K609" s="1214"/>
      <c r="L609" s="1214"/>
      <c r="M609" s="1214"/>
      <c r="N609" s="1214"/>
      <c r="O609" s="1214"/>
      <c r="P609" s="1214"/>
      <c r="Q609" s="1214"/>
      <c r="R609" s="1214"/>
      <c r="S609" s="1214"/>
      <c r="T609" s="1214"/>
      <c r="U609" s="1214"/>
      <c r="V609" s="1214"/>
      <c r="W609" s="1214"/>
      <c r="X609" s="1214"/>
      <c r="Y609" s="1214"/>
      <c r="Z609" s="1214"/>
    </row>
    <row r="610">
      <c r="A610" s="1214"/>
      <c r="B610" s="1214"/>
      <c r="C610" s="1214"/>
      <c r="D610" s="1267"/>
      <c r="E610" s="1214"/>
      <c r="F610" s="1214"/>
      <c r="G610" s="1214"/>
      <c r="H610" s="1214"/>
      <c r="I610" s="1214"/>
      <c r="J610" s="1214"/>
      <c r="K610" s="1214"/>
      <c r="L610" s="1214"/>
      <c r="M610" s="1214"/>
      <c r="N610" s="1214"/>
      <c r="O610" s="1214"/>
      <c r="P610" s="1214"/>
      <c r="Q610" s="1214"/>
      <c r="R610" s="1214"/>
      <c r="S610" s="1214"/>
      <c r="T610" s="1214"/>
      <c r="U610" s="1214"/>
      <c r="V610" s="1214"/>
      <c r="W610" s="1214"/>
      <c r="X610" s="1214"/>
      <c r="Y610" s="1214"/>
      <c r="Z610" s="1214"/>
    </row>
    <row r="611">
      <c r="A611" s="1214"/>
      <c r="B611" s="1214"/>
      <c r="C611" s="1214"/>
      <c r="D611" s="1267"/>
      <c r="E611" s="1214"/>
      <c r="F611" s="1214"/>
      <c r="G611" s="1214"/>
      <c r="H611" s="1214"/>
      <c r="I611" s="1214"/>
      <c r="J611" s="1214"/>
      <c r="K611" s="1214"/>
      <c r="L611" s="1214"/>
      <c r="M611" s="1214"/>
      <c r="N611" s="1214"/>
      <c r="O611" s="1214"/>
      <c r="P611" s="1214"/>
      <c r="Q611" s="1214"/>
      <c r="R611" s="1214"/>
      <c r="S611" s="1214"/>
      <c r="T611" s="1214"/>
      <c r="U611" s="1214"/>
      <c r="V611" s="1214"/>
      <c r="W611" s="1214"/>
      <c r="X611" s="1214"/>
      <c r="Y611" s="1214"/>
      <c r="Z611" s="1214"/>
    </row>
    <row r="612">
      <c r="A612" s="1214"/>
      <c r="B612" s="1214"/>
      <c r="C612" s="1214"/>
      <c r="D612" s="1267"/>
      <c r="E612" s="1214"/>
      <c r="F612" s="1214"/>
      <c r="G612" s="1214"/>
      <c r="H612" s="1214"/>
      <c r="I612" s="1214"/>
      <c r="J612" s="1214"/>
      <c r="K612" s="1214"/>
      <c r="L612" s="1214"/>
      <c r="M612" s="1214"/>
      <c r="N612" s="1214"/>
      <c r="O612" s="1214"/>
      <c r="P612" s="1214"/>
      <c r="Q612" s="1214"/>
      <c r="R612" s="1214"/>
      <c r="S612" s="1214"/>
      <c r="T612" s="1214"/>
      <c r="U612" s="1214"/>
      <c r="V612" s="1214"/>
      <c r="W612" s="1214"/>
      <c r="X612" s="1214"/>
      <c r="Y612" s="1214"/>
      <c r="Z612" s="1214"/>
    </row>
    <row r="613">
      <c r="A613" s="1214"/>
      <c r="B613" s="1214"/>
      <c r="C613" s="1214"/>
      <c r="D613" s="1267"/>
      <c r="E613" s="1214"/>
      <c r="F613" s="1214"/>
      <c r="G613" s="1214"/>
      <c r="H613" s="1214"/>
      <c r="I613" s="1214"/>
      <c r="J613" s="1214"/>
      <c r="K613" s="1214"/>
      <c r="L613" s="1214"/>
      <c r="M613" s="1214"/>
      <c r="N613" s="1214"/>
      <c r="O613" s="1214"/>
      <c r="P613" s="1214"/>
      <c r="Q613" s="1214"/>
      <c r="R613" s="1214"/>
      <c r="S613" s="1214"/>
      <c r="T613" s="1214"/>
      <c r="U613" s="1214"/>
      <c r="V613" s="1214"/>
      <c r="W613" s="1214"/>
      <c r="X613" s="1214"/>
      <c r="Y613" s="1214"/>
      <c r="Z613" s="1214"/>
    </row>
    <row r="614">
      <c r="A614" s="1214"/>
      <c r="B614" s="1214"/>
      <c r="C614" s="1214"/>
      <c r="D614" s="1267"/>
      <c r="E614" s="1214"/>
      <c r="F614" s="1214"/>
      <c r="G614" s="1214"/>
      <c r="H614" s="1214"/>
      <c r="I614" s="1214"/>
      <c r="J614" s="1214"/>
      <c r="K614" s="1214"/>
      <c r="L614" s="1214"/>
      <c r="M614" s="1214"/>
      <c r="N614" s="1214"/>
      <c r="O614" s="1214"/>
      <c r="P614" s="1214"/>
      <c r="Q614" s="1214"/>
      <c r="R614" s="1214"/>
      <c r="S614" s="1214"/>
      <c r="T614" s="1214"/>
      <c r="U614" s="1214"/>
      <c r="V614" s="1214"/>
      <c r="W614" s="1214"/>
      <c r="X614" s="1214"/>
      <c r="Y614" s="1214"/>
      <c r="Z614" s="1214"/>
    </row>
    <row r="615">
      <c r="A615" s="1214"/>
      <c r="B615" s="1214"/>
      <c r="C615" s="1214"/>
      <c r="D615" s="1267"/>
      <c r="E615" s="1214"/>
      <c r="F615" s="1214"/>
      <c r="G615" s="1214"/>
      <c r="H615" s="1214"/>
      <c r="I615" s="1214"/>
      <c r="J615" s="1214"/>
      <c r="K615" s="1214"/>
      <c r="L615" s="1214"/>
      <c r="M615" s="1214"/>
      <c r="N615" s="1214"/>
      <c r="O615" s="1214"/>
      <c r="P615" s="1214"/>
      <c r="Q615" s="1214"/>
      <c r="R615" s="1214"/>
      <c r="S615" s="1214"/>
      <c r="T615" s="1214"/>
      <c r="U615" s="1214"/>
      <c r="V615" s="1214"/>
      <c r="W615" s="1214"/>
      <c r="X615" s="1214"/>
      <c r="Y615" s="1214"/>
      <c r="Z615" s="1214"/>
    </row>
    <row r="616">
      <c r="A616" s="1214"/>
      <c r="B616" s="1214"/>
      <c r="C616" s="1214"/>
      <c r="D616" s="1267"/>
      <c r="E616" s="1214"/>
      <c r="F616" s="1214"/>
      <c r="G616" s="1214"/>
      <c r="H616" s="1214"/>
      <c r="I616" s="1214"/>
      <c r="J616" s="1214"/>
      <c r="K616" s="1214"/>
      <c r="L616" s="1214"/>
      <c r="M616" s="1214"/>
      <c r="N616" s="1214"/>
      <c r="O616" s="1214"/>
      <c r="P616" s="1214"/>
      <c r="Q616" s="1214"/>
      <c r="R616" s="1214"/>
      <c r="S616" s="1214"/>
      <c r="T616" s="1214"/>
      <c r="U616" s="1214"/>
      <c r="V616" s="1214"/>
      <c r="W616" s="1214"/>
      <c r="X616" s="1214"/>
      <c r="Y616" s="1214"/>
      <c r="Z616" s="1214"/>
    </row>
    <row r="617">
      <c r="A617" s="1214"/>
      <c r="B617" s="1214"/>
      <c r="C617" s="1214"/>
      <c r="D617" s="1267"/>
      <c r="E617" s="1214"/>
      <c r="F617" s="1214"/>
      <c r="G617" s="1214"/>
      <c r="H617" s="1214"/>
      <c r="I617" s="1214"/>
      <c r="J617" s="1214"/>
      <c r="K617" s="1214"/>
      <c r="L617" s="1214"/>
      <c r="M617" s="1214"/>
      <c r="N617" s="1214"/>
      <c r="O617" s="1214"/>
      <c r="P617" s="1214"/>
      <c r="Q617" s="1214"/>
      <c r="R617" s="1214"/>
      <c r="S617" s="1214"/>
      <c r="T617" s="1214"/>
      <c r="U617" s="1214"/>
      <c r="V617" s="1214"/>
      <c r="W617" s="1214"/>
      <c r="X617" s="1214"/>
      <c r="Y617" s="1214"/>
      <c r="Z617" s="1214"/>
    </row>
    <row r="618">
      <c r="A618" s="1214"/>
      <c r="B618" s="1214"/>
      <c r="C618" s="1214"/>
      <c r="D618" s="1267"/>
      <c r="E618" s="1214"/>
      <c r="F618" s="1214"/>
      <c r="G618" s="1214"/>
      <c r="H618" s="1214"/>
      <c r="I618" s="1214"/>
      <c r="J618" s="1214"/>
      <c r="K618" s="1214"/>
      <c r="L618" s="1214"/>
      <c r="M618" s="1214"/>
      <c r="N618" s="1214"/>
      <c r="O618" s="1214"/>
      <c r="P618" s="1214"/>
      <c r="Q618" s="1214"/>
      <c r="R618" s="1214"/>
      <c r="S618" s="1214"/>
      <c r="T618" s="1214"/>
      <c r="U618" s="1214"/>
      <c r="V618" s="1214"/>
      <c r="W618" s="1214"/>
      <c r="X618" s="1214"/>
      <c r="Y618" s="1214"/>
      <c r="Z618" s="1214"/>
    </row>
    <row r="619">
      <c r="A619" s="1214"/>
      <c r="B619" s="1214"/>
      <c r="C619" s="1214"/>
      <c r="D619" s="1267"/>
      <c r="E619" s="1214"/>
      <c r="F619" s="1214"/>
      <c r="G619" s="1214"/>
      <c r="H619" s="1214"/>
      <c r="I619" s="1214"/>
      <c r="J619" s="1214"/>
      <c r="K619" s="1214"/>
      <c r="L619" s="1214"/>
      <c r="M619" s="1214"/>
      <c r="N619" s="1214"/>
      <c r="O619" s="1214"/>
      <c r="P619" s="1214"/>
      <c r="Q619" s="1214"/>
      <c r="R619" s="1214"/>
      <c r="S619" s="1214"/>
      <c r="T619" s="1214"/>
      <c r="U619" s="1214"/>
      <c r="V619" s="1214"/>
      <c r="W619" s="1214"/>
      <c r="X619" s="1214"/>
      <c r="Y619" s="1214"/>
      <c r="Z619" s="1214"/>
    </row>
    <row r="620">
      <c r="A620" s="1214"/>
      <c r="B620" s="1214"/>
      <c r="C620" s="1214"/>
      <c r="D620" s="1267"/>
      <c r="E620" s="1214"/>
      <c r="F620" s="1214"/>
      <c r="G620" s="1214"/>
      <c r="H620" s="1214"/>
      <c r="I620" s="1214"/>
      <c r="J620" s="1214"/>
      <c r="K620" s="1214"/>
      <c r="L620" s="1214"/>
      <c r="M620" s="1214"/>
      <c r="N620" s="1214"/>
      <c r="O620" s="1214"/>
      <c r="P620" s="1214"/>
      <c r="Q620" s="1214"/>
      <c r="R620" s="1214"/>
      <c r="S620" s="1214"/>
      <c r="T620" s="1214"/>
      <c r="U620" s="1214"/>
      <c r="V620" s="1214"/>
      <c r="W620" s="1214"/>
      <c r="X620" s="1214"/>
      <c r="Y620" s="1214"/>
      <c r="Z620" s="1214"/>
    </row>
    <row r="621">
      <c r="A621" s="1214"/>
      <c r="B621" s="1214"/>
      <c r="C621" s="1214"/>
      <c r="D621" s="1267"/>
      <c r="E621" s="1214"/>
      <c r="F621" s="1214"/>
      <c r="G621" s="1214"/>
      <c r="H621" s="1214"/>
      <c r="I621" s="1214"/>
      <c r="J621" s="1214"/>
      <c r="K621" s="1214"/>
      <c r="L621" s="1214"/>
      <c r="M621" s="1214"/>
      <c r="N621" s="1214"/>
      <c r="O621" s="1214"/>
      <c r="P621" s="1214"/>
      <c r="Q621" s="1214"/>
      <c r="R621" s="1214"/>
      <c r="S621" s="1214"/>
      <c r="T621" s="1214"/>
      <c r="U621" s="1214"/>
      <c r="V621" s="1214"/>
      <c r="W621" s="1214"/>
      <c r="X621" s="1214"/>
      <c r="Y621" s="1214"/>
      <c r="Z621" s="1214"/>
    </row>
    <row r="622">
      <c r="A622" s="1214"/>
      <c r="B622" s="1214"/>
      <c r="C622" s="1214"/>
      <c r="D622" s="1267"/>
      <c r="E622" s="1214"/>
      <c r="F622" s="1214"/>
      <c r="G622" s="1214"/>
      <c r="H622" s="1214"/>
      <c r="I622" s="1214"/>
      <c r="J622" s="1214"/>
      <c r="K622" s="1214"/>
      <c r="L622" s="1214"/>
      <c r="M622" s="1214"/>
      <c r="N622" s="1214"/>
      <c r="O622" s="1214"/>
      <c r="P622" s="1214"/>
      <c r="Q622" s="1214"/>
      <c r="R622" s="1214"/>
      <c r="S622" s="1214"/>
      <c r="T622" s="1214"/>
      <c r="U622" s="1214"/>
      <c r="V622" s="1214"/>
      <c r="W622" s="1214"/>
      <c r="X622" s="1214"/>
      <c r="Y622" s="1214"/>
      <c r="Z622" s="1214"/>
    </row>
    <row r="623">
      <c r="A623" s="1214"/>
      <c r="B623" s="1214"/>
      <c r="C623" s="1214"/>
      <c r="D623" s="1267"/>
      <c r="E623" s="1214"/>
      <c r="F623" s="1214"/>
      <c r="G623" s="1214"/>
      <c r="H623" s="1214"/>
      <c r="I623" s="1214"/>
      <c r="J623" s="1214"/>
      <c r="K623" s="1214"/>
      <c r="L623" s="1214"/>
      <c r="M623" s="1214"/>
      <c r="N623" s="1214"/>
      <c r="O623" s="1214"/>
      <c r="P623" s="1214"/>
      <c r="Q623" s="1214"/>
      <c r="R623" s="1214"/>
      <c r="S623" s="1214"/>
      <c r="T623" s="1214"/>
      <c r="U623" s="1214"/>
      <c r="V623" s="1214"/>
      <c r="W623" s="1214"/>
      <c r="X623" s="1214"/>
      <c r="Y623" s="1214"/>
      <c r="Z623" s="1214"/>
    </row>
    <row r="624">
      <c r="A624" s="1214"/>
      <c r="B624" s="1214"/>
      <c r="C624" s="1214"/>
      <c r="D624" s="1267"/>
      <c r="E624" s="1214"/>
      <c r="F624" s="1214"/>
      <c r="G624" s="1214"/>
      <c r="H624" s="1214"/>
      <c r="I624" s="1214"/>
      <c r="J624" s="1214"/>
      <c r="K624" s="1214"/>
      <c r="L624" s="1214"/>
      <c r="M624" s="1214"/>
      <c r="N624" s="1214"/>
      <c r="O624" s="1214"/>
      <c r="P624" s="1214"/>
      <c r="Q624" s="1214"/>
      <c r="R624" s="1214"/>
      <c r="S624" s="1214"/>
      <c r="T624" s="1214"/>
      <c r="U624" s="1214"/>
      <c r="V624" s="1214"/>
      <c r="W624" s="1214"/>
      <c r="X624" s="1214"/>
      <c r="Y624" s="1214"/>
      <c r="Z624" s="1214"/>
    </row>
    <row r="625">
      <c r="A625" s="1214"/>
      <c r="B625" s="1214"/>
      <c r="C625" s="1214"/>
      <c r="D625" s="1267"/>
      <c r="E625" s="1214"/>
      <c r="F625" s="1214"/>
      <c r="G625" s="1214"/>
      <c r="H625" s="1214"/>
      <c r="I625" s="1214"/>
      <c r="J625" s="1214"/>
      <c r="K625" s="1214"/>
      <c r="L625" s="1214"/>
      <c r="M625" s="1214"/>
      <c r="N625" s="1214"/>
      <c r="O625" s="1214"/>
      <c r="P625" s="1214"/>
      <c r="Q625" s="1214"/>
      <c r="R625" s="1214"/>
      <c r="S625" s="1214"/>
      <c r="T625" s="1214"/>
      <c r="U625" s="1214"/>
      <c r="V625" s="1214"/>
      <c r="W625" s="1214"/>
      <c r="X625" s="1214"/>
      <c r="Y625" s="1214"/>
      <c r="Z625" s="1214"/>
    </row>
    <row r="626">
      <c r="A626" s="1214"/>
      <c r="B626" s="1214"/>
      <c r="C626" s="1214"/>
      <c r="D626" s="1267"/>
      <c r="E626" s="1214"/>
      <c r="F626" s="1214"/>
      <c r="G626" s="1214"/>
      <c r="H626" s="1214"/>
      <c r="I626" s="1214"/>
      <c r="J626" s="1214"/>
      <c r="K626" s="1214"/>
      <c r="L626" s="1214"/>
      <c r="M626" s="1214"/>
      <c r="N626" s="1214"/>
      <c r="O626" s="1214"/>
      <c r="P626" s="1214"/>
      <c r="Q626" s="1214"/>
      <c r="R626" s="1214"/>
      <c r="S626" s="1214"/>
      <c r="T626" s="1214"/>
      <c r="U626" s="1214"/>
      <c r="V626" s="1214"/>
      <c r="W626" s="1214"/>
      <c r="X626" s="1214"/>
      <c r="Y626" s="1214"/>
      <c r="Z626" s="1214"/>
    </row>
    <row r="627">
      <c r="A627" s="1214"/>
      <c r="B627" s="1214"/>
      <c r="C627" s="1214"/>
      <c r="D627" s="1267"/>
      <c r="E627" s="1214"/>
      <c r="F627" s="1214"/>
      <c r="G627" s="1214"/>
      <c r="H627" s="1214"/>
      <c r="I627" s="1214"/>
      <c r="J627" s="1214"/>
      <c r="K627" s="1214"/>
      <c r="L627" s="1214"/>
      <c r="M627" s="1214"/>
      <c r="N627" s="1214"/>
      <c r="O627" s="1214"/>
      <c r="P627" s="1214"/>
      <c r="Q627" s="1214"/>
      <c r="R627" s="1214"/>
      <c r="S627" s="1214"/>
      <c r="T627" s="1214"/>
      <c r="U627" s="1214"/>
      <c r="V627" s="1214"/>
      <c r="W627" s="1214"/>
      <c r="X627" s="1214"/>
      <c r="Y627" s="1214"/>
      <c r="Z627" s="1214"/>
    </row>
    <row r="628">
      <c r="A628" s="1214"/>
      <c r="B628" s="1214"/>
      <c r="C628" s="1214"/>
      <c r="D628" s="1267"/>
      <c r="E628" s="1214"/>
      <c r="F628" s="1214"/>
      <c r="G628" s="1214"/>
      <c r="H628" s="1214"/>
      <c r="I628" s="1214"/>
      <c r="J628" s="1214"/>
      <c r="K628" s="1214"/>
      <c r="L628" s="1214"/>
      <c r="M628" s="1214"/>
      <c r="N628" s="1214"/>
      <c r="O628" s="1214"/>
      <c r="P628" s="1214"/>
      <c r="Q628" s="1214"/>
      <c r="R628" s="1214"/>
      <c r="S628" s="1214"/>
      <c r="T628" s="1214"/>
      <c r="U628" s="1214"/>
      <c r="V628" s="1214"/>
      <c r="W628" s="1214"/>
      <c r="X628" s="1214"/>
      <c r="Y628" s="1214"/>
      <c r="Z628" s="1214"/>
    </row>
    <row r="629">
      <c r="A629" s="1214"/>
      <c r="B629" s="1214"/>
      <c r="C629" s="1214"/>
      <c r="D629" s="1267"/>
      <c r="E629" s="1214"/>
      <c r="F629" s="1214"/>
      <c r="G629" s="1214"/>
      <c r="H629" s="1214"/>
      <c r="I629" s="1214"/>
      <c r="J629" s="1214"/>
      <c r="K629" s="1214"/>
      <c r="L629" s="1214"/>
      <c r="M629" s="1214"/>
      <c r="N629" s="1214"/>
      <c r="O629" s="1214"/>
      <c r="P629" s="1214"/>
      <c r="Q629" s="1214"/>
      <c r="R629" s="1214"/>
      <c r="S629" s="1214"/>
      <c r="T629" s="1214"/>
      <c r="U629" s="1214"/>
      <c r="V629" s="1214"/>
      <c r="W629" s="1214"/>
      <c r="X629" s="1214"/>
      <c r="Y629" s="1214"/>
      <c r="Z629" s="1214"/>
    </row>
    <row r="630">
      <c r="A630" s="1214"/>
      <c r="B630" s="1214"/>
      <c r="C630" s="1214"/>
      <c r="D630" s="1267"/>
      <c r="E630" s="1214"/>
      <c r="F630" s="1214"/>
      <c r="G630" s="1214"/>
      <c r="H630" s="1214"/>
      <c r="I630" s="1214"/>
      <c r="J630" s="1214"/>
      <c r="K630" s="1214"/>
      <c r="L630" s="1214"/>
      <c r="M630" s="1214"/>
      <c r="N630" s="1214"/>
      <c r="O630" s="1214"/>
      <c r="P630" s="1214"/>
      <c r="Q630" s="1214"/>
      <c r="R630" s="1214"/>
      <c r="S630" s="1214"/>
      <c r="T630" s="1214"/>
      <c r="U630" s="1214"/>
      <c r="V630" s="1214"/>
      <c r="W630" s="1214"/>
      <c r="X630" s="1214"/>
      <c r="Y630" s="1214"/>
      <c r="Z630" s="1214"/>
    </row>
    <row r="631">
      <c r="A631" s="1214"/>
      <c r="B631" s="1214"/>
      <c r="C631" s="1214"/>
      <c r="D631" s="1267"/>
      <c r="E631" s="1214"/>
      <c r="F631" s="1214"/>
      <c r="G631" s="1214"/>
      <c r="H631" s="1214"/>
      <c r="I631" s="1214"/>
      <c r="J631" s="1214"/>
      <c r="K631" s="1214"/>
      <c r="L631" s="1214"/>
      <c r="M631" s="1214"/>
      <c r="N631" s="1214"/>
      <c r="O631" s="1214"/>
      <c r="P631" s="1214"/>
      <c r="Q631" s="1214"/>
      <c r="R631" s="1214"/>
      <c r="S631" s="1214"/>
      <c r="T631" s="1214"/>
      <c r="U631" s="1214"/>
      <c r="V631" s="1214"/>
      <c r="W631" s="1214"/>
      <c r="X631" s="1214"/>
      <c r="Y631" s="1214"/>
      <c r="Z631" s="1214"/>
    </row>
    <row r="632">
      <c r="A632" s="1214"/>
      <c r="B632" s="1214"/>
      <c r="C632" s="1214"/>
      <c r="D632" s="1267"/>
      <c r="E632" s="1214"/>
      <c r="F632" s="1214"/>
      <c r="G632" s="1214"/>
      <c r="H632" s="1214"/>
      <c r="I632" s="1214"/>
      <c r="J632" s="1214"/>
      <c r="K632" s="1214"/>
      <c r="L632" s="1214"/>
      <c r="M632" s="1214"/>
      <c r="N632" s="1214"/>
      <c r="O632" s="1214"/>
      <c r="P632" s="1214"/>
      <c r="Q632" s="1214"/>
      <c r="R632" s="1214"/>
      <c r="S632" s="1214"/>
      <c r="T632" s="1214"/>
      <c r="U632" s="1214"/>
      <c r="V632" s="1214"/>
      <c r="W632" s="1214"/>
      <c r="X632" s="1214"/>
      <c r="Y632" s="1214"/>
      <c r="Z632" s="1214"/>
    </row>
    <row r="633">
      <c r="A633" s="1214"/>
      <c r="B633" s="1214"/>
      <c r="C633" s="1214"/>
      <c r="D633" s="1267"/>
      <c r="E633" s="1214"/>
      <c r="F633" s="1214"/>
      <c r="G633" s="1214"/>
      <c r="H633" s="1214"/>
      <c r="I633" s="1214"/>
      <c r="J633" s="1214"/>
      <c r="K633" s="1214"/>
      <c r="L633" s="1214"/>
      <c r="M633" s="1214"/>
      <c r="N633" s="1214"/>
      <c r="O633" s="1214"/>
      <c r="P633" s="1214"/>
      <c r="Q633" s="1214"/>
      <c r="R633" s="1214"/>
      <c r="S633" s="1214"/>
      <c r="T633" s="1214"/>
      <c r="U633" s="1214"/>
      <c r="V633" s="1214"/>
      <c r="W633" s="1214"/>
      <c r="X633" s="1214"/>
      <c r="Y633" s="1214"/>
      <c r="Z633" s="1214"/>
    </row>
    <row r="634">
      <c r="A634" s="1214"/>
      <c r="B634" s="1214"/>
      <c r="C634" s="1214"/>
      <c r="D634" s="1267"/>
      <c r="E634" s="1214"/>
      <c r="F634" s="1214"/>
      <c r="G634" s="1214"/>
      <c r="H634" s="1214"/>
      <c r="I634" s="1214"/>
      <c r="J634" s="1214"/>
      <c r="K634" s="1214"/>
      <c r="L634" s="1214"/>
      <c r="M634" s="1214"/>
      <c r="N634" s="1214"/>
      <c r="O634" s="1214"/>
      <c r="P634" s="1214"/>
      <c r="Q634" s="1214"/>
      <c r="R634" s="1214"/>
      <c r="S634" s="1214"/>
      <c r="T634" s="1214"/>
      <c r="U634" s="1214"/>
      <c r="V634" s="1214"/>
      <c r="W634" s="1214"/>
      <c r="X634" s="1214"/>
      <c r="Y634" s="1214"/>
      <c r="Z634" s="1214"/>
    </row>
    <row r="635">
      <c r="A635" s="1214"/>
      <c r="B635" s="1214"/>
      <c r="C635" s="1214"/>
      <c r="D635" s="1267"/>
      <c r="E635" s="1214"/>
      <c r="F635" s="1214"/>
      <c r="G635" s="1214"/>
      <c r="H635" s="1214"/>
      <c r="I635" s="1214"/>
      <c r="J635" s="1214"/>
      <c r="K635" s="1214"/>
      <c r="L635" s="1214"/>
      <c r="M635" s="1214"/>
      <c r="N635" s="1214"/>
      <c r="O635" s="1214"/>
      <c r="P635" s="1214"/>
      <c r="Q635" s="1214"/>
      <c r="R635" s="1214"/>
      <c r="S635" s="1214"/>
      <c r="T635" s="1214"/>
      <c r="U635" s="1214"/>
      <c r="V635" s="1214"/>
      <c r="W635" s="1214"/>
      <c r="X635" s="1214"/>
      <c r="Y635" s="1214"/>
      <c r="Z635" s="1214"/>
    </row>
    <row r="636">
      <c r="A636" s="1214"/>
      <c r="B636" s="1214"/>
      <c r="C636" s="1214"/>
      <c r="D636" s="1267"/>
      <c r="E636" s="1214"/>
      <c r="F636" s="1214"/>
      <c r="G636" s="1214"/>
      <c r="H636" s="1214"/>
      <c r="I636" s="1214"/>
      <c r="J636" s="1214"/>
      <c r="K636" s="1214"/>
      <c r="L636" s="1214"/>
      <c r="M636" s="1214"/>
      <c r="N636" s="1214"/>
      <c r="O636" s="1214"/>
      <c r="P636" s="1214"/>
      <c r="Q636" s="1214"/>
      <c r="R636" s="1214"/>
      <c r="S636" s="1214"/>
      <c r="T636" s="1214"/>
      <c r="U636" s="1214"/>
      <c r="V636" s="1214"/>
      <c r="W636" s="1214"/>
      <c r="X636" s="1214"/>
      <c r="Y636" s="1214"/>
      <c r="Z636" s="1214"/>
    </row>
    <row r="637">
      <c r="A637" s="1214"/>
      <c r="B637" s="1214"/>
      <c r="C637" s="1214"/>
      <c r="D637" s="1267"/>
      <c r="E637" s="1214"/>
      <c r="F637" s="1214"/>
      <c r="G637" s="1214"/>
      <c r="H637" s="1214"/>
      <c r="I637" s="1214"/>
      <c r="J637" s="1214"/>
      <c r="K637" s="1214"/>
      <c r="L637" s="1214"/>
      <c r="M637" s="1214"/>
      <c r="N637" s="1214"/>
      <c r="O637" s="1214"/>
      <c r="P637" s="1214"/>
      <c r="Q637" s="1214"/>
      <c r="R637" s="1214"/>
      <c r="S637" s="1214"/>
      <c r="T637" s="1214"/>
      <c r="U637" s="1214"/>
      <c r="V637" s="1214"/>
      <c r="W637" s="1214"/>
      <c r="X637" s="1214"/>
      <c r="Y637" s="1214"/>
      <c r="Z637" s="1214"/>
    </row>
    <row r="638">
      <c r="A638" s="1214"/>
      <c r="B638" s="1214"/>
      <c r="C638" s="1214"/>
      <c r="D638" s="1267"/>
      <c r="E638" s="1214"/>
      <c r="F638" s="1214"/>
      <c r="G638" s="1214"/>
      <c r="H638" s="1214"/>
      <c r="I638" s="1214"/>
      <c r="J638" s="1214"/>
      <c r="K638" s="1214"/>
      <c r="L638" s="1214"/>
      <c r="M638" s="1214"/>
      <c r="N638" s="1214"/>
      <c r="O638" s="1214"/>
      <c r="P638" s="1214"/>
      <c r="Q638" s="1214"/>
      <c r="R638" s="1214"/>
      <c r="S638" s="1214"/>
      <c r="T638" s="1214"/>
      <c r="U638" s="1214"/>
      <c r="V638" s="1214"/>
      <c r="W638" s="1214"/>
      <c r="X638" s="1214"/>
      <c r="Y638" s="1214"/>
      <c r="Z638" s="1214"/>
    </row>
    <row r="639">
      <c r="A639" s="1214"/>
      <c r="B639" s="1214"/>
      <c r="C639" s="1214"/>
      <c r="D639" s="1267"/>
      <c r="E639" s="1214"/>
      <c r="F639" s="1214"/>
      <c r="G639" s="1214"/>
      <c r="H639" s="1214"/>
      <c r="I639" s="1214"/>
      <c r="J639" s="1214"/>
      <c r="K639" s="1214"/>
      <c r="L639" s="1214"/>
      <c r="M639" s="1214"/>
      <c r="N639" s="1214"/>
      <c r="O639" s="1214"/>
      <c r="P639" s="1214"/>
      <c r="Q639" s="1214"/>
      <c r="R639" s="1214"/>
      <c r="S639" s="1214"/>
      <c r="T639" s="1214"/>
      <c r="U639" s="1214"/>
      <c r="V639" s="1214"/>
      <c r="W639" s="1214"/>
      <c r="X639" s="1214"/>
      <c r="Y639" s="1214"/>
      <c r="Z639" s="1214"/>
    </row>
    <row r="640">
      <c r="A640" s="1214"/>
      <c r="B640" s="1214"/>
      <c r="C640" s="1214"/>
      <c r="D640" s="1267"/>
      <c r="E640" s="1214"/>
      <c r="F640" s="1214"/>
      <c r="G640" s="1214"/>
      <c r="H640" s="1214"/>
      <c r="I640" s="1214"/>
      <c r="J640" s="1214"/>
      <c r="K640" s="1214"/>
      <c r="L640" s="1214"/>
      <c r="M640" s="1214"/>
      <c r="N640" s="1214"/>
      <c r="O640" s="1214"/>
      <c r="P640" s="1214"/>
      <c r="Q640" s="1214"/>
      <c r="R640" s="1214"/>
      <c r="S640" s="1214"/>
      <c r="T640" s="1214"/>
      <c r="U640" s="1214"/>
      <c r="V640" s="1214"/>
      <c r="W640" s="1214"/>
      <c r="X640" s="1214"/>
      <c r="Y640" s="1214"/>
      <c r="Z640" s="1214"/>
    </row>
    <row r="641">
      <c r="A641" s="1214"/>
      <c r="B641" s="1214"/>
      <c r="C641" s="1214"/>
      <c r="D641" s="1267"/>
      <c r="E641" s="1214"/>
      <c r="F641" s="1214"/>
      <c r="G641" s="1214"/>
      <c r="H641" s="1214"/>
      <c r="I641" s="1214"/>
      <c r="J641" s="1214"/>
      <c r="K641" s="1214"/>
      <c r="L641" s="1214"/>
      <c r="M641" s="1214"/>
      <c r="N641" s="1214"/>
      <c r="O641" s="1214"/>
      <c r="P641" s="1214"/>
      <c r="Q641" s="1214"/>
      <c r="R641" s="1214"/>
      <c r="S641" s="1214"/>
      <c r="T641" s="1214"/>
      <c r="U641" s="1214"/>
      <c r="V641" s="1214"/>
      <c r="W641" s="1214"/>
      <c r="X641" s="1214"/>
      <c r="Y641" s="1214"/>
      <c r="Z641" s="1214"/>
    </row>
    <row r="642">
      <c r="A642" s="1214"/>
      <c r="B642" s="1214"/>
      <c r="C642" s="1214"/>
      <c r="D642" s="1267"/>
      <c r="E642" s="1214"/>
      <c r="F642" s="1214"/>
      <c r="G642" s="1214"/>
      <c r="H642" s="1214"/>
      <c r="I642" s="1214"/>
      <c r="J642" s="1214"/>
      <c r="K642" s="1214"/>
      <c r="L642" s="1214"/>
      <c r="M642" s="1214"/>
      <c r="N642" s="1214"/>
      <c r="O642" s="1214"/>
      <c r="P642" s="1214"/>
      <c r="Q642" s="1214"/>
      <c r="R642" s="1214"/>
      <c r="S642" s="1214"/>
      <c r="T642" s="1214"/>
      <c r="U642" s="1214"/>
      <c r="V642" s="1214"/>
      <c r="W642" s="1214"/>
      <c r="X642" s="1214"/>
      <c r="Y642" s="1214"/>
      <c r="Z642" s="1214"/>
    </row>
    <row r="643">
      <c r="A643" s="1214"/>
      <c r="B643" s="1214"/>
      <c r="C643" s="1214"/>
      <c r="D643" s="1267"/>
      <c r="E643" s="1214"/>
      <c r="F643" s="1214"/>
      <c r="G643" s="1214"/>
      <c r="H643" s="1214"/>
      <c r="I643" s="1214"/>
      <c r="J643" s="1214"/>
      <c r="K643" s="1214"/>
      <c r="L643" s="1214"/>
      <c r="M643" s="1214"/>
      <c r="N643" s="1214"/>
      <c r="O643" s="1214"/>
      <c r="P643" s="1214"/>
      <c r="Q643" s="1214"/>
      <c r="R643" s="1214"/>
      <c r="S643" s="1214"/>
      <c r="T643" s="1214"/>
      <c r="U643" s="1214"/>
      <c r="V643" s="1214"/>
      <c r="W643" s="1214"/>
      <c r="X643" s="1214"/>
      <c r="Y643" s="1214"/>
      <c r="Z643" s="1214"/>
    </row>
    <row r="644">
      <c r="A644" s="1214"/>
      <c r="B644" s="1214"/>
      <c r="C644" s="1214"/>
      <c r="D644" s="1267"/>
      <c r="E644" s="1214"/>
      <c r="F644" s="1214"/>
      <c r="G644" s="1214"/>
      <c r="H644" s="1214"/>
      <c r="I644" s="1214"/>
      <c r="J644" s="1214"/>
      <c r="K644" s="1214"/>
      <c r="L644" s="1214"/>
      <c r="M644" s="1214"/>
      <c r="N644" s="1214"/>
      <c r="O644" s="1214"/>
      <c r="P644" s="1214"/>
      <c r="Q644" s="1214"/>
      <c r="R644" s="1214"/>
      <c r="S644" s="1214"/>
      <c r="T644" s="1214"/>
      <c r="U644" s="1214"/>
      <c r="V644" s="1214"/>
      <c r="W644" s="1214"/>
      <c r="X644" s="1214"/>
      <c r="Y644" s="1214"/>
      <c r="Z644" s="1214"/>
    </row>
    <row r="645">
      <c r="A645" s="1214"/>
      <c r="B645" s="1214"/>
      <c r="C645" s="1214"/>
      <c r="D645" s="1267"/>
      <c r="E645" s="1214"/>
      <c r="F645" s="1214"/>
      <c r="G645" s="1214"/>
      <c r="H645" s="1214"/>
      <c r="I645" s="1214"/>
      <c r="J645" s="1214"/>
      <c r="K645" s="1214"/>
      <c r="L645" s="1214"/>
      <c r="M645" s="1214"/>
      <c r="N645" s="1214"/>
      <c r="O645" s="1214"/>
      <c r="P645" s="1214"/>
      <c r="Q645" s="1214"/>
      <c r="R645" s="1214"/>
      <c r="S645" s="1214"/>
      <c r="T645" s="1214"/>
      <c r="U645" s="1214"/>
      <c r="V645" s="1214"/>
      <c r="W645" s="1214"/>
      <c r="X645" s="1214"/>
      <c r="Y645" s="1214"/>
      <c r="Z645" s="1214"/>
    </row>
    <row r="646">
      <c r="A646" s="1214"/>
      <c r="B646" s="1214"/>
      <c r="C646" s="1214"/>
      <c r="D646" s="1267"/>
      <c r="E646" s="1214"/>
      <c r="F646" s="1214"/>
      <c r="G646" s="1214"/>
      <c r="H646" s="1214"/>
      <c r="I646" s="1214"/>
      <c r="J646" s="1214"/>
      <c r="K646" s="1214"/>
      <c r="L646" s="1214"/>
      <c r="M646" s="1214"/>
      <c r="N646" s="1214"/>
      <c r="O646" s="1214"/>
      <c r="P646" s="1214"/>
      <c r="Q646" s="1214"/>
      <c r="R646" s="1214"/>
      <c r="S646" s="1214"/>
      <c r="T646" s="1214"/>
      <c r="U646" s="1214"/>
      <c r="V646" s="1214"/>
      <c r="W646" s="1214"/>
      <c r="X646" s="1214"/>
      <c r="Y646" s="1214"/>
      <c r="Z646" s="1214"/>
    </row>
    <row r="647">
      <c r="A647" s="1214"/>
      <c r="B647" s="1214"/>
      <c r="C647" s="1214"/>
      <c r="D647" s="1267"/>
      <c r="E647" s="1214"/>
      <c r="F647" s="1214"/>
      <c r="G647" s="1214"/>
      <c r="H647" s="1214"/>
      <c r="I647" s="1214"/>
      <c r="J647" s="1214"/>
      <c r="K647" s="1214"/>
      <c r="L647" s="1214"/>
      <c r="M647" s="1214"/>
      <c r="N647" s="1214"/>
      <c r="O647" s="1214"/>
      <c r="P647" s="1214"/>
      <c r="Q647" s="1214"/>
      <c r="R647" s="1214"/>
      <c r="S647" s="1214"/>
      <c r="T647" s="1214"/>
      <c r="U647" s="1214"/>
      <c r="V647" s="1214"/>
      <c r="W647" s="1214"/>
      <c r="X647" s="1214"/>
      <c r="Y647" s="1214"/>
      <c r="Z647" s="1214"/>
    </row>
    <row r="648">
      <c r="A648" s="1214"/>
      <c r="B648" s="1214"/>
      <c r="C648" s="1214"/>
      <c r="D648" s="1267"/>
      <c r="E648" s="1214"/>
      <c r="F648" s="1214"/>
      <c r="G648" s="1214"/>
      <c r="H648" s="1214"/>
      <c r="I648" s="1214"/>
      <c r="J648" s="1214"/>
      <c r="K648" s="1214"/>
      <c r="L648" s="1214"/>
      <c r="M648" s="1214"/>
      <c r="N648" s="1214"/>
      <c r="O648" s="1214"/>
      <c r="P648" s="1214"/>
      <c r="Q648" s="1214"/>
      <c r="R648" s="1214"/>
      <c r="S648" s="1214"/>
      <c r="T648" s="1214"/>
      <c r="U648" s="1214"/>
      <c r="V648" s="1214"/>
      <c r="W648" s="1214"/>
      <c r="X648" s="1214"/>
      <c r="Y648" s="1214"/>
      <c r="Z648" s="1214"/>
    </row>
    <row r="649">
      <c r="A649" s="1214"/>
      <c r="B649" s="1214"/>
      <c r="C649" s="1214"/>
      <c r="D649" s="1267"/>
      <c r="E649" s="1214"/>
      <c r="F649" s="1214"/>
      <c r="G649" s="1214"/>
      <c r="H649" s="1214"/>
      <c r="I649" s="1214"/>
      <c r="J649" s="1214"/>
      <c r="K649" s="1214"/>
      <c r="L649" s="1214"/>
      <c r="M649" s="1214"/>
      <c r="N649" s="1214"/>
      <c r="O649" s="1214"/>
      <c r="P649" s="1214"/>
      <c r="Q649" s="1214"/>
      <c r="R649" s="1214"/>
      <c r="S649" s="1214"/>
      <c r="T649" s="1214"/>
      <c r="U649" s="1214"/>
      <c r="V649" s="1214"/>
      <c r="W649" s="1214"/>
      <c r="X649" s="1214"/>
      <c r="Y649" s="1214"/>
      <c r="Z649" s="1214"/>
    </row>
    <row r="650">
      <c r="A650" s="1214"/>
      <c r="B650" s="1214"/>
      <c r="C650" s="1214"/>
      <c r="D650" s="1267"/>
      <c r="E650" s="1214"/>
      <c r="F650" s="1214"/>
      <c r="G650" s="1214"/>
      <c r="H650" s="1214"/>
      <c r="I650" s="1214"/>
      <c r="J650" s="1214"/>
      <c r="K650" s="1214"/>
      <c r="L650" s="1214"/>
      <c r="M650" s="1214"/>
      <c r="N650" s="1214"/>
      <c r="O650" s="1214"/>
      <c r="P650" s="1214"/>
      <c r="Q650" s="1214"/>
      <c r="R650" s="1214"/>
      <c r="S650" s="1214"/>
      <c r="T650" s="1214"/>
      <c r="U650" s="1214"/>
      <c r="V650" s="1214"/>
      <c r="W650" s="1214"/>
      <c r="X650" s="1214"/>
      <c r="Y650" s="1214"/>
      <c r="Z650" s="1214"/>
    </row>
    <row r="651">
      <c r="A651" s="1214"/>
      <c r="B651" s="1214"/>
      <c r="C651" s="1214"/>
      <c r="D651" s="1267"/>
      <c r="E651" s="1214"/>
      <c r="F651" s="1214"/>
      <c r="G651" s="1214"/>
      <c r="H651" s="1214"/>
      <c r="I651" s="1214"/>
      <c r="J651" s="1214"/>
      <c r="K651" s="1214"/>
      <c r="L651" s="1214"/>
      <c r="M651" s="1214"/>
      <c r="N651" s="1214"/>
      <c r="O651" s="1214"/>
      <c r="P651" s="1214"/>
      <c r="Q651" s="1214"/>
      <c r="R651" s="1214"/>
      <c r="S651" s="1214"/>
      <c r="T651" s="1214"/>
      <c r="U651" s="1214"/>
      <c r="V651" s="1214"/>
      <c r="W651" s="1214"/>
      <c r="X651" s="1214"/>
      <c r="Y651" s="1214"/>
      <c r="Z651" s="1214"/>
    </row>
    <row r="652">
      <c r="A652" s="1214"/>
      <c r="B652" s="1214"/>
      <c r="C652" s="1214"/>
      <c r="D652" s="1267"/>
      <c r="E652" s="1214"/>
      <c r="F652" s="1214"/>
      <c r="G652" s="1214"/>
      <c r="H652" s="1214"/>
      <c r="I652" s="1214"/>
      <c r="J652" s="1214"/>
      <c r="K652" s="1214"/>
      <c r="L652" s="1214"/>
      <c r="M652" s="1214"/>
      <c r="N652" s="1214"/>
      <c r="O652" s="1214"/>
      <c r="P652" s="1214"/>
      <c r="Q652" s="1214"/>
      <c r="R652" s="1214"/>
      <c r="S652" s="1214"/>
      <c r="T652" s="1214"/>
      <c r="U652" s="1214"/>
      <c r="V652" s="1214"/>
      <c r="W652" s="1214"/>
      <c r="X652" s="1214"/>
      <c r="Y652" s="1214"/>
      <c r="Z652" s="1214"/>
    </row>
    <row r="653">
      <c r="A653" s="1214"/>
      <c r="B653" s="1214"/>
      <c r="C653" s="1214"/>
      <c r="D653" s="1267"/>
      <c r="E653" s="1214"/>
      <c r="F653" s="1214"/>
      <c r="G653" s="1214"/>
      <c r="H653" s="1214"/>
      <c r="I653" s="1214"/>
      <c r="J653" s="1214"/>
      <c r="K653" s="1214"/>
      <c r="L653" s="1214"/>
      <c r="M653" s="1214"/>
      <c r="N653" s="1214"/>
      <c r="O653" s="1214"/>
      <c r="P653" s="1214"/>
      <c r="Q653" s="1214"/>
      <c r="R653" s="1214"/>
      <c r="S653" s="1214"/>
      <c r="T653" s="1214"/>
      <c r="U653" s="1214"/>
      <c r="V653" s="1214"/>
      <c r="W653" s="1214"/>
      <c r="X653" s="1214"/>
      <c r="Y653" s="1214"/>
      <c r="Z653" s="1214"/>
    </row>
    <row r="654">
      <c r="A654" s="1214"/>
      <c r="B654" s="1214"/>
      <c r="C654" s="1214"/>
      <c r="D654" s="1267"/>
      <c r="E654" s="1214"/>
      <c r="F654" s="1214"/>
      <c r="G654" s="1214"/>
      <c r="H654" s="1214"/>
      <c r="I654" s="1214"/>
      <c r="J654" s="1214"/>
      <c r="K654" s="1214"/>
      <c r="L654" s="1214"/>
      <c r="M654" s="1214"/>
      <c r="N654" s="1214"/>
      <c r="O654" s="1214"/>
      <c r="P654" s="1214"/>
      <c r="Q654" s="1214"/>
      <c r="R654" s="1214"/>
      <c r="S654" s="1214"/>
      <c r="T654" s="1214"/>
      <c r="U654" s="1214"/>
      <c r="V654" s="1214"/>
      <c r="W654" s="1214"/>
      <c r="X654" s="1214"/>
      <c r="Y654" s="1214"/>
      <c r="Z654" s="1214"/>
    </row>
    <row r="655">
      <c r="A655" s="1214"/>
      <c r="B655" s="1214"/>
      <c r="C655" s="1214"/>
      <c r="D655" s="1267"/>
      <c r="E655" s="1214"/>
      <c r="F655" s="1214"/>
      <c r="G655" s="1214"/>
      <c r="H655" s="1214"/>
      <c r="I655" s="1214"/>
      <c r="J655" s="1214"/>
      <c r="K655" s="1214"/>
      <c r="L655" s="1214"/>
      <c r="M655" s="1214"/>
      <c r="N655" s="1214"/>
      <c r="O655" s="1214"/>
      <c r="P655" s="1214"/>
      <c r="Q655" s="1214"/>
      <c r="R655" s="1214"/>
      <c r="S655" s="1214"/>
      <c r="T655" s="1214"/>
      <c r="U655" s="1214"/>
      <c r="V655" s="1214"/>
      <c r="W655" s="1214"/>
      <c r="X655" s="1214"/>
      <c r="Y655" s="1214"/>
      <c r="Z655" s="1214"/>
    </row>
    <row r="656">
      <c r="A656" s="1214"/>
      <c r="B656" s="1214"/>
      <c r="C656" s="1214"/>
      <c r="D656" s="1267"/>
      <c r="E656" s="1214"/>
      <c r="F656" s="1214"/>
      <c r="G656" s="1214"/>
      <c r="H656" s="1214"/>
      <c r="I656" s="1214"/>
      <c r="J656" s="1214"/>
      <c r="K656" s="1214"/>
      <c r="L656" s="1214"/>
      <c r="M656" s="1214"/>
      <c r="N656" s="1214"/>
      <c r="O656" s="1214"/>
      <c r="P656" s="1214"/>
      <c r="Q656" s="1214"/>
      <c r="R656" s="1214"/>
      <c r="S656" s="1214"/>
      <c r="T656" s="1214"/>
      <c r="U656" s="1214"/>
      <c r="V656" s="1214"/>
      <c r="W656" s="1214"/>
      <c r="X656" s="1214"/>
      <c r="Y656" s="1214"/>
      <c r="Z656" s="1214"/>
    </row>
    <row r="657">
      <c r="A657" s="1214"/>
      <c r="B657" s="1214"/>
      <c r="C657" s="1214"/>
      <c r="D657" s="1267"/>
      <c r="E657" s="1214"/>
      <c r="F657" s="1214"/>
      <c r="G657" s="1214"/>
      <c r="H657" s="1214"/>
      <c r="I657" s="1214"/>
      <c r="J657" s="1214"/>
      <c r="K657" s="1214"/>
      <c r="L657" s="1214"/>
      <c r="M657" s="1214"/>
      <c r="N657" s="1214"/>
      <c r="O657" s="1214"/>
      <c r="P657" s="1214"/>
      <c r="Q657" s="1214"/>
      <c r="R657" s="1214"/>
      <c r="S657" s="1214"/>
      <c r="T657" s="1214"/>
      <c r="U657" s="1214"/>
      <c r="V657" s="1214"/>
      <c r="W657" s="1214"/>
      <c r="X657" s="1214"/>
      <c r="Y657" s="1214"/>
      <c r="Z657" s="1214"/>
    </row>
    <row r="658">
      <c r="A658" s="1214"/>
      <c r="B658" s="1214"/>
      <c r="C658" s="1214"/>
      <c r="D658" s="1267"/>
      <c r="E658" s="1214"/>
      <c r="F658" s="1214"/>
      <c r="G658" s="1214"/>
      <c r="H658" s="1214"/>
      <c r="I658" s="1214"/>
      <c r="J658" s="1214"/>
      <c r="K658" s="1214"/>
      <c r="L658" s="1214"/>
      <c r="M658" s="1214"/>
      <c r="N658" s="1214"/>
      <c r="O658" s="1214"/>
      <c r="P658" s="1214"/>
      <c r="Q658" s="1214"/>
      <c r="R658" s="1214"/>
      <c r="S658" s="1214"/>
      <c r="T658" s="1214"/>
      <c r="U658" s="1214"/>
      <c r="V658" s="1214"/>
      <c r="W658" s="1214"/>
      <c r="X658" s="1214"/>
      <c r="Y658" s="1214"/>
      <c r="Z658" s="1214"/>
    </row>
    <row r="659">
      <c r="A659" s="1214"/>
      <c r="B659" s="1214"/>
      <c r="C659" s="1214"/>
      <c r="D659" s="1267"/>
      <c r="E659" s="1214"/>
      <c r="F659" s="1214"/>
      <c r="G659" s="1214"/>
      <c r="H659" s="1214"/>
      <c r="I659" s="1214"/>
      <c r="J659" s="1214"/>
      <c r="K659" s="1214"/>
      <c r="L659" s="1214"/>
      <c r="M659" s="1214"/>
      <c r="N659" s="1214"/>
      <c r="O659" s="1214"/>
      <c r="P659" s="1214"/>
      <c r="Q659" s="1214"/>
      <c r="R659" s="1214"/>
      <c r="S659" s="1214"/>
      <c r="T659" s="1214"/>
      <c r="U659" s="1214"/>
      <c r="V659" s="1214"/>
      <c r="W659" s="1214"/>
      <c r="X659" s="1214"/>
      <c r="Y659" s="1214"/>
      <c r="Z659" s="1214"/>
    </row>
    <row r="660">
      <c r="A660" s="1214"/>
      <c r="B660" s="1214"/>
      <c r="C660" s="1214"/>
      <c r="D660" s="1267"/>
      <c r="E660" s="1214"/>
      <c r="F660" s="1214"/>
      <c r="G660" s="1214"/>
      <c r="H660" s="1214"/>
      <c r="I660" s="1214"/>
      <c r="J660" s="1214"/>
      <c r="K660" s="1214"/>
      <c r="L660" s="1214"/>
      <c r="M660" s="1214"/>
      <c r="N660" s="1214"/>
      <c r="O660" s="1214"/>
      <c r="P660" s="1214"/>
      <c r="Q660" s="1214"/>
      <c r="R660" s="1214"/>
      <c r="S660" s="1214"/>
      <c r="T660" s="1214"/>
      <c r="U660" s="1214"/>
      <c r="V660" s="1214"/>
      <c r="W660" s="1214"/>
      <c r="X660" s="1214"/>
      <c r="Y660" s="1214"/>
      <c r="Z660" s="1214"/>
    </row>
    <row r="661">
      <c r="A661" s="1214"/>
      <c r="B661" s="1214"/>
      <c r="C661" s="1214"/>
      <c r="D661" s="1267"/>
      <c r="E661" s="1214"/>
      <c r="F661" s="1214"/>
      <c r="G661" s="1214"/>
      <c r="H661" s="1214"/>
      <c r="I661" s="1214"/>
      <c r="J661" s="1214"/>
      <c r="K661" s="1214"/>
      <c r="L661" s="1214"/>
      <c r="M661" s="1214"/>
      <c r="N661" s="1214"/>
      <c r="O661" s="1214"/>
      <c r="P661" s="1214"/>
      <c r="Q661" s="1214"/>
      <c r="R661" s="1214"/>
      <c r="S661" s="1214"/>
      <c r="T661" s="1214"/>
      <c r="U661" s="1214"/>
      <c r="V661" s="1214"/>
      <c r="W661" s="1214"/>
      <c r="X661" s="1214"/>
      <c r="Y661" s="1214"/>
      <c r="Z661" s="1214"/>
    </row>
    <row r="662">
      <c r="A662" s="1214"/>
      <c r="B662" s="1214"/>
      <c r="C662" s="1214"/>
      <c r="D662" s="1267"/>
      <c r="E662" s="1214"/>
      <c r="F662" s="1214"/>
      <c r="G662" s="1214"/>
      <c r="H662" s="1214"/>
      <c r="I662" s="1214"/>
      <c r="J662" s="1214"/>
      <c r="K662" s="1214"/>
      <c r="L662" s="1214"/>
      <c r="M662" s="1214"/>
      <c r="N662" s="1214"/>
      <c r="O662" s="1214"/>
      <c r="P662" s="1214"/>
      <c r="Q662" s="1214"/>
      <c r="R662" s="1214"/>
      <c r="S662" s="1214"/>
      <c r="T662" s="1214"/>
      <c r="U662" s="1214"/>
      <c r="V662" s="1214"/>
      <c r="W662" s="1214"/>
      <c r="X662" s="1214"/>
      <c r="Y662" s="1214"/>
      <c r="Z662" s="1214"/>
    </row>
    <row r="663">
      <c r="A663" s="1214"/>
      <c r="B663" s="1214"/>
      <c r="C663" s="1214"/>
      <c r="D663" s="1267"/>
      <c r="E663" s="1214"/>
      <c r="F663" s="1214"/>
      <c r="G663" s="1214"/>
      <c r="H663" s="1214"/>
      <c r="I663" s="1214"/>
      <c r="J663" s="1214"/>
      <c r="K663" s="1214"/>
      <c r="L663" s="1214"/>
      <c r="M663" s="1214"/>
      <c r="N663" s="1214"/>
      <c r="O663" s="1214"/>
      <c r="P663" s="1214"/>
      <c r="Q663" s="1214"/>
      <c r="R663" s="1214"/>
      <c r="S663" s="1214"/>
      <c r="T663" s="1214"/>
      <c r="U663" s="1214"/>
      <c r="V663" s="1214"/>
      <c r="W663" s="1214"/>
      <c r="X663" s="1214"/>
      <c r="Y663" s="1214"/>
      <c r="Z663" s="1214"/>
    </row>
    <row r="664">
      <c r="A664" s="1214"/>
      <c r="B664" s="1214"/>
      <c r="C664" s="1214"/>
      <c r="D664" s="1267"/>
      <c r="E664" s="1214"/>
      <c r="F664" s="1214"/>
      <c r="G664" s="1214"/>
      <c r="H664" s="1214"/>
      <c r="I664" s="1214"/>
      <c r="J664" s="1214"/>
      <c r="K664" s="1214"/>
      <c r="L664" s="1214"/>
      <c r="M664" s="1214"/>
      <c r="N664" s="1214"/>
      <c r="O664" s="1214"/>
      <c r="P664" s="1214"/>
      <c r="Q664" s="1214"/>
      <c r="R664" s="1214"/>
      <c r="S664" s="1214"/>
      <c r="T664" s="1214"/>
      <c r="U664" s="1214"/>
      <c r="V664" s="1214"/>
      <c r="W664" s="1214"/>
      <c r="X664" s="1214"/>
      <c r="Y664" s="1214"/>
      <c r="Z664" s="1214"/>
    </row>
    <row r="665">
      <c r="A665" s="1214"/>
      <c r="B665" s="1214"/>
      <c r="C665" s="1214"/>
      <c r="D665" s="1267"/>
      <c r="E665" s="1214"/>
      <c r="F665" s="1214"/>
      <c r="G665" s="1214"/>
      <c r="H665" s="1214"/>
      <c r="I665" s="1214"/>
      <c r="J665" s="1214"/>
      <c r="K665" s="1214"/>
      <c r="L665" s="1214"/>
      <c r="M665" s="1214"/>
      <c r="N665" s="1214"/>
      <c r="O665" s="1214"/>
      <c r="P665" s="1214"/>
      <c r="Q665" s="1214"/>
      <c r="R665" s="1214"/>
      <c r="S665" s="1214"/>
      <c r="T665" s="1214"/>
      <c r="U665" s="1214"/>
      <c r="V665" s="1214"/>
      <c r="W665" s="1214"/>
      <c r="X665" s="1214"/>
      <c r="Y665" s="1214"/>
      <c r="Z665" s="1214"/>
    </row>
    <row r="666">
      <c r="A666" s="1214"/>
      <c r="B666" s="1214"/>
      <c r="C666" s="1214"/>
      <c r="D666" s="1267"/>
      <c r="E666" s="1214"/>
      <c r="F666" s="1214"/>
      <c r="G666" s="1214"/>
      <c r="H666" s="1214"/>
      <c r="I666" s="1214"/>
      <c r="J666" s="1214"/>
      <c r="K666" s="1214"/>
      <c r="L666" s="1214"/>
      <c r="M666" s="1214"/>
      <c r="N666" s="1214"/>
      <c r="O666" s="1214"/>
      <c r="P666" s="1214"/>
      <c r="Q666" s="1214"/>
      <c r="R666" s="1214"/>
      <c r="S666" s="1214"/>
      <c r="T666" s="1214"/>
      <c r="U666" s="1214"/>
      <c r="V666" s="1214"/>
      <c r="W666" s="1214"/>
      <c r="X666" s="1214"/>
      <c r="Y666" s="1214"/>
      <c r="Z666" s="1214"/>
    </row>
    <row r="667">
      <c r="A667" s="1214"/>
      <c r="B667" s="1214"/>
      <c r="C667" s="1214"/>
      <c r="D667" s="1267"/>
      <c r="E667" s="1214"/>
      <c r="F667" s="1214"/>
      <c r="G667" s="1214"/>
      <c r="H667" s="1214"/>
      <c r="I667" s="1214"/>
      <c r="J667" s="1214"/>
      <c r="K667" s="1214"/>
      <c r="L667" s="1214"/>
      <c r="M667" s="1214"/>
      <c r="N667" s="1214"/>
      <c r="O667" s="1214"/>
      <c r="P667" s="1214"/>
      <c r="Q667" s="1214"/>
      <c r="R667" s="1214"/>
      <c r="S667" s="1214"/>
      <c r="T667" s="1214"/>
      <c r="U667" s="1214"/>
      <c r="V667" s="1214"/>
      <c r="W667" s="1214"/>
      <c r="X667" s="1214"/>
      <c r="Y667" s="1214"/>
      <c r="Z667" s="1214"/>
    </row>
    <row r="668">
      <c r="A668" s="1214"/>
      <c r="B668" s="1214"/>
      <c r="C668" s="1214"/>
      <c r="D668" s="1267"/>
      <c r="E668" s="1214"/>
      <c r="F668" s="1214"/>
      <c r="G668" s="1214"/>
      <c r="H668" s="1214"/>
      <c r="I668" s="1214"/>
      <c r="J668" s="1214"/>
      <c r="K668" s="1214"/>
      <c r="L668" s="1214"/>
      <c r="M668" s="1214"/>
      <c r="N668" s="1214"/>
      <c r="O668" s="1214"/>
      <c r="P668" s="1214"/>
      <c r="Q668" s="1214"/>
      <c r="R668" s="1214"/>
      <c r="S668" s="1214"/>
      <c r="T668" s="1214"/>
      <c r="U668" s="1214"/>
      <c r="V668" s="1214"/>
      <c r="W668" s="1214"/>
      <c r="X668" s="1214"/>
      <c r="Y668" s="1214"/>
      <c r="Z668" s="1214"/>
    </row>
    <row r="669">
      <c r="A669" s="1214"/>
      <c r="B669" s="1214"/>
      <c r="C669" s="1214"/>
      <c r="D669" s="1267"/>
      <c r="E669" s="1214"/>
      <c r="F669" s="1214"/>
      <c r="G669" s="1214"/>
      <c r="H669" s="1214"/>
      <c r="I669" s="1214"/>
      <c r="J669" s="1214"/>
      <c r="K669" s="1214"/>
      <c r="L669" s="1214"/>
      <c r="M669" s="1214"/>
      <c r="N669" s="1214"/>
      <c r="O669" s="1214"/>
      <c r="P669" s="1214"/>
      <c r="Q669" s="1214"/>
      <c r="R669" s="1214"/>
      <c r="S669" s="1214"/>
      <c r="T669" s="1214"/>
      <c r="U669" s="1214"/>
      <c r="V669" s="1214"/>
      <c r="W669" s="1214"/>
      <c r="X669" s="1214"/>
      <c r="Y669" s="1214"/>
      <c r="Z669" s="1214"/>
    </row>
    <row r="670">
      <c r="A670" s="1214"/>
      <c r="B670" s="1214"/>
      <c r="C670" s="1214"/>
      <c r="D670" s="1267"/>
      <c r="E670" s="1214"/>
      <c r="F670" s="1214"/>
      <c r="G670" s="1214"/>
      <c r="H670" s="1214"/>
      <c r="I670" s="1214"/>
      <c r="J670" s="1214"/>
      <c r="K670" s="1214"/>
      <c r="L670" s="1214"/>
      <c r="M670" s="1214"/>
      <c r="N670" s="1214"/>
      <c r="O670" s="1214"/>
      <c r="P670" s="1214"/>
      <c r="Q670" s="1214"/>
      <c r="R670" s="1214"/>
      <c r="S670" s="1214"/>
      <c r="T670" s="1214"/>
      <c r="U670" s="1214"/>
      <c r="V670" s="1214"/>
      <c r="W670" s="1214"/>
      <c r="X670" s="1214"/>
      <c r="Y670" s="1214"/>
      <c r="Z670" s="1214"/>
    </row>
    <row r="671">
      <c r="A671" s="1214"/>
      <c r="B671" s="1214"/>
      <c r="C671" s="1214"/>
      <c r="D671" s="1267"/>
      <c r="E671" s="1214"/>
      <c r="F671" s="1214"/>
      <c r="G671" s="1214"/>
      <c r="H671" s="1214"/>
      <c r="I671" s="1214"/>
      <c r="J671" s="1214"/>
      <c r="K671" s="1214"/>
      <c r="L671" s="1214"/>
      <c r="M671" s="1214"/>
      <c r="N671" s="1214"/>
      <c r="O671" s="1214"/>
      <c r="P671" s="1214"/>
      <c r="Q671" s="1214"/>
      <c r="R671" s="1214"/>
      <c r="S671" s="1214"/>
      <c r="T671" s="1214"/>
      <c r="U671" s="1214"/>
      <c r="V671" s="1214"/>
      <c r="W671" s="1214"/>
      <c r="X671" s="1214"/>
      <c r="Y671" s="1214"/>
      <c r="Z671" s="1214"/>
    </row>
    <row r="672">
      <c r="A672" s="1214"/>
      <c r="B672" s="1214"/>
      <c r="C672" s="1214"/>
      <c r="D672" s="1267"/>
      <c r="E672" s="1214"/>
      <c r="F672" s="1214"/>
      <c r="G672" s="1214"/>
      <c r="H672" s="1214"/>
      <c r="I672" s="1214"/>
      <c r="J672" s="1214"/>
      <c r="K672" s="1214"/>
      <c r="L672" s="1214"/>
      <c r="M672" s="1214"/>
      <c r="N672" s="1214"/>
      <c r="O672" s="1214"/>
      <c r="P672" s="1214"/>
      <c r="Q672" s="1214"/>
      <c r="R672" s="1214"/>
      <c r="S672" s="1214"/>
      <c r="T672" s="1214"/>
      <c r="U672" s="1214"/>
      <c r="V672" s="1214"/>
      <c r="W672" s="1214"/>
      <c r="X672" s="1214"/>
      <c r="Y672" s="1214"/>
      <c r="Z672" s="1214"/>
    </row>
    <row r="673">
      <c r="A673" s="1214"/>
      <c r="B673" s="1214"/>
      <c r="C673" s="1214"/>
      <c r="D673" s="1267"/>
      <c r="E673" s="1214"/>
      <c r="F673" s="1214"/>
      <c r="G673" s="1214"/>
      <c r="H673" s="1214"/>
      <c r="I673" s="1214"/>
      <c r="J673" s="1214"/>
      <c r="K673" s="1214"/>
      <c r="L673" s="1214"/>
      <c r="M673" s="1214"/>
      <c r="N673" s="1214"/>
      <c r="O673" s="1214"/>
      <c r="P673" s="1214"/>
      <c r="Q673" s="1214"/>
      <c r="R673" s="1214"/>
      <c r="S673" s="1214"/>
      <c r="T673" s="1214"/>
      <c r="U673" s="1214"/>
      <c r="V673" s="1214"/>
      <c r="W673" s="1214"/>
      <c r="X673" s="1214"/>
      <c r="Y673" s="1214"/>
      <c r="Z673" s="1214"/>
    </row>
    <row r="674">
      <c r="A674" s="1214"/>
      <c r="B674" s="1214"/>
      <c r="C674" s="1214"/>
      <c r="D674" s="1267"/>
      <c r="E674" s="1214"/>
      <c r="F674" s="1214"/>
      <c r="G674" s="1214"/>
      <c r="H674" s="1214"/>
      <c r="I674" s="1214"/>
      <c r="J674" s="1214"/>
      <c r="K674" s="1214"/>
      <c r="L674" s="1214"/>
      <c r="M674" s="1214"/>
      <c r="N674" s="1214"/>
      <c r="O674" s="1214"/>
      <c r="P674" s="1214"/>
      <c r="Q674" s="1214"/>
      <c r="R674" s="1214"/>
      <c r="S674" s="1214"/>
      <c r="T674" s="1214"/>
      <c r="U674" s="1214"/>
      <c r="V674" s="1214"/>
      <c r="W674" s="1214"/>
      <c r="X674" s="1214"/>
      <c r="Y674" s="1214"/>
      <c r="Z674" s="1214"/>
    </row>
    <row r="675">
      <c r="A675" s="1214"/>
      <c r="B675" s="1214"/>
      <c r="C675" s="1214"/>
      <c r="D675" s="1267"/>
      <c r="E675" s="1214"/>
      <c r="F675" s="1214"/>
      <c r="G675" s="1214"/>
      <c r="H675" s="1214"/>
      <c r="I675" s="1214"/>
      <c r="J675" s="1214"/>
      <c r="K675" s="1214"/>
      <c r="L675" s="1214"/>
      <c r="M675" s="1214"/>
      <c r="N675" s="1214"/>
      <c r="O675" s="1214"/>
      <c r="P675" s="1214"/>
      <c r="Q675" s="1214"/>
      <c r="R675" s="1214"/>
      <c r="S675" s="1214"/>
      <c r="T675" s="1214"/>
      <c r="U675" s="1214"/>
      <c r="V675" s="1214"/>
      <c r="W675" s="1214"/>
      <c r="X675" s="1214"/>
      <c r="Y675" s="1214"/>
      <c r="Z675" s="1214"/>
    </row>
    <row r="676">
      <c r="A676" s="1214"/>
      <c r="B676" s="1214"/>
      <c r="C676" s="1214"/>
      <c r="D676" s="1267"/>
      <c r="E676" s="1214"/>
      <c r="F676" s="1214"/>
      <c r="G676" s="1214"/>
      <c r="H676" s="1214"/>
      <c r="I676" s="1214"/>
      <c r="J676" s="1214"/>
      <c r="K676" s="1214"/>
      <c r="L676" s="1214"/>
      <c r="M676" s="1214"/>
      <c r="N676" s="1214"/>
      <c r="O676" s="1214"/>
      <c r="P676" s="1214"/>
      <c r="Q676" s="1214"/>
      <c r="R676" s="1214"/>
      <c r="S676" s="1214"/>
      <c r="T676" s="1214"/>
      <c r="U676" s="1214"/>
      <c r="V676" s="1214"/>
      <c r="W676" s="1214"/>
      <c r="X676" s="1214"/>
      <c r="Y676" s="1214"/>
      <c r="Z676" s="1214"/>
    </row>
    <row r="677">
      <c r="A677" s="1214"/>
      <c r="B677" s="1214"/>
      <c r="C677" s="1214"/>
      <c r="D677" s="1267"/>
      <c r="E677" s="1214"/>
      <c r="F677" s="1214"/>
      <c r="G677" s="1214"/>
      <c r="H677" s="1214"/>
      <c r="I677" s="1214"/>
      <c r="J677" s="1214"/>
      <c r="K677" s="1214"/>
      <c r="L677" s="1214"/>
      <c r="M677" s="1214"/>
      <c r="N677" s="1214"/>
      <c r="O677" s="1214"/>
      <c r="P677" s="1214"/>
      <c r="Q677" s="1214"/>
      <c r="R677" s="1214"/>
      <c r="S677" s="1214"/>
      <c r="T677" s="1214"/>
      <c r="U677" s="1214"/>
      <c r="V677" s="1214"/>
      <c r="W677" s="1214"/>
      <c r="X677" s="1214"/>
      <c r="Y677" s="1214"/>
      <c r="Z677" s="1214"/>
    </row>
    <row r="678">
      <c r="A678" s="1214"/>
      <c r="B678" s="1214"/>
      <c r="C678" s="1214"/>
      <c r="D678" s="1267"/>
      <c r="E678" s="1214"/>
      <c r="F678" s="1214"/>
      <c r="G678" s="1214"/>
      <c r="H678" s="1214"/>
      <c r="I678" s="1214"/>
      <c r="J678" s="1214"/>
      <c r="K678" s="1214"/>
      <c r="L678" s="1214"/>
      <c r="M678" s="1214"/>
      <c r="N678" s="1214"/>
      <c r="O678" s="1214"/>
      <c r="P678" s="1214"/>
      <c r="Q678" s="1214"/>
      <c r="R678" s="1214"/>
      <c r="S678" s="1214"/>
      <c r="T678" s="1214"/>
      <c r="U678" s="1214"/>
      <c r="V678" s="1214"/>
      <c r="W678" s="1214"/>
      <c r="X678" s="1214"/>
      <c r="Y678" s="1214"/>
      <c r="Z678" s="1214"/>
    </row>
    <row r="679">
      <c r="A679" s="1214"/>
      <c r="B679" s="1214"/>
      <c r="C679" s="1214"/>
      <c r="D679" s="1267"/>
      <c r="E679" s="1214"/>
      <c r="F679" s="1214"/>
      <c r="G679" s="1214"/>
      <c r="H679" s="1214"/>
      <c r="I679" s="1214"/>
      <c r="J679" s="1214"/>
      <c r="K679" s="1214"/>
      <c r="L679" s="1214"/>
      <c r="M679" s="1214"/>
      <c r="N679" s="1214"/>
      <c r="O679" s="1214"/>
      <c r="P679" s="1214"/>
      <c r="Q679" s="1214"/>
      <c r="R679" s="1214"/>
      <c r="S679" s="1214"/>
      <c r="T679" s="1214"/>
      <c r="U679" s="1214"/>
      <c r="V679" s="1214"/>
      <c r="W679" s="1214"/>
      <c r="X679" s="1214"/>
      <c r="Y679" s="1214"/>
      <c r="Z679" s="1214"/>
    </row>
    <row r="680">
      <c r="A680" s="1214"/>
      <c r="B680" s="1214"/>
      <c r="C680" s="1214"/>
      <c r="D680" s="1267"/>
      <c r="E680" s="1214"/>
      <c r="F680" s="1214"/>
      <c r="G680" s="1214"/>
      <c r="H680" s="1214"/>
      <c r="I680" s="1214"/>
      <c r="J680" s="1214"/>
      <c r="K680" s="1214"/>
      <c r="L680" s="1214"/>
      <c r="M680" s="1214"/>
      <c r="N680" s="1214"/>
      <c r="O680" s="1214"/>
      <c r="P680" s="1214"/>
      <c r="Q680" s="1214"/>
      <c r="R680" s="1214"/>
      <c r="S680" s="1214"/>
      <c r="T680" s="1214"/>
      <c r="U680" s="1214"/>
      <c r="V680" s="1214"/>
      <c r="W680" s="1214"/>
      <c r="X680" s="1214"/>
      <c r="Y680" s="1214"/>
      <c r="Z680" s="1214"/>
    </row>
    <row r="681">
      <c r="A681" s="1214"/>
      <c r="B681" s="1214"/>
      <c r="C681" s="1214"/>
      <c r="D681" s="1267"/>
      <c r="E681" s="1214"/>
      <c r="F681" s="1214"/>
      <c r="G681" s="1214"/>
      <c r="H681" s="1214"/>
      <c r="I681" s="1214"/>
      <c r="J681" s="1214"/>
      <c r="K681" s="1214"/>
      <c r="L681" s="1214"/>
      <c r="M681" s="1214"/>
      <c r="N681" s="1214"/>
      <c r="O681" s="1214"/>
      <c r="P681" s="1214"/>
      <c r="Q681" s="1214"/>
      <c r="R681" s="1214"/>
      <c r="S681" s="1214"/>
      <c r="T681" s="1214"/>
      <c r="U681" s="1214"/>
      <c r="V681" s="1214"/>
      <c r="W681" s="1214"/>
      <c r="X681" s="1214"/>
      <c r="Y681" s="1214"/>
      <c r="Z681" s="1214"/>
    </row>
    <row r="682">
      <c r="A682" s="1214"/>
      <c r="B682" s="1214"/>
      <c r="C682" s="1214"/>
      <c r="D682" s="1267"/>
      <c r="E682" s="1214"/>
      <c r="F682" s="1214"/>
      <c r="G682" s="1214"/>
      <c r="H682" s="1214"/>
      <c r="I682" s="1214"/>
      <c r="J682" s="1214"/>
      <c r="K682" s="1214"/>
      <c r="L682" s="1214"/>
      <c r="M682" s="1214"/>
      <c r="N682" s="1214"/>
      <c r="O682" s="1214"/>
      <c r="P682" s="1214"/>
      <c r="Q682" s="1214"/>
      <c r="R682" s="1214"/>
      <c r="S682" s="1214"/>
      <c r="T682" s="1214"/>
      <c r="U682" s="1214"/>
      <c r="V682" s="1214"/>
      <c r="W682" s="1214"/>
      <c r="X682" s="1214"/>
      <c r="Y682" s="1214"/>
      <c r="Z682" s="1214"/>
    </row>
    <row r="683">
      <c r="A683" s="1214"/>
      <c r="B683" s="1214"/>
      <c r="C683" s="1214"/>
      <c r="D683" s="1267"/>
      <c r="E683" s="1214"/>
      <c r="F683" s="1214"/>
      <c r="G683" s="1214"/>
      <c r="H683" s="1214"/>
      <c r="I683" s="1214"/>
      <c r="J683" s="1214"/>
      <c r="K683" s="1214"/>
      <c r="L683" s="1214"/>
      <c r="M683" s="1214"/>
      <c r="N683" s="1214"/>
      <c r="O683" s="1214"/>
      <c r="P683" s="1214"/>
      <c r="Q683" s="1214"/>
      <c r="R683" s="1214"/>
      <c r="S683" s="1214"/>
      <c r="T683" s="1214"/>
      <c r="U683" s="1214"/>
      <c r="V683" s="1214"/>
      <c r="W683" s="1214"/>
      <c r="X683" s="1214"/>
      <c r="Y683" s="1214"/>
      <c r="Z683" s="1214"/>
    </row>
    <row r="684">
      <c r="A684" s="1214"/>
      <c r="B684" s="1214"/>
      <c r="C684" s="1214"/>
      <c r="D684" s="1267"/>
      <c r="E684" s="1214"/>
      <c r="F684" s="1214"/>
      <c r="G684" s="1214"/>
      <c r="H684" s="1214"/>
      <c r="I684" s="1214"/>
      <c r="J684" s="1214"/>
      <c r="K684" s="1214"/>
      <c r="L684" s="1214"/>
      <c r="M684" s="1214"/>
      <c r="N684" s="1214"/>
      <c r="O684" s="1214"/>
      <c r="P684" s="1214"/>
      <c r="Q684" s="1214"/>
      <c r="R684" s="1214"/>
      <c r="S684" s="1214"/>
      <c r="T684" s="1214"/>
      <c r="U684" s="1214"/>
      <c r="V684" s="1214"/>
      <c r="W684" s="1214"/>
      <c r="X684" s="1214"/>
      <c r="Y684" s="1214"/>
      <c r="Z684" s="1214"/>
    </row>
    <row r="685">
      <c r="A685" s="1214"/>
      <c r="B685" s="1214"/>
      <c r="C685" s="1214"/>
      <c r="D685" s="1267"/>
      <c r="E685" s="1214"/>
      <c r="F685" s="1214"/>
      <c r="G685" s="1214"/>
      <c r="H685" s="1214"/>
      <c r="I685" s="1214"/>
      <c r="J685" s="1214"/>
      <c r="K685" s="1214"/>
      <c r="L685" s="1214"/>
      <c r="M685" s="1214"/>
      <c r="N685" s="1214"/>
      <c r="O685" s="1214"/>
      <c r="P685" s="1214"/>
      <c r="Q685" s="1214"/>
      <c r="R685" s="1214"/>
      <c r="S685" s="1214"/>
      <c r="T685" s="1214"/>
      <c r="U685" s="1214"/>
      <c r="V685" s="1214"/>
      <c r="W685" s="1214"/>
      <c r="X685" s="1214"/>
      <c r="Y685" s="1214"/>
      <c r="Z685" s="1214"/>
    </row>
    <row r="686">
      <c r="A686" s="1214"/>
      <c r="B686" s="1214"/>
      <c r="C686" s="1214"/>
      <c r="D686" s="1267"/>
      <c r="E686" s="1214"/>
      <c r="F686" s="1214"/>
      <c r="G686" s="1214"/>
      <c r="H686" s="1214"/>
      <c r="I686" s="1214"/>
      <c r="J686" s="1214"/>
      <c r="K686" s="1214"/>
      <c r="L686" s="1214"/>
      <c r="M686" s="1214"/>
      <c r="N686" s="1214"/>
      <c r="O686" s="1214"/>
      <c r="P686" s="1214"/>
      <c r="Q686" s="1214"/>
      <c r="R686" s="1214"/>
      <c r="S686" s="1214"/>
      <c r="T686" s="1214"/>
      <c r="U686" s="1214"/>
      <c r="V686" s="1214"/>
      <c r="W686" s="1214"/>
      <c r="X686" s="1214"/>
      <c r="Y686" s="1214"/>
      <c r="Z686" s="1214"/>
    </row>
    <row r="687">
      <c r="A687" s="1214"/>
      <c r="B687" s="1214"/>
      <c r="C687" s="1214"/>
      <c r="D687" s="1267"/>
      <c r="E687" s="1214"/>
      <c r="F687" s="1214"/>
      <c r="G687" s="1214"/>
      <c r="H687" s="1214"/>
      <c r="I687" s="1214"/>
      <c r="J687" s="1214"/>
      <c r="K687" s="1214"/>
      <c r="L687" s="1214"/>
      <c r="M687" s="1214"/>
      <c r="N687" s="1214"/>
      <c r="O687" s="1214"/>
      <c r="P687" s="1214"/>
      <c r="Q687" s="1214"/>
      <c r="R687" s="1214"/>
      <c r="S687" s="1214"/>
      <c r="T687" s="1214"/>
      <c r="U687" s="1214"/>
      <c r="V687" s="1214"/>
      <c r="W687" s="1214"/>
      <c r="X687" s="1214"/>
      <c r="Y687" s="1214"/>
      <c r="Z687" s="1214"/>
    </row>
    <row r="688">
      <c r="A688" s="1214"/>
      <c r="B688" s="1214"/>
      <c r="C688" s="1214"/>
      <c r="D688" s="1267"/>
      <c r="E688" s="1214"/>
      <c r="F688" s="1214"/>
      <c r="G688" s="1214"/>
      <c r="H688" s="1214"/>
      <c r="I688" s="1214"/>
      <c r="J688" s="1214"/>
      <c r="K688" s="1214"/>
      <c r="L688" s="1214"/>
      <c r="M688" s="1214"/>
      <c r="N688" s="1214"/>
      <c r="O688" s="1214"/>
      <c r="P688" s="1214"/>
      <c r="Q688" s="1214"/>
      <c r="R688" s="1214"/>
      <c r="S688" s="1214"/>
      <c r="T688" s="1214"/>
      <c r="U688" s="1214"/>
      <c r="V688" s="1214"/>
      <c r="W688" s="1214"/>
      <c r="X688" s="1214"/>
      <c r="Y688" s="1214"/>
      <c r="Z688" s="1214"/>
    </row>
    <row r="689">
      <c r="A689" s="1214"/>
      <c r="B689" s="1214"/>
      <c r="C689" s="1214"/>
      <c r="D689" s="1267"/>
      <c r="E689" s="1214"/>
      <c r="F689" s="1214"/>
      <c r="G689" s="1214"/>
      <c r="H689" s="1214"/>
      <c r="I689" s="1214"/>
      <c r="J689" s="1214"/>
      <c r="K689" s="1214"/>
      <c r="L689" s="1214"/>
      <c r="M689" s="1214"/>
      <c r="N689" s="1214"/>
      <c r="O689" s="1214"/>
      <c r="P689" s="1214"/>
      <c r="Q689" s="1214"/>
      <c r="R689" s="1214"/>
      <c r="S689" s="1214"/>
      <c r="T689" s="1214"/>
      <c r="U689" s="1214"/>
      <c r="V689" s="1214"/>
      <c r="W689" s="1214"/>
      <c r="X689" s="1214"/>
      <c r="Y689" s="1214"/>
      <c r="Z689" s="1214"/>
    </row>
    <row r="690">
      <c r="A690" s="1214"/>
      <c r="B690" s="1214"/>
      <c r="C690" s="1214"/>
      <c r="D690" s="1267"/>
      <c r="E690" s="1214"/>
      <c r="F690" s="1214"/>
      <c r="G690" s="1214"/>
      <c r="H690" s="1214"/>
      <c r="I690" s="1214"/>
      <c r="J690" s="1214"/>
      <c r="K690" s="1214"/>
      <c r="L690" s="1214"/>
      <c r="M690" s="1214"/>
      <c r="N690" s="1214"/>
      <c r="O690" s="1214"/>
      <c r="P690" s="1214"/>
      <c r="Q690" s="1214"/>
      <c r="R690" s="1214"/>
      <c r="S690" s="1214"/>
      <c r="T690" s="1214"/>
      <c r="U690" s="1214"/>
      <c r="V690" s="1214"/>
      <c r="W690" s="1214"/>
      <c r="X690" s="1214"/>
      <c r="Y690" s="1214"/>
      <c r="Z690" s="1214"/>
    </row>
    <row r="691">
      <c r="A691" s="1214"/>
      <c r="B691" s="1214"/>
      <c r="C691" s="1214"/>
      <c r="D691" s="1267"/>
      <c r="E691" s="1214"/>
      <c r="F691" s="1214"/>
      <c r="G691" s="1214"/>
      <c r="H691" s="1214"/>
      <c r="I691" s="1214"/>
      <c r="J691" s="1214"/>
      <c r="K691" s="1214"/>
      <c r="L691" s="1214"/>
      <c r="M691" s="1214"/>
      <c r="N691" s="1214"/>
      <c r="O691" s="1214"/>
      <c r="P691" s="1214"/>
      <c r="Q691" s="1214"/>
      <c r="R691" s="1214"/>
      <c r="S691" s="1214"/>
      <c r="T691" s="1214"/>
      <c r="U691" s="1214"/>
      <c r="V691" s="1214"/>
      <c r="W691" s="1214"/>
      <c r="X691" s="1214"/>
      <c r="Y691" s="1214"/>
      <c r="Z691" s="1214"/>
    </row>
    <row r="692">
      <c r="A692" s="1214"/>
      <c r="B692" s="1214"/>
      <c r="C692" s="1214"/>
      <c r="D692" s="1267"/>
      <c r="E692" s="1214"/>
      <c r="F692" s="1214"/>
      <c r="G692" s="1214"/>
      <c r="H692" s="1214"/>
      <c r="I692" s="1214"/>
      <c r="J692" s="1214"/>
      <c r="K692" s="1214"/>
      <c r="L692" s="1214"/>
      <c r="M692" s="1214"/>
      <c r="N692" s="1214"/>
      <c r="O692" s="1214"/>
      <c r="P692" s="1214"/>
      <c r="Q692" s="1214"/>
      <c r="R692" s="1214"/>
      <c r="S692" s="1214"/>
      <c r="T692" s="1214"/>
      <c r="U692" s="1214"/>
      <c r="V692" s="1214"/>
      <c r="W692" s="1214"/>
      <c r="X692" s="1214"/>
      <c r="Y692" s="1214"/>
      <c r="Z692" s="1214"/>
    </row>
    <row r="693">
      <c r="A693" s="1214"/>
      <c r="B693" s="1214"/>
      <c r="C693" s="1214"/>
      <c r="D693" s="1267"/>
      <c r="E693" s="1214"/>
      <c r="F693" s="1214"/>
      <c r="G693" s="1214"/>
      <c r="H693" s="1214"/>
      <c r="I693" s="1214"/>
      <c r="J693" s="1214"/>
      <c r="K693" s="1214"/>
      <c r="L693" s="1214"/>
      <c r="M693" s="1214"/>
      <c r="N693" s="1214"/>
      <c r="O693" s="1214"/>
      <c r="P693" s="1214"/>
      <c r="Q693" s="1214"/>
      <c r="R693" s="1214"/>
      <c r="S693" s="1214"/>
      <c r="T693" s="1214"/>
      <c r="U693" s="1214"/>
      <c r="V693" s="1214"/>
      <c r="W693" s="1214"/>
      <c r="X693" s="1214"/>
      <c r="Y693" s="1214"/>
      <c r="Z693" s="1214"/>
    </row>
    <row r="694">
      <c r="A694" s="1214"/>
      <c r="B694" s="1214"/>
      <c r="C694" s="1214"/>
      <c r="D694" s="1267"/>
      <c r="E694" s="1214"/>
      <c r="F694" s="1214"/>
      <c r="G694" s="1214"/>
      <c r="H694" s="1214"/>
      <c r="I694" s="1214"/>
      <c r="J694" s="1214"/>
      <c r="K694" s="1214"/>
      <c r="L694" s="1214"/>
      <c r="M694" s="1214"/>
      <c r="N694" s="1214"/>
      <c r="O694" s="1214"/>
      <c r="P694" s="1214"/>
      <c r="Q694" s="1214"/>
      <c r="R694" s="1214"/>
      <c r="S694" s="1214"/>
      <c r="T694" s="1214"/>
      <c r="U694" s="1214"/>
      <c r="V694" s="1214"/>
      <c r="W694" s="1214"/>
      <c r="X694" s="1214"/>
      <c r="Y694" s="1214"/>
      <c r="Z694" s="1214"/>
    </row>
    <row r="695">
      <c r="A695" s="1214"/>
      <c r="B695" s="1214"/>
      <c r="C695" s="1214"/>
      <c r="D695" s="1267"/>
      <c r="E695" s="1214"/>
      <c r="F695" s="1214"/>
      <c r="G695" s="1214"/>
      <c r="H695" s="1214"/>
      <c r="I695" s="1214"/>
      <c r="J695" s="1214"/>
      <c r="K695" s="1214"/>
      <c r="L695" s="1214"/>
      <c r="M695" s="1214"/>
      <c r="N695" s="1214"/>
      <c r="O695" s="1214"/>
      <c r="P695" s="1214"/>
      <c r="Q695" s="1214"/>
      <c r="R695" s="1214"/>
      <c r="S695" s="1214"/>
      <c r="T695" s="1214"/>
      <c r="U695" s="1214"/>
      <c r="V695" s="1214"/>
      <c r="W695" s="1214"/>
      <c r="X695" s="1214"/>
      <c r="Y695" s="1214"/>
      <c r="Z695" s="1214"/>
    </row>
    <row r="696">
      <c r="A696" s="1214"/>
      <c r="B696" s="1214"/>
      <c r="C696" s="1214"/>
      <c r="D696" s="1267"/>
      <c r="E696" s="1214"/>
      <c r="F696" s="1214"/>
      <c r="G696" s="1214"/>
      <c r="H696" s="1214"/>
      <c r="I696" s="1214"/>
      <c r="J696" s="1214"/>
      <c r="K696" s="1214"/>
      <c r="L696" s="1214"/>
      <c r="M696" s="1214"/>
      <c r="N696" s="1214"/>
      <c r="O696" s="1214"/>
      <c r="P696" s="1214"/>
      <c r="Q696" s="1214"/>
      <c r="R696" s="1214"/>
      <c r="S696" s="1214"/>
      <c r="T696" s="1214"/>
      <c r="U696" s="1214"/>
      <c r="V696" s="1214"/>
      <c r="W696" s="1214"/>
      <c r="X696" s="1214"/>
      <c r="Y696" s="1214"/>
      <c r="Z696" s="1214"/>
    </row>
    <row r="697">
      <c r="A697" s="1214"/>
      <c r="B697" s="1214"/>
      <c r="C697" s="1214"/>
      <c r="D697" s="1267"/>
      <c r="E697" s="1214"/>
      <c r="F697" s="1214"/>
      <c r="G697" s="1214"/>
      <c r="H697" s="1214"/>
      <c r="I697" s="1214"/>
      <c r="J697" s="1214"/>
      <c r="K697" s="1214"/>
      <c r="L697" s="1214"/>
      <c r="M697" s="1214"/>
      <c r="N697" s="1214"/>
      <c r="O697" s="1214"/>
      <c r="P697" s="1214"/>
      <c r="Q697" s="1214"/>
      <c r="R697" s="1214"/>
      <c r="S697" s="1214"/>
      <c r="T697" s="1214"/>
      <c r="U697" s="1214"/>
      <c r="V697" s="1214"/>
      <c r="W697" s="1214"/>
      <c r="X697" s="1214"/>
      <c r="Y697" s="1214"/>
      <c r="Z697" s="1214"/>
    </row>
    <row r="698">
      <c r="A698" s="1214"/>
      <c r="B698" s="1214"/>
      <c r="C698" s="1214"/>
      <c r="D698" s="1267"/>
      <c r="E698" s="1214"/>
      <c r="F698" s="1214"/>
      <c r="G698" s="1214"/>
      <c r="H698" s="1214"/>
      <c r="I698" s="1214"/>
      <c r="J698" s="1214"/>
      <c r="K698" s="1214"/>
      <c r="L698" s="1214"/>
      <c r="M698" s="1214"/>
      <c r="N698" s="1214"/>
      <c r="O698" s="1214"/>
      <c r="P698" s="1214"/>
      <c r="Q698" s="1214"/>
      <c r="R698" s="1214"/>
      <c r="S698" s="1214"/>
      <c r="T698" s="1214"/>
      <c r="U698" s="1214"/>
      <c r="V698" s="1214"/>
      <c r="W698" s="1214"/>
      <c r="X698" s="1214"/>
      <c r="Y698" s="1214"/>
      <c r="Z698" s="1214"/>
    </row>
    <row r="699">
      <c r="A699" s="1214"/>
      <c r="B699" s="1214"/>
      <c r="C699" s="1214"/>
      <c r="D699" s="1267"/>
      <c r="E699" s="1214"/>
      <c r="F699" s="1214"/>
      <c r="G699" s="1214"/>
      <c r="H699" s="1214"/>
      <c r="I699" s="1214"/>
      <c r="J699" s="1214"/>
      <c r="K699" s="1214"/>
      <c r="L699" s="1214"/>
      <c r="M699" s="1214"/>
      <c r="N699" s="1214"/>
      <c r="O699" s="1214"/>
      <c r="P699" s="1214"/>
      <c r="Q699" s="1214"/>
      <c r="R699" s="1214"/>
      <c r="S699" s="1214"/>
      <c r="T699" s="1214"/>
      <c r="U699" s="1214"/>
      <c r="V699" s="1214"/>
      <c r="W699" s="1214"/>
      <c r="X699" s="1214"/>
      <c r="Y699" s="1214"/>
      <c r="Z699" s="1214"/>
    </row>
    <row r="700">
      <c r="A700" s="1214"/>
      <c r="B700" s="1214"/>
      <c r="C700" s="1214"/>
      <c r="D700" s="1267"/>
      <c r="E700" s="1214"/>
      <c r="F700" s="1214"/>
      <c r="G700" s="1214"/>
      <c r="H700" s="1214"/>
      <c r="I700" s="1214"/>
      <c r="J700" s="1214"/>
      <c r="K700" s="1214"/>
      <c r="L700" s="1214"/>
      <c r="M700" s="1214"/>
      <c r="N700" s="1214"/>
      <c r="O700" s="1214"/>
      <c r="P700" s="1214"/>
      <c r="Q700" s="1214"/>
      <c r="R700" s="1214"/>
      <c r="S700" s="1214"/>
      <c r="T700" s="1214"/>
      <c r="U700" s="1214"/>
      <c r="V700" s="1214"/>
      <c r="W700" s="1214"/>
      <c r="X700" s="1214"/>
      <c r="Y700" s="1214"/>
      <c r="Z700" s="1214"/>
    </row>
    <row r="701">
      <c r="A701" s="1214"/>
      <c r="B701" s="1214"/>
      <c r="C701" s="1214"/>
      <c r="D701" s="1267"/>
      <c r="E701" s="1214"/>
      <c r="F701" s="1214"/>
      <c r="G701" s="1214"/>
      <c r="H701" s="1214"/>
      <c r="I701" s="1214"/>
      <c r="J701" s="1214"/>
      <c r="K701" s="1214"/>
      <c r="L701" s="1214"/>
      <c r="M701" s="1214"/>
      <c r="N701" s="1214"/>
      <c r="O701" s="1214"/>
      <c r="P701" s="1214"/>
      <c r="Q701" s="1214"/>
      <c r="R701" s="1214"/>
      <c r="S701" s="1214"/>
      <c r="T701" s="1214"/>
      <c r="U701" s="1214"/>
      <c r="V701" s="1214"/>
      <c r="W701" s="1214"/>
      <c r="X701" s="1214"/>
      <c r="Y701" s="1214"/>
      <c r="Z701" s="1214"/>
    </row>
    <row r="702">
      <c r="A702" s="1214"/>
      <c r="B702" s="1214"/>
      <c r="C702" s="1214"/>
      <c r="D702" s="1267"/>
      <c r="E702" s="1214"/>
      <c r="F702" s="1214"/>
      <c r="G702" s="1214"/>
      <c r="H702" s="1214"/>
      <c r="I702" s="1214"/>
      <c r="J702" s="1214"/>
      <c r="K702" s="1214"/>
      <c r="L702" s="1214"/>
      <c r="M702" s="1214"/>
      <c r="N702" s="1214"/>
      <c r="O702" s="1214"/>
      <c r="P702" s="1214"/>
      <c r="Q702" s="1214"/>
      <c r="R702" s="1214"/>
      <c r="S702" s="1214"/>
      <c r="T702" s="1214"/>
      <c r="U702" s="1214"/>
      <c r="V702" s="1214"/>
      <c r="W702" s="1214"/>
      <c r="X702" s="1214"/>
      <c r="Y702" s="1214"/>
      <c r="Z702" s="1214"/>
    </row>
    <row r="703">
      <c r="A703" s="1214"/>
      <c r="B703" s="1214"/>
      <c r="C703" s="1214"/>
      <c r="D703" s="1267"/>
      <c r="E703" s="1214"/>
      <c r="F703" s="1214"/>
      <c r="G703" s="1214"/>
      <c r="H703" s="1214"/>
      <c r="I703" s="1214"/>
      <c r="J703" s="1214"/>
      <c r="K703" s="1214"/>
      <c r="L703" s="1214"/>
      <c r="M703" s="1214"/>
      <c r="N703" s="1214"/>
      <c r="O703" s="1214"/>
      <c r="P703" s="1214"/>
      <c r="Q703" s="1214"/>
      <c r="R703" s="1214"/>
      <c r="S703" s="1214"/>
      <c r="T703" s="1214"/>
      <c r="U703" s="1214"/>
      <c r="V703" s="1214"/>
      <c r="W703" s="1214"/>
      <c r="X703" s="1214"/>
      <c r="Y703" s="1214"/>
      <c r="Z703" s="1214"/>
    </row>
    <row r="704">
      <c r="A704" s="1214"/>
      <c r="B704" s="1214"/>
      <c r="C704" s="1214"/>
      <c r="D704" s="1267"/>
      <c r="E704" s="1214"/>
      <c r="F704" s="1214"/>
      <c r="G704" s="1214"/>
      <c r="H704" s="1214"/>
      <c r="I704" s="1214"/>
      <c r="J704" s="1214"/>
      <c r="K704" s="1214"/>
      <c r="L704" s="1214"/>
      <c r="M704" s="1214"/>
      <c r="N704" s="1214"/>
      <c r="O704" s="1214"/>
      <c r="P704" s="1214"/>
      <c r="Q704" s="1214"/>
      <c r="R704" s="1214"/>
      <c r="S704" s="1214"/>
      <c r="T704" s="1214"/>
      <c r="U704" s="1214"/>
      <c r="V704" s="1214"/>
      <c r="W704" s="1214"/>
      <c r="X704" s="1214"/>
      <c r="Y704" s="1214"/>
      <c r="Z704" s="1214"/>
    </row>
    <row r="705">
      <c r="A705" s="1214"/>
      <c r="B705" s="1214"/>
      <c r="C705" s="1214"/>
      <c r="D705" s="1267"/>
      <c r="E705" s="1214"/>
      <c r="F705" s="1214"/>
      <c r="G705" s="1214"/>
      <c r="H705" s="1214"/>
      <c r="I705" s="1214"/>
      <c r="J705" s="1214"/>
      <c r="K705" s="1214"/>
      <c r="L705" s="1214"/>
      <c r="M705" s="1214"/>
      <c r="N705" s="1214"/>
      <c r="O705" s="1214"/>
      <c r="P705" s="1214"/>
      <c r="Q705" s="1214"/>
      <c r="R705" s="1214"/>
      <c r="S705" s="1214"/>
      <c r="T705" s="1214"/>
      <c r="U705" s="1214"/>
      <c r="V705" s="1214"/>
      <c r="W705" s="1214"/>
      <c r="X705" s="1214"/>
      <c r="Y705" s="1214"/>
      <c r="Z705" s="1214"/>
    </row>
    <row r="706">
      <c r="A706" s="1214"/>
      <c r="B706" s="1214"/>
      <c r="C706" s="1214"/>
      <c r="D706" s="1267"/>
      <c r="E706" s="1214"/>
      <c r="F706" s="1214"/>
      <c r="G706" s="1214"/>
      <c r="H706" s="1214"/>
      <c r="I706" s="1214"/>
      <c r="J706" s="1214"/>
      <c r="K706" s="1214"/>
      <c r="L706" s="1214"/>
      <c r="M706" s="1214"/>
      <c r="N706" s="1214"/>
      <c r="O706" s="1214"/>
      <c r="P706" s="1214"/>
      <c r="Q706" s="1214"/>
      <c r="R706" s="1214"/>
      <c r="S706" s="1214"/>
      <c r="T706" s="1214"/>
      <c r="U706" s="1214"/>
      <c r="V706" s="1214"/>
      <c r="W706" s="1214"/>
      <c r="X706" s="1214"/>
      <c r="Y706" s="1214"/>
      <c r="Z706" s="1214"/>
    </row>
    <row r="707">
      <c r="A707" s="1214"/>
      <c r="B707" s="1214"/>
      <c r="C707" s="1214"/>
      <c r="D707" s="1267"/>
      <c r="E707" s="1214"/>
      <c r="F707" s="1214"/>
      <c r="G707" s="1214"/>
      <c r="H707" s="1214"/>
      <c r="I707" s="1214"/>
      <c r="J707" s="1214"/>
      <c r="K707" s="1214"/>
      <c r="L707" s="1214"/>
      <c r="M707" s="1214"/>
      <c r="N707" s="1214"/>
      <c r="O707" s="1214"/>
      <c r="P707" s="1214"/>
      <c r="Q707" s="1214"/>
      <c r="R707" s="1214"/>
      <c r="S707" s="1214"/>
      <c r="T707" s="1214"/>
      <c r="U707" s="1214"/>
      <c r="V707" s="1214"/>
      <c r="W707" s="1214"/>
      <c r="X707" s="1214"/>
      <c r="Y707" s="1214"/>
      <c r="Z707" s="1214"/>
    </row>
    <row r="708">
      <c r="A708" s="1214"/>
      <c r="B708" s="1214"/>
      <c r="C708" s="1214"/>
      <c r="D708" s="1267"/>
      <c r="E708" s="1214"/>
      <c r="F708" s="1214"/>
      <c r="G708" s="1214"/>
      <c r="H708" s="1214"/>
      <c r="I708" s="1214"/>
      <c r="J708" s="1214"/>
      <c r="K708" s="1214"/>
      <c r="L708" s="1214"/>
      <c r="M708" s="1214"/>
      <c r="N708" s="1214"/>
      <c r="O708" s="1214"/>
      <c r="P708" s="1214"/>
      <c r="Q708" s="1214"/>
      <c r="R708" s="1214"/>
      <c r="S708" s="1214"/>
      <c r="T708" s="1214"/>
      <c r="U708" s="1214"/>
      <c r="V708" s="1214"/>
      <c r="W708" s="1214"/>
      <c r="X708" s="1214"/>
      <c r="Y708" s="1214"/>
      <c r="Z708" s="1214"/>
    </row>
    <row r="709">
      <c r="A709" s="1214"/>
      <c r="B709" s="1214"/>
      <c r="C709" s="1214"/>
      <c r="D709" s="1267"/>
      <c r="E709" s="1214"/>
      <c r="F709" s="1214"/>
      <c r="G709" s="1214"/>
      <c r="H709" s="1214"/>
      <c r="I709" s="1214"/>
      <c r="J709" s="1214"/>
      <c r="K709" s="1214"/>
      <c r="L709" s="1214"/>
      <c r="M709" s="1214"/>
      <c r="N709" s="1214"/>
      <c r="O709" s="1214"/>
      <c r="P709" s="1214"/>
      <c r="Q709" s="1214"/>
      <c r="R709" s="1214"/>
      <c r="S709" s="1214"/>
      <c r="T709" s="1214"/>
      <c r="U709" s="1214"/>
      <c r="V709" s="1214"/>
      <c r="W709" s="1214"/>
      <c r="X709" s="1214"/>
      <c r="Y709" s="1214"/>
      <c r="Z709" s="1214"/>
    </row>
    <row r="710">
      <c r="A710" s="1214"/>
      <c r="B710" s="1214"/>
      <c r="C710" s="1214"/>
      <c r="D710" s="1267"/>
      <c r="E710" s="1214"/>
      <c r="F710" s="1214"/>
      <c r="G710" s="1214"/>
      <c r="H710" s="1214"/>
      <c r="I710" s="1214"/>
      <c r="J710" s="1214"/>
      <c r="K710" s="1214"/>
      <c r="L710" s="1214"/>
      <c r="M710" s="1214"/>
      <c r="N710" s="1214"/>
      <c r="O710" s="1214"/>
      <c r="P710" s="1214"/>
      <c r="Q710" s="1214"/>
      <c r="R710" s="1214"/>
      <c r="S710" s="1214"/>
      <c r="T710" s="1214"/>
      <c r="U710" s="1214"/>
      <c r="V710" s="1214"/>
      <c r="W710" s="1214"/>
      <c r="X710" s="1214"/>
      <c r="Y710" s="1214"/>
      <c r="Z710" s="1214"/>
    </row>
    <row r="711">
      <c r="A711" s="1214"/>
      <c r="B711" s="1214"/>
      <c r="C711" s="1214"/>
      <c r="D711" s="1267"/>
      <c r="E711" s="1214"/>
      <c r="F711" s="1214"/>
      <c r="G711" s="1214"/>
      <c r="H711" s="1214"/>
      <c r="I711" s="1214"/>
      <c r="J711" s="1214"/>
      <c r="K711" s="1214"/>
      <c r="L711" s="1214"/>
      <c r="M711" s="1214"/>
      <c r="N711" s="1214"/>
      <c r="O711" s="1214"/>
      <c r="P711" s="1214"/>
      <c r="Q711" s="1214"/>
      <c r="R711" s="1214"/>
      <c r="S711" s="1214"/>
      <c r="T711" s="1214"/>
      <c r="U711" s="1214"/>
      <c r="V711" s="1214"/>
      <c r="W711" s="1214"/>
      <c r="X711" s="1214"/>
      <c r="Y711" s="1214"/>
      <c r="Z711" s="1214"/>
    </row>
    <row r="712">
      <c r="A712" s="1214"/>
      <c r="B712" s="1214"/>
      <c r="C712" s="1214"/>
      <c r="D712" s="1267"/>
      <c r="E712" s="1214"/>
      <c r="F712" s="1214"/>
      <c r="G712" s="1214"/>
      <c r="H712" s="1214"/>
      <c r="I712" s="1214"/>
      <c r="J712" s="1214"/>
      <c r="K712" s="1214"/>
      <c r="L712" s="1214"/>
      <c r="M712" s="1214"/>
      <c r="N712" s="1214"/>
      <c r="O712" s="1214"/>
      <c r="P712" s="1214"/>
      <c r="Q712" s="1214"/>
      <c r="R712" s="1214"/>
      <c r="S712" s="1214"/>
      <c r="T712" s="1214"/>
      <c r="U712" s="1214"/>
      <c r="V712" s="1214"/>
      <c r="W712" s="1214"/>
      <c r="X712" s="1214"/>
      <c r="Y712" s="1214"/>
      <c r="Z712" s="1214"/>
    </row>
    <row r="713">
      <c r="A713" s="1214"/>
      <c r="B713" s="1214"/>
      <c r="C713" s="1214"/>
      <c r="D713" s="1267"/>
      <c r="E713" s="1214"/>
      <c r="F713" s="1214"/>
      <c r="G713" s="1214"/>
      <c r="H713" s="1214"/>
      <c r="I713" s="1214"/>
      <c r="J713" s="1214"/>
      <c r="K713" s="1214"/>
      <c r="L713" s="1214"/>
      <c r="M713" s="1214"/>
      <c r="N713" s="1214"/>
      <c r="O713" s="1214"/>
      <c r="P713" s="1214"/>
      <c r="Q713" s="1214"/>
      <c r="R713" s="1214"/>
      <c r="S713" s="1214"/>
      <c r="T713" s="1214"/>
      <c r="U713" s="1214"/>
      <c r="V713" s="1214"/>
      <c r="W713" s="1214"/>
      <c r="X713" s="1214"/>
      <c r="Y713" s="1214"/>
      <c r="Z713" s="1214"/>
    </row>
    <row r="714">
      <c r="A714" s="1214"/>
      <c r="B714" s="1214"/>
      <c r="C714" s="1214"/>
      <c r="D714" s="1267"/>
      <c r="E714" s="1214"/>
      <c r="F714" s="1214"/>
      <c r="G714" s="1214"/>
      <c r="H714" s="1214"/>
      <c r="I714" s="1214"/>
      <c r="J714" s="1214"/>
      <c r="K714" s="1214"/>
      <c r="L714" s="1214"/>
      <c r="M714" s="1214"/>
      <c r="N714" s="1214"/>
      <c r="O714" s="1214"/>
      <c r="P714" s="1214"/>
      <c r="Q714" s="1214"/>
      <c r="R714" s="1214"/>
      <c r="S714" s="1214"/>
      <c r="T714" s="1214"/>
      <c r="U714" s="1214"/>
      <c r="V714" s="1214"/>
      <c r="W714" s="1214"/>
      <c r="X714" s="1214"/>
      <c r="Y714" s="1214"/>
      <c r="Z714" s="1214"/>
    </row>
    <row r="715">
      <c r="A715" s="1214"/>
      <c r="B715" s="1214"/>
      <c r="C715" s="1214"/>
      <c r="D715" s="1267"/>
      <c r="E715" s="1214"/>
      <c r="F715" s="1214"/>
      <c r="G715" s="1214"/>
      <c r="H715" s="1214"/>
      <c r="I715" s="1214"/>
      <c r="J715" s="1214"/>
      <c r="K715" s="1214"/>
      <c r="L715" s="1214"/>
      <c r="M715" s="1214"/>
      <c r="N715" s="1214"/>
      <c r="O715" s="1214"/>
      <c r="P715" s="1214"/>
      <c r="Q715" s="1214"/>
      <c r="R715" s="1214"/>
      <c r="S715" s="1214"/>
      <c r="T715" s="1214"/>
      <c r="U715" s="1214"/>
      <c r="V715" s="1214"/>
      <c r="W715" s="1214"/>
      <c r="X715" s="1214"/>
      <c r="Y715" s="1214"/>
      <c r="Z715" s="1214"/>
    </row>
    <row r="716">
      <c r="A716" s="1214"/>
      <c r="B716" s="1214"/>
      <c r="C716" s="1214"/>
      <c r="D716" s="1267"/>
      <c r="E716" s="1214"/>
      <c r="F716" s="1214"/>
      <c r="G716" s="1214"/>
      <c r="H716" s="1214"/>
      <c r="I716" s="1214"/>
      <c r="J716" s="1214"/>
      <c r="K716" s="1214"/>
      <c r="L716" s="1214"/>
      <c r="M716" s="1214"/>
      <c r="N716" s="1214"/>
      <c r="O716" s="1214"/>
      <c r="P716" s="1214"/>
      <c r="Q716" s="1214"/>
      <c r="R716" s="1214"/>
      <c r="S716" s="1214"/>
      <c r="T716" s="1214"/>
      <c r="U716" s="1214"/>
      <c r="V716" s="1214"/>
      <c r="W716" s="1214"/>
      <c r="X716" s="1214"/>
      <c r="Y716" s="1214"/>
      <c r="Z716" s="1214"/>
    </row>
    <row r="717">
      <c r="A717" s="1214"/>
      <c r="B717" s="1214"/>
      <c r="C717" s="1214"/>
      <c r="D717" s="1267"/>
      <c r="E717" s="1214"/>
      <c r="F717" s="1214"/>
      <c r="G717" s="1214"/>
      <c r="H717" s="1214"/>
      <c r="I717" s="1214"/>
      <c r="J717" s="1214"/>
      <c r="K717" s="1214"/>
      <c r="L717" s="1214"/>
      <c r="M717" s="1214"/>
      <c r="N717" s="1214"/>
      <c r="O717" s="1214"/>
      <c r="P717" s="1214"/>
      <c r="Q717" s="1214"/>
      <c r="R717" s="1214"/>
      <c r="S717" s="1214"/>
      <c r="T717" s="1214"/>
      <c r="U717" s="1214"/>
      <c r="V717" s="1214"/>
      <c r="W717" s="1214"/>
      <c r="X717" s="1214"/>
      <c r="Y717" s="1214"/>
      <c r="Z717" s="1214"/>
    </row>
    <row r="718">
      <c r="A718" s="1214"/>
      <c r="B718" s="1214"/>
      <c r="C718" s="1214"/>
      <c r="D718" s="1267"/>
      <c r="E718" s="1214"/>
      <c r="F718" s="1214"/>
      <c r="G718" s="1214"/>
      <c r="H718" s="1214"/>
      <c r="I718" s="1214"/>
      <c r="J718" s="1214"/>
      <c r="K718" s="1214"/>
      <c r="L718" s="1214"/>
      <c r="M718" s="1214"/>
      <c r="N718" s="1214"/>
      <c r="O718" s="1214"/>
      <c r="P718" s="1214"/>
      <c r="Q718" s="1214"/>
      <c r="R718" s="1214"/>
      <c r="S718" s="1214"/>
      <c r="T718" s="1214"/>
      <c r="U718" s="1214"/>
      <c r="V718" s="1214"/>
      <c r="W718" s="1214"/>
      <c r="X718" s="1214"/>
      <c r="Y718" s="1214"/>
      <c r="Z718" s="1214"/>
    </row>
    <row r="719">
      <c r="A719" s="1214"/>
      <c r="B719" s="1214"/>
      <c r="C719" s="1214"/>
      <c r="D719" s="1267"/>
      <c r="E719" s="1214"/>
      <c r="F719" s="1214"/>
      <c r="G719" s="1214"/>
      <c r="H719" s="1214"/>
      <c r="I719" s="1214"/>
      <c r="J719" s="1214"/>
      <c r="K719" s="1214"/>
      <c r="L719" s="1214"/>
      <c r="M719" s="1214"/>
      <c r="N719" s="1214"/>
      <c r="O719" s="1214"/>
      <c r="P719" s="1214"/>
      <c r="Q719" s="1214"/>
      <c r="R719" s="1214"/>
      <c r="S719" s="1214"/>
      <c r="T719" s="1214"/>
      <c r="U719" s="1214"/>
      <c r="V719" s="1214"/>
      <c r="W719" s="1214"/>
      <c r="X719" s="1214"/>
      <c r="Y719" s="1214"/>
      <c r="Z719" s="1214"/>
    </row>
    <row r="720">
      <c r="A720" s="1214"/>
      <c r="B720" s="1214"/>
      <c r="C720" s="1214"/>
      <c r="D720" s="1267"/>
      <c r="E720" s="1214"/>
      <c r="F720" s="1214"/>
      <c r="G720" s="1214"/>
      <c r="H720" s="1214"/>
      <c r="I720" s="1214"/>
      <c r="J720" s="1214"/>
      <c r="K720" s="1214"/>
      <c r="L720" s="1214"/>
      <c r="M720" s="1214"/>
      <c r="N720" s="1214"/>
      <c r="O720" s="1214"/>
      <c r="P720" s="1214"/>
      <c r="Q720" s="1214"/>
      <c r="R720" s="1214"/>
      <c r="S720" s="1214"/>
      <c r="T720" s="1214"/>
      <c r="U720" s="1214"/>
      <c r="V720" s="1214"/>
      <c r="W720" s="1214"/>
      <c r="X720" s="1214"/>
      <c r="Y720" s="1214"/>
      <c r="Z720" s="1214"/>
    </row>
    <row r="721">
      <c r="A721" s="1214"/>
      <c r="B721" s="1214"/>
      <c r="C721" s="1214"/>
      <c r="D721" s="1267"/>
      <c r="E721" s="1214"/>
      <c r="F721" s="1214"/>
      <c r="G721" s="1214"/>
      <c r="H721" s="1214"/>
      <c r="I721" s="1214"/>
      <c r="J721" s="1214"/>
      <c r="K721" s="1214"/>
      <c r="L721" s="1214"/>
      <c r="M721" s="1214"/>
      <c r="N721" s="1214"/>
      <c r="O721" s="1214"/>
      <c r="P721" s="1214"/>
      <c r="Q721" s="1214"/>
      <c r="R721" s="1214"/>
      <c r="S721" s="1214"/>
      <c r="T721" s="1214"/>
      <c r="U721" s="1214"/>
      <c r="V721" s="1214"/>
      <c r="W721" s="1214"/>
      <c r="X721" s="1214"/>
      <c r="Y721" s="1214"/>
      <c r="Z721" s="1214"/>
    </row>
    <row r="722">
      <c r="A722" s="1214"/>
      <c r="B722" s="1214"/>
      <c r="C722" s="1214"/>
      <c r="D722" s="1267"/>
      <c r="E722" s="1214"/>
      <c r="F722" s="1214"/>
      <c r="G722" s="1214"/>
      <c r="H722" s="1214"/>
      <c r="I722" s="1214"/>
      <c r="J722" s="1214"/>
      <c r="K722" s="1214"/>
      <c r="L722" s="1214"/>
      <c r="M722" s="1214"/>
      <c r="N722" s="1214"/>
      <c r="O722" s="1214"/>
      <c r="P722" s="1214"/>
      <c r="Q722" s="1214"/>
      <c r="R722" s="1214"/>
      <c r="S722" s="1214"/>
      <c r="T722" s="1214"/>
      <c r="U722" s="1214"/>
      <c r="V722" s="1214"/>
      <c r="W722" s="1214"/>
      <c r="X722" s="1214"/>
      <c r="Y722" s="1214"/>
      <c r="Z722" s="1214"/>
    </row>
    <row r="723">
      <c r="A723" s="1214"/>
      <c r="B723" s="1214"/>
      <c r="C723" s="1214"/>
      <c r="D723" s="1267"/>
      <c r="E723" s="1214"/>
      <c r="F723" s="1214"/>
      <c r="G723" s="1214"/>
      <c r="H723" s="1214"/>
      <c r="I723" s="1214"/>
      <c r="J723" s="1214"/>
      <c r="K723" s="1214"/>
      <c r="L723" s="1214"/>
      <c r="M723" s="1214"/>
      <c r="N723" s="1214"/>
      <c r="O723" s="1214"/>
      <c r="P723" s="1214"/>
      <c r="Q723" s="1214"/>
      <c r="R723" s="1214"/>
      <c r="S723" s="1214"/>
      <c r="T723" s="1214"/>
      <c r="U723" s="1214"/>
      <c r="V723" s="1214"/>
      <c r="W723" s="1214"/>
      <c r="X723" s="1214"/>
      <c r="Y723" s="1214"/>
      <c r="Z723" s="1214"/>
    </row>
    <row r="724">
      <c r="A724" s="1214"/>
      <c r="B724" s="1214"/>
      <c r="C724" s="1214"/>
      <c r="D724" s="1267"/>
      <c r="E724" s="1214"/>
      <c r="F724" s="1214"/>
      <c r="G724" s="1214"/>
      <c r="H724" s="1214"/>
      <c r="I724" s="1214"/>
      <c r="J724" s="1214"/>
      <c r="K724" s="1214"/>
      <c r="L724" s="1214"/>
      <c r="M724" s="1214"/>
      <c r="N724" s="1214"/>
      <c r="O724" s="1214"/>
      <c r="P724" s="1214"/>
      <c r="Q724" s="1214"/>
      <c r="R724" s="1214"/>
      <c r="S724" s="1214"/>
      <c r="T724" s="1214"/>
      <c r="U724" s="1214"/>
      <c r="V724" s="1214"/>
      <c r="W724" s="1214"/>
      <c r="X724" s="1214"/>
      <c r="Y724" s="1214"/>
      <c r="Z724" s="1214"/>
    </row>
    <row r="725">
      <c r="A725" s="1214"/>
      <c r="B725" s="1214"/>
      <c r="C725" s="1214"/>
      <c r="D725" s="1267"/>
      <c r="E725" s="1214"/>
      <c r="F725" s="1214"/>
      <c r="G725" s="1214"/>
      <c r="H725" s="1214"/>
      <c r="I725" s="1214"/>
      <c r="J725" s="1214"/>
      <c r="K725" s="1214"/>
      <c r="L725" s="1214"/>
      <c r="M725" s="1214"/>
      <c r="N725" s="1214"/>
      <c r="O725" s="1214"/>
      <c r="P725" s="1214"/>
      <c r="Q725" s="1214"/>
      <c r="R725" s="1214"/>
      <c r="S725" s="1214"/>
      <c r="T725" s="1214"/>
      <c r="U725" s="1214"/>
      <c r="V725" s="1214"/>
      <c r="W725" s="1214"/>
      <c r="X725" s="1214"/>
      <c r="Y725" s="1214"/>
      <c r="Z725" s="1214"/>
    </row>
    <row r="726">
      <c r="A726" s="1214"/>
      <c r="B726" s="1214"/>
      <c r="C726" s="1214"/>
      <c r="D726" s="1267"/>
      <c r="E726" s="1214"/>
      <c r="F726" s="1214"/>
      <c r="G726" s="1214"/>
      <c r="H726" s="1214"/>
      <c r="I726" s="1214"/>
      <c r="J726" s="1214"/>
      <c r="K726" s="1214"/>
      <c r="L726" s="1214"/>
      <c r="M726" s="1214"/>
      <c r="N726" s="1214"/>
      <c r="O726" s="1214"/>
      <c r="P726" s="1214"/>
      <c r="Q726" s="1214"/>
      <c r="R726" s="1214"/>
      <c r="S726" s="1214"/>
      <c r="T726" s="1214"/>
      <c r="U726" s="1214"/>
      <c r="V726" s="1214"/>
      <c r="W726" s="1214"/>
      <c r="X726" s="1214"/>
      <c r="Y726" s="1214"/>
      <c r="Z726" s="1214"/>
    </row>
    <row r="727">
      <c r="A727" s="1214"/>
      <c r="B727" s="1214"/>
      <c r="C727" s="1214"/>
      <c r="D727" s="1267"/>
      <c r="E727" s="1214"/>
      <c r="F727" s="1214"/>
      <c r="G727" s="1214"/>
      <c r="H727" s="1214"/>
      <c r="I727" s="1214"/>
      <c r="J727" s="1214"/>
      <c r="K727" s="1214"/>
      <c r="L727" s="1214"/>
      <c r="M727" s="1214"/>
      <c r="N727" s="1214"/>
      <c r="O727" s="1214"/>
      <c r="P727" s="1214"/>
      <c r="Q727" s="1214"/>
      <c r="R727" s="1214"/>
      <c r="S727" s="1214"/>
      <c r="T727" s="1214"/>
      <c r="U727" s="1214"/>
      <c r="V727" s="1214"/>
      <c r="W727" s="1214"/>
      <c r="X727" s="1214"/>
      <c r="Y727" s="1214"/>
      <c r="Z727" s="1214"/>
    </row>
    <row r="728">
      <c r="A728" s="1214"/>
      <c r="B728" s="1214"/>
      <c r="C728" s="1214"/>
      <c r="D728" s="1267"/>
      <c r="E728" s="1214"/>
      <c r="F728" s="1214"/>
      <c r="G728" s="1214"/>
      <c r="H728" s="1214"/>
      <c r="I728" s="1214"/>
      <c r="J728" s="1214"/>
      <c r="K728" s="1214"/>
      <c r="L728" s="1214"/>
      <c r="M728" s="1214"/>
      <c r="N728" s="1214"/>
      <c r="O728" s="1214"/>
      <c r="P728" s="1214"/>
      <c r="Q728" s="1214"/>
      <c r="R728" s="1214"/>
      <c r="S728" s="1214"/>
      <c r="T728" s="1214"/>
      <c r="U728" s="1214"/>
      <c r="V728" s="1214"/>
      <c r="W728" s="1214"/>
      <c r="X728" s="1214"/>
      <c r="Y728" s="1214"/>
      <c r="Z728" s="1214"/>
    </row>
    <row r="729">
      <c r="A729" s="1214"/>
      <c r="B729" s="1214"/>
      <c r="C729" s="1214"/>
      <c r="D729" s="1267"/>
      <c r="E729" s="1214"/>
      <c r="F729" s="1214"/>
      <c r="G729" s="1214"/>
      <c r="H729" s="1214"/>
      <c r="I729" s="1214"/>
      <c r="J729" s="1214"/>
      <c r="K729" s="1214"/>
      <c r="L729" s="1214"/>
      <c r="M729" s="1214"/>
      <c r="N729" s="1214"/>
      <c r="O729" s="1214"/>
      <c r="P729" s="1214"/>
      <c r="Q729" s="1214"/>
      <c r="R729" s="1214"/>
      <c r="S729" s="1214"/>
      <c r="T729" s="1214"/>
      <c r="U729" s="1214"/>
      <c r="V729" s="1214"/>
      <c r="W729" s="1214"/>
      <c r="X729" s="1214"/>
      <c r="Y729" s="1214"/>
      <c r="Z729" s="1214"/>
    </row>
    <row r="730">
      <c r="A730" s="1214"/>
      <c r="B730" s="1214"/>
      <c r="C730" s="1214"/>
      <c r="D730" s="1267"/>
      <c r="E730" s="1214"/>
      <c r="F730" s="1214"/>
      <c r="G730" s="1214"/>
      <c r="H730" s="1214"/>
      <c r="I730" s="1214"/>
      <c r="J730" s="1214"/>
      <c r="K730" s="1214"/>
      <c r="L730" s="1214"/>
      <c r="M730" s="1214"/>
      <c r="N730" s="1214"/>
      <c r="O730" s="1214"/>
      <c r="P730" s="1214"/>
      <c r="Q730" s="1214"/>
      <c r="R730" s="1214"/>
      <c r="S730" s="1214"/>
      <c r="T730" s="1214"/>
      <c r="U730" s="1214"/>
      <c r="V730" s="1214"/>
      <c r="W730" s="1214"/>
      <c r="X730" s="1214"/>
      <c r="Y730" s="1214"/>
      <c r="Z730" s="1214"/>
    </row>
    <row r="731">
      <c r="A731" s="1214"/>
      <c r="B731" s="1214"/>
      <c r="C731" s="1214"/>
      <c r="D731" s="1267"/>
      <c r="E731" s="1214"/>
      <c r="F731" s="1214"/>
      <c r="G731" s="1214"/>
      <c r="H731" s="1214"/>
      <c r="I731" s="1214"/>
      <c r="J731" s="1214"/>
      <c r="K731" s="1214"/>
      <c r="L731" s="1214"/>
      <c r="M731" s="1214"/>
      <c r="N731" s="1214"/>
      <c r="O731" s="1214"/>
      <c r="P731" s="1214"/>
      <c r="Q731" s="1214"/>
      <c r="R731" s="1214"/>
      <c r="S731" s="1214"/>
      <c r="T731" s="1214"/>
      <c r="U731" s="1214"/>
      <c r="V731" s="1214"/>
      <c r="W731" s="1214"/>
      <c r="X731" s="1214"/>
      <c r="Y731" s="1214"/>
      <c r="Z731" s="1214"/>
    </row>
    <row r="732">
      <c r="A732" s="1214"/>
      <c r="B732" s="1214"/>
      <c r="C732" s="1214"/>
      <c r="D732" s="1267"/>
      <c r="E732" s="1214"/>
      <c r="F732" s="1214"/>
      <c r="G732" s="1214"/>
      <c r="H732" s="1214"/>
      <c r="I732" s="1214"/>
      <c r="J732" s="1214"/>
      <c r="K732" s="1214"/>
      <c r="L732" s="1214"/>
      <c r="M732" s="1214"/>
      <c r="N732" s="1214"/>
      <c r="O732" s="1214"/>
      <c r="P732" s="1214"/>
      <c r="Q732" s="1214"/>
      <c r="R732" s="1214"/>
      <c r="S732" s="1214"/>
      <c r="T732" s="1214"/>
      <c r="U732" s="1214"/>
      <c r="V732" s="1214"/>
      <c r="W732" s="1214"/>
      <c r="X732" s="1214"/>
      <c r="Y732" s="1214"/>
      <c r="Z732" s="1214"/>
    </row>
    <row r="733">
      <c r="A733" s="1214"/>
      <c r="B733" s="1214"/>
      <c r="C733" s="1214"/>
      <c r="D733" s="1267"/>
      <c r="E733" s="1214"/>
      <c r="F733" s="1214"/>
      <c r="G733" s="1214"/>
      <c r="H733" s="1214"/>
      <c r="I733" s="1214"/>
      <c r="J733" s="1214"/>
      <c r="K733" s="1214"/>
      <c r="L733" s="1214"/>
      <c r="M733" s="1214"/>
      <c r="N733" s="1214"/>
      <c r="O733" s="1214"/>
      <c r="P733" s="1214"/>
      <c r="Q733" s="1214"/>
      <c r="R733" s="1214"/>
      <c r="S733" s="1214"/>
      <c r="T733" s="1214"/>
      <c r="U733" s="1214"/>
      <c r="V733" s="1214"/>
      <c r="W733" s="1214"/>
      <c r="X733" s="1214"/>
      <c r="Y733" s="1214"/>
      <c r="Z733" s="1214"/>
    </row>
    <row r="734">
      <c r="A734" s="1214"/>
      <c r="B734" s="1214"/>
      <c r="C734" s="1214"/>
      <c r="D734" s="1267"/>
      <c r="E734" s="1214"/>
      <c r="F734" s="1214"/>
      <c r="G734" s="1214"/>
      <c r="H734" s="1214"/>
      <c r="I734" s="1214"/>
      <c r="J734" s="1214"/>
      <c r="K734" s="1214"/>
      <c r="L734" s="1214"/>
      <c r="M734" s="1214"/>
      <c r="N734" s="1214"/>
      <c r="O734" s="1214"/>
      <c r="P734" s="1214"/>
      <c r="Q734" s="1214"/>
      <c r="R734" s="1214"/>
      <c r="S734" s="1214"/>
      <c r="T734" s="1214"/>
      <c r="U734" s="1214"/>
      <c r="V734" s="1214"/>
      <c r="W734" s="1214"/>
      <c r="X734" s="1214"/>
      <c r="Y734" s="1214"/>
      <c r="Z734" s="1214"/>
    </row>
    <row r="735">
      <c r="A735" s="1214"/>
      <c r="B735" s="1214"/>
      <c r="C735" s="1214"/>
      <c r="D735" s="1267"/>
      <c r="E735" s="1214"/>
      <c r="F735" s="1214"/>
      <c r="G735" s="1214"/>
      <c r="H735" s="1214"/>
      <c r="I735" s="1214"/>
      <c r="J735" s="1214"/>
      <c r="K735" s="1214"/>
      <c r="L735" s="1214"/>
      <c r="M735" s="1214"/>
      <c r="N735" s="1214"/>
      <c r="O735" s="1214"/>
      <c r="P735" s="1214"/>
      <c r="Q735" s="1214"/>
      <c r="R735" s="1214"/>
      <c r="S735" s="1214"/>
      <c r="T735" s="1214"/>
      <c r="U735" s="1214"/>
      <c r="V735" s="1214"/>
      <c r="W735" s="1214"/>
      <c r="X735" s="1214"/>
      <c r="Y735" s="1214"/>
      <c r="Z735" s="1214"/>
    </row>
    <row r="736">
      <c r="A736" s="1214"/>
      <c r="B736" s="1214"/>
      <c r="C736" s="1214"/>
      <c r="D736" s="1267"/>
      <c r="E736" s="1214"/>
      <c r="F736" s="1214"/>
      <c r="G736" s="1214"/>
      <c r="H736" s="1214"/>
      <c r="I736" s="1214"/>
      <c r="J736" s="1214"/>
      <c r="K736" s="1214"/>
      <c r="L736" s="1214"/>
      <c r="M736" s="1214"/>
      <c r="N736" s="1214"/>
      <c r="O736" s="1214"/>
      <c r="P736" s="1214"/>
      <c r="Q736" s="1214"/>
      <c r="R736" s="1214"/>
      <c r="S736" s="1214"/>
      <c r="T736" s="1214"/>
      <c r="U736" s="1214"/>
      <c r="V736" s="1214"/>
      <c r="W736" s="1214"/>
      <c r="X736" s="1214"/>
      <c r="Y736" s="1214"/>
      <c r="Z736" s="1214"/>
    </row>
    <row r="737">
      <c r="A737" s="1214"/>
      <c r="B737" s="1214"/>
      <c r="C737" s="1214"/>
      <c r="D737" s="1267"/>
      <c r="E737" s="1214"/>
      <c r="F737" s="1214"/>
      <c r="G737" s="1214"/>
      <c r="H737" s="1214"/>
      <c r="I737" s="1214"/>
      <c r="J737" s="1214"/>
      <c r="K737" s="1214"/>
      <c r="L737" s="1214"/>
      <c r="M737" s="1214"/>
      <c r="N737" s="1214"/>
      <c r="O737" s="1214"/>
      <c r="P737" s="1214"/>
      <c r="Q737" s="1214"/>
      <c r="R737" s="1214"/>
      <c r="S737" s="1214"/>
      <c r="T737" s="1214"/>
      <c r="U737" s="1214"/>
      <c r="V737" s="1214"/>
      <c r="W737" s="1214"/>
      <c r="X737" s="1214"/>
      <c r="Y737" s="1214"/>
      <c r="Z737" s="1214"/>
    </row>
    <row r="738">
      <c r="A738" s="1214"/>
      <c r="B738" s="1214"/>
      <c r="C738" s="1214"/>
      <c r="D738" s="1267"/>
      <c r="E738" s="1214"/>
      <c r="F738" s="1214"/>
      <c r="G738" s="1214"/>
      <c r="H738" s="1214"/>
      <c r="I738" s="1214"/>
      <c r="J738" s="1214"/>
      <c r="K738" s="1214"/>
      <c r="L738" s="1214"/>
      <c r="M738" s="1214"/>
      <c r="N738" s="1214"/>
      <c r="O738" s="1214"/>
      <c r="P738" s="1214"/>
      <c r="Q738" s="1214"/>
      <c r="R738" s="1214"/>
      <c r="S738" s="1214"/>
      <c r="T738" s="1214"/>
      <c r="U738" s="1214"/>
      <c r="V738" s="1214"/>
      <c r="W738" s="1214"/>
      <c r="X738" s="1214"/>
      <c r="Y738" s="1214"/>
      <c r="Z738" s="1214"/>
    </row>
    <row r="739">
      <c r="A739" s="1214"/>
      <c r="B739" s="1214"/>
      <c r="C739" s="1214"/>
      <c r="D739" s="1267"/>
      <c r="E739" s="1214"/>
      <c r="F739" s="1214"/>
      <c r="G739" s="1214"/>
      <c r="H739" s="1214"/>
      <c r="I739" s="1214"/>
      <c r="J739" s="1214"/>
      <c r="K739" s="1214"/>
      <c r="L739" s="1214"/>
      <c r="M739" s="1214"/>
      <c r="N739" s="1214"/>
      <c r="O739" s="1214"/>
      <c r="P739" s="1214"/>
      <c r="Q739" s="1214"/>
      <c r="R739" s="1214"/>
      <c r="S739" s="1214"/>
      <c r="T739" s="1214"/>
      <c r="U739" s="1214"/>
      <c r="V739" s="1214"/>
      <c r="W739" s="1214"/>
      <c r="X739" s="1214"/>
      <c r="Y739" s="1214"/>
      <c r="Z739" s="1214"/>
    </row>
    <row r="740">
      <c r="A740" s="1214"/>
      <c r="B740" s="1214"/>
      <c r="C740" s="1214"/>
      <c r="D740" s="1267"/>
      <c r="E740" s="1214"/>
      <c r="F740" s="1214"/>
      <c r="G740" s="1214"/>
      <c r="H740" s="1214"/>
      <c r="I740" s="1214"/>
      <c r="J740" s="1214"/>
      <c r="K740" s="1214"/>
      <c r="L740" s="1214"/>
      <c r="M740" s="1214"/>
      <c r="N740" s="1214"/>
      <c r="O740" s="1214"/>
      <c r="P740" s="1214"/>
      <c r="Q740" s="1214"/>
      <c r="R740" s="1214"/>
      <c r="S740" s="1214"/>
      <c r="T740" s="1214"/>
      <c r="U740" s="1214"/>
      <c r="V740" s="1214"/>
      <c r="W740" s="1214"/>
      <c r="X740" s="1214"/>
      <c r="Y740" s="1214"/>
      <c r="Z740" s="1214"/>
    </row>
    <row r="741">
      <c r="A741" s="1214"/>
      <c r="B741" s="1214"/>
      <c r="C741" s="1214"/>
      <c r="D741" s="1267"/>
      <c r="E741" s="1214"/>
      <c r="F741" s="1214"/>
      <c r="G741" s="1214"/>
      <c r="H741" s="1214"/>
      <c r="I741" s="1214"/>
      <c r="J741" s="1214"/>
      <c r="K741" s="1214"/>
      <c r="L741" s="1214"/>
      <c r="M741" s="1214"/>
      <c r="N741" s="1214"/>
      <c r="O741" s="1214"/>
      <c r="P741" s="1214"/>
      <c r="Q741" s="1214"/>
      <c r="R741" s="1214"/>
      <c r="S741" s="1214"/>
      <c r="T741" s="1214"/>
      <c r="U741" s="1214"/>
      <c r="V741" s="1214"/>
      <c r="W741" s="1214"/>
      <c r="X741" s="1214"/>
      <c r="Y741" s="1214"/>
      <c r="Z741" s="1214"/>
    </row>
    <row r="742">
      <c r="A742" s="1214"/>
      <c r="B742" s="1214"/>
      <c r="C742" s="1214"/>
      <c r="D742" s="1267"/>
      <c r="E742" s="1214"/>
      <c r="F742" s="1214"/>
      <c r="G742" s="1214"/>
      <c r="H742" s="1214"/>
      <c r="I742" s="1214"/>
      <c r="J742" s="1214"/>
      <c r="K742" s="1214"/>
      <c r="L742" s="1214"/>
      <c r="M742" s="1214"/>
      <c r="N742" s="1214"/>
      <c r="O742" s="1214"/>
      <c r="P742" s="1214"/>
      <c r="Q742" s="1214"/>
      <c r="R742" s="1214"/>
      <c r="S742" s="1214"/>
      <c r="T742" s="1214"/>
      <c r="U742" s="1214"/>
      <c r="V742" s="1214"/>
      <c r="W742" s="1214"/>
      <c r="X742" s="1214"/>
      <c r="Y742" s="1214"/>
      <c r="Z742" s="1214"/>
    </row>
    <row r="743">
      <c r="A743" s="1214"/>
      <c r="B743" s="1214"/>
      <c r="C743" s="1214"/>
      <c r="D743" s="1267"/>
      <c r="E743" s="1214"/>
      <c r="F743" s="1214"/>
      <c r="G743" s="1214"/>
      <c r="H743" s="1214"/>
      <c r="I743" s="1214"/>
      <c r="J743" s="1214"/>
      <c r="K743" s="1214"/>
      <c r="L743" s="1214"/>
      <c r="M743" s="1214"/>
      <c r="N743" s="1214"/>
      <c r="O743" s="1214"/>
      <c r="P743" s="1214"/>
      <c r="Q743" s="1214"/>
      <c r="R743" s="1214"/>
      <c r="S743" s="1214"/>
      <c r="T743" s="1214"/>
      <c r="U743" s="1214"/>
      <c r="V743" s="1214"/>
      <c r="W743" s="1214"/>
      <c r="X743" s="1214"/>
      <c r="Y743" s="1214"/>
      <c r="Z743" s="1214"/>
    </row>
    <row r="744">
      <c r="A744" s="1214"/>
      <c r="B744" s="1214"/>
      <c r="C744" s="1214"/>
      <c r="D744" s="1267"/>
      <c r="E744" s="1214"/>
      <c r="F744" s="1214"/>
      <c r="G744" s="1214"/>
      <c r="H744" s="1214"/>
      <c r="I744" s="1214"/>
      <c r="J744" s="1214"/>
      <c r="K744" s="1214"/>
      <c r="L744" s="1214"/>
      <c r="M744" s="1214"/>
      <c r="N744" s="1214"/>
      <c r="O744" s="1214"/>
      <c r="P744" s="1214"/>
      <c r="Q744" s="1214"/>
      <c r="R744" s="1214"/>
      <c r="S744" s="1214"/>
      <c r="T744" s="1214"/>
      <c r="U744" s="1214"/>
      <c r="V744" s="1214"/>
      <c r="W744" s="1214"/>
      <c r="X744" s="1214"/>
      <c r="Y744" s="1214"/>
      <c r="Z744" s="1214"/>
    </row>
    <row r="745">
      <c r="A745" s="1214"/>
      <c r="B745" s="1214"/>
      <c r="C745" s="1214"/>
      <c r="D745" s="1267"/>
      <c r="E745" s="1214"/>
      <c r="F745" s="1214"/>
      <c r="G745" s="1214"/>
      <c r="H745" s="1214"/>
      <c r="I745" s="1214"/>
      <c r="J745" s="1214"/>
      <c r="K745" s="1214"/>
      <c r="L745" s="1214"/>
      <c r="M745" s="1214"/>
      <c r="N745" s="1214"/>
      <c r="O745" s="1214"/>
      <c r="P745" s="1214"/>
      <c r="Q745" s="1214"/>
      <c r="R745" s="1214"/>
      <c r="S745" s="1214"/>
      <c r="T745" s="1214"/>
      <c r="U745" s="1214"/>
      <c r="V745" s="1214"/>
      <c r="W745" s="1214"/>
      <c r="X745" s="1214"/>
      <c r="Y745" s="1214"/>
      <c r="Z745" s="1214"/>
    </row>
    <row r="746">
      <c r="A746" s="1214"/>
      <c r="B746" s="1214"/>
      <c r="C746" s="1214"/>
      <c r="D746" s="1267"/>
      <c r="E746" s="1214"/>
      <c r="F746" s="1214"/>
      <c r="G746" s="1214"/>
      <c r="H746" s="1214"/>
      <c r="I746" s="1214"/>
      <c r="J746" s="1214"/>
      <c r="K746" s="1214"/>
      <c r="L746" s="1214"/>
      <c r="M746" s="1214"/>
      <c r="N746" s="1214"/>
      <c r="O746" s="1214"/>
      <c r="P746" s="1214"/>
      <c r="Q746" s="1214"/>
      <c r="R746" s="1214"/>
      <c r="S746" s="1214"/>
      <c r="T746" s="1214"/>
      <c r="U746" s="1214"/>
      <c r="V746" s="1214"/>
      <c r="W746" s="1214"/>
      <c r="X746" s="1214"/>
      <c r="Y746" s="1214"/>
      <c r="Z746" s="1214"/>
    </row>
    <row r="747">
      <c r="A747" s="1214"/>
      <c r="B747" s="1214"/>
      <c r="C747" s="1214"/>
      <c r="D747" s="1267"/>
      <c r="E747" s="1214"/>
      <c r="F747" s="1214"/>
      <c r="G747" s="1214"/>
      <c r="H747" s="1214"/>
      <c r="I747" s="1214"/>
      <c r="J747" s="1214"/>
      <c r="K747" s="1214"/>
      <c r="L747" s="1214"/>
      <c r="M747" s="1214"/>
      <c r="N747" s="1214"/>
      <c r="O747" s="1214"/>
      <c r="P747" s="1214"/>
      <c r="Q747" s="1214"/>
      <c r="R747" s="1214"/>
      <c r="S747" s="1214"/>
      <c r="T747" s="1214"/>
      <c r="U747" s="1214"/>
      <c r="V747" s="1214"/>
      <c r="W747" s="1214"/>
      <c r="X747" s="1214"/>
      <c r="Y747" s="1214"/>
      <c r="Z747" s="1214"/>
    </row>
    <row r="748">
      <c r="A748" s="1214"/>
      <c r="B748" s="1214"/>
      <c r="C748" s="1214"/>
      <c r="D748" s="1267"/>
      <c r="E748" s="1214"/>
      <c r="F748" s="1214"/>
      <c r="G748" s="1214"/>
      <c r="H748" s="1214"/>
      <c r="I748" s="1214"/>
      <c r="J748" s="1214"/>
      <c r="K748" s="1214"/>
      <c r="L748" s="1214"/>
      <c r="M748" s="1214"/>
      <c r="N748" s="1214"/>
      <c r="O748" s="1214"/>
      <c r="P748" s="1214"/>
      <c r="Q748" s="1214"/>
      <c r="R748" s="1214"/>
      <c r="S748" s="1214"/>
      <c r="T748" s="1214"/>
      <c r="U748" s="1214"/>
      <c r="V748" s="1214"/>
      <c r="W748" s="1214"/>
      <c r="X748" s="1214"/>
      <c r="Y748" s="1214"/>
      <c r="Z748" s="1214"/>
    </row>
    <row r="749">
      <c r="A749" s="1214"/>
      <c r="B749" s="1214"/>
      <c r="C749" s="1214"/>
      <c r="D749" s="1267"/>
      <c r="E749" s="1214"/>
      <c r="F749" s="1214"/>
      <c r="G749" s="1214"/>
      <c r="H749" s="1214"/>
      <c r="I749" s="1214"/>
      <c r="J749" s="1214"/>
      <c r="K749" s="1214"/>
      <c r="L749" s="1214"/>
      <c r="M749" s="1214"/>
      <c r="N749" s="1214"/>
      <c r="O749" s="1214"/>
      <c r="P749" s="1214"/>
      <c r="Q749" s="1214"/>
      <c r="R749" s="1214"/>
      <c r="S749" s="1214"/>
      <c r="T749" s="1214"/>
      <c r="U749" s="1214"/>
      <c r="V749" s="1214"/>
      <c r="W749" s="1214"/>
      <c r="X749" s="1214"/>
      <c r="Y749" s="1214"/>
      <c r="Z749" s="1214"/>
    </row>
    <row r="750">
      <c r="A750" s="1214"/>
      <c r="B750" s="1214"/>
      <c r="C750" s="1214"/>
      <c r="D750" s="1267"/>
      <c r="E750" s="1214"/>
      <c r="F750" s="1214"/>
      <c r="G750" s="1214"/>
      <c r="H750" s="1214"/>
      <c r="I750" s="1214"/>
      <c r="J750" s="1214"/>
      <c r="K750" s="1214"/>
      <c r="L750" s="1214"/>
      <c r="M750" s="1214"/>
      <c r="N750" s="1214"/>
      <c r="O750" s="1214"/>
      <c r="P750" s="1214"/>
      <c r="Q750" s="1214"/>
      <c r="R750" s="1214"/>
      <c r="S750" s="1214"/>
      <c r="T750" s="1214"/>
      <c r="U750" s="1214"/>
      <c r="V750" s="1214"/>
      <c r="W750" s="1214"/>
      <c r="X750" s="1214"/>
      <c r="Y750" s="1214"/>
      <c r="Z750" s="1214"/>
    </row>
    <row r="751">
      <c r="A751" s="1214"/>
      <c r="B751" s="1214"/>
      <c r="C751" s="1214"/>
      <c r="D751" s="1267"/>
      <c r="E751" s="1214"/>
      <c r="F751" s="1214"/>
      <c r="G751" s="1214"/>
      <c r="H751" s="1214"/>
      <c r="I751" s="1214"/>
      <c r="J751" s="1214"/>
      <c r="K751" s="1214"/>
      <c r="L751" s="1214"/>
      <c r="M751" s="1214"/>
      <c r="N751" s="1214"/>
      <c r="O751" s="1214"/>
      <c r="P751" s="1214"/>
      <c r="Q751" s="1214"/>
      <c r="R751" s="1214"/>
      <c r="S751" s="1214"/>
      <c r="T751" s="1214"/>
      <c r="U751" s="1214"/>
      <c r="V751" s="1214"/>
      <c r="W751" s="1214"/>
      <c r="X751" s="1214"/>
      <c r="Y751" s="1214"/>
      <c r="Z751" s="1214"/>
    </row>
    <row r="752">
      <c r="A752" s="1214"/>
      <c r="B752" s="1214"/>
      <c r="C752" s="1214"/>
      <c r="D752" s="1267"/>
      <c r="E752" s="1214"/>
      <c r="F752" s="1214"/>
      <c r="G752" s="1214"/>
      <c r="H752" s="1214"/>
      <c r="I752" s="1214"/>
      <c r="J752" s="1214"/>
      <c r="K752" s="1214"/>
      <c r="L752" s="1214"/>
      <c r="M752" s="1214"/>
      <c r="N752" s="1214"/>
      <c r="O752" s="1214"/>
      <c r="P752" s="1214"/>
      <c r="Q752" s="1214"/>
      <c r="R752" s="1214"/>
      <c r="S752" s="1214"/>
      <c r="T752" s="1214"/>
      <c r="U752" s="1214"/>
      <c r="V752" s="1214"/>
      <c r="W752" s="1214"/>
      <c r="X752" s="1214"/>
      <c r="Y752" s="1214"/>
      <c r="Z752" s="1214"/>
    </row>
    <row r="753">
      <c r="A753" s="1214"/>
      <c r="B753" s="1214"/>
      <c r="C753" s="1214"/>
      <c r="D753" s="1267"/>
      <c r="E753" s="1214"/>
      <c r="F753" s="1214"/>
      <c r="G753" s="1214"/>
      <c r="H753" s="1214"/>
      <c r="I753" s="1214"/>
      <c r="J753" s="1214"/>
      <c r="K753" s="1214"/>
      <c r="L753" s="1214"/>
      <c r="M753" s="1214"/>
      <c r="N753" s="1214"/>
      <c r="O753" s="1214"/>
      <c r="P753" s="1214"/>
      <c r="Q753" s="1214"/>
      <c r="R753" s="1214"/>
      <c r="S753" s="1214"/>
      <c r="T753" s="1214"/>
      <c r="U753" s="1214"/>
      <c r="V753" s="1214"/>
      <c r="W753" s="1214"/>
      <c r="X753" s="1214"/>
      <c r="Y753" s="1214"/>
      <c r="Z753" s="1214"/>
    </row>
    <row r="754">
      <c r="A754" s="1214"/>
      <c r="B754" s="1214"/>
      <c r="C754" s="1214"/>
      <c r="D754" s="1267"/>
      <c r="E754" s="1214"/>
      <c r="F754" s="1214"/>
      <c r="G754" s="1214"/>
      <c r="H754" s="1214"/>
      <c r="I754" s="1214"/>
      <c r="J754" s="1214"/>
      <c r="K754" s="1214"/>
      <c r="L754" s="1214"/>
      <c r="M754" s="1214"/>
      <c r="N754" s="1214"/>
      <c r="O754" s="1214"/>
      <c r="P754" s="1214"/>
      <c r="Q754" s="1214"/>
      <c r="R754" s="1214"/>
      <c r="S754" s="1214"/>
      <c r="T754" s="1214"/>
      <c r="U754" s="1214"/>
      <c r="V754" s="1214"/>
      <c r="W754" s="1214"/>
      <c r="X754" s="1214"/>
      <c r="Y754" s="1214"/>
      <c r="Z754" s="1214"/>
    </row>
    <row r="755">
      <c r="A755" s="1214"/>
      <c r="B755" s="1214"/>
      <c r="C755" s="1214"/>
      <c r="D755" s="1267"/>
      <c r="E755" s="1214"/>
      <c r="F755" s="1214"/>
      <c r="G755" s="1214"/>
      <c r="H755" s="1214"/>
      <c r="I755" s="1214"/>
      <c r="J755" s="1214"/>
      <c r="K755" s="1214"/>
      <c r="L755" s="1214"/>
      <c r="M755" s="1214"/>
      <c r="N755" s="1214"/>
      <c r="O755" s="1214"/>
      <c r="P755" s="1214"/>
      <c r="Q755" s="1214"/>
      <c r="R755" s="1214"/>
      <c r="S755" s="1214"/>
      <c r="T755" s="1214"/>
      <c r="U755" s="1214"/>
      <c r="V755" s="1214"/>
      <c r="W755" s="1214"/>
      <c r="X755" s="1214"/>
      <c r="Y755" s="1214"/>
      <c r="Z755" s="1214"/>
    </row>
    <row r="756">
      <c r="A756" s="1214"/>
      <c r="B756" s="1214"/>
      <c r="C756" s="1214"/>
      <c r="D756" s="1267"/>
      <c r="E756" s="1214"/>
      <c r="F756" s="1214"/>
      <c r="G756" s="1214"/>
      <c r="H756" s="1214"/>
      <c r="I756" s="1214"/>
      <c r="J756" s="1214"/>
      <c r="K756" s="1214"/>
      <c r="L756" s="1214"/>
      <c r="M756" s="1214"/>
      <c r="N756" s="1214"/>
      <c r="O756" s="1214"/>
      <c r="P756" s="1214"/>
      <c r="Q756" s="1214"/>
      <c r="R756" s="1214"/>
      <c r="S756" s="1214"/>
      <c r="T756" s="1214"/>
      <c r="U756" s="1214"/>
      <c r="V756" s="1214"/>
      <c r="W756" s="1214"/>
      <c r="X756" s="1214"/>
      <c r="Y756" s="1214"/>
      <c r="Z756" s="1214"/>
    </row>
    <row r="757">
      <c r="A757" s="1214"/>
      <c r="B757" s="1214"/>
      <c r="C757" s="1214"/>
      <c r="D757" s="1267"/>
      <c r="E757" s="1214"/>
      <c r="F757" s="1214"/>
      <c r="G757" s="1214"/>
      <c r="H757" s="1214"/>
      <c r="I757" s="1214"/>
      <c r="J757" s="1214"/>
      <c r="K757" s="1214"/>
      <c r="L757" s="1214"/>
      <c r="M757" s="1214"/>
      <c r="N757" s="1214"/>
      <c r="O757" s="1214"/>
      <c r="P757" s="1214"/>
      <c r="Q757" s="1214"/>
      <c r="R757" s="1214"/>
      <c r="S757" s="1214"/>
      <c r="T757" s="1214"/>
      <c r="U757" s="1214"/>
      <c r="V757" s="1214"/>
      <c r="W757" s="1214"/>
      <c r="X757" s="1214"/>
      <c r="Y757" s="1214"/>
      <c r="Z757" s="1214"/>
    </row>
    <row r="758">
      <c r="A758" s="1214"/>
      <c r="B758" s="1214"/>
      <c r="C758" s="1214"/>
      <c r="D758" s="1267"/>
      <c r="E758" s="1214"/>
      <c r="F758" s="1214"/>
      <c r="G758" s="1214"/>
      <c r="H758" s="1214"/>
      <c r="I758" s="1214"/>
      <c r="J758" s="1214"/>
      <c r="K758" s="1214"/>
      <c r="L758" s="1214"/>
      <c r="M758" s="1214"/>
      <c r="N758" s="1214"/>
      <c r="O758" s="1214"/>
      <c r="P758" s="1214"/>
      <c r="Q758" s="1214"/>
      <c r="R758" s="1214"/>
      <c r="S758" s="1214"/>
      <c r="T758" s="1214"/>
      <c r="U758" s="1214"/>
      <c r="V758" s="1214"/>
      <c r="W758" s="1214"/>
      <c r="X758" s="1214"/>
      <c r="Y758" s="1214"/>
      <c r="Z758" s="1214"/>
    </row>
    <row r="759">
      <c r="A759" s="1214"/>
      <c r="B759" s="1214"/>
      <c r="C759" s="1214"/>
      <c r="D759" s="1267"/>
      <c r="E759" s="1214"/>
      <c r="F759" s="1214"/>
      <c r="G759" s="1214"/>
      <c r="H759" s="1214"/>
      <c r="I759" s="1214"/>
      <c r="J759" s="1214"/>
      <c r="K759" s="1214"/>
      <c r="L759" s="1214"/>
      <c r="M759" s="1214"/>
      <c r="N759" s="1214"/>
      <c r="O759" s="1214"/>
      <c r="P759" s="1214"/>
      <c r="Q759" s="1214"/>
      <c r="R759" s="1214"/>
      <c r="S759" s="1214"/>
      <c r="T759" s="1214"/>
      <c r="U759" s="1214"/>
      <c r="V759" s="1214"/>
      <c r="W759" s="1214"/>
      <c r="X759" s="1214"/>
      <c r="Y759" s="1214"/>
      <c r="Z759" s="1214"/>
    </row>
    <row r="760">
      <c r="A760" s="1214"/>
      <c r="B760" s="1214"/>
      <c r="C760" s="1214"/>
      <c r="D760" s="1267"/>
      <c r="E760" s="1214"/>
      <c r="F760" s="1214"/>
      <c r="G760" s="1214"/>
      <c r="H760" s="1214"/>
      <c r="I760" s="1214"/>
      <c r="J760" s="1214"/>
      <c r="K760" s="1214"/>
      <c r="L760" s="1214"/>
      <c r="M760" s="1214"/>
      <c r="N760" s="1214"/>
      <c r="O760" s="1214"/>
      <c r="P760" s="1214"/>
      <c r="Q760" s="1214"/>
      <c r="R760" s="1214"/>
      <c r="S760" s="1214"/>
      <c r="T760" s="1214"/>
      <c r="U760" s="1214"/>
      <c r="V760" s="1214"/>
      <c r="W760" s="1214"/>
      <c r="X760" s="1214"/>
      <c r="Y760" s="1214"/>
      <c r="Z760" s="1214"/>
    </row>
    <row r="761">
      <c r="A761" s="1214"/>
      <c r="B761" s="1214"/>
      <c r="C761" s="1214"/>
      <c r="D761" s="1267"/>
      <c r="E761" s="1214"/>
      <c r="F761" s="1214"/>
      <c r="G761" s="1214"/>
      <c r="H761" s="1214"/>
      <c r="I761" s="1214"/>
      <c r="J761" s="1214"/>
      <c r="K761" s="1214"/>
      <c r="L761" s="1214"/>
      <c r="M761" s="1214"/>
      <c r="N761" s="1214"/>
      <c r="O761" s="1214"/>
      <c r="P761" s="1214"/>
      <c r="Q761" s="1214"/>
      <c r="R761" s="1214"/>
      <c r="S761" s="1214"/>
      <c r="T761" s="1214"/>
      <c r="U761" s="1214"/>
      <c r="V761" s="1214"/>
      <c r="W761" s="1214"/>
      <c r="X761" s="1214"/>
      <c r="Y761" s="1214"/>
      <c r="Z761" s="1214"/>
    </row>
    <row r="762">
      <c r="A762" s="1214"/>
      <c r="B762" s="1214"/>
      <c r="C762" s="1214"/>
      <c r="D762" s="1267"/>
      <c r="E762" s="1214"/>
      <c r="F762" s="1214"/>
      <c r="G762" s="1214"/>
      <c r="H762" s="1214"/>
      <c r="I762" s="1214"/>
      <c r="J762" s="1214"/>
      <c r="K762" s="1214"/>
      <c r="L762" s="1214"/>
      <c r="M762" s="1214"/>
      <c r="N762" s="1214"/>
      <c r="O762" s="1214"/>
      <c r="P762" s="1214"/>
      <c r="Q762" s="1214"/>
      <c r="R762" s="1214"/>
      <c r="S762" s="1214"/>
      <c r="T762" s="1214"/>
      <c r="U762" s="1214"/>
      <c r="V762" s="1214"/>
      <c r="W762" s="1214"/>
      <c r="X762" s="1214"/>
      <c r="Y762" s="1214"/>
      <c r="Z762" s="1214"/>
    </row>
    <row r="763">
      <c r="A763" s="1214"/>
      <c r="B763" s="1214"/>
      <c r="C763" s="1214"/>
      <c r="D763" s="1267"/>
      <c r="E763" s="1214"/>
      <c r="F763" s="1214"/>
      <c r="G763" s="1214"/>
      <c r="H763" s="1214"/>
      <c r="I763" s="1214"/>
      <c r="J763" s="1214"/>
      <c r="K763" s="1214"/>
      <c r="L763" s="1214"/>
      <c r="M763" s="1214"/>
      <c r="N763" s="1214"/>
      <c r="O763" s="1214"/>
      <c r="P763" s="1214"/>
      <c r="Q763" s="1214"/>
      <c r="R763" s="1214"/>
      <c r="S763" s="1214"/>
      <c r="T763" s="1214"/>
      <c r="U763" s="1214"/>
      <c r="V763" s="1214"/>
      <c r="W763" s="1214"/>
      <c r="X763" s="1214"/>
      <c r="Y763" s="1214"/>
      <c r="Z763" s="1214"/>
    </row>
    <row r="764">
      <c r="A764" s="1214"/>
      <c r="B764" s="1214"/>
      <c r="C764" s="1214"/>
      <c r="D764" s="1267"/>
      <c r="E764" s="1214"/>
      <c r="F764" s="1214"/>
      <c r="G764" s="1214"/>
      <c r="H764" s="1214"/>
      <c r="I764" s="1214"/>
      <c r="J764" s="1214"/>
      <c r="K764" s="1214"/>
      <c r="L764" s="1214"/>
      <c r="M764" s="1214"/>
      <c r="N764" s="1214"/>
      <c r="O764" s="1214"/>
      <c r="P764" s="1214"/>
      <c r="Q764" s="1214"/>
      <c r="R764" s="1214"/>
      <c r="S764" s="1214"/>
      <c r="T764" s="1214"/>
      <c r="U764" s="1214"/>
      <c r="V764" s="1214"/>
      <c r="W764" s="1214"/>
      <c r="X764" s="1214"/>
      <c r="Y764" s="1214"/>
      <c r="Z764" s="1214"/>
    </row>
    <row r="765">
      <c r="A765" s="1214"/>
      <c r="B765" s="1214"/>
      <c r="C765" s="1214"/>
      <c r="D765" s="1267"/>
      <c r="E765" s="1214"/>
      <c r="F765" s="1214"/>
      <c r="G765" s="1214"/>
      <c r="H765" s="1214"/>
      <c r="I765" s="1214"/>
      <c r="J765" s="1214"/>
      <c r="K765" s="1214"/>
      <c r="L765" s="1214"/>
      <c r="M765" s="1214"/>
      <c r="N765" s="1214"/>
      <c r="O765" s="1214"/>
      <c r="P765" s="1214"/>
      <c r="Q765" s="1214"/>
      <c r="R765" s="1214"/>
      <c r="S765" s="1214"/>
      <c r="T765" s="1214"/>
      <c r="U765" s="1214"/>
      <c r="V765" s="1214"/>
      <c r="W765" s="1214"/>
      <c r="X765" s="1214"/>
      <c r="Y765" s="1214"/>
      <c r="Z765" s="1214"/>
    </row>
    <row r="766">
      <c r="A766" s="1214"/>
      <c r="B766" s="1214"/>
      <c r="C766" s="1214"/>
      <c r="D766" s="1267"/>
      <c r="E766" s="1214"/>
      <c r="F766" s="1214"/>
      <c r="G766" s="1214"/>
      <c r="H766" s="1214"/>
      <c r="I766" s="1214"/>
      <c r="J766" s="1214"/>
      <c r="K766" s="1214"/>
      <c r="L766" s="1214"/>
      <c r="M766" s="1214"/>
      <c r="N766" s="1214"/>
      <c r="O766" s="1214"/>
      <c r="P766" s="1214"/>
      <c r="Q766" s="1214"/>
      <c r="R766" s="1214"/>
      <c r="S766" s="1214"/>
      <c r="T766" s="1214"/>
      <c r="U766" s="1214"/>
      <c r="V766" s="1214"/>
      <c r="W766" s="1214"/>
      <c r="X766" s="1214"/>
      <c r="Y766" s="1214"/>
      <c r="Z766" s="1214"/>
    </row>
    <row r="767">
      <c r="A767" s="1214"/>
      <c r="B767" s="1214"/>
      <c r="C767" s="1214"/>
      <c r="D767" s="1267"/>
      <c r="E767" s="1214"/>
      <c r="F767" s="1214"/>
      <c r="G767" s="1214"/>
      <c r="H767" s="1214"/>
      <c r="I767" s="1214"/>
      <c r="J767" s="1214"/>
      <c r="K767" s="1214"/>
      <c r="L767" s="1214"/>
      <c r="M767" s="1214"/>
      <c r="N767" s="1214"/>
      <c r="O767" s="1214"/>
      <c r="P767" s="1214"/>
      <c r="Q767" s="1214"/>
      <c r="R767" s="1214"/>
      <c r="S767" s="1214"/>
      <c r="T767" s="1214"/>
      <c r="U767" s="1214"/>
      <c r="V767" s="1214"/>
      <c r="W767" s="1214"/>
      <c r="X767" s="1214"/>
      <c r="Y767" s="1214"/>
      <c r="Z767" s="1214"/>
    </row>
    <row r="768">
      <c r="A768" s="1214"/>
      <c r="B768" s="1214"/>
      <c r="C768" s="1214"/>
      <c r="D768" s="1267"/>
      <c r="E768" s="1214"/>
      <c r="F768" s="1214"/>
      <c r="G768" s="1214"/>
      <c r="H768" s="1214"/>
      <c r="I768" s="1214"/>
      <c r="J768" s="1214"/>
      <c r="K768" s="1214"/>
      <c r="L768" s="1214"/>
      <c r="M768" s="1214"/>
      <c r="N768" s="1214"/>
      <c r="O768" s="1214"/>
      <c r="P768" s="1214"/>
      <c r="Q768" s="1214"/>
      <c r="R768" s="1214"/>
      <c r="S768" s="1214"/>
      <c r="T768" s="1214"/>
      <c r="U768" s="1214"/>
      <c r="V768" s="1214"/>
      <c r="W768" s="1214"/>
      <c r="X768" s="1214"/>
      <c r="Y768" s="1214"/>
      <c r="Z768" s="1214"/>
    </row>
    <row r="769">
      <c r="A769" s="1214"/>
      <c r="B769" s="1214"/>
      <c r="C769" s="1214"/>
      <c r="D769" s="1267"/>
      <c r="E769" s="1214"/>
      <c r="F769" s="1214"/>
      <c r="G769" s="1214"/>
      <c r="H769" s="1214"/>
      <c r="I769" s="1214"/>
      <c r="J769" s="1214"/>
      <c r="K769" s="1214"/>
      <c r="L769" s="1214"/>
      <c r="M769" s="1214"/>
      <c r="N769" s="1214"/>
      <c r="O769" s="1214"/>
      <c r="P769" s="1214"/>
      <c r="Q769" s="1214"/>
      <c r="R769" s="1214"/>
      <c r="S769" s="1214"/>
      <c r="T769" s="1214"/>
      <c r="U769" s="1214"/>
      <c r="V769" s="1214"/>
      <c r="W769" s="1214"/>
      <c r="X769" s="1214"/>
      <c r="Y769" s="1214"/>
      <c r="Z769" s="1214"/>
    </row>
    <row r="770">
      <c r="A770" s="1214"/>
      <c r="B770" s="1214"/>
      <c r="C770" s="1214"/>
      <c r="D770" s="1267"/>
      <c r="E770" s="1214"/>
      <c r="F770" s="1214"/>
      <c r="G770" s="1214"/>
      <c r="H770" s="1214"/>
      <c r="I770" s="1214"/>
      <c r="J770" s="1214"/>
      <c r="K770" s="1214"/>
      <c r="L770" s="1214"/>
      <c r="M770" s="1214"/>
      <c r="N770" s="1214"/>
      <c r="O770" s="1214"/>
      <c r="P770" s="1214"/>
      <c r="Q770" s="1214"/>
      <c r="R770" s="1214"/>
      <c r="S770" s="1214"/>
      <c r="T770" s="1214"/>
      <c r="U770" s="1214"/>
      <c r="V770" s="1214"/>
      <c r="W770" s="1214"/>
      <c r="X770" s="1214"/>
      <c r="Y770" s="1214"/>
      <c r="Z770" s="1214"/>
    </row>
    <row r="771">
      <c r="A771" s="1214"/>
      <c r="B771" s="1214"/>
      <c r="C771" s="1214"/>
      <c r="D771" s="1267"/>
      <c r="E771" s="1214"/>
      <c r="F771" s="1214"/>
      <c r="G771" s="1214"/>
      <c r="H771" s="1214"/>
      <c r="I771" s="1214"/>
      <c r="J771" s="1214"/>
      <c r="K771" s="1214"/>
      <c r="L771" s="1214"/>
      <c r="M771" s="1214"/>
      <c r="N771" s="1214"/>
      <c r="O771" s="1214"/>
      <c r="P771" s="1214"/>
      <c r="Q771" s="1214"/>
      <c r="R771" s="1214"/>
      <c r="S771" s="1214"/>
      <c r="T771" s="1214"/>
      <c r="U771" s="1214"/>
      <c r="V771" s="1214"/>
      <c r="W771" s="1214"/>
      <c r="X771" s="1214"/>
      <c r="Y771" s="1214"/>
      <c r="Z771" s="1214"/>
    </row>
    <row r="772">
      <c r="A772" s="1214"/>
      <c r="B772" s="1214"/>
      <c r="C772" s="1214"/>
      <c r="D772" s="1267"/>
      <c r="E772" s="1214"/>
      <c r="F772" s="1214"/>
      <c r="G772" s="1214"/>
      <c r="H772" s="1214"/>
      <c r="I772" s="1214"/>
      <c r="J772" s="1214"/>
      <c r="K772" s="1214"/>
      <c r="L772" s="1214"/>
      <c r="M772" s="1214"/>
      <c r="N772" s="1214"/>
      <c r="O772" s="1214"/>
      <c r="P772" s="1214"/>
      <c r="Q772" s="1214"/>
      <c r="R772" s="1214"/>
      <c r="S772" s="1214"/>
      <c r="T772" s="1214"/>
      <c r="U772" s="1214"/>
      <c r="V772" s="1214"/>
      <c r="W772" s="1214"/>
      <c r="X772" s="1214"/>
      <c r="Y772" s="1214"/>
      <c r="Z772" s="1214"/>
    </row>
    <row r="773">
      <c r="A773" s="1214"/>
      <c r="B773" s="1214"/>
      <c r="C773" s="1214"/>
      <c r="D773" s="1267"/>
      <c r="E773" s="1214"/>
      <c r="F773" s="1214"/>
      <c r="G773" s="1214"/>
      <c r="H773" s="1214"/>
      <c r="I773" s="1214"/>
      <c r="J773" s="1214"/>
      <c r="K773" s="1214"/>
      <c r="L773" s="1214"/>
      <c r="M773" s="1214"/>
      <c r="N773" s="1214"/>
      <c r="O773" s="1214"/>
      <c r="P773" s="1214"/>
      <c r="Q773" s="1214"/>
      <c r="R773" s="1214"/>
      <c r="S773" s="1214"/>
      <c r="T773" s="1214"/>
      <c r="U773" s="1214"/>
      <c r="V773" s="1214"/>
      <c r="W773" s="1214"/>
      <c r="X773" s="1214"/>
      <c r="Y773" s="1214"/>
      <c r="Z773" s="1214"/>
    </row>
    <row r="774">
      <c r="A774" s="1214"/>
      <c r="B774" s="1214"/>
      <c r="C774" s="1214"/>
      <c r="D774" s="1267"/>
      <c r="E774" s="1214"/>
      <c r="F774" s="1214"/>
      <c r="G774" s="1214"/>
      <c r="H774" s="1214"/>
      <c r="I774" s="1214"/>
      <c r="J774" s="1214"/>
      <c r="K774" s="1214"/>
      <c r="L774" s="1214"/>
      <c r="M774" s="1214"/>
      <c r="N774" s="1214"/>
      <c r="O774" s="1214"/>
      <c r="P774" s="1214"/>
      <c r="Q774" s="1214"/>
      <c r="R774" s="1214"/>
      <c r="S774" s="1214"/>
      <c r="T774" s="1214"/>
      <c r="U774" s="1214"/>
      <c r="V774" s="1214"/>
      <c r="W774" s="1214"/>
      <c r="X774" s="1214"/>
      <c r="Y774" s="1214"/>
      <c r="Z774" s="1214"/>
    </row>
    <row r="775">
      <c r="A775" s="1214"/>
      <c r="B775" s="1214"/>
      <c r="C775" s="1214"/>
      <c r="D775" s="1267"/>
      <c r="E775" s="1214"/>
      <c r="F775" s="1214"/>
      <c r="G775" s="1214"/>
      <c r="H775" s="1214"/>
      <c r="I775" s="1214"/>
      <c r="J775" s="1214"/>
      <c r="K775" s="1214"/>
      <c r="L775" s="1214"/>
      <c r="M775" s="1214"/>
      <c r="N775" s="1214"/>
      <c r="O775" s="1214"/>
      <c r="P775" s="1214"/>
      <c r="Q775" s="1214"/>
      <c r="R775" s="1214"/>
      <c r="S775" s="1214"/>
      <c r="T775" s="1214"/>
      <c r="U775" s="1214"/>
      <c r="V775" s="1214"/>
      <c r="W775" s="1214"/>
      <c r="X775" s="1214"/>
      <c r="Y775" s="1214"/>
      <c r="Z775" s="1214"/>
    </row>
    <row r="776">
      <c r="A776" s="1214"/>
      <c r="B776" s="1214"/>
      <c r="C776" s="1214"/>
      <c r="D776" s="1267"/>
      <c r="E776" s="1214"/>
      <c r="F776" s="1214"/>
      <c r="G776" s="1214"/>
      <c r="H776" s="1214"/>
      <c r="I776" s="1214"/>
      <c r="J776" s="1214"/>
      <c r="K776" s="1214"/>
      <c r="L776" s="1214"/>
      <c r="M776" s="1214"/>
      <c r="N776" s="1214"/>
      <c r="O776" s="1214"/>
      <c r="P776" s="1214"/>
      <c r="Q776" s="1214"/>
      <c r="R776" s="1214"/>
      <c r="S776" s="1214"/>
      <c r="T776" s="1214"/>
      <c r="U776" s="1214"/>
      <c r="V776" s="1214"/>
      <c r="W776" s="1214"/>
      <c r="X776" s="1214"/>
      <c r="Y776" s="1214"/>
      <c r="Z776" s="1214"/>
    </row>
    <row r="777">
      <c r="A777" s="1214"/>
      <c r="B777" s="1214"/>
      <c r="C777" s="1214"/>
      <c r="D777" s="1267"/>
      <c r="E777" s="1214"/>
      <c r="F777" s="1214"/>
      <c r="G777" s="1214"/>
      <c r="H777" s="1214"/>
      <c r="I777" s="1214"/>
      <c r="J777" s="1214"/>
      <c r="K777" s="1214"/>
      <c r="L777" s="1214"/>
      <c r="M777" s="1214"/>
      <c r="N777" s="1214"/>
      <c r="O777" s="1214"/>
      <c r="P777" s="1214"/>
      <c r="Q777" s="1214"/>
      <c r="R777" s="1214"/>
      <c r="S777" s="1214"/>
      <c r="T777" s="1214"/>
      <c r="U777" s="1214"/>
      <c r="V777" s="1214"/>
      <c r="W777" s="1214"/>
      <c r="X777" s="1214"/>
      <c r="Y777" s="1214"/>
      <c r="Z777" s="1214"/>
    </row>
    <row r="778">
      <c r="A778" s="1214"/>
      <c r="B778" s="1214"/>
      <c r="C778" s="1214"/>
      <c r="D778" s="1267"/>
      <c r="E778" s="1214"/>
      <c r="F778" s="1214"/>
      <c r="G778" s="1214"/>
      <c r="H778" s="1214"/>
      <c r="I778" s="1214"/>
      <c r="J778" s="1214"/>
      <c r="K778" s="1214"/>
      <c r="L778" s="1214"/>
      <c r="M778" s="1214"/>
      <c r="N778" s="1214"/>
      <c r="O778" s="1214"/>
      <c r="P778" s="1214"/>
      <c r="Q778" s="1214"/>
      <c r="R778" s="1214"/>
      <c r="S778" s="1214"/>
      <c r="T778" s="1214"/>
      <c r="U778" s="1214"/>
      <c r="V778" s="1214"/>
      <c r="W778" s="1214"/>
      <c r="X778" s="1214"/>
      <c r="Y778" s="1214"/>
      <c r="Z778" s="1214"/>
    </row>
    <row r="779">
      <c r="A779" s="1214"/>
      <c r="B779" s="1214"/>
      <c r="C779" s="1214"/>
      <c r="D779" s="1267"/>
      <c r="E779" s="1214"/>
      <c r="F779" s="1214"/>
      <c r="G779" s="1214"/>
      <c r="H779" s="1214"/>
      <c r="I779" s="1214"/>
      <c r="J779" s="1214"/>
      <c r="K779" s="1214"/>
      <c r="L779" s="1214"/>
      <c r="M779" s="1214"/>
      <c r="N779" s="1214"/>
      <c r="O779" s="1214"/>
      <c r="P779" s="1214"/>
      <c r="Q779" s="1214"/>
      <c r="R779" s="1214"/>
      <c r="S779" s="1214"/>
      <c r="T779" s="1214"/>
      <c r="U779" s="1214"/>
      <c r="V779" s="1214"/>
      <c r="W779" s="1214"/>
      <c r="X779" s="1214"/>
      <c r="Y779" s="1214"/>
      <c r="Z779" s="1214"/>
    </row>
    <row r="780">
      <c r="A780" s="1214"/>
      <c r="B780" s="1214"/>
      <c r="C780" s="1214"/>
      <c r="D780" s="1267"/>
      <c r="E780" s="1214"/>
      <c r="F780" s="1214"/>
      <c r="G780" s="1214"/>
      <c r="H780" s="1214"/>
      <c r="I780" s="1214"/>
      <c r="J780" s="1214"/>
      <c r="K780" s="1214"/>
      <c r="L780" s="1214"/>
      <c r="M780" s="1214"/>
      <c r="N780" s="1214"/>
      <c r="O780" s="1214"/>
      <c r="P780" s="1214"/>
      <c r="Q780" s="1214"/>
      <c r="R780" s="1214"/>
      <c r="S780" s="1214"/>
      <c r="T780" s="1214"/>
      <c r="U780" s="1214"/>
      <c r="V780" s="1214"/>
      <c r="W780" s="1214"/>
      <c r="X780" s="1214"/>
      <c r="Y780" s="1214"/>
      <c r="Z780" s="1214"/>
    </row>
    <row r="781">
      <c r="A781" s="1214"/>
      <c r="B781" s="1214"/>
      <c r="C781" s="1214"/>
      <c r="D781" s="1267"/>
      <c r="E781" s="1214"/>
      <c r="F781" s="1214"/>
      <c r="G781" s="1214"/>
      <c r="H781" s="1214"/>
      <c r="I781" s="1214"/>
      <c r="J781" s="1214"/>
      <c r="K781" s="1214"/>
      <c r="L781" s="1214"/>
      <c r="M781" s="1214"/>
      <c r="N781" s="1214"/>
      <c r="O781" s="1214"/>
      <c r="P781" s="1214"/>
      <c r="Q781" s="1214"/>
      <c r="R781" s="1214"/>
      <c r="S781" s="1214"/>
      <c r="T781" s="1214"/>
      <c r="U781" s="1214"/>
      <c r="V781" s="1214"/>
      <c r="W781" s="1214"/>
      <c r="X781" s="1214"/>
      <c r="Y781" s="1214"/>
      <c r="Z781" s="1214"/>
    </row>
    <row r="782">
      <c r="A782" s="1214"/>
      <c r="B782" s="1214"/>
      <c r="C782" s="1214"/>
      <c r="D782" s="1267"/>
      <c r="E782" s="1214"/>
      <c r="F782" s="1214"/>
      <c r="G782" s="1214"/>
      <c r="H782" s="1214"/>
      <c r="I782" s="1214"/>
      <c r="J782" s="1214"/>
      <c r="K782" s="1214"/>
      <c r="L782" s="1214"/>
      <c r="M782" s="1214"/>
      <c r="N782" s="1214"/>
      <c r="O782" s="1214"/>
      <c r="P782" s="1214"/>
      <c r="Q782" s="1214"/>
      <c r="R782" s="1214"/>
      <c r="S782" s="1214"/>
      <c r="T782" s="1214"/>
      <c r="U782" s="1214"/>
      <c r="V782" s="1214"/>
      <c r="W782" s="1214"/>
      <c r="X782" s="1214"/>
      <c r="Y782" s="1214"/>
      <c r="Z782" s="1214"/>
    </row>
    <row r="783">
      <c r="A783" s="1214"/>
      <c r="B783" s="1214"/>
      <c r="C783" s="1214"/>
      <c r="D783" s="1267"/>
      <c r="E783" s="1214"/>
      <c r="F783" s="1214"/>
      <c r="G783" s="1214"/>
      <c r="H783" s="1214"/>
      <c r="I783" s="1214"/>
      <c r="J783" s="1214"/>
      <c r="K783" s="1214"/>
      <c r="L783" s="1214"/>
      <c r="M783" s="1214"/>
      <c r="N783" s="1214"/>
      <c r="O783" s="1214"/>
      <c r="P783" s="1214"/>
      <c r="Q783" s="1214"/>
      <c r="R783" s="1214"/>
      <c r="S783" s="1214"/>
      <c r="T783" s="1214"/>
      <c r="U783" s="1214"/>
      <c r="V783" s="1214"/>
      <c r="W783" s="1214"/>
      <c r="X783" s="1214"/>
      <c r="Y783" s="1214"/>
      <c r="Z783" s="1214"/>
    </row>
    <row r="784">
      <c r="A784" s="1214"/>
      <c r="B784" s="1214"/>
      <c r="C784" s="1214"/>
      <c r="D784" s="1267"/>
      <c r="E784" s="1214"/>
      <c r="F784" s="1214"/>
      <c r="G784" s="1214"/>
      <c r="H784" s="1214"/>
      <c r="I784" s="1214"/>
      <c r="J784" s="1214"/>
      <c r="K784" s="1214"/>
      <c r="L784" s="1214"/>
      <c r="M784" s="1214"/>
      <c r="N784" s="1214"/>
      <c r="O784" s="1214"/>
      <c r="P784" s="1214"/>
      <c r="Q784" s="1214"/>
      <c r="R784" s="1214"/>
      <c r="S784" s="1214"/>
      <c r="T784" s="1214"/>
      <c r="U784" s="1214"/>
      <c r="V784" s="1214"/>
      <c r="W784" s="1214"/>
      <c r="X784" s="1214"/>
      <c r="Y784" s="1214"/>
      <c r="Z784" s="1214"/>
    </row>
    <row r="785">
      <c r="A785" s="1214"/>
      <c r="B785" s="1214"/>
      <c r="C785" s="1214"/>
      <c r="D785" s="1267"/>
      <c r="E785" s="1214"/>
      <c r="F785" s="1214"/>
      <c r="G785" s="1214"/>
      <c r="H785" s="1214"/>
      <c r="I785" s="1214"/>
      <c r="J785" s="1214"/>
      <c r="K785" s="1214"/>
      <c r="L785" s="1214"/>
      <c r="M785" s="1214"/>
      <c r="N785" s="1214"/>
      <c r="O785" s="1214"/>
      <c r="P785" s="1214"/>
      <c r="Q785" s="1214"/>
      <c r="R785" s="1214"/>
      <c r="S785" s="1214"/>
      <c r="T785" s="1214"/>
      <c r="U785" s="1214"/>
      <c r="V785" s="1214"/>
      <c r="W785" s="1214"/>
      <c r="X785" s="1214"/>
      <c r="Y785" s="1214"/>
      <c r="Z785" s="1214"/>
    </row>
    <row r="786">
      <c r="A786" s="1214"/>
      <c r="B786" s="1214"/>
      <c r="C786" s="1214"/>
      <c r="D786" s="1267"/>
      <c r="E786" s="1214"/>
      <c r="F786" s="1214"/>
      <c r="G786" s="1214"/>
      <c r="H786" s="1214"/>
      <c r="I786" s="1214"/>
      <c r="J786" s="1214"/>
      <c r="K786" s="1214"/>
      <c r="L786" s="1214"/>
      <c r="M786" s="1214"/>
      <c r="N786" s="1214"/>
      <c r="O786" s="1214"/>
      <c r="P786" s="1214"/>
      <c r="Q786" s="1214"/>
      <c r="R786" s="1214"/>
      <c r="S786" s="1214"/>
      <c r="T786" s="1214"/>
      <c r="U786" s="1214"/>
      <c r="V786" s="1214"/>
      <c r="W786" s="1214"/>
      <c r="X786" s="1214"/>
      <c r="Y786" s="1214"/>
      <c r="Z786" s="1214"/>
    </row>
    <row r="787">
      <c r="A787" s="1214"/>
      <c r="B787" s="1214"/>
      <c r="C787" s="1214"/>
      <c r="D787" s="1267"/>
      <c r="E787" s="1214"/>
      <c r="F787" s="1214"/>
      <c r="G787" s="1214"/>
      <c r="H787" s="1214"/>
      <c r="I787" s="1214"/>
      <c r="J787" s="1214"/>
      <c r="K787" s="1214"/>
      <c r="L787" s="1214"/>
      <c r="M787" s="1214"/>
      <c r="N787" s="1214"/>
      <c r="O787" s="1214"/>
      <c r="P787" s="1214"/>
      <c r="Q787" s="1214"/>
      <c r="R787" s="1214"/>
      <c r="S787" s="1214"/>
      <c r="T787" s="1214"/>
      <c r="U787" s="1214"/>
      <c r="V787" s="1214"/>
      <c r="W787" s="1214"/>
      <c r="X787" s="1214"/>
      <c r="Y787" s="1214"/>
      <c r="Z787" s="1214"/>
    </row>
    <row r="788">
      <c r="A788" s="1214"/>
      <c r="B788" s="1214"/>
      <c r="C788" s="1214"/>
      <c r="D788" s="1267"/>
      <c r="E788" s="1214"/>
      <c r="F788" s="1214"/>
      <c r="G788" s="1214"/>
      <c r="H788" s="1214"/>
      <c r="I788" s="1214"/>
      <c r="J788" s="1214"/>
      <c r="K788" s="1214"/>
      <c r="L788" s="1214"/>
      <c r="M788" s="1214"/>
      <c r="N788" s="1214"/>
      <c r="O788" s="1214"/>
      <c r="P788" s="1214"/>
      <c r="Q788" s="1214"/>
      <c r="R788" s="1214"/>
      <c r="S788" s="1214"/>
      <c r="T788" s="1214"/>
      <c r="U788" s="1214"/>
      <c r="V788" s="1214"/>
      <c r="W788" s="1214"/>
      <c r="X788" s="1214"/>
      <c r="Y788" s="1214"/>
      <c r="Z788" s="1214"/>
    </row>
    <row r="789">
      <c r="A789" s="1214"/>
      <c r="B789" s="1214"/>
      <c r="C789" s="1214"/>
      <c r="D789" s="1267"/>
      <c r="E789" s="1214"/>
      <c r="F789" s="1214"/>
      <c r="G789" s="1214"/>
      <c r="H789" s="1214"/>
      <c r="I789" s="1214"/>
      <c r="J789" s="1214"/>
      <c r="K789" s="1214"/>
      <c r="L789" s="1214"/>
      <c r="M789" s="1214"/>
      <c r="N789" s="1214"/>
      <c r="O789" s="1214"/>
      <c r="P789" s="1214"/>
      <c r="Q789" s="1214"/>
      <c r="R789" s="1214"/>
      <c r="S789" s="1214"/>
      <c r="T789" s="1214"/>
      <c r="U789" s="1214"/>
      <c r="V789" s="1214"/>
      <c r="W789" s="1214"/>
      <c r="X789" s="1214"/>
      <c r="Y789" s="1214"/>
      <c r="Z789" s="1214"/>
    </row>
    <row r="790">
      <c r="A790" s="1214"/>
      <c r="B790" s="1214"/>
      <c r="C790" s="1214"/>
      <c r="D790" s="1267"/>
      <c r="E790" s="1214"/>
      <c r="F790" s="1214"/>
      <c r="G790" s="1214"/>
      <c r="H790" s="1214"/>
      <c r="I790" s="1214"/>
      <c r="J790" s="1214"/>
      <c r="K790" s="1214"/>
      <c r="L790" s="1214"/>
      <c r="M790" s="1214"/>
      <c r="N790" s="1214"/>
      <c r="O790" s="1214"/>
      <c r="P790" s="1214"/>
      <c r="Q790" s="1214"/>
      <c r="R790" s="1214"/>
      <c r="S790" s="1214"/>
      <c r="T790" s="1214"/>
      <c r="U790" s="1214"/>
      <c r="V790" s="1214"/>
      <c r="W790" s="1214"/>
      <c r="X790" s="1214"/>
      <c r="Y790" s="1214"/>
      <c r="Z790" s="1214"/>
    </row>
    <row r="791">
      <c r="A791" s="1214"/>
      <c r="B791" s="1214"/>
      <c r="C791" s="1214"/>
      <c r="D791" s="1267"/>
      <c r="E791" s="1214"/>
      <c r="F791" s="1214"/>
      <c r="G791" s="1214"/>
      <c r="H791" s="1214"/>
      <c r="I791" s="1214"/>
      <c r="J791" s="1214"/>
      <c r="K791" s="1214"/>
      <c r="L791" s="1214"/>
      <c r="M791" s="1214"/>
      <c r="N791" s="1214"/>
      <c r="O791" s="1214"/>
      <c r="P791" s="1214"/>
      <c r="Q791" s="1214"/>
      <c r="R791" s="1214"/>
      <c r="S791" s="1214"/>
      <c r="T791" s="1214"/>
      <c r="U791" s="1214"/>
      <c r="V791" s="1214"/>
      <c r="W791" s="1214"/>
      <c r="X791" s="1214"/>
      <c r="Y791" s="1214"/>
      <c r="Z791" s="1214"/>
    </row>
    <row r="792">
      <c r="A792" s="1214"/>
      <c r="B792" s="1214"/>
      <c r="C792" s="1214"/>
      <c r="D792" s="1267"/>
      <c r="E792" s="1214"/>
      <c r="F792" s="1214"/>
      <c r="G792" s="1214"/>
      <c r="H792" s="1214"/>
      <c r="I792" s="1214"/>
      <c r="J792" s="1214"/>
      <c r="K792" s="1214"/>
      <c r="L792" s="1214"/>
      <c r="M792" s="1214"/>
      <c r="N792" s="1214"/>
      <c r="O792" s="1214"/>
      <c r="P792" s="1214"/>
      <c r="Q792" s="1214"/>
      <c r="R792" s="1214"/>
      <c r="S792" s="1214"/>
      <c r="T792" s="1214"/>
      <c r="U792" s="1214"/>
      <c r="V792" s="1214"/>
      <c r="W792" s="1214"/>
      <c r="X792" s="1214"/>
      <c r="Y792" s="1214"/>
      <c r="Z792" s="1214"/>
    </row>
    <row r="793">
      <c r="A793" s="1214"/>
      <c r="B793" s="1214"/>
      <c r="C793" s="1214"/>
      <c r="D793" s="1267"/>
      <c r="E793" s="1214"/>
      <c r="F793" s="1214"/>
      <c r="G793" s="1214"/>
      <c r="H793" s="1214"/>
      <c r="I793" s="1214"/>
      <c r="J793" s="1214"/>
      <c r="K793" s="1214"/>
      <c r="L793" s="1214"/>
      <c r="M793" s="1214"/>
      <c r="N793" s="1214"/>
      <c r="O793" s="1214"/>
      <c r="P793" s="1214"/>
      <c r="Q793" s="1214"/>
      <c r="R793" s="1214"/>
      <c r="S793" s="1214"/>
      <c r="T793" s="1214"/>
      <c r="U793" s="1214"/>
      <c r="V793" s="1214"/>
      <c r="W793" s="1214"/>
      <c r="X793" s="1214"/>
      <c r="Y793" s="1214"/>
      <c r="Z793" s="1214"/>
    </row>
    <row r="794">
      <c r="A794" s="1214"/>
      <c r="B794" s="1214"/>
      <c r="C794" s="1214"/>
      <c r="D794" s="1267"/>
      <c r="E794" s="1214"/>
      <c r="F794" s="1214"/>
      <c r="G794" s="1214"/>
      <c r="H794" s="1214"/>
      <c r="I794" s="1214"/>
      <c r="J794" s="1214"/>
      <c r="K794" s="1214"/>
      <c r="L794" s="1214"/>
      <c r="M794" s="1214"/>
      <c r="N794" s="1214"/>
      <c r="O794" s="1214"/>
      <c r="P794" s="1214"/>
      <c r="Q794" s="1214"/>
      <c r="R794" s="1214"/>
      <c r="S794" s="1214"/>
      <c r="T794" s="1214"/>
      <c r="U794" s="1214"/>
      <c r="V794" s="1214"/>
      <c r="W794" s="1214"/>
      <c r="X794" s="1214"/>
      <c r="Y794" s="1214"/>
      <c r="Z794" s="1214"/>
    </row>
    <row r="795">
      <c r="A795" s="1214"/>
      <c r="B795" s="1214"/>
      <c r="C795" s="1214"/>
      <c r="D795" s="1267"/>
      <c r="E795" s="1214"/>
      <c r="F795" s="1214"/>
      <c r="G795" s="1214"/>
      <c r="H795" s="1214"/>
      <c r="I795" s="1214"/>
      <c r="J795" s="1214"/>
      <c r="K795" s="1214"/>
      <c r="L795" s="1214"/>
      <c r="M795" s="1214"/>
      <c r="N795" s="1214"/>
      <c r="O795" s="1214"/>
      <c r="P795" s="1214"/>
      <c r="Q795" s="1214"/>
      <c r="R795" s="1214"/>
      <c r="S795" s="1214"/>
      <c r="T795" s="1214"/>
      <c r="U795" s="1214"/>
      <c r="V795" s="1214"/>
      <c r="W795" s="1214"/>
      <c r="X795" s="1214"/>
      <c r="Y795" s="1214"/>
      <c r="Z795" s="1214"/>
    </row>
    <row r="796">
      <c r="A796" s="1214"/>
      <c r="B796" s="1214"/>
      <c r="C796" s="1214"/>
      <c r="D796" s="1267"/>
      <c r="E796" s="1214"/>
      <c r="F796" s="1214"/>
      <c r="G796" s="1214"/>
      <c r="H796" s="1214"/>
      <c r="I796" s="1214"/>
      <c r="J796" s="1214"/>
      <c r="K796" s="1214"/>
      <c r="L796" s="1214"/>
      <c r="M796" s="1214"/>
      <c r="N796" s="1214"/>
      <c r="O796" s="1214"/>
      <c r="P796" s="1214"/>
      <c r="Q796" s="1214"/>
      <c r="R796" s="1214"/>
      <c r="S796" s="1214"/>
      <c r="T796" s="1214"/>
      <c r="U796" s="1214"/>
      <c r="V796" s="1214"/>
      <c r="W796" s="1214"/>
      <c r="X796" s="1214"/>
      <c r="Y796" s="1214"/>
      <c r="Z796" s="1214"/>
    </row>
    <row r="797">
      <c r="A797" s="1214"/>
      <c r="B797" s="1214"/>
      <c r="C797" s="1214"/>
      <c r="D797" s="1267"/>
      <c r="E797" s="1214"/>
      <c r="F797" s="1214"/>
      <c r="G797" s="1214"/>
      <c r="H797" s="1214"/>
      <c r="I797" s="1214"/>
      <c r="J797" s="1214"/>
      <c r="K797" s="1214"/>
      <c r="L797" s="1214"/>
      <c r="M797" s="1214"/>
      <c r="N797" s="1214"/>
      <c r="O797" s="1214"/>
      <c r="P797" s="1214"/>
      <c r="Q797" s="1214"/>
      <c r="R797" s="1214"/>
      <c r="S797" s="1214"/>
      <c r="T797" s="1214"/>
      <c r="U797" s="1214"/>
      <c r="V797" s="1214"/>
      <c r="W797" s="1214"/>
      <c r="X797" s="1214"/>
      <c r="Y797" s="1214"/>
      <c r="Z797" s="1214"/>
    </row>
    <row r="798">
      <c r="A798" s="1214"/>
      <c r="B798" s="1214"/>
      <c r="C798" s="1214"/>
      <c r="D798" s="1267"/>
      <c r="E798" s="1214"/>
      <c r="F798" s="1214"/>
      <c r="G798" s="1214"/>
      <c r="H798" s="1214"/>
      <c r="I798" s="1214"/>
      <c r="J798" s="1214"/>
      <c r="K798" s="1214"/>
      <c r="L798" s="1214"/>
      <c r="M798" s="1214"/>
      <c r="N798" s="1214"/>
      <c r="O798" s="1214"/>
      <c r="P798" s="1214"/>
      <c r="Q798" s="1214"/>
      <c r="R798" s="1214"/>
      <c r="S798" s="1214"/>
      <c r="T798" s="1214"/>
      <c r="U798" s="1214"/>
      <c r="V798" s="1214"/>
      <c r="W798" s="1214"/>
      <c r="X798" s="1214"/>
      <c r="Y798" s="1214"/>
      <c r="Z798" s="1214"/>
    </row>
    <row r="799">
      <c r="A799" s="1214"/>
      <c r="B799" s="1214"/>
      <c r="C799" s="1214"/>
      <c r="D799" s="1267"/>
      <c r="E799" s="1214"/>
      <c r="F799" s="1214"/>
      <c r="G799" s="1214"/>
      <c r="H799" s="1214"/>
      <c r="I799" s="1214"/>
      <c r="J799" s="1214"/>
      <c r="K799" s="1214"/>
      <c r="L799" s="1214"/>
      <c r="M799" s="1214"/>
      <c r="N799" s="1214"/>
      <c r="O799" s="1214"/>
      <c r="P799" s="1214"/>
      <c r="Q799" s="1214"/>
      <c r="R799" s="1214"/>
      <c r="S799" s="1214"/>
      <c r="T799" s="1214"/>
      <c r="U799" s="1214"/>
      <c r="V799" s="1214"/>
      <c r="W799" s="1214"/>
      <c r="X799" s="1214"/>
      <c r="Y799" s="1214"/>
      <c r="Z799" s="1214"/>
    </row>
    <row r="800">
      <c r="A800" s="1214"/>
      <c r="B800" s="1214"/>
      <c r="C800" s="1214"/>
      <c r="D800" s="1267"/>
      <c r="E800" s="1214"/>
      <c r="F800" s="1214"/>
      <c r="G800" s="1214"/>
      <c r="H800" s="1214"/>
      <c r="I800" s="1214"/>
      <c r="J800" s="1214"/>
      <c r="K800" s="1214"/>
      <c r="L800" s="1214"/>
      <c r="M800" s="1214"/>
      <c r="N800" s="1214"/>
      <c r="O800" s="1214"/>
      <c r="P800" s="1214"/>
      <c r="Q800" s="1214"/>
      <c r="R800" s="1214"/>
      <c r="S800" s="1214"/>
      <c r="T800" s="1214"/>
      <c r="U800" s="1214"/>
      <c r="V800" s="1214"/>
      <c r="W800" s="1214"/>
      <c r="X800" s="1214"/>
      <c r="Y800" s="1214"/>
      <c r="Z800" s="1214"/>
    </row>
    <row r="801">
      <c r="A801" s="1214"/>
      <c r="B801" s="1214"/>
      <c r="C801" s="1214"/>
      <c r="D801" s="1267"/>
      <c r="E801" s="1214"/>
      <c r="F801" s="1214"/>
      <c r="G801" s="1214"/>
      <c r="H801" s="1214"/>
      <c r="I801" s="1214"/>
      <c r="J801" s="1214"/>
      <c r="K801" s="1214"/>
      <c r="L801" s="1214"/>
      <c r="M801" s="1214"/>
      <c r="N801" s="1214"/>
      <c r="O801" s="1214"/>
      <c r="P801" s="1214"/>
      <c r="Q801" s="1214"/>
      <c r="R801" s="1214"/>
      <c r="S801" s="1214"/>
      <c r="T801" s="1214"/>
      <c r="U801" s="1214"/>
      <c r="V801" s="1214"/>
      <c r="W801" s="1214"/>
      <c r="X801" s="1214"/>
      <c r="Y801" s="1214"/>
      <c r="Z801" s="1214"/>
    </row>
    <row r="802">
      <c r="A802" s="1214"/>
      <c r="B802" s="1214"/>
      <c r="C802" s="1214"/>
      <c r="D802" s="1267"/>
      <c r="E802" s="1214"/>
      <c r="F802" s="1214"/>
      <c r="G802" s="1214"/>
      <c r="H802" s="1214"/>
      <c r="I802" s="1214"/>
      <c r="J802" s="1214"/>
      <c r="K802" s="1214"/>
      <c r="L802" s="1214"/>
      <c r="M802" s="1214"/>
      <c r="N802" s="1214"/>
      <c r="O802" s="1214"/>
      <c r="P802" s="1214"/>
      <c r="Q802" s="1214"/>
      <c r="R802" s="1214"/>
      <c r="S802" s="1214"/>
      <c r="T802" s="1214"/>
      <c r="U802" s="1214"/>
      <c r="V802" s="1214"/>
      <c r="W802" s="1214"/>
      <c r="X802" s="1214"/>
      <c r="Y802" s="1214"/>
      <c r="Z802" s="1214"/>
    </row>
    <row r="803">
      <c r="A803" s="1214"/>
      <c r="B803" s="1214"/>
      <c r="C803" s="1214"/>
      <c r="D803" s="1267"/>
      <c r="E803" s="1214"/>
      <c r="F803" s="1214"/>
      <c r="G803" s="1214"/>
      <c r="H803" s="1214"/>
      <c r="I803" s="1214"/>
      <c r="J803" s="1214"/>
      <c r="K803" s="1214"/>
      <c r="L803" s="1214"/>
      <c r="M803" s="1214"/>
      <c r="N803" s="1214"/>
      <c r="O803" s="1214"/>
      <c r="P803" s="1214"/>
      <c r="Q803" s="1214"/>
      <c r="R803" s="1214"/>
      <c r="S803" s="1214"/>
      <c r="T803" s="1214"/>
      <c r="U803" s="1214"/>
      <c r="V803" s="1214"/>
      <c r="W803" s="1214"/>
      <c r="X803" s="1214"/>
      <c r="Y803" s="1214"/>
      <c r="Z803" s="1214"/>
    </row>
    <row r="804">
      <c r="A804" s="1214"/>
      <c r="B804" s="1214"/>
      <c r="C804" s="1214"/>
      <c r="D804" s="1267"/>
      <c r="E804" s="1214"/>
      <c r="F804" s="1214"/>
      <c r="G804" s="1214"/>
      <c r="H804" s="1214"/>
      <c r="I804" s="1214"/>
      <c r="J804" s="1214"/>
      <c r="K804" s="1214"/>
      <c r="L804" s="1214"/>
      <c r="M804" s="1214"/>
      <c r="N804" s="1214"/>
      <c r="O804" s="1214"/>
      <c r="P804" s="1214"/>
      <c r="Q804" s="1214"/>
      <c r="R804" s="1214"/>
      <c r="S804" s="1214"/>
      <c r="T804" s="1214"/>
      <c r="U804" s="1214"/>
      <c r="V804" s="1214"/>
      <c r="W804" s="1214"/>
      <c r="X804" s="1214"/>
      <c r="Y804" s="1214"/>
      <c r="Z804" s="1214"/>
    </row>
    <row r="805">
      <c r="A805" s="1214"/>
      <c r="B805" s="1214"/>
      <c r="C805" s="1214"/>
      <c r="D805" s="1267"/>
      <c r="E805" s="1214"/>
      <c r="F805" s="1214"/>
      <c r="G805" s="1214"/>
      <c r="H805" s="1214"/>
      <c r="I805" s="1214"/>
      <c r="J805" s="1214"/>
      <c r="K805" s="1214"/>
      <c r="L805" s="1214"/>
      <c r="M805" s="1214"/>
      <c r="N805" s="1214"/>
      <c r="O805" s="1214"/>
      <c r="P805" s="1214"/>
      <c r="Q805" s="1214"/>
      <c r="R805" s="1214"/>
      <c r="S805" s="1214"/>
      <c r="T805" s="1214"/>
      <c r="U805" s="1214"/>
      <c r="V805" s="1214"/>
      <c r="W805" s="1214"/>
      <c r="X805" s="1214"/>
      <c r="Y805" s="1214"/>
      <c r="Z805" s="1214"/>
    </row>
    <row r="806">
      <c r="A806" s="1214"/>
      <c r="B806" s="1214"/>
      <c r="C806" s="1214"/>
      <c r="D806" s="1267"/>
      <c r="E806" s="1214"/>
      <c r="F806" s="1214"/>
      <c r="G806" s="1214"/>
      <c r="H806" s="1214"/>
      <c r="I806" s="1214"/>
      <c r="J806" s="1214"/>
      <c r="K806" s="1214"/>
      <c r="L806" s="1214"/>
      <c r="M806" s="1214"/>
      <c r="N806" s="1214"/>
      <c r="O806" s="1214"/>
      <c r="P806" s="1214"/>
      <c r="Q806" s="1214"/>
      <c r="R806" s="1214"/>
      <c r="S806" s="1214"/>
      <c r="T806" s="1214"/>
      <c r="U806" s="1214"/>
      <c r="V806" s="1214"/>
      <c r="W806" s="1214"/>
      <c r="X806" s="1214"/>
      <c r="Y806" s="1214"/>
      <c r="Z806" s="1214"/>
    </row>
    <row r="807">
      <c r="A807" s="1214"/>
      <c r="B807" s="1214"/>
      <c r="C807" s="1214"/>
      <c r="D807" s="1267"/>
      <c r="E807" s="1214"/>
      <c r="F807" s="1214"/>
      <c r="G807" s="1214"/>
      <c r="H807" s="1214"/>
      <c r="I807" s="1214"/>
      <c r="J807" s="1214"/>
      <c r="K807" s="1214"/>
      <c r="L807" s="1214"/>
      <c r="M807" s="1214"/>
      <c r="N807" s="1214"/>
      <c r="O807" s="1214"/>
      <c r="P807" s="1214"/>
      <c r="Q807" s="1214"/>
      <c r="R807" s="1214"/>
      <c r="S807" s="1214"/>
      <c r="T807" s="1214"/>
      <c r="U807" s="1214"/>
      <c r="V807" s="1214"/>
      <c r="W807" s="1214"/>
      <c r="X807" s="1214"/>
      <c r="Y807" s="1214"/>
      <c r="Z807" s="1214"/>
    </row>
    <row r="808">
      <c r="A808" s="1214"/>
      <c r="B808" s="1214"/>
      <c r="C808" s="1214"/>
      <c r="D808" s="1267"/>
      <c r="E808" s="1214"/>
      <c r="F808" s="1214"/>
      <c r="G808" s="1214"/>
      <c r="H808" s="1214"/>
      <c r="I808" s="1214"/>
      <c r="J808" s="1214"/>
      <c r="K808" s="1214"/>
      <c r="L808" s="1214"/>
      <c r="M808" s="1214"/>
      <c r="N808" s="1214"/>
      <c r="O808" s="1214"/>
      <c r="P808" s="1214"/>
      <c r="Q808" s="1214"/>
      <c r="R808" s="1214"/>
      <c r="S808" s="1214"/>
      <c r="T808" s="1214"/>
      <c r="U808" s="1214"/>
      <c r="V808" s="1214"/>
      <c r="W808" s="1214"/>
      <c r="X808" s="1214"/>
      <c r="Y808" s="1214"/>
      <c r="Z808" s="1214"/>
    </row>
    <row r="809">
      <c r="A809" s="1214"/>
      <c r="B809" s="1214"/>
      <c r="C809" s="1214"/>
      <c r="D809" s="1267"/>
      <c r="E809" s="1214"/>
      <c r="F809" s="1214"/>
      <c r="G809" s="1214"/>
      <c r="H809" s="1214"/>
      <c r="I809" s="1214"/>
      <c r="J809" s="1214"/>
      <c r="K809" s="1214"/>
      <c r="L809" s="1214"/>
      <c r="M809" s="1214"/>
      <c r="N809" s="1214"/>
      <c r="O809" s="1214"/>
      <c r="P809" s="1214"/>
      <c r="Q809" s="1214"/>
      <c r="R809" s="1214"/>
      <c r="S809" s="1214"/>
      <c r="T809" s="1214"/>
      <c r="U809" s="1214"/>
      <c r="V809" s="1214"/>
      <c r="W809" s="1214"/>
      <c r="X809" s="1214"/>
      <c r="Y809" s="1214"/>
      <c r="Z809" s="1214"/>
    </row>
    <row r="810">
      <c r="A810" s="1214"/>
      <c r="B810" s="1214"/>
      <c r="C810" s="1214"/>
      <c r="D810" s="1267"/>
      <c r="E810" s="1214"/>
      <c r="F810" s="1214"/>
      <c r="G810" s="1214"/>
      <c r="H810" s="1214"/>
      <c r="I810" s="1214"/>
      <c r="J810" s="1214"/>
      <c r="K810" s="1214"/>
      <c r="L810" s="1214"/>
      <c r="M810" s="1214"/>
      <c r="N810" s="1214"/>
      <c r="O810" s="1214"/>
      <c r="P810" s="1214"/>
      <c r="Q810" s="1214"/>
      <c r="R810" s="1214"/>
      <c r="S810" s="1214"/>
      <c r="T810" s="1214"/>
      <c r="U810" s="1214"/>
      <c r="V810" s="1214"/>
      <c r="W810" s="1214"/>
      <c r="X810" s="1214"/>
      <c r="Y810" s="1214"/>
      <c r="Z810" s="1214"/>
    </row>
    <row r="811">
      <c r="A811" s="1214"/>
      <c r="B811" s="1214"/>
      <c r="C811" s="1214"/>
      <c r="D811" s="1267"/>
      <c r="E811" s="1214"/>
      <c r="F811" s="1214"/>
      <c r="G811" s="1214"/>
      <c r="H811" s="1214"/>
      <c r="I811" s="1214"/>
      <c r="J811" s="1214"/>
      <c r="K811" s="1214"/>
      <c r="L811" s="1214"/>
      <c r="M811" s="1214"/>
      <c r="N811" s="1214"/>
      <c r="O811" s="1214"/>
      <c r="P811" s="1214"/>
      <c r="Q811" s="1214"/>
      <c r="R811" s="1214"/>
      <c r="S811" s="1214"/>
      <c r="T811" s="1214"/>
      <c r="U811" s="1214"/>
      <c r="V811" s="1214"/>
      <c r="W811" s="1214"/>
      <c r="X811" s="1214"/>
      <c r="Y811" s="1214"/>
      <c r="Z811" s="1214"/>
    </row>
    <row r="812">
      <c r="A812" s="1214"/>
      <c r="B812" s="1214"/>
      <c r="C812" s="1214"/>
      <c r="D812" s="1267"/>
      <c r="E812" s="1214"/>
      <c r="F812" s="1214"/>
      <c r="G812" s="1214"/>
      <c r="H812" s="1214"/>
      <c r="I812" s="1214"/>
      <c r="J812" s="1214"/>
      <c r="K812" s="1214"/>
      <c r="L812" s="1214"/>
      <c r="M812" s="1214"/>
      <c r="N812" s="1214"/>
      <c r="O812" s="1214"/>
      <c r="P812" s="1214"/>
      <c r="Q812" s="1214"/>
      <c r="R812" s="1214"/>
      <c r="S812" s="1214"/>
      <c r="T812" s="1214"/>
      <c r="U812" s="1214"/>
      <c r="V812" s="1214"/>
      <c r="W812" s="1214"/>
      <c r="X812" s="1214"/>
      <c r="Y812" s="1214"/>
      <c r="Z812" s="1214"/>
    </row>
    <row r="813">
      <c r="A813" s="1214"/>
      <c r="B813" s="1214"/>
      <c r="C813" s="1214"/>
      <c r="D813" s="1267"/>
      <c r="E813" s="1214"/>
      <c r="F813" s="1214"/>
      <c r="G813" s="1214"/>
      <c r="H813" s="1214"/>
      <c r="I813" s="1214"/>
      <c r="J813" s="1214"/>
      <c r="K813" s="1214"/>
      <c r="L813" s="1214"/>
      <c r="M813" s="1214"/>
      <c r="N813" s="1214"/>
      <c r="O813" s="1214"/>
      <c r="P813" s="1214"/>
      <c r="Q813" s="1214"/>
      <c r="R813" s="1214"/>
      <c r="S813" s="1214"/>
      <c r="T813" s="1214"/>
      <c r="U813" s="1214"/>
      <c r="V813" s="1214"/>
      <c r="W813" s="1214"/>
      <c r="X813" s="1214"/>
      <c r="Y813" s="1214"/>
      <c r="Z813" s="1214"/>
    </row>
    <row r="814">
      <c r="A814" s="1214"/>
      <c r="B814" s="1214"/>
      <c r="C814" s="1214"/>
      <c r="D814" s="1267"/>
      <c r="E814" s="1214"/>
      <c r="F814" s="1214"/>
      <c r="G814" s="1214"/>
      <c r="H814" s="1214"/>
      <c r="I814" s="1214"/>
      <c r="J814" s="1214"/>
      <c r="K814" s="1214"/>
      <c r="L814" s="1214"/>
      <c r="M814" s="1214"/>
      <c r="N814" s="1214"/>
      <c r="O814" s="1214"/>
      <c r="P814" s="1214"/>
      <c r="Q814" s="1214"/>
      <c r="R814" s="1214"/>
      <c r="S814" s="1214"/>
      <c r="T814" s="1214"/>
      <c r="U814" s="1214"/>
      <c r="V814" s="1214"/>
      <c r="W814" s="1214"/>
      <c r="X814" s="1214"/>
      <c r="Y814" s="1214"/>
      <c r="Z814" s="1214"/>
    </row>
    <row r="815">
      <c r="A815" s="1214"/>
      <c r="B815" s="1214"/>
      <c r="C815" s="1214"/>
      <c r="D815" s="1267"/>
      <c r="E815" s="1214"/>
      <c r="F815" s="1214"/>
      <c r="G815" s="1214"/>
      <c r="H815" s="1214"/>
      <c r="I815" s="1214"/>
      <c r="J815" s="1214"/>
      <c r="K815" s="1214"/>
      <c r="L815" s="1214"/>
      <c r="M815" s="1214"/>
      <c r="N815" s="1214"/>
      <c r="O815" s="1214"/>
      <c r="P815" s="1214"/>
      <c r="Q815" s="1214"/>
      <c r="R815" s="1214"/>
      <c r="S815" s="1214"/>
      <c r="T815" s="1214"/>
      <c r="U815" s="1214"/>
      <c r="V815" s="1214"/>
      <c r="W815" s="1214"/>
      <c r="X815" s="1214"/>
      <c r="Y815" s="1214"/>
      <c r="Z815" s="1214"/>
    </row>
    <row r="816">
      <c r="A816" s="1214"/>
      <c r="B816" s="1214"/>
      <c r="C816" s="1214"/>
      <c r="D816" s="1267"/>
      <c r="E816" s="1214"/>
      <c r="F816" s="1214"/>
      <c r="G816" s="1214"/>
      <c r="H816" s="1214"/>
      <c r="I816" s="1214"/>
      <c r="J816" s="1214"/>
      <c r="K816" s="1214"/>
      <c r="L816" s="1214"/>
      <c r="M816" s="1214"/>
      <c r="N816" s="1214"/>
      <c r="O816" s="1214"/>
      <c r="P816" s="1214"/>
      <c r="Q816" s="1214"/>
      <c r="R816" s="1214"/>
      <c r="S816" s="1214"/>
      <c r="T816" s="1214"/>
      <c r="U816" s="1214"/>
      <c r="V816" s="1214"/>
      <c r="W816" s="1214"/>
      <c r="X816" s="1214"/>
      <c r="Y816" s="1214"/>
      <c r="Z816" s="1214"/>
    </row>
    <row r="817">
      <c r="A817" s="1214"/>
      <c r="B817" s="1214"/>
      <c r="C817" s="1214"/>
      <c r="D817" s="1267"/>
      <c r="E817" s="1214"/>
      <c r="F817" s="1214"/>
      <c r="G817" s="1214"/>
      <c r="H817" s="1214"/>
      <c r="I817" s="1214"/>
      <c r="J817" s="1214"/>
      <c r="K817" s="1214"/>
      <c r="L817" s="1214"/>
      <c r="M817" s="1214"/>
      <c r="N817" s="1214"/>
      <c r="O817" s="1214"/>
      <c r="P817" s="1214"/>
      <c r="Q817" s="1214"/>
      <c r="R817" s="1214"/>
      <c r="S817" s="1214"/>
      <c r="T817" s="1214"/>
      <c r="U817" s="1214"/>
      <c r="V817" s="1214"/>
      <c r="W817" s="1214"/>
      <c r="X817" s="1214"/>
      <c r="Y817" s="1214"/>
      <c r="Z817" s="1214"/>
    </row>
    <row r="818">
      <c r="A818" s="1214"/>
      <c r="B818" s="1214"/>
      <c r="C818" s="1214"/>
      <c r="D818" s="1267"/>
      <c r="E818" s="1214"/>
      <c r="F818" s="1214"/>
      <c r="G818" s="1214"/>
      <c r="H818" s="1214"/>
      <c r="I818" s="1214"/>
      <c r="J818" s="1214"/>
      <c r="K818" s="1214"/>
      <c r="L818" s="1214"/>
      <c r="M818" s="1214"/>
      <c r="N818" s="1214"/>
      <c r="O818" s="1214"/>
      <c r="P818" s="1214"/>
      <c r="Q818" s="1214"/>
      <c r="R818" s="1214"/>
      <c r="S818" s="1214"/>
      <c r="T818" s="1214"/>
      <c r="U818" s="1214"/>
      <c r="V818" s="1214"/>
      <c r="W818" s="1214"/>
      <c r="X818" s="1214"/>
      <c r="Y818" s="1214"/>
      <c r="Z818" s="1214"/>
    </row>
    <row r="819">
      <c r="A819" s="1214"/>
      <c r="B819" s="1214"/>
      <c r="C819" s="1214"/>
      <c r="D819" s="1267"/>
      <c r="E819" s="1214"/>
      <c r="F819" s="1214"/>
      <c r="G819" s="1214"/>
      <c r="H819" s="1214"/>
      <c r="I819" s="1214"/>
      <c r="J819" s="1214"/>
      <c r="K819" s="1214"/>
      <c r="L819" s="1214"/>
      <c r="M819" s="1214"/>
      <c r="N819" s="1214"/>
      <c r="O819" s="1214"/>
      <c r="P819" s="1214"/>
      <c r="Q819" s="1214"/>
      <c r="R819" s="1214"/>
      <c r="S819" s="1214"/>
      <c r="T819" s="1214"/>
      <c r="U819" s="1214"/>
      <c r="V819" s="1214"/>
      <c r="W819" s="1214"/>
      <c r="X819" s="1214"/>
      <c r="Y819" s="1214"/>
      <c r="Z819" s="1214"/>
    </row>
    <row r="820">
      <c r="A820" s="1214"/>
      <c r="B820" s="1214"/>
      <c r="C820" s="1214"/>
      <c r="D820" s="1267"/>
      <c r="E820" s="1214"/>
      <c r="F820" s="1214"/>
      <c r="G820" s="1214"/>
      <c r="H820" s="1214"/>
      <c r="I820" s="1214"/>
      <c r="J820" s="1214"/>
      <c r="K820" s="1214"/>
      <c r="L820" s="1214"/>
      <c r="M820" s="1214"/>
      <c r="N820" s="1214"/>
      <c r="O820" s="1214"/>
      <c r="P820" s="1214"/>
      <c r="Q820" s="1214"/>
      <c r="R820" s="1214"/>
      <c r="S820" s="1214"/>
      <c r="T820" s="1214"/>
      <c r="U820" s="1214"/>
      <c r="V820" s="1214"/>
      <c r="W820" s="1214"/>
      <c r="X820" s="1214"/>
      <c r="Y820" s="1214"/>
      <c r="Z820" s="1214"/>
    </row>
    <row r="821">
      <c r="A821" s="1214"/>
      <c r="B821" s="1214"/>
      <c r="C821" s="1214"/>
      <c r="D821" s="1267"/>
      <c r="E821" s="1214"/>
      <c r="F821" s="1214"/>
      <c r="G821" s="1214"/>
      <c r="H821" s="1214"/>
      <c r="I821" s="1214"/>
      <c r="J821" s="1214"/>
      <c r="K821" s="1214"/>
      <c r="L821" s="1214"/>
      <c r="M821" s="1214"/>
      <c r="N821" s="1214"/>
      <c r="O821" s="1214"/>
      <c r="P821" s="1214"/>
      <c r="Q821" s="1214"/>
      <c r="R821" s="1214"/>
      <c r="S821" s="1214"/>
      <c r="T821" s="1214"/>
      <c r="U821" s="1214"/>
      <c r="V821" s="1214"/>
      <c r="W821" s="1214"/>
      <c r="X821" s="1214"/>
      <c r="Y821" s="1214"/>
      <c r="Z821" s="1214"/>
    </row>
    <row r="822">
      <c r="A822" s="1214"/>
      <c r="B822" s="1214"/>
      <c r="C822" s="1214"/>
      <c r="D822" s="1267"/>
      <c r="E822" s="1214"/>
      <c r="F822" s="1214"/>
      <c r="G822" s="1214"/>
      <c r="H822" s="1214"/>
      <c r="I822" s="1214"/>
      <c r="J822" s="1214"/>
      <c r="K822" s="1214"/>
      <c r="L822" s="1214"/>
      <c r="M822" s="1214"/>
      <c r="N822" s="1214"/>
      <c r="O822" s="1214"/>
      <c r="P822" s="1214"/>
      <c r="Q822" s="1214"/>
      <c r="R822" s="1214"/>
      <c r="S822" s="1214"/>
      <c r="T822" s="1214"/>
      <c r="U822" s="1214"/>
      <c r="V822" s="1214"/>
      <c r="W822" s="1214"/>
      <c r="X822" s="1214"/>
      <c r="Y822" s="1214"/>
      <c r="Z822" s="1214"/>
    </row>
    <row r="823">
      <c r="A823" s="1214"/>
      <c r="B823" s="1214"/>
      <c r="C823" s="1214"/>
      <c r="D823" s="1267"/>
      <c r="E823" s="1214"/>
      <c r="F823" s="1214"/>
      <c r="G823" s="1214"/>
      <c r="H823" s="1214"/>
      <c r="I823" s="1214"/>
      <c r="J823" s="1214"/>
      <c r="K823" s="1214"/>
      <c r="L823" s="1214"/>
      <c r="M823" s="1214"/>
      <c r="N823" s="1214"/>
      <c r="O823" s="1214"/>
      <c r="P823" s="1214"/>
      <c r="Q823" s="1214"/>
      <c r="R823" s="1214"/>
      <c r="S823" s="1214"/>
      <c r="T823" s="1214"/>
      <c r="U823" s="1214"/>
      <c r="V823" s="1214"/>
      <c r="W823" s="1214"/>
      <c r="X823" s="1214"/>
      <c r="Y823" s="1214"/>
      <c r="Z823" s="1214"/>
    </row>
    <row r="824">
      <c r="A824" s="1214"/>
      <c r="B824" s="1214"/>
      <c r="C824" s="1214"/>
      <c r="D824" s="1267"/>
      <c r="E824" s="1214"/>
      <c r="F824" s="1214"/>
      <c r="G824" s="1214"/>
      <c r="H824" s="1214"/>
      <c r="I824" s="1214"/>
      <c r="J824" s="1214"/>
      <c r="K824" s="1214"/>
      <c r="L824" s="1214"/>
      <c r="M824" s="1214"/>
      <c r="N824" s="1214"/>
      <c r="O824" s="1214"/>
      <c r="P824" s="1214"/>
      <c r="Q824" s="1214"/>
      <c r="R824" s="1214"/>
      <c r="S824" s="1214"/>
      <c r="T824" s="1214"/>
      <c r="U824" s="1214"/>
      <c r="V824" s="1214"/>
      <c r="W824" s="1214"/>
      <c r="X824" s="1214"/>
      <c r="Y824" s="1214"/>
      <c r="Z824" s="1214"/>
    </row>
    <row r="825">
      <c r="A825" s="1214"/>
      <c r="B825" s="1214"/>
      <c r="C825" s="1214"/>
      <c r="D825" s="1267"/>
      <c r="E825" s="1214"/>
      <c r="F825" s="1214"/>
      <c r="G825" s="1214"/>
      <c r="H825" s="1214"/>
      <c r="I825" s="1214"/>
      <c r="J825" s="1214"/>
      <c r="K825" s="1214"/>
      <c r="L825" s="1214"/>
      <c r="M825" s="1214"/>
      <c r="N825" s="1214"/>
      <c r="O825" s="1214"/>
      <c r="P825" s="1214"/>
      <c r="Q825" s="1214"/>
      <c r="R825" s="1214"/>
      <c r="S825" s="1214"/>
      <c r="T825" s="1214"/>
      <c r="U825" s="1214"/>
      <c r="V825" s="1214"/>
      <c r="W825" s="1214"/>
      <c r="X825" s="1214"/>
      <c r="Y825" s="1214"/>
      <c r="Z825" s="1214"/>
    </row>
    <row r="826">
      <c r="A826" s="1214"/>
      <c r="B826" s="1214"/>
      <c r="C826" s="1214"/>
      <c r="D826" s="1267"/>
      <c r="E826" s="1214"/>
      <c r="F826" s="1214"/>
      <c r="G826" s="1214"/>
      <c r="H826" s="1214"/>
      <c r="I826" s="1214"/>
      <c r="J826" s="1214"/>
      <c r="K826" s="1214"/>
      <c r="L826" s="1214"/>
      <c r="M826" s="1214"/>
      <c r="N826" s="1214"/>
      <c r="O826" s="1214"/>
      <c r="P826" s="1214"/>
      <c r="Q826" s="1214"/>
      <c r="R826" s="1214"/>
      <c r="S826" s="1214"/>
      <c r="T826" s="1214"/>
      <c r="U826" s="1214"/>
      <c r="V826" s="1214"/>
      <c r="W826" s="1214"/>
      <c r="X826" s="1214"/>
      <c r="Y826" s="1214"/>
      <c r="Z826" s="1214"/>
    </row>
    <row r="827">
      <c r="A827" s="1214"/>
      <c r="B827" s="1214"/>
      <c r="C827" s="1214"/>
      <c r="D827" s="1267"/>
      <c r="E827" s="1214"/>
      <c r="F827" s="1214"/>
      <c r="G827" s="1214"/>
      <c r="H827" s="1214"/>
      <c r="I827" s="1214"/>
      <c r="J827" s="1214"/>
      <c r="K827" s="1214"/>
      <c r="L827" s="1214"/>
      <c r="M827" s="1214"/>
      <c r="N827" s="1214"/>
      <c r="O827" s="1214"/>
      <c r="P827" s="1214"/>
      <c r="Q827" s="1214"/>
      <c r="R827" s="1214"/>
      <c r="S827" s="1214"/>
      <c r="T827" s="1214"/>
      <c r="U827" s="1214"/>
      <c r="V827" s="1214"/>
      <c r="W827" s="1214"/>
      <c r="X827" s="1214"/>
      <c r="Y827" s="1214"/>
      <c r="Z827" s="1214"/>
    </row>
    <row r="828">
      <c r="A828" s="1214"/>
      <c r="B828" s="1214"/>
      <c r="C828" s="1214"/>
      <c r="D828" s="1267"/>
      <c r="E828" s="1214"/>
      <c r="F828" s="1214"/>
      <c r="G828" s="1214"/>
      <c r="H828" s="1214"/>
      <c r="I828" s="1214"/>
      <c r="J828" s="1214"/>
      <c r="K828" s="1214"/>
      <c r="L828" s="1214"/>
      <c r="M828" s="1214"/>
      <c r="N828" s="1214"/>
      <c r="O828" s="1214"/>
      <c r="P828" s="1214"/>
      <c r="Q828" s="1214"/>
      <c r="R828" s="1214"/>
      <c r="S828" s="1214"/>
      <c r="T828" s="1214"/>
      <c r="U828" s="1214"/>
      <c r="V828" s="1214"/>
      <c r="W828" s="1214"/>
      <c r="X828" s="1214"/>
      <c r="Y828" s="1214"/>
      <c r="Z828" s="1214"/>
    </row>
    <row r="829">
      <c r="A829" s="1214"/>
      <c r="B829" s="1214"/>
      <c r="C829" s="1214"/>
      <c r="D829" s="1267"/>
      <c r="E829" s="1214"/>
      <c r="F829" s="1214"/>
      <c r="G829" s="1214"/>
      <c r="H829" s="1214"/>
      <c r="I829" s="1214"/>
      <c r="J829" s="1214"/>
      <c r="K829" s="1214"/>
      <c r="L829" s="1214"/>
      <c r="M829" s="1214"/>
      <c r="N829" s="1214"/>
      <c r="O829" s="1214"/>
      <c r="P829" s="1214"/>
      <c r="Q829" s="1214"/>
      <c r="R829" s="1214"/>
      <c r="S829" s="1214"/>
      <c r="T829" s="1214"/>
      <c r="U829" s="1214"/>
      <c r="V829" s="1214"/>
      <c r="W829" s="1214"/>
      <c r="X829" s="1214"/>
      <c r="Y829" s="1214"/>
      <c r="Z829" s="1214"/>
    </row>
    <row r="830">
      <c r="A830" s="1214"/>
      <c r="B830" s="1214"/>
      <c r="C830" s="1214"/>
      <c r="D830" s="1267"/>
      <c r="E830" s="1214"/>
      <c r="F830" s="1214"/>
      <c r="G830" s="1214"/>
      <c r="H830" s="1214"/>
      <c r="I830" s="1214"/>
      <c r="J830" s="1214"/>
      <c r="K830" s="1214"/>
      <c r="L830" s="1214"/>
      <c r="M830" s="1214"/>
      <c r="N830" s="1214"/>
      <c r="O830" s="1214"/>
      <c r="P830" s="1214"/>
      <c r="Q830" s="1214"/>
      <c r="R830" s="1214"/>
      <c r="S830" s="1214"/>
      <c r="T830" s="1214"/>
      <c r="U830" s="1214"/>
      <c r="V830" s="1214"/>
      <c r="W830" s="1214"/>
      <c r="X830" s="1214"/>
      <c r="Y830" s="1214"/>
      <c r="Z830" s="1214"/>
    </row>
    <row r="831">
      <c r="A831" s="1214"/>
      <c r="B831" s="1214"/>
      <c r="C831" s="1214"/>
      <c r="D831" s="1267"/>
      <c r="E831" s="1214"/>
      <c r="F831" s="1214"/>
      <c r="G831" s="1214"/>
      <c r="H831" s="1214"/>
      <c r="I831" s="1214"/>
      <c r="J831" s="1214"/>
      <c r="K831" s="1214"/>
      <c r="L831" s="1214"/>
      <c r="M831" s="1214"/>
      <c r="N831" s="1214"/>
      <c r="O831" s="1214"/>
      <c r="P831" s="1214"/>
      <c r="Q831" s="1214"/>
      <c r="R831" s="1214"/>
      <c r="S831" s="1214"/>
      <c r="T831" s="1214"/>
      <c r="U831" s="1214"/>
      <c r="V831" s="1214"/>
      <c r="W831" s="1214"/>
      <c r="X831" s="1214"/>
      <c r="Y831" s="1214"/>
      <c r="Z831" s="1214"/>
    </row>
    <row r="832">
      <c r="A832" s="1214"/>
      <c r="B832" s="1214"/>
      <c r="C832" s="1214"/>
      <c r="D832" s="1267"/>
      <c r="E832" s="1214"/>
      <c r="F832" s="1214"/>
      <c r="G832" s="1214"/>
      <c r="H832" s="1214"/>
      <c r="I832" s="1214"/>
      <c r="J832" s="1214"/>
      <c r="K832" s="1214"/>
      <c r="L832" s="1214"/>
      <c r="M832" s="1214"/>
      <c r="N832" s="1214"/>
      <c r="O832" s="1214"/>
      <c r="P832" s="1214"/>
      <c r="Q832" s="1214"/>
      <c r="R832" s="1214"/>
      <c r="S832" s="1214"/>
      <c r="T832" s="1214"/>
      <c r="U832" s="1214"/>
      <c r="V832" s="1214"/>
      <c r="W832" s="1214"/>
      <c r="X832" s="1214"/>
      <c r="Y832" s="1214"/>
      <c r="Z832" s="1214"/>
    </row>
    <row r="833">
      <c r="A833" s="1214"/>
      <c r="B833" s="1214"/>
      <c r="C833" s="1214"/>
      <c r="D833" s="1267"/>
      <c r="E833" s="1214"/>
      <c r="F833" s="1214"/>
      <c r="G833" s="1214"/>
      <c r="H833" s="1214"/>
      <c r="I833" s="1214"/>
      <c r="J833" s="1214"/>
      <c r="K833" s="1214"/>
      <c r="L833" s="1214"/>
      <c r="M833" s="1214"/>
      <c r="N833" s="1214"/>
      <c r="O833" s="1214"/>
      <c r="P833" s="1214"/>
      <c r="Q833" s="1214"/>
      <c r="R833" s="1214"/>
      <c r="S833" s="1214"/>
      <c r="T833" s="1214"/>
      <c r="U833" s="1214"/>
      <c r="V833" s="1214"/>
      <c r="W833" s="1214"/>
      <c r="X833" s="1214"/>
      <c r="Y833" s="1214"/>
      <c r="Z833" s="1214"/>
    </row>
    <row r="834">
      <c r="A834" s="1214"/>
      <c r="B834" s="1214"/>
      <c r="C834" s="1214"/>
      <c r="D834" s="1267"/>
      <c r="E834" s="1214"/>
      <c r="F834" s="1214"/>
      <c r="G834" s="1214"/>
      <c r="H834" s="1214"/>
      <c r="I834" s="1214"/>
      <c r="J834" s="1214"/>
      <c r="K834" s="1214"/>
      <c r="L834" s="1214"/>
      <c r="M834" s="1214"/>
      <c r="N834" s="1214"/>
      <c r="O834" s="1214"/>
      <c r="P834" s="1214"/>
      <c r="Q834" s="1214"/>
      <c r="R834" s="1214"/>
      <c r="S834" s="1214"/>
      <c r="T834" s="1214"/>
      <c r="U834" s="1214"/>
      <c r="V834" s="1214"/>
      <c r="W834" s="1214"/>
      <c r="X834" s="1214"/>
      <c r="Y834" s="1214"/>
      <c r="Z834" s="1214"/>
    </row>
    <row r="835">
      <c r="A835" s="1214"/>
      <c r="B835" s="1214"/>
      <c r="C835" s="1214"/>
      <c r="D835" s="1267"/>
      <c r="E835" s="1214"/>
      <c r="F835" s="1214"/>
      <c r="G835" s="1214"/>
      <c r="H835" s="1214"/>
      <c r="I835" s="1214"/>
      <c r="J835" s="1214"/>
      <c r="K835" s="1214"/>
      <c r="L835" s="1214"/>
      <c r="M835" s="1214"/>
      <c r="N835" s="1214"/>
      <c r="O835" s="1214"/>
      <c r="P835" s="1214"/>
      <c r="Q835" s="1214"/>
      <c r="R835" s="1214"/>
      <c r="S835" s="1214"/>
      <c r="T835" s="1214"/>
      <c r="U835" s="1214"/>
      <c r="V835" s="1214"/>
      <c r="W835" s="1214"/>
      <c r="X835" s="1214"/>
      <c r="Y835" s="1214"/>
      <c r="Z835" s="1214"/>
    </row>
    <row r="836">
      <c r="A836" s="1214"/>
      <c r="B836" s="1214"/>
      <c r="C836" s="1214"/>
      <c r="D836" s="1267"/>
      <c r="E836" s="1214"/>
      <c r="F836" s="1214"/>
      <c r="G836" s="1214"/>
      <c r="H836" s="1214"/>
      <c r="I836" s="1214"/>
      <c r="J836" s="1214"/>
      <c r="K836" s="1214"/>
      <c r="L836" s="1214"/>
      <c r="M836" s="1214"/>
      <c r="N836" s="1214"/>
      <c r="O836" s="1214"/>
      <c r="P836" s="1214"/>
      <c r="Q836" s="1214"/>
      <c r="R836" s="1214"/>
      <c r="S836" s="1214"/>
      <c r="T836" s="1214"/>
      <c r="U836" s="1214"/>
      <c r="V836" s="1214"/>
      <c r="W836" s="1214"/>
      <c r="X836" s="1214"/>
      <c r="Y836" s="1214"/>
      <c r="Z836" s="1214"/>
    </row>
    <row r="837">
      <c r="A837" s="1214"/>
      <c r="B837" s="1214"/>
      <c r="C837" s="1214"/>
      <c r="D837" s="1267"/>
      <c r="E837" s="1214"/>
      <c r="F837" s="1214"/>
      <c r="G837" s="1214"/>
      <c r="H837" s="1214"/>
      <c r="I837" s="1214"/>
      <c r="J837" s="1214"/>
      <c r="K837" s="1214"/>
      <c r="L837" s="1214"/>
      <c r="M837" s="1214"/>
      <c r="N837" s="1214"/>
      <c r="O837" s="1214"/>
      <c r="P837" s="1214"/>
      <c r="Q837" s="1214"/>
      <c r="R837" s="1214"/>
      <c r="S837" s="1214"/>
      <c r="T837" s="1214"/>
      <c r="U837" s="1214"/>
      <c r="V837" s="1214"/>
      <c r="W837" s="1214"/>
      <c r="X837" s="1214"/>
      <c r="Y837" s="1214"/>
      <c r="Z837" s="1214"/>
    </row>
    <row r="838">
      <c r="A838" s="1214"/>
      <c r="B838" s="1214"/>
      <c r="C838" s="1214"/>
      <c r="D838" s="1267"/>
      <c r="E838" s="1214"/>
      <c r="F838" s="1214"/>
      <c r="G838" s="1214"/>
      <c r="H838" s="1214"/>
      <c r="I838" s="1214"/>
      <c r="J838" s="1214"/>
      <c r="K838" s="1214"/>
      <c r="L838" s="1214"/>
      <c r="M838" s="1214"/>
      <c r="N838" s="1214"/>
      <c r="O838" s="1214"/>
      <c r="P838" s="1214"/>
      <c r="Q838" s="1214"/>
      <c r="R838" s="1214"/>
      <c r="S838" s="1214"/>
      <c r="T838" s="1214"/>
      <c r="U838" s="1214"/>
      <c r="V838" s="1214"/>
      <c r="W838" s="1214"/>
      <c r="X838" s="1214"/>
      <c r="Y838" s="1214"/>
      <c r="Z838" s="1214"/>
    </row>
    <row r="839">
      <c r="A839" s="1214"/>
      <c r="B839" s="1214"/>
      <c r="C839" s="1214"/>
      <c r="D839" s="1267"/>
      <c r="E839" s="1214"/>
      <c r="F839" s="1214"/>
      <c r="G839" s="1214"/>
      <c r="H839" s="1214"/>
      <c r="I839" s="1214"/>
      <c r="J839" s="1214"/>
      <c r="K839" s="1214"/>
      <c r="L839" s="1214"/>
      <c r="M839" s="1214"/>
      <c r="N839" s="1214"/>
      <c r="O839" s="1214"/>
      <c r="P839" s="1214"/>
      <c r="Q839" s="1214"/>
      <c r="R839" s="1214"/>
      <c r="S839" s="1214"/>
      <c r="T839" s="1214"/>
      <c r="U839" s="1214"/>
      <c r="V839" s="1214"/>
      <c r="W839" s="1214"/>
      <c r="X839" s="1214"/>
      <c r="Y839" s="1214"/>
      <c r="Z839" s="1214"/>
    </row>
    <row r="840">
      <c r="A840" s="1214"/>
      <c r="B840" s="1214"/>
      <c r="C840" s="1214"/>
      <c r="D840" s="1267"/>
      <c r="E840" s="1214"/>
      <c r="F840" s="1214"/>
      <c r="G840" s="1214"/>
      <c r="H840" s="1214"/>
      <c r="I840" s="1214"/>
      <c r="J840" s="1214"/>
      <c r="K840" s="1214"/>
      <c r="L840" s="1214"/>
      <c r="M840" s="1214"/>
      <c r="N840" s="1214"/>
      <c r="O840" s="1214"/>
      <c r="P840" s="1214"/>
      <c r="Q840" s="1214"/>
      <c r="R840" s="1214"/>
      <c r="S840" s="1214"/>
      <c r="T840" s="1214"/>
      <c r="U840" s="1214"/>
      <c r="V840" s="1214"/>
      <c r="W840" s="1214"/>
      <c r="X840" s="1214"/>
      <c r="Y840" s="1214"/>
      <c r="Z840" s="1214"/>
    </row>
    <row r="841">
      <c r="A841" s="1214"/>
      <c r="B841" s="1214"/>
      <c r="C841" s="1214"/>
      <c r="D841" s="1267"/>
      <c r="E841" s="1214"/>
      <c r="F841" s="1214"/>
      <c r="G841" s="1214"/>
      <c r="H841" s="1214"/>
      <c r="I841" s="1214"/>
      <c r="J841" s="1214"/>
      <c r="K841" s="1214"/>
      <c r="L841" s="1214"/>
      <c r="M841" s="1214"/>
      <c r="N841" s="1214"/>
      <c r="O841" s="1214"/>
      <c r="P841" s="1214"/>
      <c r="Q841" s="1214"/>
      <c r="R841" s="1214"/>
      <c r="S841" s="1214"/>
      <c r="T841" s="1214"/>
      <c r="U841" s="1214"/>
      <c r="V841" s="1214"/>
      <c r="W841" s="1214"/>
      <c r="X841" s="1214"/>
      <c r="Y841" s="1214"/>
      <c r="Z841" s="1214"/>
    </row>
    <row r="842">
      <c r="A842" s="1214"/>
      <c r="B842" s="1214"/>
      <c r="C842" s="1214"/>
      <c r="D842" s="1267"/>
      <c r="E842" s="1214"/>
      <c r="F842" s="1214"/>
      <c r="G842" s="1214"/>
      <c r="H842" s="1214"/>
      <c r="I842" s="1214"/>
      <c r="J842" s="1214"/>
      <c r="K842" s="1214"/>
      <c r="L842" s="1214"/>
      <c r="M842" s="1214"/>
      <c r="N842" s="1214"/>
      <c r="O842" s="1214"/>
      <c r="P842" s="1214"/>
      <c r="Q842" s="1214"/>
      <c r="R842" s="1214"/>
      <c r="S842" s="1214"/>
      <c r="T842" s="1214"/>
      <c r="U842" s="1214"/>
      <c r="V842" s="1214"/>
      <c r="W842" s="1214"/>
      <c r="X842" s="1214"/>
      <c r="Y842" s="1214"/>
      <c r="Z842" s="1214"/>
    </row>
    <row r="843">
      <c r="A843" s="1214"/>
      <c r="B843" s="1214"/>
      <c r="C843" s="1214"/>
      <c r="D843" s="1267"/>
      <c r="E843" s="1214"/>
      <c r="F843" s="1214"/>
      <c r="G843" s="1214"/>
      <c r="H843" s="1214"/>
      <c r="I843" s="1214"/>
      <c r="J843" s="1214"/>
      <c r="K843" s="1214"/>
      <c r="L843" s="1214"/>
      <c r="M843" s="1214"/>
      <c r="N843" s="1214"/>
      <c r="O843" s="1214"/>
      <c r="P843" s="1214"/>
      <c r="Q843" s="1214"/>
      <c r="R843" s="1214"/>
      <c r="S843" s="1214"/>
      <c r="T843" s="1214"/>
      <c r="U843" s="1214"/>
      <c r="V843" s="1214"/>
      <c r="W843" s="1214"/>
      <c r="X843" s="1214"/>
      <c r="Y843" s="1214"/>
      <c r="Z843" s="1214"/>
    </row>
    <row r="844">
      <c r="A844" s="1214"/>
      <c r="B844" s="1214"/>
      <c r="C844" s="1214"/>
      <c r="D844" s="1267"/>
      <c r="E844" s="1214"/>
      <c r="F844" s="1214"/>
      <c r="G844" s="1214"/>
      <c r="H844" s="1214"/>
      <c r="I844" s="1214"/>
      <c r="J844" s="1214"/>
      <c r="K844" s="1214"/>
      <c r="L844" s="1214"/>
      <c r="M844" s="1214"/>
      <c r="N844" s="1214"/>
      <c r="O844" s="1214"/>
      <c r="P844" s="1214"/>
      <c r="Q844" s="1214"/>
      <c r="R844" s="1214"/>
      <c r="S844" s="1214"/>
      <c r="T844" s="1214"/>
      <c r="U844" s="1214"/>
      <c r="V844" s="1214"/>
      <c r="W844" s="1214"/>
      <c r="X844" s="1214"/>
      <c r="Y844" s="1214"/>
      <c r="Z844" s="1214"/>
    </row>
    <row r="845">
      <c r="A845" s="1214"/>
      <c r="B845" s="1214"/>
      <c r="C845" s="1214"/>
      <c r="D845" s="1267"/>
      <c r="E845" s="1214"/>
      <c r="F845" s="1214"/>
      <c r="G845" s="1214"/>
      <c r="H845" s="1214"/>
      <c r="I845" s="1214"/>
      <c r="J845" s="1214"/>
      <c r="K845" s="1214"/>
      <c r="L845" s="1214"/>
      <c r="M845" s="1214"/>
      <c r="N845" s="1214"/>
      <c r="O845" s="1214"/>
      <c r="P845" s="1214"/>
      <c r="Q845" s="1214"/>
      <c r="R845" s="1214"/>
      <c r="S845" s="1214"/>
      <c r="T845" s="1214"/>
      <c r="U845" s="1214"/>
      <c r="V845" s="1214"/>
      <c r="W845" s="1214"/>
      <c r="X845" s="1214"/>
      <c r="Y845" s="1214"/>
      <c r="Z845" s="1214"/>
    </row>
    <row r="846">
      <c r="A846" s="1214"/>
      <c r="B846" s="1214"/>
      <c r="C846" s="1214"/>
      <c r="D846" s="1267"/>
      <c r="E846" s="1214"/>
      <c r="F846" s="1214"/>
      <c r="G846" s="1214"/>
      <c r="H846" s="1214"/>
      <c r="I846" s="1214"/>
      <c r="J846" s="1214"/>
      <c r="K846" s="1214"/>
      <c r="L846" s="1214"/>
      <c r="M846" s="1214"/>
      <c r="N846" s="1214"/>
      <c r="O846" s="1214"/>
      <c r="P846" s="1214"/>
      <c r="Q846" s="1214"/>
      <c r="R846" s="1214"/>
      <c r="S846" s="1214"/>
      <c r="T846" s="1214"/>
      <c r="U846" s="1214"/>
      <c r="V846" s="1214"/>
      <c r="W846" s="1214"/>
      <c r="X846" s="1214"/>
      <c r="Y846" s="1214"/>
      <c r="Z846" s="1214"/>
    </row>
    <row r="847">
      <c r="A847" s="1214"/>
      <c r="B847" s="1214"/>
      <c r="C847" s="1214"/>
      <c r="D847" s="1267"/>
      <c r="E847" s="1214"/>
      <c r="F847" s="1214"/>
      <c r="G847" s="1214"/>
      <c r="H847" s="1214"/>
      <c r="I847" s="1214"/>
      <c r="J847" s="1214"/>
      <c r="K847" s="1214"/>
      <c r="L847" s="1214"/>
      <c r="M847" s="1214"/>
      <c r="N847" s="1214"/>
      <c r="O847" s="1214"/>
      <c r="P847" s="1214"/>
      <c r="Q847" s="1214"/>
      <c r="R847" s="1214"/>
      <c r="S847" s="1214"/>
      <c r="T847" s="1214"/>
      <c r="U847" s="1214"/>
      <c r="V847" s="1214"/>
      <c r="W847" s="1214"/>
      <c r="X847" s="1214"/>
      <c r="Y847" s="1214"/>
      <c r="Z847" s="1214"/>
    </row>
    <row r="848">
      <c r="A848" s="1214"/>
      <c r="B848" s="1214"/>
      <c r="C848" s="1214"/>
      <c r="D848" s="1267"/>
      <c r="E848" s="1214"/>
      <c r="F848" s="1214"/>
      <c r="G848" s="1214"/>
      <c r="H848" s="1214"/>
      <c r="I848" s="1214"/>
      <c r="J848" s="1214"/>
      <c r="K848" s="1214"/>
      <c r="L848" s="1214"/>
      <c r="M848" s="1214"/>
      <c r="N848" s="1214"/>
      <c r="O848" s="1214"/>
      <c r="P848" s="1214"/>
      <c r="Q848" s="1214"/>
      <c r="R848" s="1214"/>
      <c r="S848" s="1214"/>
      <c r="T848" s="1214"/>
      <c r="U848" s="1214"/>
      <c r="V848" s="1214"/>
      <c r="W848" s="1214"/>
      <c r="X848" s="1214"/>
      <c r="Y848" s="1214"/>
      <c r="Z848" s="1214"/>
    </row>
    <row r="849">
      <c r="A849" s="1214"/>
      <c r="B849" s="1214"/>
      <c r="C849" s="1214"/>
      <c r="D849" s="1267"/>
      <c r="E849" s="1214"/>
      <c r="F849" s="1214"/>
      <c r="G849" s="1214"/>
      <c r="H849" s="1214"/>
      <c r="I849" s="1214"/>
      <c r="J849" s="1214"/>
      <c r="K849" s="1214"/>
      <c r="L849" s="1214"/>
      <c r="M849" s="1214"/>
      <c r="N849" s="1214"/>
      <c r="O849" s="1214"/>
      <c r="P849" s="1214"/>
      <c r="Q849" s="1214"/>
      <c r="R849" s="1214"/>
      <c r="S849" s="1214"/>
      <c r="T849" s="1214"/>
      <c r="U849" s="1214"/>
      <c r="V849" s="1214"/>
      <c r="W849" s="1214"/>
      <c r="X849" s="1214"/>
      <c r="Y849" s="1214"/>
      <c r="Z849" s="1214"/>
    </row>
    <row r="850">
      <c r="A850" s="1214"/>
      <c r="B850" s="1214"/>
      <c r="C850" s="1214"/>
      <c r="D850" s="1267"/>
      <c r="E850" s="1214"/>
      <c r="F850" s="1214"/>
      <c r="G850" s="1214"/>
      <c r="H850" s="1214"/>
      <c r="I850" s="1214"/>
      <c r="J850" s="1214"/>
      <c r="K850" s="1214"/>
      <c r="L850" s="1214"/>
      <c r="M850" s="1214"/>
      <c r="N850" s="1214"/>
      <c r="O850" s="1214"/>
      <c r="P850" s="1214"/>
      <c r="Q850" s="1214"/>
      <c r="R850" s="1214"/>
      <c r="S850" s="1214"/>
      <c r="T850" s="1214"/>
      <c r="U850" s="1214"/>
      <c r="V850" s="1214"/>
      <c r="W850" s="1214"/>
      <c r="X850" s="1214"/>
      <c r="Y850" s="1214"/>
      <c r="Z850" s="1214"/>
    </row>
    <row r="851">
      <c r="A851" s="1214"/>
      <c r="B851" s="1214"/>
      <c r="C851" s="1214"/>
      <c r="D851" s="1267"/>
      <c r="E851" s="1214"/>
      <c r="F851" s="1214"/>
      <c r="G851" s="1214"/>
      <c r="H851" s="1214"/>
      <c r="I851" s="1214"/>
      <c r="J851" s="1214"/>
      <c r="K851" s="1214"/>
      <c r="L851" s="1214"/>
      <c r="M851" s="1214"/>
      <c r="N851" s="1214"/>
      <c r="O851" s="1214"/>
      <c r="P851" s="1214"/>
      <c r="Q851" s="1214"/>
      <c r="R851" s="1214"/>
      <c r="S851" s="1214"/>
      <c r="T851" s="1214"/>
      <c r="U851" s="1214"/>
      <c r="V851" s="1214"/>
      <c r="W851" s="1214"/>
      <c r="X851" s="1214"/>
      <c r="Y851" s="1214"/>
      <c r="Z851" s="1214"/>
    </row>
    <row r="852">
      <c r="A852" s="1214"/>
      <c r="B852" s="1214"/>
      <c r="C852" s="1214"/>
      <c r="D852" s="1267"/>
      <c r="E852" s="1214"/>
      <c r="F852" s="1214"/>
      <c r="G852" s="1214"/>
      <c r="H852" s="1214"/>
      <c r="I852" s="1214"/>
      <c r="J852" s="1214"/>
      <c r="K852" s="1214"/>
      <c r="L852" s="1214"/>
      <c r="M852" s="1214"/>
      <c r="N852" s="1214"/>
      <c r="O852" s="1214"/>
      <c r="P852" s="1214"/>
      <c r="Q852" s="1214"/>
      <c r="R852" s="1214"/>
      <c r="S852" s="1214"/>
      <c r="T852" s="1214"/>
      <c r="U852" s="1214"/>
      <c r="V852" s="1214"/>
      <c r="W852" s="1214"/>
      <c r="X852" s="1214"/>
      <c r="Y852" s="1214"/>
      <c r="Z852" s="1214"/>
    </row>
    <row r="853">
      <c r="A853" s="1214"/>
      <c r="B853" s="1214"/>
      <c r="C853" s="1214"/>
      <c r="D853" s="1267"/>
      <c r="E853" s="1214"/>
      <c r="F853" s="1214"/>
      <c r="G853" s="1214"/>
      <c r="H853" s="1214"/>
      <c r="I853" s="1214"/>
      <c r="J853" s="1214"/>
      <c r="K853" s="1214"/>
      <c r="L853" s="1214"/>
      <c r="M853" s="1214"/>
      <c r="N853" s="1214"/>
      <c r="O853" s="1214"/>
      <c r="P853" s="1214"/>
      <c r="Q853" s="1214"/>
      <c r="R853" s="1214"/>
      <c r="S853" s="1214"/>
      <c r="T853" s="1214"/>
      <c r="U853" s="1214"/>
      <c r="V853" s="1214"/>
      <c r="W853" s="1214"/>
      <c r="X853" s="1214"/>
      <c r="Y853" s="1214"/>
      <c r="Z853" s="1214"/>
    </row>
    <row r="854">
      <c r="A854" s="1214"/>
      <c r="B854" s="1214"/>
      <c r="C854" s="1214"/>
      <c r="D854" s="1267"/>
      <c r="E854" s="1214"/>
      <c r="F854" s="1214"/>
      <c r="G854" s="1214"/>
      <c r="H854" s="1214"/>
      <c r="I854" s="1214"/>
      <c r="J854" s="1214"/>
      <c r="K854" s="1214"/>
      <c r="L854" s="1214"/>
      <c r="M854" s="1214"/>
      <c r="N854" s="1214"/>
      <c r="O854" s="1214"/>
      <c r="P854" s="1214"/>
      <c r="Q854" s="1214"/>
      <c r="R854" s="1214"/>
      <c r="S854" s="1214"/>
      <c r="T854" s="1214"/>
      <c r="U854" s="1214"/>
      <c r="V854" s="1214"/>
      <c r="W854" s="1214"/>
      <c r="X854" s="1214"/>
      <c r="Y854" s="1214"/>
      <c r="Z854" s="1214"/>
    </row>
    <row r="855">
      <c r="A855" s="1214"/>
      <c r="B855" s="1214"/>
      <c r="C855" s="1214"/>
      <c r="D855" s="1267"/>
      <c r="E855" s="1214"/>
      <c r="F855" s="1214"/>
      <c r="G855" s="1214"/>
      <c r="H855" s="1214"/>
      <c r="I855" s="1214"/>
      <c r="J855" s="1214"/>
      <c r="K855" s="1214"/>
      <c r="L855" s="1214"/>
      <c r="M855" s="1214"/>
      <c r="N855" s="1214"/>
      <c r="O855" s="1214"/>
      <c r="P855" s="1214"/>
      <c r="Q855" s="1214"/>
      <c r="R855" s="1214"/>
      <c r="S855" s="1214"/>
      <c r="T855" s="1214"/>
      <c r="U855" s="1214"/>
      <c r="V855" s="1214"/>
      <c r="W855" s="1214"/>
      <c r="X855" s="1214"/>
      <c r="Y855" s="1214"/>
      <c r="Z855" s="1214"/>
    </row>
    <row r="856">
      <c r="A856" s="1214"/>
      <c r="B856" s="1214"/>
      <c r="C856" s="1214"/>
      <c r="D856" s="1267"/>
      <c r="E856" s="1214"/>
      <c r="F856" s="1214"/>
      <c r="G856" s="1214"/>
      <c r="H856" s="1214"/>
      <c r="I856" s="1214"/>
      <c r="J856" s="1214"/>
      <c r="K856" s="1214"/>
      <c r="L856" s="1214"/>
      <c r="M856" s="1214"/>
      <c r="N856" s="1214"/>
      <c r="O856" s="1214"/>
      <c r="P856" s="1214"/>
      <c r="Q856" s="1214"/>
      <c r="R856" s="1214"/>
      <c r="S856" s="1214"/>
      <c r="T856" s="1214"/>
      <c r="U856" s="1214"/>
      <c r="V856" s="1214"/>
      <c r="W856" s="1214"/>
      <c r="X856" s="1214"/>
      <c r="Y856" s="1214"/>
      <c r="Z856" s="1214"/>
    </row>
    <row r="857">
      <c r="A857" s="1214"/>
      <c r="B857" s="1214"/>
      <c r="C857" s="1214"/>
      <c r="D857" s="1267"/>
      <c r="E857" s="1214"/>
      <c r="F857" s="1214"/>
      <c r="G857" s="1214"/>
      <c r="H857" s="1214"/>
      <c r="I857" s="1214"/>
      <c r="J857" s="1214"/>
      <c r="K857" s="1214"/>
      <c r="L857" s="1214"/>
      <c r="M857" s="1214"/>
      <c r="N857" s="1214"/>
      <c r="O857" s="1214"/>
      <c r="P857" s="1214"/>
      <c r="Q857" s="1214"/>
      <c r="R857" s="1214"/>
      <c r="S857" s="1214"/>
      <c r="T857" s="1214"/>
      <c r="U857" s="1214"/>
      <c r="V857" s="1214"/>
      <c r="W857" s="1214"/>
      <c r="X857" s="1214"/>
      <c r="Y857" s="1214"/>
      <c r="Z857" s="1214"/>
    </row>
    <row r="858">
      <c r="A858" s="1214"/>
      <c r="B858" s="1214"/>
      <c r="C858" s="1214"/>
      <c r="D858" s="1267"/>
      <c r="E858" s="1214"/>
      <c r="F858" s="1214"/>
      <c r="G858" s="1214"/>
      <c r="H858" s="1214"/>
      <c r="I858" s="1214"/>
      <c r="J858" s="1214"/>
      <c r="K858" s="1214"/>
      <c r="L858" s="1214"/>
      <c r="M858" s="1214"/>
      <c r="N858" s="1214"/>
      <c r="O858" s="1214"/>
      <c r="P858" s="1214"/>
      <c r="Q858" s="1214"/>
      <c r="R858" s="1214"/>
      <c r="S858" s="1214"/>
      <c r="T858" s="1214"/>
      <c r="U858" s="1214"/>
      <c r="V858" s="1214"/>
      <c r="W858" s="1214"/>
      <c r="X858" s="1214"/>
      <c r="Y858" s="1214"/>
      <c r="Z858" s="1214"/>
    </row>
    <row r="859">
      <c r="A859" s="1214"/>
      <c r="B859" s="1214"/>
      <c r="C859" s="1214"/>
      <c r="D859" s="1267"/>
      <c r="E859" s="1214"/>
      <c r="F859" s="1214"/>
      <c r="G859" s="1214"/>
      <c r="H859" s="1214"/>
      <c r="I859" s="1214"/>
      <c r="J859" s="1214"/>
      <c r="K859" s="1214"/>
      <c r="L859" s="1214"/>
      <c r="M859" s="1214"/>
      <c r="N859" s="1214"/>
      <c r="O859" s="1214"/>
      <c r="P859" s="1214"/>
      <c r="Q859" s="1214"/>
      <c r="R859" s="1214"/>
      <c r="S859" s="1214"/>
      <c r="T859" s="1214"/>
      <c r="U859" s="1214"/>
      <c r="V859" s="1214"/>
      <c r="W859" s="1214"/>
      <c r="X859" s="1214"/>
      <c r="Y859" s="1214"/>
      <c r="Z859" s="1214"/>
    </row>
    <row r="860">
      <c r="A860" s="1214"/>
      <c r="B860" s="1214"/>
      <c r="C860" s="1214"/>
      <c r="D860" s="1267"/>
      <c r="E860" s="1214"/>
      <c r="F860" s="1214"/>
      <c r="G860" s="1214"/>
      <c r="H860" s="1214"/>
      <c r="I860" s="1214"/>
      <c r="J860" s="1214"/>
      <c r="K860" s="1214"/>
      <c r="L860" s="1214"/>
      <c r="M860" s="1214"/>
      <c r="N860" s="1214"/>
      <c r="O860" s="1214"/>
      <c r="P860" s="1214"/>
      <c r="Q860" s="1214"/>
      <c r="R860" s="1214"/>
      <c r="S860" s="1214"/>
      <c r="T860" s="1214"/>
      <c r="U860" s="1214"/>
      <c r="V860" s="1214"/>
      <c r="W860" s="1214"/>
      <c r="X860" s="1214"/>
      <c r="Y860" s="1214"/>
      <c r="Z860" s="1214"/>
    </row>
    <row r="861">
      <c r="A861" s="1214"/>
      <c r="B861" s="1214"/>
      <c r="C861" s="1214"/>
      <c r="D861" s="1267"/>
      <c r="E861" s="1214"/>
      <c r="F861" s="1214"/>
      <c r="G861" s="1214"/>
      <c r="H861" s="1214"/>
      <c r="I861" s="1214"/>
      <c r="J861" s="1214"/>
      <c r="K861" s="1214"/>
      <c r="L861" s="1214"/>
      <c r="M861" s="1214"/>
      <c r="N861" s="1214"/>
      <c r="O861" s="1214"/>
      <c r="P861" s="1214"/>
      <c r="Q861" s="1214"/>
      <c r="R861" s="1214"/>
      <c r="S861" s="1214"/>
      <c r="T861" s="1214"/>
      <c r="U861" s="1214"/>
      <c r="V861" s="1214"/>
      <c r="W861" s="1214"/>
      <c r="X861" s="1214"/>
      <c r="Y861" s="1214"/>
      <c r="Z861" s="1214"/>
    </row>
    <row r="862">
      <c r="A862" s="1214"/>
      <c r="B862" s="1214"/>
      <c r="C862" s="1214"/>
      <c r="D862" s="1267"/>
      <c r="E862" s="1214"/>
      <c r="F862" s="1214"/>
      <c r="G862" s="1214"/>
      <c r="H862" s="1214"/>
      <c r="I862" s="1214"/>
      <c r="J862" s="1214"/>
      <c r="K862" s="1214"/>
      <c r="L862" s="1214"/>
      <c r="M862" s="1214"/>
      <c r="N862" s="1214"/>
      <c r="O862" s="1214"/>
      <c r="P862" s="1214"/>
      <c r="Q862" s="1214"/>
      <c r="R862" s="1214"/>
      <c r="S862" s="1214"/>
      <c r="T862" s="1214"/>
      <c r="U862" s="1214"/>
      <c r="V862" s="1214"/>
      <c r="W862" s="1214"/>
      <c r="X862" s="1214"/>
      <c r="Y862" s="1214"/>
      <c r="Z862" s="1214"/>
    </row>
    <row r="863">
      <c r="A863" s="1214"/>
      <c r="B863" s="1214"/>
      <c r="C863" s="1214"/>
      <c r="D863" s="1267"/>
      <c r="E863" s="1214"/>
      <c r="F863" s="1214"/>
      <c r="G863" s="1214"/>
      <c r="H863" s="1214"/>
      <c r="I863" s="1214"/>
      <c r="J863" s="1214"/>
      <c r="K863" s="1214"/>
      <c r="L863" s="1214"/>
      <c r="M863" s="1214"/>
      <c r="N863" s="1214"/>
      <c r="O863" s="1214"/>
      <c r="P863" s="1214"/>
      <c r="Q863" s="1214"/>
      <c r="R863" s="1214"/>
      <c r="S863" s="1214"/>
      <c r="T863" s="1214"/>
      <c r="U863" s="1214"/>
      <c r="V863" s="1214"/>
      <c r="W863" s="1214"/>
      <c r="X863" s="1214"/>
      <c r="Y863" s="1214"/>
      <c r="Z863" s="1214"/>
    </row>
    <row r="864">
      <c r="A864" s="1214"/>
      <c r="B864" s="1214"/>
      <c r="C864" s="1214"/>
      <c r="D864" s="1267"/>
      <c r="E864" s="1214"/>
      <c r="F864" s="1214"/>
      <c r="G864" s="1214"/>
      <c r="H864" s="1214"/>
      <c r="I864" s="1214"/>
      <c r="J864" s="1214"/>
      <c r="K864" s="1214"/>
      <c r="L864" s="1214"/>
      <c r="M864" s="1214"/>
      <c r="N864" s="1214"/>
      <c r="O864" s="1214"/>
      <c r="P864" s="1214"/>
      <c r="Q864" s="1214"/>
      <c r="R864" s="1214"/>
      <c r="S864" s="1214"/>
      <c r="T864" s="1214"/>
      <c r="U864" s="1214"/>
      <c r="V864" s="1214"/>
      <c r="W864" s="1214"/>
      <c r="X864" s="1214"/>
      <c r="Y864" s="1214"/>
      <c r="Z864" s="1214"/>
    </row>
    <row r="865">
      <c r="A865" s="1214"/>
      <c r="B865" s="1214"/>
      <c r="C865" s="1214"/>
      <c r="D865" s="1267"/>
      <c r="E865" s="1214"/>
      <c r="F865" s="1214"/>
      <c r="G865" s="1214"/>
      <c r="H865" s="1214"/>
      <c r="I865" s="1214"/>
      <c r="J865" s="1214"/>
      <c r="K865" s="1214"/>
      <c r="L865" s="1214"/>
      <c r="M865" s="1214"/>
      <c r="N865" s="1214"/>
      <c r="O865" s="1214"/>
      <c r="P865" s="1214"/>
      <c r="Q865" s="1214"/>
      <c r="R865" s="1214"/>
      <c r="S865" s="1214"/>
      <c r="T865" s="1214"/>
      <c r="U865" s="1214"/>
      <c r="V865" s="1214"/>
      <c r="W865" s="1214"/>
      <c r="X865" s="1214"/>
      <c r="Y865" s="1214"/>
      <c r="Z865" s="1214"/>
    </row>
    <row r="866">
      <c r="A866" s="1214"/>
      <c r="B866" s="1214"/>
      <c r="C866" s="1214"/>
      <c r="D866" s="1267"/>
      <c r="E866" s="1214"/>
      <c r="F866" s="1214"/>
      <c r="G866" s="1214"/>
      <c r="H866" s="1214"/>
      <c r="I866" s="1214"/>
      <c r="J866" s="1214"/>
      <c r="K866" s="1214"/>
      <c r="L866" s="1214"/>
      <c r="M866" s="1214"/>
      <c r="N866" s="1214"/>
      <c r="O866" s="1214"/>
      <c r="P866" s="1214"/>
      <c r="Q866" s="1214"/>
      <c r="R866" s="1214"/>
      <c r="S866" s="1214"/>
      <c r="T866" s="1214"/>
      <c r="U866" s="1214"/>
      <c r="V866" s="1214"/>
      <c r="W866" s="1214"/>
      <c r="X866" s="1214"/>
      <c r="Y866" s="1214"/>
      <c r="Z866" s="1214"/>
    </row>
    <row r="867">
      <c r="A867" s="1214"/>
      <c r="B867" s="1214"/>
      <c r="C867" s="1214"/>
      <c r="D867" s="1267"/>
      <c r="E867" s="1214"/>
      <c r="F867" s="1214"/>
      <c r="G867" s="1214"/>
      <c r="H867" s="1214"/>
      <c r="I867" s="1214"/>
      <c r="J867" s="1214"/>
      <c r="K867" s="1214"/>
      <c r="L867" s="1214"/>
      <c r="M867" s="1214"/>
      <c r="N867" s="1214"/>
      <c r="O867" s="1214"/>
      <c r="P867" s="1214"/>
      <c r="Q867" s="1214"/>
      <c r="R867" s="1214"/>
      <c r="S867" s="1214"/>
      <c r="T867" s="1214"/>
      <c r="U867" s="1214"/>
      <c r="V867" s="1214"/>
      <c r="W867" s="1214"/>
      <c r="X867" s="1214"/>
      <c r="Y867" s="1214"/>
      <c r="Z867" s="1214"/>
    </row>
    <row r="868">
      <c r="A868" s="1214"/>
      <c r="B868" s="1214"/>
      <c r="C868" s="1214"/>
      <c r="D868" s="1267"/>
      <c r="E868" s="1214"/>
      <c r="F868" s="1214"/>
      <c r="G868" s="1214"/>
      <c r="H868" s="1214"/>
      <c r="I868" s="1214"/>
      <c r="J868" s="1214"/>
      <c r="K868" s="1214"/>
      <c r="L868" s="1214"/>
      <c r="M868" s="1214"/>
      <c r="N868" s="1214"/>
      <c r="O868" s="1214"/>
      <c r="P868" s="1214"/>
      <c r="Q868" s="1214"/>
      <c r="R868" s="1214"/>
      <c r="S868" s="1214"/>
      <c r="T868" s="1214"/>
      <c r="U868" s="1214"/>
      <c r="V868" s="1214"/>
      <c r="W868" s="1214"/>
      <c r="X868" s="1214"/>
      <c r="Y868" s="1214"/>
      <c r="Z868" s="1214"/>
    </row>
    <row r="869">
      <c r="A869" s="1214"/>
      <c r="B869" s="1214"/>
      <c r="C869" s="1214"/>
      <c r="D869" s="1267"/>
      <c r="E869" s="1214"/>
      <c r="F869" s="1214"/>
      <c r="G869" s="1214"/>
      <c r="H869" s="1214"/>
      <c r="I869" s="1214"/>
      <c r="J869" s="1214"/>
      <c r="K869" s="1214"/>
      <c r="L869" s="1214"/>
      <c r="M869" s="1214"/>
      <c r="N869" s="1214"/>
      <c r="O869" s="1214"/>
      <c r="P869" s="1214"/>
      <c r="Q869" s="1214"/>
      <c r="R869" s="1214"/>
      <c r="S869" s="1214"/>
      <c r="T869" s="1214"/>
      <c r="U869" s="1214"/>
      <c r="V869" s="1214"/>
      <c r="W869" s="1214"/>
      <c r="X869" s="1214"/>
      <c r="Y869" s="1214"/>
      <c r="Z869" s="1214"/>
    </row>
    <row r="870">
      <c r="A870" s="1214"/>
      <c r="B870" s="1214"/>
      <c r="C870" s="1214"/>
      <c r="D870" s="1267"/>
      <c r="E870" s="1214"/>
      <c r="F870" s="1214"/>
      <c r="G870" s="1214"/>
      <c r="H870" s="1214"/>
      <c r="I870" s="1214"/>
      <c r="J870" s="1214"/>
      <c r="K870" s="1214"/>
      <c r="L870" s="1214"/>
      <c r="M870" s="1214"/>
      <c r="N870" s="1214"/>
      <c r="O870" s="1214"/>
      <c r="P870" s="1214"/>
      <c r="Q870" s="1214"/>
      <c r="R870" s="1214"/>
      <c r="S870" s="1214"/>
      <c r="T870" s="1214"/>
      <c r="U870" s="1214"/>
      <c r="V870" s="1214"/>
      <c r="W870" s="1214"/>
      <c r="X870" s="1214"/>
      <c r="Y870" s="1214"/>
      <c r="Z870" s="1214"/>
    </row>
    <row r="871">
      <c r="A871" s="1214"/>
      <c r="B871" s="1214"/>
      <c r="C871" s="1214"/>
      <c r="D871" s="1267"/>
      <c r="E871" s="1214"/>
      <c r="F871" s="1214"/>
      <c r="G871" s="1214"/>
      <c r="H871" s="1214"/>
      <c r="I871" s="1214"/>
      <c r="J871" s="1214"/>
      <c r="K871" s="1214"/>
      <c r="L871" s="1214"/>
      <c r="M871" s="1214"/>
      <c r="N871" s="1214"/>
      <c r="O871" s="1214"/>
      <c r="P871" s="1214"/>
      <c r="Q871" s="1214"/>
      <c r="R871" s="1214"/>
      <c r="S871" s="1214"/>
      <c r="T871" s="1214"/>
      <c r="U871" s="1214"/>
      <c r="V871" s="1214"/>
      <c r="W871" s="1214"/>
      <c r="X871" s="1214"/>
      <c r="Y871" s="1214"/>
      <c r="Z871" s="1214"/>
    </row>
    <row r="872">
      <c r="A872" s="1214"/>
      <c r="B872" s="1214"/>
      <c r="C872" s="1214"/>
      <c r="D872" s="1267"/>
      <c r="E872" s="1214"/>
      <c r="F872" s="1214"/>
      <c r="G872" s="1214"/>
      <c r="H872" s="1214"/>
      <c r="I872" s="1214"/>
      <c r="J872" s="1214"/>
      <c r="K872" s="1214"/>
      <c r="L872" s="1214"/>
      <c r="M872" s="1214"/>
      <c r="N872" s="1214"/>
      <c r="O872" s="1214"/>
      <c r="P872" s="1214"/>
      <c r="Q872" s="1214"/>
      <c r="R872" s="1214"/>
      <c r="S872" s="1214"/>
      <c r="T872" s="1214"/>
      <c r="U872" s="1214"/>
      <c r="V872" s="1214"/>
      <c r="W872" s="1214"/>
      <c r="X872" s="1214"/>
      <c r="Y872" s="1214"/>
      <c r="Z872" s="1214"/>
    </row>
    <row r="873">
      <c r="A873" s="1214"/>
      <c r="B873" s="1214"/>
      <c r="C873" s="1214"/>
      <c r="D873" s="1267"/>
      <c r="E873" s="1214"/>
      <c r="F873" s="1214"/>
      <c r="G873" s="1214"/>
      <c r="H873" s="1214"/>
      <c r="I873" s="1214"/>
      <c r="J873" s="1214"/>
      <c r="K873" s="1214"/>
      <c r="L873" s="1214"/>
      <c r="M873" s="1214"/>
      <c r="N873" s="1214"/>
      <c r="O873" s="1214"/>
      <c r="P873" s="1214"/>
      <c r="Q873" s="1214"/>
      <c r="R873" s="1214"/>
      <c r="S873" s="1214"/>
      <c r="T873" s="1214"/>
      <c r="U873" s="1214"/>
      <c r="V873" s="1214"/>
      <c r="W873" s="1214"/>
      <c r="X873" s="1214"/>
      <c r="Y873" s="1214"/>
      <c r="Z873" s="1214"/>
    </row>
    <row r="874">
      <c r="A874" s="1214"/>
      <c r="B874" s="1214"/>
      <c r="C874" s="1214"/>
      <c r="D874" s="1267"/>
      <c r="E874" s="1214"/>
      <c r="F874" s="1214"/>
      <c r="G874" s="1214"/>
      <c r="H874" s="1214"/>
      <c r="I874" s="1214"/>
      <c r="J874" s="1214"/>
      <c r="K874" s="1214"/>
      <c r="L874" s="1214"/>
      <c r="M874" s="1214"/>
      <c r="N874" s="1214"/>
      <c r="O874" s="1214"/>
      <c r="P874" s="1214"/>
      <c r="Q874" s="1214"/>
      <c r="R874" s="1214"/>
      <c r="S874" s="1214"/>
      <c r="T874" s="1214"/>
      <c r="U874" s="1214"/>
      <c r="V874" s="1214"/>
      <c r="W874" s="1214"/>
      <c r="X874" s="1214"/>
      <c r="Y874" s="1214"/>
      <c r="Z874" s="1214"/>
    </row>
    <row r="875">
      <c r="A875" s="1214"/>
      <c r="B875" s="1214"/>
      <c r="C875" s="1214"/>
      <c r="D875" s="1267"/>
      <c r="E875" s="1214"/>
      <c r="F875" s="1214"/>
      <c r="G875" s="1214"/>
      <c r="H875" s="1214"/>
      <c r="I875" s="1214"/>
      <c r="J875" s="1214"/>
      <c r="K875" s="1214"/>
      <c r="L875" s="1214"/>
      <c r="M875" s="1214"/>
      <c r="N875" s="1214"/>
      <c r="O875" s="1214"/>
      <c r="P875" s="1214"/>
      <c r="Q875" s="1214"/>
      <c r="R875" s="1214"/>
      <c r="S875" s="1214"/>
      <c r="T875" s="1214"/>
      <c r="U875" s="1214"/>
      <c r="V875" s="1214"/>
      <c r="W875" s="1214"/>
      <c r="X875" s="1214"/>
      <c r="Y875" s="1214"/>
      <c r="Z875" s="1214"/>
    </row>
    <row r="876">
      <c r="A876" s="1214"/>
      <c r="B876" s="1214"/>
      <c r="C876" s="1214"/>
      <c r="D876" s="1267"/>
      <c r="E876" s="1214"/>
      <c r="F876" s="1214"/>
      <c r="G876" s="1214"/>
      <c r="H876" s="1214"/>
      <c r="I876" s="1214"/>
      <c r="J876" s="1214"/>
      <c r="K876" s="1214"/>
      <c r="L876" s="1214"/>
      <c r="M876" s="1214"/>
      <c r="N876" s="1214"/>
      <c r="O876" s="1214"/>
      <c r="P876" s="1214"/>
      <c r="Q876" s="1214"/>
      <c r="R876" s="1214"/>
      <c r="S876" s="1214"/>
      <c r="T876" s="1214"/>
      <c r="U876" s="1214"/>
      <c r="V876" s="1214"/>
      <c r="W876" s="1214"/>
      <c r="X876" s="1214"/>
      <c r="Y876" s="1214"/>
      <c r="Z876" s="1214"/>
    </row>
    <row r="877">
      <c r="A877" s="1214"/>
      <c r="B877" s="1214"/>
      <c r="C877" s="1214"/>
      <c r="D877" s="1267"/>
      <c r="E877" s="1214"/>
      <c r="F877" s="1214"/>
      <c r="G877" s="1214"/>
      <c r="H877" s="1214"/>
      <c r="I877" s="1214"/>
      <c r="J877" s="1214"/>
      <c r="K877" s="1214"/>
      <c r="L877" s="1214"/>
      <c r="M877" s="1214"/>
      <c r="N877" s="1214"/>
      <c r="O877" s="1214"/>
      <c r="P877" s="1214"/>
      <c r="Q877" s="1214"/>
      <c r="R877" s="1214"/>
      <c r="S877" s="1214"/>
      <c r="T877" s="1214"/>
      <c r="U877" s="1214"/>
      <c r="V877" s="1214"/>
      <c r="W877" s="1214"/>
      <c r="X877" s="1214"/>
      <c r="Y877" s="1214"/>
      <c r="Z877" s="1214"/>
    </row>
    <row r="878">
      <c r="A878" s="1214"/>
      <c r="B878" s="1214"/>
      <c r="C878" s="1214"/>
      <c r="D878" s="1267"/>
      <c r="E878" s="1214"/>
      <c r="F878" s="1214"/>
      <c r="G878" s="1214"/>
      <c r="H878" s="1214"/>
      <c r="I878" s="1214"/>
      <c r="J878" s="1214"/>
      <c r="K878" s="1214"/>
      <c r="L878" s="1214"/>
      <c r="M878" s="1214"/>
      <c r="N878" s="1214"/>
      <c r="O878" s="1214"/>
      <c r="P878" s="1214"/>
      <c r="Q878" s="1214"/>
      <c r="R878" s="1214"/>
      <c r="S878" s="1214"/>
      <c r="T878" s="1214"/>
      <c r="U878" s="1214"/>
      <c r="V878" s="1214"/>
      <c r="W878" s="1214"/>
      <c r="X878" s="1214"/>
      <c r="Y878" s="1214"/>
      <c r="Z878" s="1214"/>
    </row>
    <row r="879">
      <c r="A879" s="1214"/>
      <c r="B879" s="1214"/>
      <c r="C879" s="1214"/>
      <c r="D879" s="1267"/>
      <c r="E879" s="1214"/>
      <c r="F879" s="1214"/>
      <c r="G879" s="1214"/>
      <c r="H879" s="1214"/>
      <c r="I879" s="1214"/>
      <c r="J879" s="1214"/>
      <c r="K879" s="1214"/>
      <c r="L879" s="1214"/>
      <c r="M879" s="1214"/>
      <c r="N879" s="1214"/>
      <c r="O879" s="1214"/>
      <c r="P879" s="1214"/>
      <c r="Q879" s="1214"/>
      <c r="R879" s="1214"/>
      <c r="S879" s="1214"/>
      <c r="T879" s="1214"/>
      <c r="U879" s="1214"/>
      <c r="V879" s="1214"/>
      <c r="W879" s="1214"/>
      <c r="X879" s="1214"/>
      <c r="Y879" s="1214"/>
      <c r="Z879" s="1214"/>
    </row>
    <row r="880">
      <c r="A880" s="1214"/>
      <c r="B880" s="1214"/>
      <c r="C880" s="1214"/>
      <c r="D880" s="1267"/>
      <c r="E880" s="1214"/>
      <c r="F880" s="1214"/>
      <c r="G880" s="1214"/>
      <c r="H880" s="1214"/>
      <c r="I880" s="1214"/>
      <c r="J880" s="1214"/>
      <c r="K880" s="1214"/>
      <c r="L880" s="1214"/>
      <c r="M880" s="1214"/>
      <c r="N880" s="1214"/>
      <c r="O880" s="1214"/>
      <c r="P880" s="1214"/>
      <c r="Q880" s="1214"/>
      <c r="R880" s="1214"/>
      <c r="S880" s="1214"/>
      <c r="T880" s="1214"/>
      <c r="U880" s="1214"/>
      <c r="V880" s="1214"/>
      <c r="W880" s="1214"/>
      <c r="X880" s="1214"/>
      <c r="Y880" s="1214"/>
      <c r="Z880" s="1214"/>
    </row>
    <row r="881">
      <c r="A881" s="1214"/>
      <c r="B881" s="1214"/>
      <c r="C881" s="1214"/>
      <c r="D881" s="1267"/>
      <c r="E881" s="1214"/>
      <c r="F881" s="1214"/>
      <c r="G881" s="1214"/>
      <c r="H881" s="1214"/>
      <c r="I881" s="1214"/>
      <c r="J881" s="1214"/>
      <c r="K881" s="1214"/>
      <c r="L881" s="1214"/>
      <c r="M881" s="1214"/>
      <c r="N881" s="1214"/>
      <c r="O881" s="1214"/>
      <c r="P881" s="1214"/>
      <c r="Q881" s="1214"/>
      <c r="R881" s="1214"/>
      <c r="S881" s="1214"/>
      <c r="T881" s="1214"/>
      <c r="U881" s="1214"/>
      <c r="V881" s="1214"/>
      <c r="W881" s="1214"/>
      <c r="X881" s="1214"/>
      <c r="Y881" s="1214"/>
      <c r="Z881" s="1214"/>
    </row>
    <row r="882">
      <c r="A882" s="1214"/>
      <c r="B882" s="1214"/>
      <c r="C882" s="1214"/>
      <c r="D882" s="1267"/>
      <c r="E882" s="1214"/>
      <c r="F882" s="1214"/>
      <c r="G882" s="1214"/>
      <c r="H882" s="1214"/>
      <c r="I882" s="1214"/>
      <c r="J882" s="1214"/>
      <c r="K882" s="1214"/>
      <c r="L882" s="1214"/>
      <c r="M882" s="1214"/>
      <c r="N882" s="1214"/>
      <c r="O882" s="1214"/>
      <c r="P882" s="1214"/>
      <c r="Q882" s="1214"/>
      <c r="R882" s="1214"/>
      <c r="S882" s="1214"/>
      <c r="T882" s="1214"/>
      <c r="U882" s="1214"/>
      <c r="V882" s="1214"/>
      <c r="W882" s="1214"/>
      <c r="X882" s="1214"/>
      <c r="Y882" s="1214"/>
      <c r="Z882" s="1214"/>
    </row>
    <row r="883">
      <c r="A883" s="1214"/>
      <c r="B883" s="1214"/>
      <c r="C883" s="1214"/>
      <c r="D883" s="1267"/>
      <c r="E883" s="1214"/>
      <c r="F883" s="1214"/>
      <c r="G883" s="1214"/>
      <c r="H883" s="1214"/>
      <c r="I883" s="1214"/>
      <c r="J883" s="1214"/>
      <c r="K883" s="1214"/>
      <c r="L883" s="1214"/>
      <c r="M883" s="1214"/>
      <c r="N883" s="1214"/>
      <c r="O883" s="1214"/>
      <c r="P883" s="1214"/>
      <c r="Q883" s="1214"/>
      <c r="R883" s="1214"/>
      <c r="S883" s="1214"/>
      <c r="T883" s="1214"/>
      <c r="U883" s="1214"/>
      <c r="V883" s="1214"/>
      <c r="W883" s="1214"/>
      <c r="X883" s="1214"/>
      <c r="Y883" s="1214"/>
      <c r="Z883" s="1214"/>
    </row>
    <row r="884">
      <c r="A884" s="1214"/>
      <c r="B884" s="1214"/>
      <c r="C884" s="1214"/>
      <c r="D884" s="1267"/>
      <c r="E884" s="1214"/>
      <c r="F884" s="1214"/>
      <c r="G884" s="1214"/>
      <c r="H884" s="1214"/>
      <c r="I884" s="1214"/>
      <c r="J884" s="1214"/>
      <c r="K884" s="1214"/>
      <c r="L884" s="1214"/>
      <c r="M884" s="1214"/>
      <c r="N884" s="1214"/>
      <c r="O884" s="1214"/>
      <c r="P884" s="1214"/>
      <c r="Q884" s="1214"/>
      <c r="R884" s="1214"/>
      <c r="S884" s="1214"/>
      <c r="T884" s="1214"/>
      <c r="U884" s="1214"/>
      <c r="V884" s="1214"/>
      <c r="W884" s="1214"/>
      <c r="X884" s="1214"/>
      <c r="Y884" s="1214"/>
      <c r="Z884" s="1214"/>
    </row>
    <row r="885">
      <c r="A885" s="1214"/>
      <c r="B885" s="1214"/>
      <c r="C885" s="1214"/>
      <c r="D885" s="1267"/>
      <c r="E885" s="1214"/>
      <c r="F885" s="1214"/>
      <c r="G885" s="1214"/>
      <c r="H885" s="1214"/>
      <c r="I885" s="1214"/>
      <c r="J885" s="1214"/>
      <c r="K885" s="1214"/>
      <c r="L885" s="1214"/>
      <c r="M885" s="1214"/>
      <c r="N885" s="1214"/>
      <c r="O885" s="1214"/>
      <c r="P885" s="1214"/>
      <c r="Q885" s="1214"/>
      <c r="R885" s="1214"/>
      <c r="S885" s="1214"/>
      <c r="T885" s="1214"/>
      <c r="U885" s="1214"/>
      <c r="V885" s="1214"/>
      <c r="W885" s="1214"/>
      <c r="X885" s="1214"/>
      <c r="Y885" s="1214"/>
      <c r="Z885" s="1214"/>
    </row>
    <row r="886">
      <c r="A886" s="1214"/>
      <c r="B886" s="1214"/>
      <c r="C886" s="1214"/>
      <c r="D886" s="1267"/>
      <c r="E886" s="1214"/>
      <c r="F886" s="1214"/>
      <c r="G886" s="1214"/>
      <c r="H886" s="1214"/>
      <c r="I886" s="1214"/>
      <c r="J886" s="1214"/>
      <c r="K886" s="1214"/>
      <c r="L886" s="1214"/>
      <c r="M886" s="1214"/>
      <c r="N886" s="1214"/>
      <c r="O886" s="1214"/>
      <c r="P886" s="1214"/>
      <c r="Q886" s="1214"/>
      <c r="R886" s="1214"/>
      <c r="S886" s="1214"/>
      <c r="T886" s="1214"/>
      <c r="U886" s="1214"/>
      <c r="V886" s="1214"/>
      <c r="W886" s="1214"/>
      <c r="X886" s="1214"/>
      <c r="Y886" s="1214"/>
      <c r="Z886" s="1214"/>
    </row>
    <row r="887">
      <c r="A887" s="1214"/>
      <c r="B887" s="1214"/>
      <c r="C887" s="1214"/>
      <c r="D887" s="1267"/>
      <c r="E887" s="1214"/>
      <c r="F887" s="1214"/>
      <c r="G887" s="1214"/>
      <c r="H887" s="1214"/>
      <c r="I887" s="1214"/>
      <c r="J887" s="1214"/>
      <c r="K887" s="1214"/>
      <c r="L887" s="1214"/>
      <c r="M887" s="1214"/>
      <c r="N887" s="1214"/>
      <c r="O887" s="1214"/>
      <c r="P887" s="1214"/>
      <c r="Q887" s="1214"/>
      <c r="R887" s="1214"/>
      <c r="S887" s="1214"/>
      <c r="T887" s="1214"/>
      <c r="U887" s="1214"/>
      <c r="V887" s="1214"/>
      <c r="W887" s="1214"/>
      <c r="X887" s="1214"/>
      <c r="Y887" s="1214"/>
      <c r="Z887" s="1214"/>
    </row>
    <row r="888">
      <c r="A888" s="1214"/>
      <c r="B888" s="1214"/>
      <c r="C888" s="1214"/>
      <c r="D888" s="1267"/>
      <c r="E888" s="1214"/>
      <c r="F888" s="1214"/>
      <c r="G888" s="1214"/>
      <c r="H888" s="1214"/>
      <c r="I888" s="1214"/>
      <c r="J888" s="1214"/>
      <c r="K888" s="1214"/>
      <c r="L888" s="1214"/>
      <c r="M888" s="1214"/>
      <c r="N888" s="1214"/>
      <c r="O888" s="1214"/>
      <c r="P888" s="1214"/>
      <c r="Q888" s="1214"/>
      <c r="R888" s="1214"/>
      <c r="S888" s="1214"/>
      <c r="T888" s="1214"/>
      <c r="U888" s="1214"/>
      <c r="V888" s="1214"/>
      <c r="W888" s="1214"/>
      <c r="X888" s="1214"/>
      <c r="Y888" s="1214"/>
      <c r="Z888" s="1214"/>
    </row>
    <row r="889">
      <c r="A889" s="1214"/>
      <c r="B889" s="1214"/>
      <c r="C889" s="1214"/>
      <c r="D889" s="1267"/>
      <c r="E889" s="1214"/>
      <c r="F889" s="1214"/>
      <c r="G889" s="1214"/>
      <c r="H889" s="1214"/>
      <c r="I889" s="1214"/>
      <c r="J889" s="1214"/>
      <c r="K889" s="1214"/>
      <c r="L889" s="1214"/>
      <c r="M889" s="1214"/>
      <c r="N889" s="1214"/>
      <c r="O889" s="1214"/>
      <c r="P889" s="1214"/>
      <c r="Q889" s="1214"/>
      <c r="R889" s="1214"/>
      <c r="S889" s="1214"/>
      <c r="T889" s="1214"/>
      <c r="U889" s="1214"/>
      <c r="V889" s="1214"/>
      <c r="W889" s="1214"/>
      <c r="X889" s="1214"/>
      <c r="Y889" s="1214"/>
      <c r="Z889" s="1214"/>
    </row>
    <row r="890">
      <c r="A890" s="1214"/>
      <c r="B890" s="1214"/>
      <c r="C890" s="1214"/>
      <c r="D890" s="1267"/>
      <c r="E890" s="1214"/>
      <c r="F890" s="1214"/>
      <c r="G890" s="1214"/>
      <c r="H890" s="1214"/>
      <c r="I890" s="1214"/>
      <c r="J890" s="1214"/>
      <c r="K890" s="1214"/>
      <c r="L890" s="1214"/>
      <c r="M890" s="1214"/>
      <c r="N890" s="1214"/>
      <c r="O890" s="1214"/>
      <c r="P890" s="1214"/>
      <c r="Q890" s="1214"/>
      <c r="R890" s="1214"/>
      <c r="S890" s="1214"/>
      <c r="T890" s="1214"/>
      <c r="U890" s="1214"/>
      <c r="V890" s="1214"/>
      <c r="W890" s="1214"/>
      <c r="X890" s="1214"/>
      <c r="Y890" s="1214"/>
      <c r="Z890" s="1214"/>
    </row>
    <row r="891">
      <c r="A891" s="1214"/>
      <c r="B891" s="1214"/>
      <c r="C891" s="1214"/>
      <c r="D891" s="1267"/>
      <c r="E891" s="1214"/>
      <c r="F891" s="1214"/>
      <c r="G891" s="1214"/>
      <c r="H891" s="1214"/>
      <c r="I891" s="1214"/>
      <c r="J891" s="1214"/>
      <c r="K891" s="1214"/>
      <c r="L891" s="1214"/>
      <c r="M891" s="1214"/>
      <c r="N891" s="1214"/>
      <c r="O891" s="1214"/>
      <c r="P891" s="1214"/>
      <c r="Q891" s="1214"/>
      <c r="R891" s="1214"/>
      <c r="S891" s="1214"/>
      <c r="T891" s="1214"/>
      <c r="U891" s="1214"/>
      <c r="V891" s="1214"/>
      <c r="W891" s="1214"/>
      <c r="X891" s="1214"/>
      <c r="Y891" s="1214"/>
      <c r="Z891" s="1214"/>
    </row>
    <row r="892">
      <c r="A892" s="1214"/>
      <c r="B892" s="1214"/>
      <c r="C892" s="1214"/>
      <c r="D892" s="1267"/>
      <c r="E892" s="1214"/>
      <c r="F892" s="1214"/>
      <c r="G892" s="1214"/>
      <c r="H892" s="1214"/>
      <c r="I892" s="1214"/>
      <c r="J892" s="1214"/>
      <c r="K892" s="1214"/>
      <c r="L892" s="1214"/>
      <c r="M892" s="1214"/>
      <c r="N892" s="1214"/>
      <c r="O892" s="1214"/>
      <c r="P892" s="1214"/>
      <c r="Q892" s="1214"/>
      <c r="R892" s="1214"/>
      <c r="S892" s="1214"/>
      <c r="T892" s="1214"/>
      <c r="U892" s="1214"/>
      <c r="V892" s="1214"/>
      <c r="W892" s="1214"/>
      <c r="X892" s="1214"/>
      <c r="Y892" s="1214"/>
      <c r="Z892" s="1214"/>
    </row>
    <row r="893">
      <c r="A893" s="1214"/>
      <c r="B893" s="1214"/>
      <c r="C893" s="1214"/>
      <c r="D893" s="1267"/>
      <c r="E893" s="1214"/>
      <c r="F893" s="1214"/>
      <c r="G893" s="1214"/>
      <c r="H893" s="1214"/>
      <c r="I893" s="1214"/>
      <c r="J893" s="1214"/>
      <c r="K893" s="1214"/>
      <c r="L893" s="1214"/>
      <c r="M893" s="1214"/>
      <c r="N893" s="1214"/>
      <c r="O893" s="1214"/>
      <c r="P893" s="1214"/>
      <c r="Q893" s="1214"/>
      <c r="R893" s="1214"/>
      <c r="S893" s="1214"/>
      <c r="T893" s="1214"/>
      <c r="U893" s="1214"/>
      <c r="V893" s="1214"/>
      <c r="W893" s="1214"/>
      <c r="X893" s="1214"/>
      <c r="Y893" s="1214"/>
      <c r="Z893" s="1214"/>
    </row>
    <row r="894">
      <c r="A894" s="1214"/>
      <c r="B894" s="1214"/>
      <c r="C894" s="1214"/>
      <c r="D894" s="1267"/>
      <c r="E894" s="1214"/>
      <c r="F894" s="1214"/>
      <c r="G894" s="1214"/>
      <c r="H894" s="1214"/>
      <c r="I894" s="1214"/>
      <c r="J894" s="1214"/>
      <c r="K894" s="1214"/>
      <c r="L894" s="1214"/>
      <c r="M894" s="1214"/>
      <c r="N894" s="1214"/>
      <c r="O894" s="1214"/>
      <c r="P894" s="1214"/>
      <c r="Q894" s="1214"/>
      <c r="R894" s="1214"/>
      <c r="S894" s="1214"/>
      <c r="T894" s="1214"/>
      <c r="U894" s="1214"/>
      <c r="V894" s="1214"/>
      <c r="W894" s="1214"/>
      <c r="X894" s="1214"/>
      <c r="Y894" s="1214"/>
      <c r="Z894" s="1214"/>
    </row>
    <row r="895">
      <c r="A895" s="1214"/>
      <c r="B895" s="1214"/>
      <c r="C895" s="1214"/>
      <c r="D895" s="1267"/>
      <c r="E895" s="1214"/>
      <c r="F895" s="1214"/>
      <c r="G895" s="1214"/>
      <c r="H895" s="1214"/>
      <c r="I895" s="1214"/>
      <c r="J895" s="1214"/>
      <c r="K895" s="1214"/>
      <c r="L895" s="1214"/>
      <c r="M895" s="1214"/>
      <c r="N895" s="1214"/>
      <c r="O895" s="1214"/>
      <c r="P895" s="1214"/>
      <c r="Q895" s="1214"/>
      <c r="R895" s="1214"/>
      <c r="S895" s="1214"/>
      <c r="T895" s="1214"/>
      <c r="U895" s="1214"/>
      <c r="V895" s="1214"/>
      <c r="W895" s="1214"/>
      <c r="X895" s="1214"/>
      <c r="Y895" s="1214"/>
      <c r="Z895" s="1214"/>
    </row>
    <row r="896">
      <c r="A896" s="1214"/>
      <c r="B896" s="1214"/>
      <c r="C896" s="1214"/>
      <c r="D896" s="1267"/>
      <c r="E896" s="1214"/>
      <c r="F896" s="1214"/>
      <c r="G896" s="1214"/>
      <c r="H896" s="1214"/>
      <c r="I896" s="1214"/>
      <c r="J896" s="1214"/>
      <c r="K896" s="1214"/>
      <c r="L896" s="1214"/>
      <c r="M896" s="1214"/>
      <c r="N896" s="1214"/>
      <c r="O896" s="1214"/>
      <c r="P896" s="1214"/>
      <c r="Q896" s="1214"/>
      <c r="R896" s="1214"/>
      <c r="S896" s="1214"/>
      <c r="T896" s="1214"/>
      <c r="U896" s="1214"/>
      <c r="V896" s="1214"/>
      <c r="W896" s="1214"/>
      <c r="X896" s="1214"/>
      <c r="Y896" s="1214"/>
      <c r="Z896" s="1214"/>
    </row>
    <row r="897">
      <c r="A897" s="1214"/>
      <c r="B897" s="1214"/>
      <c r="C897" s="1214"/>
      <c r="D897" s="1267"/>
      <c r="E897" s="1214"/>
      <c r="F897" s="1214"/>
      <c r="G897" s="1214"/>
      <c r="H897" s="1214"/>
      <c r="I897" s="1214"/>
      <c r="J897" s="1214"/>
      <c r="K897" s="1214"/>
      <c r="L897" s="1214"/>
      <c r="M897" s="1214"/>
      <c r="N897" s="1214"/>
      <c r="O897" s="1214"/>
      <c r="P897" s="1214"/>
      <c r="Q897" s="1214"/>
      <c r="R897" s="1214"/>
      <c r="S897" s="1214"/>
      <c r="T897" s="1214"/>
      <c r="U897" s="1214"/>
      <c r="V897" s="1214"/>
      <c r="W897" s="1214"/>
      <c r="X897" s="1214"/>
      <c r="Y897" s="1214"/>
      <c r="Z897" s="1214"/>
    </row>
    <row r="898">
      <c r="A898" s="1214"/>
      <c r="B898" s="1214"/>
      <c r="C898" s="1214"/>
      <c r="D898" s="1267"/>
      <c r="E898" s="1214"/>
      <c r="F898" s="1214"/>
      <c r="G898" s="1214"/>
      <c r="H898" s="1214"/>
      <c r="I898" s="1214"/>
      <c r="J898" s="1214"/>
      <c r="K898" s="1214"/>
      <c r="L898" s="1214"/>
      <c r="M898" s="1214"/>
      <c r="N898" s="1214"/>
      <c r="O898" s="1214"/>
      <c r="P898" s="1214"/>
      <c r="Q898" s="1214"/>
      <c r="R898" s="1214"/>
      <c r="S898" s="1214"/>
      <c r="T898" s="1214"/>
      <c r="U898" s="1214"/>
      <c r="V898" s="1214"/>
      <c r="W898" s="1214"/>
      <c r="X898" s="1214"/>
      <c r="Y898" s="1214"/>
      <c r="Z898" s="1214"/>
    </row>
    <row r="899">
      <c r="A899" s="1214"/>
      <c r="B899" s="1214"/>
      <c r="C899" s="1214"/>
      <c r="D899" s="1267"/>
      <c r="E899" s="1214"/>
      <c r="F899" s="1214"/>
      <c r="G899" s="1214"/>
      <c r="H899" s="1214"/>
      <c r="I899" s="1214"/>
      <c r="J899" s="1214"/>
      <c r="K899" s="1214"/>
      <c r="L899" s="1214"/>
      <c r="M899" s="1214"/>
      <c r="N899" s="1214"/>
      <c r="O899" s="1214"/>
      <c r="P899" s="1214"/>
      <c r="Q899" s="1214"/>
      <c r="R899" s="1214"/>
      <c r="S899" s="1214"/>
      <c r="T899" s="1214"/>
      <c r="U899" s="1214"/>
      <c r="V899" s="1214"/>
      <c r="W899" s="1214"/>
      <c r="X899" s="1214"/>
      <c r="Y899" s="1214"/>
      <c r="Z899" s="1214"/>
    </row>
    <row r="900">
      <c r="A900" s="1214"/>
      <c r="B900" s="1214"/>
      <c r="C900" s="1214"/>
      <c r="D900" s="1267"/>
      <c r="E900" s="1214"/>
      <c r="F900" s="1214"/>
      <c r="G900" s="1214"/>
      <c r="H900" s="1214"/>
      <c r="I900" s="1214"/>
      <c r="J900" s="1214"/>
      <c r="K900" s="1214"/>
      <c r="L900" s="1214"/>
      <c r="M900" s="1214"/>
      <c r="N900" s="1214"/>
      <c r="O900" s="1214"/>
      <c r="P900" s="1214"/>
      <c r="Q900" s="1214"/>
      <c r="R900" s="1214"/>
      <c r="S900" s="1214"/>
      <c r="T900" s="1214"/>
      <c r="U900" s="1214"/>
      <c r="V900" s="1214"/>
      <c r="W900" s="1214"/>
      <c r="X900" s="1214"/>
      <c r="Y900" s="1214"/>
      <c r="Z900" s="1214"/>
    </row>
    <row r="901">
      <c r="A901" s="1214"/>
      <c r="B901" s="1214"/>
      <c r="C901" s="1214"/>
      <c r="D901" s="1267"/>
      <c r="E901" s="1214"/>
      <c r="F901" s="1214"/>
      <c r="G901" s="1214"/>
      <c r="H901" s="1214"/>
      <c r="I901" s="1214"/>
      <c r="J901" s="1214"/>
      <c r="K901" s="1214"/>
      <c r="L901" s="1214"/>
      <c r="M901" s="1214"/>
      <c r="N901" s="1214"/>
      <c r="O901" s="1214"/>
      <c r="P901" s="1214"/>
      <c r="Q901" s="1214"/>
      <c r="R901" s="1214"/>
      <c r="S901" s="1214"/>
      <c r="T901" s="1214"/>
      <c r="U901" s="1214"/>
      <c r="V901" s="1214"/>
      <c r="W901" s="1214"/>
      <c r="X901" s="1214"/>
      <c r="Y901" s="1214"/>
      <c r="Z901" s="1214"/>
    </row>
    <row r="902">
      <c r="A902" s="1214"/>
      <c r="B902" s="1214"/>
      <c r="C902" s="1214"/>
      <c r="D902" s="1267"/>
      <c r="E902" s="1214"/>
      <c r="F902" s="1214"/>
      <c r="G902" s="1214"/>
      <c r="H902" s="1214"/>
      <c r="I902" s="1214"/>
      <c r="J902" s="1214"/>
      <c r="K902" s="1214"/>
      <c r="L902" s="1214"/>
      <c r="M902" s="1214"/>
      <c r="N902" s="1214"/>
      <c r="O902" s="1214"/>
      <c r="P902" s="1214"/>
      <c r="Q902" s="1214"/>
      <c r="R902" s="1214"/>
      <c r="S902" s="1214"/>
      <c r="T902" s="1214"/>
      <c r="U902" s="1214"/>
      <c r="V902" s="1214"/>
      <c r="W902" s="1214"/>
      <c r="X902" s="1214"/>
      <c r="Y902" s="1214"/>
      <c r="Z902" s="1214"/>
    </row>
    <row r="903">
      <c r="A903" s="1214"/>
      <c r="B903" s="1214"/>
      <c r="C903" s="1214"/>
      <c r="D903" s="1267"/>
      <c r="E903" s="1214"/>
      <c r="F903" s="1214"/>
      <c r="G903" s="1214"/>
      <c r="H903" s="1214"/>
      <c r="I903" s="1214"/>
      <c r="J903" s="1214"/>
      <c r="K903" s="1214"/>
      <c r="L903" s="1214"/>
      <c r="M903" s="1214"/>
      <c r="N903" s="1214"/>
      <c r="O903" s="1214"/>
      <c r="P903" s="1214"/>
      <c r="Q903" s="1214"/>
      <c r="R903" s="1214"/>
      <c r="S903" s="1214"/>
      <c r="T903" s="1214"/>
      <c r="U903" s="1214"/>
      <c r="V903" s="1214"/>
      <c r="W903" s="1214"/>
      <c r="X903" s="1214"/>
      <c r="Y903" s="1214"/>
      <c r="Z903" s="1214"/>
    </row>
    <row r="904">
      <c r="A904" s="1214"/>
      <c r="B904" s="1214"/>
      <c r="C904" s="1214"/>
      <c r="D904" s="1267"/>
      <c r="E904" s="1214"/>
      <c r="F904" s="1214"/>
      <c r="G904" s="1214"/>
      <c r="H904" s="1214"/>
      <c r="I904" s="1214"/>
      <c r="J904" s="1214"/>
      <c r="K904" s="1214"/>
      <c r="L904" s="1214"/>
      <c r="M904" s="1214"/>
      <c r="N904" s="1214"/>
      <c r="O904" s="1214"/>
      <c r="P904" s="1214"/>
      <c r="Q904" s="1214"/>
      <c r="R904" s="1214"/>
      <c r="S904" s="1214"/>
      <c r="T904" s="1214"/>
      <c r="U904" s="1214"/>
      <c r="V904" s="1214"/>
      <c r="W904" s="1214"/>
      <c r="X904" s="1214"/>
      <c r="Y904" s="1214"/>
      <c r="Z904" s="1214"/>
    </row>
    <row r="905">
      <c r="A905" s="1214"/>
      <c r="B905" s="1214"/>
      <c r="C905" s="1214"/>
      <c r="D905" s="1267"/>
      <c r="E905" s="1214"/>
      <c r="F905" s="1214"/>
      <c r="G905" s="1214"/>
      <c r="H905" s="1214"/>
      <c r="I905" s="1214"/>
      <c r="J905" s="1214"/>
      <c r="K905" s="1214"/>
      <c r="L905" s="1214"/>
      <c r="M905" s="1214"/>
      <c r="N905" s="1214"/>
      <c r="O905" s="1214"/>
      <c r="P905" s="1214"/>
      <c r="Q905" s="1214"/>
      <c r="R905" s="1214"/>
      <c r="S905" s="1214"/>
      <c r="T905" s="1214"/>
      <c r="U905" s="1214"/>
      <c r="V905" s="1214"/>
      <c r="W905" s="1214"/>
      <c r="X905" s="1214"/>
      <c r="Y905" s="1214"/>
      <c r="Z905" s="1214"/>
    </row>
    <row r="906">
      <c r="A906" s="1214"/>
      <c r="B906" s="1214"/>
      <c r="C906" s="1214"/>
      <c r="D906" s="1267"/>
      <c r="E906" s="1214"/>
      <c r="F906" s="1214"/>
      <c r="G906" s="1214"/>
      <c r="H906" s="1214"/>
      <c r="I906" s="1214"/>
      <c r="J906" s="1214"/>
      <c r="K906" s="1214"/>
      <c r="L906" s="1214"/>
      <c r="M906" s="1214"/>
      <c r="N906" s="1214"/>
      <c r="O906" s="1214"/>
      <c r="P906" s="1214"/>
      <c r="Q906" s="1214"/>
      <c r="R906" s="1214"/>
      <c r="S906" s="1214"/>
      <c r="T906" s="1214"/>
      <c r="U906" s="1214"/>
      <c r="V906" s="1214"/>
      <c r="W906" s="1214"/>
      <c r="X906" s="1214"/>
      <c r="Y906" s="1214"/>
      <c r="Z906" s="1214"/>
    </row>
    <row r="907">
      <c r="A907" s="1214"/>
      <c r="B907" s="1214"/>
      <c r="C907" s="1214"/>
      <c r="D907" s="1267"/>
      <c r="E907" s="1214"/>
      <c r="F907" s="1214"/>
      <c r="G907" s="1214"/>
      <c r="H907" s="1214"/>
      <c r="I907" s="1214"/>
      <c r="J907" s="1214"/>
      <c r="K907" s="1214"/>
      <c r="L907" s="1214"/>
      <c r="M907" s="1214"/>
      <c r="N907" s="1214"/>
      <c r="O907" s="1214"/>
      <c r="P907" s="1214"/>
      <c r="Q907" s="1214"/>
      <c r="R907" s="1214"/>
      <c r="S907" s="1214"/>
      <c r="T907" s="1214"/>
      <c r="U907" s="1214"/>
      <c r="V907" s="1214"/>
      <c r="W907" s="1214"/>
      <c r="X907" s="1214"/>
      <c r="Y907" s="1214"/>
      <c r="Z907" s="1214"/>
    </row>
    <row r="908">
      <c r="A908" s="1214"/>
      <c r="B908" s="1214"/>
      <c r="C908" s="1214"/>
      <c r="D908" s="1267"/>
      <c r="E908" s="1214"/>
      <c r="F908" s="1214"/>
      <c r="G908" s="1214"/>
      <c r="H908" s="1214"/>
      <c r="I908" s="1214"/>
      <c r="J908" s="1214"/>
      <c r="K908" s="1214"/>
      <c r="L908" s="1214"/>
      <c r="M908" s="1214"/>
      <c r="N908" s="1214"/>
      <c r="O908" s="1214"/>
      <c r="P908" s="1214"/>
      <c r="Q908" s="1214"/>
      <c r="R908" s="1214"/>
      <c r="S908" s="1214"/>
      <c r="T908" s="1214"/>
      <c r="U908" s="1214"/>
      <c r="V908" s="1214"/>
      <c r="W908" s="1214"/>
      <c r="X908" s="1214"/>
      <c r="Y908" s="1214"/>
      <c r="Z908" s="1214"/>
    </row>
    <row r="909">
      <c r="A909" s="1214"/>
      <c r="B909" s="1214"/>
      <c r="C909" s="1214"/>
      <c r="D909" s="1267"/>
      <c r="E909" s="1214"/>
      <c r="F909" s="1214"/>
      <c r="G909" s="1214"/>
      <c r="H909" s="1214"/>
      <c r="I909" s="1214"/>
      <c r="J909" s="1214"/>
      <c r="K909" s="1214"/>
      <c r="L909" s="1214"/>
      <c r="M909" s="1214"/>
      <c r="N909" s="1214"/>
      <c r="O909" s="1214"/>
      <c r="P909" s="1214"/>
      <c r="Q909" s="1214"/>
      <c r="R909" s="1214"/>
      <c r="S909" s="1214"/>
      <c r="T909" s="1214"/>
      <c r="U909" s="1214"/>
      <c r="V909" s="1214"/>
      <c r="W909" s="1214"/>
      <c r="X909" s="1214"/>
      <c r="Y909" s="1214"/>
      <c r="Z909" s="1214"/>
    </row>
    <row r="910">
      <c r="A910" s="1214"/>
      <c r="B910" s="1214"/>
      <c r="C910" s="1214"/>
      <c r="D910" s="1267"/>
      <c r="E910" s="1214"/>
      <c r="F910" s="1214"/>
      <c r="G910" s="1214"/>
      <c r="H910" s="1214"/>
      <c r="I910" s="1214"/>
      <c r="J910" s="1214"/>
      <c r="K910" s="1214"/>
      <c r="L910" s="1214"/>
      <c r="M910" s="1214"/>
      <c r="N910" s="1214"/>
      <c r="O910" s="1214"/>
      <c r="P910" s="1214"/>
      <c r="Q910" s="1214"/>
      <c r="R910" s="1214"/>
      <c r="S910" s="1214"/>
      <c r="T910" s="1214"/>
      <c r="U910" s="1214"/>
      <c r="V910" s="1214"/>
      <c r="W910" s="1214"/>
      <c r="X910" s="1214"/>
      <c r="Y910" s="1214"/>
      <c r="Z910" s="1214"/>
    </row>
    <row r="911">
      <c r="A911" s="1214"/>
      <c r="B911" s="1214"/>
      <c r="C911" s="1214"/>
      <c r="D911" s="1267"/>
      <c r="E911" s="1214"/>
      <c r="F911" s="1214"/>
      <c r="G911" s="1214"/>
      <c r="H911" s="1214"/>
      <c r="I911" s="1214"/>
      <c r="J911" s="1214"/>
      <c r="K911" s="1214"/>
      <c r="L911" s="1214"/>
      <c r="M911" s="1214"/>
      <c r="N911" s="1214"/>
      <c r="O911" s="1214"/>
      <c r="P911" s="1214"/>
      <c r="Q911" s="1214"/>
      <c r="R911" s="1214"/>
      <c r="S911" s="1214"/>
      <c r="T911" s="1214"/>
      <c r="U911" s="1214"/>
      <c r="V911" s="1214"/>
      <c r="W911" s="1214"/>
      <c r="X911" s="1214"/>
      <c r="Y911" s="1214"/>
      <c r="Z911" s="1214"/>
    </row>
    <row r="912">
      <c r="A912" s="1214"/>
      <c r="B912" s="1214"/>
      <c r="C912" s="1214"/>
      <c r="D912" s="1267"/>
      <c r="E912" s="1214"/>
      <c r="F912" s="1214"/>
      <c r="G912" s="1214"/>
      <c r="H912" s="1214"/>
      <c r="I912" s="1214"/>
      <c r="J912" s="1214"/>
      <c r="K912" s="1214"/>
      <c r="L912" s="1214"/>
      <c r="M912" s="1214"/>
      <c r="N912" s="1214"/>
      <c r="O912" s="1214"/>
      <c r="P912" s="1214"/>
      <c r="Q912" s="1214"/>
      <c r="R912" s="1214"/>
      <c r="S912" s="1214"/>
      <c r="T912" s="1214"/>
      <c r="U912" s="1214"/>
      <c r="V912" s="1214"/>
      <c r="W912" s="1214"/>
      <c r="X912" s="1214"/>
      <c r="Y912" s="1214"/>
      <c r="Z912" s="1214"/>
    </row>
    <row r="913">
      <c r="A913" s="1214"/>
      <c r="B913" s="1214"/>
      <c r="C913" s="1214"/>
      <c r="D913" s="1267"/>
      <c r="E913" s="1214"/>
      <c r="F913" s="1214"/>
      <c r="G913" s="1214"/>
      <c r="H913" s="1214"/>
      <c r="I913" s="1214"/>
      <c r="J913" s="1214"/>
      <c r="K913" s="1214"/>
      <c r="L913" s="1214"/>
      <c r="M913" s="1214"/>
      <c r="N913" s="1214"/>
      <c r="O913" s="1214"/>
      <c r="P913" s="1214"/>
      <c r="Q913" s="1214"/>
      <c r="R913" s="1214"/>
      <c r="S913" s="1214"/>
      <c r="T913" s="1214"/>
      <c r="U913" s="1214"/>
      <c r="V913" s="1214"/>
      <c r="W913" s="1214"/>
      <c r="X913" s="1214"/>
      <c r="Y913" s="1214"/>
      <c r="Z913" s="1214"/>
    </row>
    <row r="914">
      <c r="A914" s="1214"/>
      <c r="B914" s="1214"/>
      <c r="C914" s="1214"/>
      <c r="D914" s="1267"/>
      <c r="E914" s="1214"/>
      <c r="F914" s="1214"/>
      <c r="G914" s="1214"/>
      <c r="H914" s="1214"/>
      <c r="I914" s="1214"/>
      <c r="J914" s="1214"/>
      <c r="K914" s="1214"/>
      <c r="L914" s="1214"/>
      <c r="M914" s="1214"/>
      <c r="N914" s="1214"/>
      <c r="O914" s="1214"/>
      <c r="P914" s="1214"/>
      <c r="Q914" s="1214"/>
      <c r="R914" s="1214"/>
      <c r="S914" s="1214"/>
      <c r="T914" s="1214"/>
      <c r="U914" s="1214"/>
      <c r="V914" s="1214"/>
      <c r="W914" s="1214"/>
      <c r="X914" s="1214"/>
      <c r="Y914" s="1214"/>
      <c r="Z914" s="1214"/>
    </row>
    <row r="915">
      <c r="A915" s="1214"/>
      <c r="B915" s="1214"/>
      <c r="C915" s="1214"/>
      <c r="D915" s="1267"/>
      <c r="E915" s="1214"/>
      <c r="F915" s="1214"/>
      <c r="G915" s="1214"/>
      <c r="H915" s="1214"/>
      <c r="I915" s="1214"/>
      <c r="J915" s="1214"/>
      <c r="K915" s="1214"/>
      <c r="L915" s="1214"/>
      <c r="M915" s="1214"/>
      <c r="N915" s="1214"/>
      <c r="O915" s="1214"/>
      <c r="P915" s="1214"/>
      <c r="Q915" s="1214"/>
      <c r="R915" s="1214"/>
      <c r="S915" s="1214"/>
      <c r="T915" s="1214"/>
      <c r="U915" s="1214"/>
      <c r="V915" s="1214"/>
      <c r="W915" s="1214"/>
      <c r="X915" s="1214"/>
      <c r="Y915" s="1214"/>
      <c r="Z915" s="1214"/>
    </row>
    <row r="916">
      <c r="A916" s="1214"/>
      <c r="B916" s="1214"/>
      <c r="C916" s="1214"/>
      <c r="D916" s="1267"/>
      <c r="E916" s="1214"/>
      <c r="F916" s="1214"/>
      <c r="G916" s="1214"/>
      <c r="H916" s="1214"/>
      <c r="I916" s="1214"/>
      <c r="J916" s="1214"/>
      <c r="K916" s="1214"/>
      <c r="L916" s="1214"/>
      <c r="M916" s="1214"/>
      <c r="N916" s="1214"/>
      <c r="O916" s="1214"/>
      <c r="P916" s="1214"/>
      <c r="Q916" s="1214"/>
      <c r="R916" s="1214"/>
      <c r="S916" s="1214"/>
      <c r="T916" s="1214"/>
      <c r="U916" s="1214"/>
      <c r="V916" s="1214"/>
      <c r="W916" s="1214"/>
      <c r="X916" s="1214"/>
      <c r="Y916" s="1214"/>
      <c r="Z916" s="1214"/>
    </row>
    <row r="917">
      <c r="A917" s="1214"/>
      <c r="B917" s="1214"/>
      <c r="C917" s="1214"/>
      <c r="D917" s="1267"/>
      <c r="E917" s="1214"/>
      <c r="F917" s="1214"/>
      <c r="G917" s="1214"/>
      <c r="H917" s="1214"/>
      <c r="I917" s="1214"/>
      <c r="J917" s="1214"/>
      <c r="K917" s="1214"/>
      <c r="L917" s="1214"/>
      <c r="M917" s="1214"/>
      <c r="N917" s="1214"/>
      <c r="O917" s="1214"/>
      <c r="P917" s="1214"/>
      <c r="Q917" s="1214"/>
      <c r="R917" s="1214"/>
      <c r="S917" s="1214"/>
      <c r="T917" s="1214"/>
      <c r="U917" s="1214"/>
      <c r="V917" s="1214"/>
      <c r="W917" s="1214"/>
      <c r="X917" s="1214"/>
      <c r="Y917" s="1214"/>
      <c r="Z917" s="1214"/>
    </row>
    <row r="918">
      <c r="A918" s="1214"/>
      <c r="B918" s="1214"/>
      <c r="C918" s="1214"/>
      <c r="D918" s="1267"/>
      <c r="E918" s="1214"/>
      <c r="F918" s="1214"/>
      <c r="G918" s="1214"/>
      <c r="H918" s="1214"/>
      <c r="I918" s="1214"/>
      <c r="J918" s="1214"/>
      <c r="K918" s="1214"/>
      <c r="L918" s="1214"/>
      <c r="M918" s="1214"/>
      <c r="N918" s="1214"/>
      <c r="O918" s="1214"/>
      <c r="P918" s="1214"/>
      <c r="Q918" s="1214"/>
      <c r="R918" s="1214"/>
      <c r="S918" s="1214"/>
      <c r="T918" s="1214"/>
      <c r="U918" s="1214"/>
      <c r="V918" s="1214"/>
      <c r="W918" s="1214"/>
      <c r="X918" s="1214"/>
      <c r="Y918" s="1214"/>
      <c r="Z918" s="1214"/>
    </row>
    <row r="919">
      <c r="A919" s="1214"/>
      <c r="B919" s="1214"/>
      <c r="C919" s="1214"/>
      <c r="D919" s="1267"/>
      <c r="E919" s="1214"/>
      <c r="F919" s="1214"/>
      <c r="G919" s="1214"/>
      <c r="H919" s="1214"/>
      <c r="I919" s="1214"/>
      <c r="J919" s="1214"/>
      <c r="K919" s="1214"/>
      <c r="L919" s="1214"/>
      <c r="M919" s="1214"/>
      <c r="N919" s="1214"/>
      <c r="O919" s="1214"/>
      <c r="P919" s="1214"/>
      <c r="Q919" s="1214"/>
      <c r="R919" s="1214"/>
      <c r="S919" s="1214"/>
      <c r="T919" s="1214"/>
      <c r="U919" s="1214"/>
      <c r="V919" s="1214"/>
      <c r="W919" s="1214"/>
      <c r="X919" s="1214"/>
      <c r="Y919" s="1214"/>
      <c r="Z919" s="1214"/>
    </row>
    <row r="920">
      <c r="A920" s="1214"/>
      <c r="B920" s="1214"/>
      <c r="C920" s="1214"/>
      <c r="D920" s="1267"/>
      <c r="E920" s="1214"/>
      <c r="F920" s="1214"/>
      <c r="G920" s="1214"/>
      <c r="H920" s="1214"/>
      <c r="I920" s="1214"/>
      <c r="J920" s="1214"/>
      <c r="K920" s="1214"/>
      <c r="L920" s="1214"/>
      <c r="M920" s="1214"/>
      <c r="N920" s="1214"/>
      <c r="O920" s="1214"/>
      <c r="P920" s="1214"/>
      <c r="Q920" s="1214"/>
      <c r="R920" s="1214"/>
      <c r="S920" s="1214"/>
      <c r="T920" s="1214"/>
      <c r="U920" s="1214"/>
      <c r="V920" s="1214"/>
      <c r="W920" s="1214"/>
      <c r="X920" s="1214"/>
      <c r="Y920" s="1214"/>
      <c r="Z920" s="1214"/>
    </row>
    <row r="921">
      <c r="A921" s="1214"/>
      <c r="B921" s="1214"/>
      <c r="C921" s="1214"/>
      <c r="D921" s="1267"/>
      <c r="E921" s="1214"/>
      <c r="F921" s="1214"/>
      <c r="G921" s="1214"/>
      <c r="H921" s="1214"/>
      <c r="I921" s="1214"/>
      <c r="J921" s="1214"/>
      <c r="K921" s="1214"/>
      <c r="L921" s="1214"/>
      <c r="M921" s="1214"/>
      <c r="N921" s="1214"/>
      <c r="O921" s="1214"/>
      <c r="P921" s="1214"/>
      <c r="Q921" s="1214"/>
      <c r="R921" s="1214"/>
      <c r="S921" s="1214"/>
      <c r="T921" s="1214"/>
      <c r="U921" s="1214"/>
      <c r="V921" s="1214"/>
      <c r="W921" s="1214"/>
      <c r="X921" s="1214"/>
      <c r="Y921" s="1214"/>
      <c r="Z921" s="1214"/>
    </row>
    <row r="922">
      <c r="A922" s="1214"/>
      <c r="B922" s="1214"/>
      <c r="C922" s="1214"/>
      <c r="D922" s="1267"/>
      <c r="E922" s="1214"/>
      <c r="F922" s="1214"/>
      <c r="G922" s="1214"/>
      <c r="H922" s="1214"/>
      <c r="I922" s="1214"/>
      <c r="J922" s="1214"/>
      <c r="K922" s="1214"/>
      <c r="L922" s="1214"/>
      <c r="M922" s="1214"/>
      <c r="N922" s="1214"/>
      <c r="O922" s="1214"/>
      <c r="P922" s="1214"/>
      <c r="Q922" s="1214"/>
      <c r="R922" s="1214"/>
      <c r="S922" s="1214"/>
      <c r="T922" s="1214"/>
      <c r="U922" s="1214"/>
      <c r="V922" s="1214"/>
      <c r="W922" s="1214"/>
      <c r="X922" s="1214"/>
      <c r="Y922" s="1214"/>
      <c r="Z922" s="1214"/>
    </row>
    <row r="923">
      <c r="A923" s="1214"/>
      <c r="B923" s="1214"/>
      <c r="C923" s="1214"/>
      <c r="D923" s="1267"/>
      <c r="E923" s="1214"/>
      <c r="F923" s="1214"/>
      <c r="G923" s="1214"/>
      <c r="H923" s="1214"/>
      <c r="I923" s="1214"/>
      <c r="J923" s="1214"/>
      <c r="K923" s="1214"/>
      <c r="L923" s="1214"/>
      <c r="M923" s="1214"/>
      <c r="N923" s="1214"/>
      <c r="O923" s="1214"/>
      <c r="P923" s="1214"/>
      <c r="Q923" s="1214"/>
      <c r="R923" s="1214"/>
      <c r="S923" s="1214"/>
      <c r="T923" s="1214"/>
      <c r="U923" s="1214"/>
      <c r="V923" s="1214"/>
      <c r="W923" s="1214"/>
      <c r="X923" s="1214"/>
      <c r="Y923" s="1214"/>
      <c r="Z923" s="1214"/>
    </row>
    <row r="924">
      <c r="A924" s="1214"/>
      <c r="B924" s="1214"/>
      <c r="C924" s="1214"/>
      <c r="D924" s="1267"/>
      <c r="E924" s="1214"/>
      <c r="F924" s="1214"/>
      <c r="G924" s="1214"/>
      <c r="H924" s="1214"/>
      <c r="I924" s="1214"/>
      <c r="J924" s="1214"/>
      <c r="K924" s="1214"/>
      <c r="L924" s="1214"/>
      <c r="M924" s="1214"/>
      <c r="N924" s="1214"/>
      <c r="O924" s="1214"/>
      <c r="P924" s="1214"/>
      <c r="Q924" s="1214"/>
      <c r="R924" s="1214"/>
      <c r="S924" s="1214"/>
      <c r="T924" s="1214"/>
      <c r="U924" s="1214"/>
      <c r="V924" s="1214"/>
      <c r="W924" s="1214"/>
      <c r="X924" s="1214"/>
      <c r="Y924" s="1214"/>
      <c r="Z924" s="1214"/>
    </row>
    <row r="925">
      <c r="A925" s="1214"/>
      <c r="B925" s="1214"/>
      <c r="C925" s="1214"/>
      <c r="D925" s="1267"/>
      <c r="E925" s="1214"/>
      <c r="F925" s="1214"/>
      <c r="G925" s="1214"/>
      <c r="H925" s="1214"/>
      <c r="I925" s="1214"/>
      <c r="J925" s="1214"/>
      <c r="K925" s="1214"/>
      <c r="L925" s="1214"/>
      <c r="M925" s="1214"/>
      <c r="N925" s="1214"/>
      <c r="O925" s="1214"/>
      <c r="P925" s="1214"/>
      <c r="Q925" s="1214"/>
      <c r="R925" s="1214"/>
      <c r="S925" s="1214"/>
      <c r="T925" s="1214"/>
      <c r="U925" s="1214"/>
      <c r="V925" s="1214"/>
      <c r="W925" s="1214"/>
      <c r="X925" s="1214"/>
      <c r="Y925" s="1214"/>
      <c r="Z925" s="1214"/>
    </row>
    <row r="926">
      <c r="A926" s="1214"/>
      <c r="B926" s="1214"/>
      <c r="C926" s="1214"/>
      <c r="D926" s="1267"/>
      <c r="E926" s="1214"/>
      <c r="F926" s="1214"/>
      <c r="G926" s="1214"/>
      <c r="H926" s="1214"/>
      <c r="I926" s="1214"/>
      <c r="J926" s="1214"/>
      <c r="K926" s="1214"/>
      <c r="L926" s="1214"/>
      <c r="M926" s="1214"/>
      <c r="N926" s="1214"/>
      <c r="O926" s="1214"/>
      <c r="P926" s="1214"/>
      <c r="Q926" s="1214"/>
      <c r="R926" s="1214"/>
      <c r="S926" s="1214"/>
      <c r="T926" s="1214"/>
      <c r="U926" s="1214"/>
      <c r="V926" s="1214"/>
      <c r="W926" s="1214"/>
      <c r="X926" s="1214"/>
      <c r="Y926" s="1214"/>
      <c r="Z926" s="1214"/>
    </row>
    <row r="927">
      <c r="A927" s="1214"/>
      <c r="B927" s="1214"/>
      <c r="C927" s="1214"/>
      <c r="D927" s="1267"/>
      <c r="E927" s="1214"/>
      <c r="F927" s="1214"/>
      <c r="G927" s="1214"/>
      <c r="H927" s="1214"/>
      <c r="I927" s="1214"/>
      <c r="J927" s="1214"/>
      <c r="K927" s="1214"/>
      <c r="L927" s="1214"/>
      <c r="M927" s="1214"/>
      <c r="N927" s="1214"/>
      <c r="O927" s="1214"/>
      <c r="P927" s="1214"/>
      <c r="Q927" s="1214"/>
      <c r="R927" s="1214"/>
      <c r="S927" s="1214"/>
      <c r="T927" s="1214"/>
      <c r="U927" s="1214"/>
      <c r="V927" s="1214"/>
      <c r="W927" s="1214"/>
      <c r="X927" s="1214"/>
      <c r="Y927" s="1214"/>
      <c r="Z927" s="1214"/>
    </row>
    <row r="928">
      <c r="A928" s="1214"/>
      <c r="B928" s="1214"/>
      <c r="C928" s="1214"/>
      <c r="D928" s="1267"/>
      <c r="E928" s="1214"/>
      <c r="F928" s="1214"/>
      <c r="G928" s="1214"/>
      <c r="H928" s="1214"/>
      <c r="I928" s="1214"/>
      <c r="J928" s="1214"/>
      <c r="K928" s="1214"/>
      <c r="L928" s="1214"/>
      <c r="M928" s="1214"/>
      <c r="N928" s="1214"/>
      <c r="O928" s="1214"/>
      <c r="P928" s="1214"/>
      <c r="Q928" s="1214"/>
      <c r="R928" s="1214"/>
      <c r="S928" s="1214"/>
      <c r="T928" s="1214"/>
      <c r="U928" s="1214"/>
      <c r="V928" s="1214"/>
      <c r="W928" s="1214"/>
      <c r="X928" s="1214"/>
      <c r="Y928" s="1214"/>
      <c r="Z928" s="1214"/>
    </row>
    <row r="929">
      <c r="A929" s="1214"/>
      <c r="B929" s="1214"/>
      <c r="C929" s="1214"/>
      <c r="D929" s="1267"/>
      <c r="E929" s="1214"/>
      <c r="F929" s="1214"/>
      <c r="G929" s="1214"/>
      <c r="H929" s="1214"/>
      <c r="I929" s="1214"/>
      <c r="J929" s="1214"/>
      <c r="K929" s="1214"/>
      <c r="L929" s="1214"/>
      <c r="M929" s="1214"/>
      <c r="N929" s="1214"/>
      <c r="O929" s="1214"/>
      <c r="P929" s="1214"/>
      <c r="Q929" s="1214"/>
      <c r="R929" s="1214"/>
      <c r="S929" s="1214"/>
      <c r="T929" s="1214"/>
      <c r="U929" s="1214"/>
      <c r="V929" s="1214"/>
      <c r="W929" s="1214"/>
      <c r="X929" s="1214"/>
      <c r="Y929" s="1214"/>
      <c r="Z929" s="1214"/>
    </row>
    <row r="930">
      <c r="A930" s="1214"/>
      <c r="B930" s="1214"/>
      <c r="C930" s="1214"/>
      <c r="D930" s="1267"/>
      <c r="E930" s="1214"/>
      <c r="F930" s="1214"/>
      <c r="G930" s="1214"/>
      <c r="H930" s="1214"/>
      <c r="I930" s="1214"/>
      <c r="J930" s="1214"/>
      <c r="K930" s="1214"/>
      <c r="L930" s="1214"/>
      <c r="M930" s="1214"/>
      <c r="N930" s="1214"/>
      <c r="O930" s="1214"/>
      <c r="P930" s="1214"/>
      <c r="Q930" s="1214"/>
      <c r="R930" s="1214"/>
      <c r="S930" s="1214"/>
      <c r="T930" s="1214"/>
      <c r="U930" s="1214"/>
      <c r="V930" s="1214"/>
      <c r="W930" s="1214"/>
      <c r="X930" s="1214"/>
      <c r="Y930" s="1214"/>
      <c r="Z930" s="1214"/>
    </row>
    <row r="931">
      <c r="A931" s="1214"/>
      <c r="B931" s="1214"/>
      <c r="C931" s="1214"/>
      <c r="D931" s="1267"/>
      <c r="E931" s="1214"/>
      <c r="F931" s="1214"/>
      <c r="G931" s="1214"/>
      <c r="H931" s="1214"/>
      <c r="I931" s="1214"/>
      <c r="J931" s="1214"/>
      <c r="K931" s="1214"/>
      <c r="L931" s="1214"/>
      <c r="M931" s="1214"/>
      <c r="N931" s="1214"/>
      <c r="O931" s="1214"/>
      <c r="P931" s="1214"/>
      <c r="Q931" s="1214"/>
      <c r="R931" s="1214"/>
      <c r="S931" s="1214"/>
      <c r="T931" s="1214"/>
      <c r="U931" s="1214"/>
      <c r="V931" s="1214"/>
      <c r="W931" s="1214"/>
      <c r="X931" s="1214"/>
      <c r="Y931" s="1214"/>
      <c r="Z931" s="1214"/>
    </row>
    <row r="932">
      <c r="A932" s="1214"/>
      <c r="B932" s="1214"/>
      <c r="C932" s="1214"/>
      <c r="D932" s="1267"/>
      <c r="E932" s="1214"/>
      <c r="F932" s="1214"/>
      <c r="G932" s="1214"/>
      <c r="H932" s="1214"/>
      <c r="I932" s="1214"/>
      <c r="J932" s="1214"/>
      <c r="K932" s="1214"/>
      <c r="L932" s="1214"/>
      <c r="M932" s="1214"/>
      <c r="N932" s="1214"/>
      <c r="O932" s="1214"/>
      <c r="P932" s="1214"/>
      <c r="Q932" s="1214"/>
      <c r="R932" s="1214"/>
      <c r="S932" s="1214"/>
      <c r="T932" s="1214"/>
      <c r="U932" s="1214"/>
      <c r="V932" s="1214"/>
      <c r="W932" s="1214"/>
      <c r="X932" s="1214"/>
      <c r="Y932" s="1214"/>
      <c r="Z932" s="1214"/>
    </row>
    <row r="933">
      <c r="A933" s="1214"/>
      <c r="B933" s="1214"/>
      <c r="C933" s="1214"/>
      <c r="D933" s="1267"/>
      <c r="E933" s="1214"/>
      <c r="F933" s="1214"/>
      <c r="G933" s="1214"/>
      <c r="H933" s="1214"/>
      <c r="I933" s="1214"/>
      <c r="J933" s="1214"/>
      <c r="K933" s="1214"/>
      <c r="L933" s="1214"/>
      <c r="M933" s="1214"/>
      <c r="N933" s="1214"/>
      <c r="O933" s="1214"/>
      <c r="P933" s="1214"/>
      <c r="Q933" s="1214"/>
      <c r="R933" s="1214"/>
      <c r="S933" s="1214"/>
      <c r="T933" s="1214"/>
      <c r="U933" s="1214"/>
      <c r="V933" s="1214"/>
      <c r="W933" s="1214"/>
      <c r="X933" s="1214"/>
      <c r="Y933" s="1214"/>
      <c r="Z933" s="1214"/>
    </row>
    <row r="934">
      <c r="A934" s="1214"/>
      <c r="B934" s="1214"/>
      <c r="C934" s="1214"/>
      <c r="D934" s="1267"/>
      <c r="E934" s="1214"/>
      <c r="F934" s="1214"/>
      <c r="G934" s="1214"/>
      <c r="H934" s="1214"/>
      <c r="I934" s="1214"/>
      <c r="J934" s="1214"/>
      <c r="K934" s="1214"/>
      <c r="L934" s="1214"/>
      <c r="M934" s="1214"/>
      <c r="N934" s="1214"/>
      <c r="O934" s="1214"/>
      <c r="P934" s="1214"/>
      <c r="Q934" s="1214"/>
      <c r="R934" s="1214"/>
      <c r="S934" s="1214"/>
      <c r="T934" s="1214"/>
      <c r="U934" s="1214"/>
      <c r="V934" s="1214"/>
      <c r="W934" s="1214"/>
      <c r="X934" s="1214"/>
      <c r="Y934" s="1214"/>
      <c r="Z934" s="1214"/>
    </row>
    <row r="935">
      <c r="A935" s="1214"/>
      <c r="B935" s="1214"/>
      <c r="C935" s="1214"/>
      <c r="D935" s="1267"/>
      <c r="E935" s="1214"/>
      <c r="F935" s="1214"/>
      <c r="G935" s="1214"/>
      <c r="H935" s="1214"/>
      <c r="I935" s="1214"/>
      <c r="J935" s="1214"/>
      <c r="K935" s="1214"/>
      <c r="L935" s="1214"/>
      <c r="M935" s="1214"/>
      <c r="N935" s="1214"/>
      <c r="O935" s="1214"/>
      <c r="P935" s="1214"/>
      <c r="Q935" s="1214"/>
      <c r="R935" s="1214"/>
      <c r="S935" s="1214"/>
      <c r="T935" s="1214"/>
      <c r="U935" s="1214"/>
      <c r="V935" s="1214"/>
      <c r="W935" s="1214"/>
      <c r="X935" s="1214"/>
      <c r="Y935" s="1214"/>
      <c r="Z935" s="1214"/>
    </row>
    <row r="936">
      <c r="A936" s="1214"/>
      <c r="B936" s="1214"/>
      <c r="C936" s="1214"/>
      <c r="D936" s="1267"/>
      <c r="E936" s="1214"/>
      <c r="F936" s="1214"/>
      <c r="G936" s="1214"/>
      <c r="H936" s="1214"/>
      <c r="I936" s="1214"/>
      <c r="J936" s="1214"/>
      <c r="K936" s="1214"/>
      <c r="L936" s="1214"/>
      <c r="M936" s="1214"/>
      <c r="N936" s="1214"/>
      <c r="O936" s="1214"/>
      <c r="P936" s="1214"/>
      <c r="Q936" s="1214"/>
      <c r="R936" s="1214"/>
      <c r="S936" s="1214"/>
      <c r="T936" s="1214"/>
      <c r="U936" s="1214"/>
      <c r="V936" s="1214"/>
      <c r="W936" s="1214"/>
      <c r="X936" s="1214"/>
      <c r="Y936" s="1214"/>
      <c r="Z936" s="1214"/>
    </row>
    <row r="937">
      <c r="A937" s="1214"/>
      <c r="B937" s="1214"/>
      <c r="C937" s="1214"/>
      <c r="D937" s="1267"/>
      <c r="E937" s="1214"/>
      <c r="F937" s="1214"/>
      <c r="G937" s="1214"/>
      <c r="H937" s="1214"/>
      <c r="I937" s="1214"/>
      <c r="J937" s="1214"/>
      <c r="K937" s="1214"/>
      <c r="L937" s="1214"/>
      <c r="M937" s="1214"/>
      <c r="N937" s="1214"/>
      <c r="O937" s="1214"/>
      <c r="P937" s="1214"/>
      <c r="Q937" s="1214"/>
      <c r="R937" s="1214"/>
      <c r="S937" s="1214"/>
      <c r="T937" s="1214"/>
      <c r="U937" s="1214"/>
      <c r="V937" s="1214"/>
      <c r="W937" s="1214"/>
      <c r="X937" s="1214"/>
      <c r="Y937" s="1214"/>
      <c r="Z937" s="1214"/>
    </row>
    <row r="938">
      <c r="A938" s="1214"/>
      <c r="B938" s="1214"/>
      <c r="C938" s="1214"/>
      <c r="D938" s="1267"/>
      <c r="E938" s="1214"/>
      <c r="F938" s="1214"/>
      <c r="G938" s="1214"/>
      <c r="H938" s="1214"/>
      <c r="I938" s="1214"/>
      <c r="J938" s="1214"/>
      <c r="K938" s="1214"/>
      <c r="L938" s="1214"/>
      <c r="M938" s="1214"/>
      <c r="N938" s="1214"/>
      <c r="O938" s="1214"/>
      <c r="P938" s="1214"/>
      <c r="Q938" s="1214"/>
      <c r="R938" s="1214"/>
      <c r="S938" s="1214"/>
      <c r="T938" s="1214"/>
      <c r="U938" s="1214"/>
      <c r="V938" s="1214"/>
      <c r="W938" s="1214"/>
      <c r="X938" s="1214"/>
      <c r="Y938" s="1214"/>
      <c r="Z938" s="1214"/>
    </row>
    <row r="939">
      <c r="A939" s="1214"/>
      <c r="B939" s="1214"/>
      <c r="C939" s="1214"/>
      <c r="D939" s="1267"/>
      <c r="E939" s="1214"/>
      <c r="F939" s="1214"/>
      <c r="G939" s="1214"/>
      <c r="H939" s="1214"/>
      <c r="I939" s="1214"/>
      <c r="J939" s="1214"/>
      <c r="K939" s="1214"/>
      <c r="L939" s="1214"/>
      <c r="M939" s="1214"/>
      <c r="N939" s="1214"/>
      <c r="O939" s="1214"/>
      <c r="P939" s="1214"/>
      <c r="Q939" s="1214"/>
      <c r="R939" s="1214"/>
      <c r="S939" s="1214"/>
      <c r="T939" s="1214"/>
      <c r="U939" s="1214"/>
      <c r="V939" s="1214"/>
      <c r="W939" s="1214"/>
      <c r="X939" s="1214"/>
      <c r="Y939" s="1214"/>
      <c r="Z939" s="1214"/>
    </row>
    <row r="940">
      <c r="A940" s="1214"/>
      <c r="B940" s="1214"/>
      <c r="C940" s="1214"/>
      <c r="D940" s="1267"/>
      <c r="E940" s="1214"/>
      <c r="F940" s="1214"/>
      <c r="G940" s="1214"/>
      <c r="H940" s="1214"/>
      <c r="I940" s="1214"/>
      <c r="J940" s="1214"/>
      <c r="K940" s="1214"/>
      <c r="L940" s="1214"/>
      <c r="M940" s="1214"/>
      <c r="N940" s="1214"/>
      <c r="O940" s="1214"/>
      <c r="P940" s="1214"/>
      <c r="Q940" s="1214"/>
      <c r="R940" s="1214"/>
      <c r="S940" s="1214"/>
      <c r="T940" s="1214"/>
      <c r="U940" s="1214"/>
      <c r="V940" s="1214"/>
      <c r="W940" s="1214"/>
      <c r="X940" s="1214"/>
      <c r="Y940" s="1214"/>
      <c r="Z940" s="1214"/>
    </row>
    <row r="941">
      <c r="A941" s="1214"/>
      <c r="B941" s="1214"/>
      <c r="C941" s="1214"/>
      <c r="D941" s="1267"/>
      <c r="E941" s="1214"/>
      <c r="F941" s="1214"/>
      <c r="G941" s="1214"/>
      <c r="H941" s="1214"/>
      <c r="I941" s="1214"/>
      <c r="J941" s="1214"/>
      <c r="K941" s="1214"/>
      <c r="L941" s="1214"/>
      <c r="M941" s="1214"/>
      <c r="N941" s="1214"/>
      <c r="O941" s="1214"/>
      <c r="P941" s="1214"/>
      <c r="Q941" s="1214"/>
      <c r="R941" s="1214"/>
      <c r="S941" s="1214"/>
      <c r="T941" s="1214"/>
      <c r="U941" s="1214"/>
      <c r="V941" s="1214"/>
      <c r="W941" s="1214"/>
      <c r="X941" s="1214"/>
      <c r="Y941" s="1214"/>
      <c r="Z941" s="1214"/>
    </row>
    <row r="942">
      <c r="A942" s="1214"/>
      <c r="B942" s="1214"/>
      <c r="C942" s="1214"/>
      <c r="D942" s="1267"/>
      <c r="E942" s="1214"/>
      <c r="F942" s="1214"/>
      <c r="G942" s="1214"/>
      <c r="H942" s="1214"/>
      <c r="I942" s="1214"/>
      <c r="J942" s="1214"/>
      <c r="K942" s="1214"/>
      <c r="L942" s="1214"/>
      <c r="M942" s="1214"/>
      <c r="N942" s="1214"/>
      <c r="O942" s="1214"/>
      <c r="P942" s="1214"/>
      <c r="Q942" s="1214"/>
      <c r="R942" s="1214"/>
      <c r="S942" s="1214"/>
      <c r="T942" s="1214"/>
      <c r="U942" s="1214"/>
      <c r="V942" s="1214"/>
      <c r="W942" s="1214"/>
      <c r="X942" s="1214"/>
      <c r="Y942" s="1214"/>
      <c r="Z942" s="1214"/>
    </row>
    <row r="943">
      <c r="A943" s="1214"/>
      <c r="B943" s="1214"/>
      <c r="C943" s="1214"/>
      <c r="D943" s="1267"/>
      <c r="E943" s="1214"/>
      <c r="F943" s="1214"/>
      <c r="G943" s="1214"/>
      <c r="H943" s="1214"/>
      <c r="I943" s="1214"/>
      <c r="J943" s="1214"/>
      <c r="K943" s="1214"/>
      <c r="L943" s="1214"/>
      <c r="M943" s="1214"/>
      <c r="N943" s="1214"/>
      <c r="O943" s="1214"/>
      <c r="P943" s="1214"/>
      <c r="Q943" s="1214"/>
      <c r="R943" s="1214"/>
      <c r="S943" s="1214"/>
      <c r="T943" s="1214"/>
      <c r="U943" s="1214"/>
      <c r="V943" s="1214"/>
      <c r="W943" s="1214"/>
      <c r="X943" s="1214"/>
      <c r="Y943" s="1214"/>
      <c r="Z943" s="1214"/>
    </row>
    <row r="944">
      <c r="A944" s="1214"/>
      <c r="B944" s="1214"/>
      <c r="C944" s="1214"/>
      <c r="D944" s="1267"/>
      <c r="E944" s="1214"/>
      <c r="F944" s="1214"/>
      <c r="G944" s="1214"/>
      <c r="H944" s="1214"/>
      <c r="I944" s="1214"/>
      <c r="J944" s="1214"/>
      <c r="K944" s="1214"/>
      <c r="L944" s="1214"/>
      <c r="M944" s="1214"/>
      <c r="N944" s="1214"/>
      <c r="O944" s="1214"/>
      <c r="P944" s="1214"/>
      <c r="Q944" s="1214"/>
      <c r="R944" s="1214"/>
      <c r="S944" s="1214"/>
      <c r="T944" s="1214"/>
      <c r="U944" s="1214"/>
      <c r="V944" s="1214"/>
      <c r="W944" s="1214"/>
      <c r="X944" s="1214"/>
      <c r="Y944" s="1214"/>
      <c r="Z944" s="1214"/>
    </row>
    <row r="945">
      <c r="A945" s="1214"/>
      <c r="B945" s="1214"/>
      <c r="C945" s="1214"/>
      <c r="D945" s="1267"/>
      <c r="E945" s="1214"/>
      <c r="F945" s="1214"/>
      <c r="G945" s="1214"/>
      <c r="H945" s="1214"/>
      <c r="I945" s="1214"/>
      <c r="J945" s="1214"/>
      <c r="K945" s="1214"/>
      <c r="L945" s="1214"/>
      <c r="M945" s="1214"/>
      <c r="N945" s="1214"/>
      <c r="O945" s="1214"/>
      <c r="P945" s="1214"/>
      <c r="Q945" s="1214"/>
      <c r="R945" s="1214"/>
      <c r="S945" s="1214"/>
      <c r="T945" s="1214"/>
      <c r="U945" s="1214"/>
      <c r="V945" s="1214"/>
      <c r="W945" s="1214"/>
      <c r="X945" s="1214"/>
      <c r="Y945" s="1214"/>
      <c r="Z945" s="1214"/>
    </row>
    <row r="946">
      <c r="A946" s="1214"/>
      <c r="B946" s="1214"/>
      <c r="C946" s="1214"/>
      <c r="D946" s="1267"/>
      <c r="E946" s="1214"/>
      <c r="F946" s="1214"/>
      <c r="G946" s="1214"/>
      <c r="H946" s="1214"/>
      <c r="I946" s="1214"/>
      <c r="J946" s="1214"/>
      <c r="K946" s="1214"/>
      <c r="L946" s="1214"/>
      <c r="M946" s="1214"/>
      <c r="N946" s="1214"/>
      <c r="O946" s="1214"/>
      <c r="P946" s="1214"/>
      <c r="Q946" s="1214"/>
      <c r="R946" s="1214"/>
      <c r="S946" s="1214"/>
      <c r="T946" s="1214"/>
      <c r="U946" s="1214"/>
      <c r="V946" s="1214"/>
      <c r="W946" s="1214"/>
      <c r="X946" s="1214"/>
      <c r="Y946" s="1214"/>
      <c r="Z946" s="1214"/>
    </row>
    <row r="947">
      <c r="A947" s="1214"/>
      <c r="B947" s="1214"/>
      <c r="C947" s="1214"/>
      <c r="D947" s="1267"/>
      <c r="E947" s="1214"/>
      <c r="F947" s="1214"/>
      <c r="G947" s="1214"/>
      <c r="H947" s="1214"/>
      <c r="I947" s="1214"/>
      <c r="J947" s="1214"/>
      <c r="K947" s="1214"/>
      <c r="L947" s="1214"/>
      <c r="M947" s="1214"/>
      <c r="N947" s="1214"/>
      <c r="O947" s="1214"/>
      <c r="P947" s="1214"/>
      <c r="Q947" s="1214"/>
      <c r="R947" s="1214"/>
      <c r="S947" s="1214"/>
      <c r="T947" s="1214"/>
      <c r="U947" s="1214"/>
      <c r="V947" s="1214"/>
      <c r="W947" s="1214"/>
      <c r="X947" s="1214"/>
      <c r="Y947" s="1214"/>
      <c r="Z947" s="1214"/>
    </row>
    <row r="948">
      <c r="A948" s="1214"/>
      <c r="B948" s="1214"/>
      <c r="C948" s="1214"/>
      <c r="D948" s="1267"/>
      <c r="E948" s="1214"/>
      <c r="F948" s="1214"/>
      <c r="G948" s="1214"/>
      <c r="H948" s="1214"/>
      <c r="I948" s="1214"/>
      <c r="J948" s="1214"/>
      <c r="K948" s="1214"/>
      <c r="L948" s="1214"/>
      <c r="M948" s="1214"/>
      <c r="N948" s="1214"/>
      <c r="O948" s="1214"/>
      <c r="P948" s="1214"/>
      <c r="Q948" s="1214"/>
      <c r="R948" s="1214"/>
      <c r="S948" s="1214"/>
      <c r="T948" s="1214"/>
      <c r="U948" s="1214"/>
      <c r="V948" s="1214"/>
      <c r="W948" s="1214"/>
      <c r="X948" s="1214"/>
      <c r="Y948" s="1214"/>
      <c r="Z948" s="1214"/>
    </row>
    <row r="949">
      <c r="A949" s="1214"/>
      <c r="B949" s="1214"/>
      <c r="C949" s="1214"/>
      <c r="D949" s="1267"/>
      <c r="E949" s="1214"/>
      <c r="F949" s="1214"/>
      <c r="G949" s="1214"/>
      <c r="H949" s="1214"/>
      <c r="I949" s="1214"/>
      <c r="J949" s="1214"/>
      <c r="K949" s="1214"/>
      <c r="L949" s="1214"/>
      <c r="M949" s="1214"/>
      <c r="N949" s="1214"/>
      <c r="O949" s="1214"/>
      <c r="P949" s="1214"/>
      <c r="Q949" s="1214"/>
      <c r="R949" s="1214"/>
      <c r="S949" s="1214"/>
      <c r="T949" s="1214"/>
      <c r="U949" s="1214"/>
      <c r="V949" s="1214"/>
      <c r="W949" s="1214"/>
      <c r="X949" s="1214"/>
      <c r="Y949" s="1214"/>
      <c r="Z949" s="1214"/>
    </row>
    <row r="950">
      <c r="A950" s="1214"/>
      <c r="B950" s="1214"/>
      <c r="C950" s="1214"/>
      <c r="D950" s="1267"/>
      <c r="E950" s="1214"/>
      <c r="F950" s="1214"/>
      <c r="G950" s="1214"/>
      <c r="H950" s="1214"/>
      <c r="I950" s="1214"/>
      <c r="J950" s="1214"/>
      <c r="K950" s="1214"/>
      <c r="L950" s="1214"/>
      <c r="M950" s="1214"/>
      <c r="N950" s="1214"/>
      <c r="O950" s="1214"/>
      <c r="P950" s="1214"/>
      <c r="Q950" s="1214"/>
      <c r="R950" s="1214"/>
      <c r="S950" s="1214"/>
      <c r="T950" s="1214"/>
      <c r="U950" s="1214"/>
      <c r="V950" s="1214"/>
      <c r="W950" s="1214"/>
      <c r="X950" s="1214"/>
      <c r="Y950" s="1214"/>
      <c r="Z950" s="1214"/>
    </row>
    <row r="951">
      <c r="A951" s="1214"/>
      <c r="B951" s="1214"/>
      <c r="C951" s="1214"/>
      <c r="D951" s="1267"/>
      <c r="E951" s="1214"/>
      <c r="F951" s="1214"/>
      <c r="G951" s="1214"/>
      <c r="H951" s="1214"/>
      <c r="I951" s="1214"/>
      <c r="J951" s="1214"/>
      <c r="K951" s="1214"/>
      <c r="L951" s="1214"/>
      <c r="M951" s="1214"/>
      <c r="N951" s="1214"/>
      <c r="O951" s="1214"/>
      <c r="P951" s="1214"/>
      <c r="Q951" s="1214"/>
      <c r="R951" s="1214"/>
      <c r="S951" s="1214"/>
      <c r="T951" s="1214"/>
      <c r="U951" s="1214"/>
      <c r="V951" s="1214"/>
      <c r="W951" s="1214"/>
      <c r="X951" s="1214"/>
      <c r="Y951" s="1214"/>
      <c r="Z951" s="1214"/>
    </row>
    <row r="952">
      <c r="A952" s="1214"/>
      <c r="B952" s="1214"/>
      <c r="C952" s="1214"/>
      <c r="D952" s="1267"/>
      <c r="E952" s="1214"/>
      <c r="F952" s="1214"/>
      <c r="G952" s="1214"/>
      <c r="H952" s="1214"/>
      <c r="I952" s="1214"/>
      <c r="J952" s="1214"/>
      <c r="K952" s="1214"/>
      <c r="L952" s="1214"/>
      <c r="M952" s="1214"/>
      <c r="N952" s="1214"/>
      <c r="O952" s="1214"/>
      <c r="P952" s="1214"/>
      <c r="Q952" s="1214"/>
      <c r="R952" s="1214"/>
      <c r="S952" s="1214"/>
      <c r="T952" s="1214"/>
      <c r="U952" s="1214"/>
      <c r="V952" s="1214"/>
      <c r="W952" s="1214"/>
      <c r="X952" s="1214"/>
      <c r="Y952" s="1214"/>
      <c r="Z952" s="1214"/>
    </row>
    <row r="953">
      <c r="A953" s="1214"/>
      <c r="B953" s="1214"/>
      <c r="C953" s="1214"/>
      <c r="D953" s="1267"/>
      <c r="E953" s="1214"/>
      <c r="F953" s="1214"/>
      <c r="G953" s="1214"/>
      <c r="H953" s="1214"/>
      <c r="I953" s="1214"/>
      <c r="J953" s="1214"/>
      <c r="K953" s="1214"/>
      <c r="L953" s="1214"/>
      <c r="M953" s="1214"/>
      <c r="N953" s="1214"/>
      <c r="O953" s="1214"/>
      <c r="P953" s="1214"/>
      <c r="Q953" s="1214"/>
      <c r="R953" s="1214"/>
      <c r="S953" s="1214"/>
      <c r="T953" s="1214"/>
      <c r="U953" s="1214"/>
      <c r="V953" s="1214"/>
      <c r="W953" s="1214"/>
      <c r="X953" s="1214"/>
      <c r="Y953" s="1214"/>
      <c r="Z953" s="1214"/>
    </row>
    <row r="954">
      <c r="A954" s="1214"/>
      <c r="B954" s="1214"/>
      <c r="C954" s="1214"/>
      <c r="D954" s="1267"/>
      <c r="E954" s="1214"/>
      <c r="F954" s="1214"/>
      <c r="G954" s="1214"/>
      <c r="H954" s="1214"/>
      <c r="I954" s="1214"/>
      <c r="J954" s="1214"/>
      <c r="K954" s="1214"/>
      <c r="L954" s="1214"/>
      <c r="M954" s="1214"/>
      <c r="N954" s="1214"/>
      <c r="O954" s="1214"/>
      <c r="P954" s="1214"/>
      <c r="Q954" s="1214"/>
      <c r="R954" s="1214"/>
      <c r="S954" s="1214"/>
      <c r="T954" s="1214"/>
      <c r="U954" s="1214"/>
      <c r="V954" s="1214"/>
      <c r="W954" s="1214"/>
      <c r="X954" s="1214"/>
      <c r="Y954" s="1214"/>
      <c r="Z954" s="1214"/>
    </row>
    <row r="955">
      <c r="A955" s="1214"/>
      <c r="B955" s="1214"/>
      <c r="C955" s="1214"/>
      <c r="D955" s="1267"/>
      <c r="E955" s="1214"/>
      <c r="F955" s="1214"/>
      <c r="G955" s="1214"/>
      <c r="H955" s="1214"/>
      <c r="I955" s="1214"/>
      <c r="J955" s="1214"/>
      <c r="K955" s="1214"/>
      <c r="L955" s="1214"/>
      <c r="M955" s="1214"/>
      <c r="N955" s="1214"/>
      <c r="O955" s="1214"/>
      <c r="P955" s="1214"/>
      <c r="Q955" s="1214"/>
      <c r="R955" s="1214"/>
      <c r="S955" s="1214"/>
      <c r="T955" s="1214"/>
      <c r="U955" s="1214"/>
      <c r="V955" s="1214"/>
      <c r="W955" s="1214"/>
      <c r="X955" s="1214"/>
      <c r="Y955" s="1214"/>
      <c r="Z955" s="1214"/>
    </row>
    <row r="956">
      <c r="A956" s="1214"/>
      <c r="B956" s="1214"/>
      <c r="C956" s="1214"/>
      <c r="D956" s="1267"/>
      <c r="E956" s="1214"/>
      <c r="F956" s="1214"/>
      <c r="G956" s="1214"/>
      <c r="H956" s="1214"/>
      <c r="I956" s="1214"/>
      <c r="J956" s="1214"/>
      <c r="K956" s="1214"/>
      <c r="L956" s="1214"/>
      <c r="M956" s="1214"/>
      <c r="N956" s="1214"/>
      <c r="O956" s="1214"/>
      <c r="P956" s="1214"/>
      <c r="Q956" s="1214"/>
      <c r="R956" s="1214"/>
      <c r="S956" s="1214"/>
      <c r="T956" s="1214"/>
      <c r="U956" s="1214"/>
      <c r="V956" s="1214"/>
      <c r="W956" s="1214"/>
      <c r="X956" s="1214"/>
      <c r="Y956" s="1214"/>
      <c r="Z956" s="1214"/>
    </row>
    <row r="957">
      <c r="A957" s="1214"/>
      <c r="B957" s="1214"/>
      <c r="C957" s="1214"/>
      <c r="D957" s="1267"/>
      <c r="E957" s="1214"/>
      <c r="F957" s="1214"/>
      <c r="G957" s="1214"/>
      <c r="H957" s="1214"/>
      <c r="I957" s="1214"/>
      <c r="J957" s="1214"/>
      <c r="K957" s="1214"/>
      <c r="L957" s="1214"/>
      <c r="M957" s="1214"/>
      <c r="N957" s="1214"/>
      <c r="O957" s="1214"/>
      <c r="P957" s="1214"/>
      <c r="Q957" s="1214"/>
      <c r="R957" s="1214"/>
      <c r="S957" s="1214"/>
      <c r="T957" s="1214"/>
      <c r="U957" s="1214"/>
      <c r="V957" s="1214"/>
      <c r="W957" s="1214"/>
      <c r="X957" s="1214"/>
      <c r="Y957" s="1214"/>
      <c r="Z957" s="1214"/>
    </row>
    <row r="958">
      <c r="A958" s="1214"/>
      <c r="B958" s="1214"/>
      <c r="C958" s="1214"/>
      <c r="D958" s="1267"/>
      <c r="E958" s="1214"/>
      <c r="F958" s="1214"/>
      <c r="G958" s="1214"/>
      <c r="H958" s="1214"/>
      <c r="I958" s="1214"/>
      <c r="J958" s="1214"/>
      <c r="K958" s="1214"/>
      <c r="L958" s="1214"/>
      <c r="M958" s="1214"/>
      <c r="N958" s="1214"/>
      <c r="O958" s="1214"/>
      <c r="P958" s="1214"/>
      <c r="Q958" s="1214"/>
      <c r="R958" s="1214"/>
      <c r="S958" s="1214"/>
      <c r="T958" s="1214"/>
      <c r="U958" s="1214"/>
      <c r="V958" s="1214"/>
      <c r="W958" s="1214"/>
      <c r="X958" s="1214"/>
      <c r="Y958" s="1214"/>
      <c r="Z958" s="1214"/>
    </row>
    <row r="959">
      <c r="A959" s="1214"/>
      <c r="B959" s="1214"/>
      <c r="C959" s="1214"/>
      <c r="D959" s="1267"/>
      <c r="E959" s="1214"/>
      <c r="F959" s="1214"/>
      <c r="G959" s="1214"/>
      <c r="H959" s="1214"/>
      <c r="I959" s="1214"/>
      <c r="J959" s="1214"/>
      <c r="K959" s="1214"/>
      <c r="L959" s="1214"/>
      <c r="M959" s="1214"/>
      <c r="N959" s="1214"/>
      <c r="O959" s="1214"/>
      <c r="P959" s="1214"/>
      <c r="Q959" s="1214"/>
      <c r="R959" s="1214"/>
      <c r="S959" s="1214"/>
      <c r="T959" s="1214"/>
      <c r="U959" s="1214"/>
      <c r="V959" s="1214"/>
      <c r="W959" s="1214"/>
      <c r="X959" s="1214"/>
      <c r="Y959" s="1214"/>
      <c r="Z959" s="1214"/>
    </row>
    <row r="960">
      <c r="A960" s="1214"/>
      <c r="B960" s="1214"/>
      <c r="C960" s="1214"/>
      <c r="D960" s="1267"/>
      <c r="E960" s="1214"/>
      <c r="F960" s="1214"/>
      <c r="G960" s="1214"/>
      <c r="H960" s="1214"/>
      <c r="I960" s="1214"/>
      <c r="J960" s="1214"/>
      <c r="K960" s="1214"/>
      <c r="L960" s="1214"/>
      <c r="M960" s="1214"/>
      <c r="N960" s="1214"/>
      <c r="O960" s="1214"/>
      <c r="P960" s="1214"/>
      <c r="Q960" s="1214"/>
      <c r="R960" s="1214"/>
      <c r="S960" s="1214"/>
      <c r="T960" s="1214"/>
      <c r="U960" s="1214"/>
      <c r="V960" s="1214"/>
      <c r="W960" s="1214"/>
      <c r="X960" s="1214"/>
      <c r="Y960" s="1214"/>
      <c r="Z960" s="1214"/>
    </row>
    <row r="961">
      <c r="A961" s="1214"/>
      <c r="B961" s="1214"/>
      <c r="C961" s="1214"/>
      <c r="D961" s="1267"/>
      <c r="E961" s="1214"/>
      <c r="F961" s="1214"/>
      <c r="G961" s="1214"/>
      <c r="H961" s="1214"/>
      <c r="I961" s="1214"/>
      <c r="J961" s="1214"/>
      <c r="K961" s="1214"/>
      <c r="L961" s="1214"/>
      <c r="M961" s="1214"/>
      <c r="N961" s="1214"/>
      <c r="O961" s="1214"/>
      <c r="P961" s="1214"/>
      <c r="Q961" s="1214"/>
      <c r="R961" s="1214"/>
      <c r="S961" s="1214"/>
      <c r="T961" s="1214"/>
      <c r="U961" s="1214"/>
      <c r="V961" s="1214"/>
      <c r="W961" s="1214"/>
      <c r="X961" s="1214"/>
      <c r="Y961" s="1214"/>
      <c r="Z961" s="1214"/>
    </row>
    <row r="962">
      <c r="A962" s="1214"/>
      <c r="B962" s="1214"/>
      <c r="C962" s="1214"/>
      <c r="D962" s="1267"/>
      <c r="E962" s="1214"/>
      <c r="F962" s="1214"/>
      <c r="G962" s="1214"/>
      <c r="H962" s="1214"/>
      <c r="I962" s="1214"/>
      <c r="J962" s="1214"/>
      <c r="K962" s="1214"/>
      <c r="L962" s="1214"/>
      <c r="M962" s="1214"/>
      <c r="N962" s="1214"/>
      <c r="O962" s="1214"/>
      <c r="P962" s="1214"/>
      <c r="Q962" s="1214"/>
      <c r="R962" s="1214"/>
      <c r="S962" s="1214"/>
      <c r="T962" s="1214"/>
      <c r="U962" s="1214"/>
      <c r="V962" s="1214"/>
      <c r="W962" s="1214"/>
      <c r="X962" s="1214"/>
      <c r="Y962" s="1214"/>
      <c r="Z962" s="1214"/>
    </row>
    <row r="963">
      <c r="A963" s="1214"/>
      <c r="B963" s="1214"/>
      <c r="C963" s="1214"/>
      <c r="D963" s="1267"/>
      <c r="E963" s="1214"/>
      <c r="F963" s="1214"/>
      <c r="G963" s="1214"/>
      <c r="H963" s="1214"/>
      <c r="I963" s="1214"/>
      <c r="J963" s="1214"/>
      <c r="K963" s="1214"/>
      <c r="L963" s="1214"/>
      <c r="M963" s="1214"/>
      <c r="N963" s="1214"/>
      <c r="O963" s="1214"/>
      <c r="P963" s="1214"/>
      <c r="Q963" s="1214"/>
      <c r="R963" s="1214"/>
      <c r="S963" s="1214"/>
      <c r="T963" s="1214"/>
      <c r="U963" s="1214"/>
      <c r="V963" s="1214"/>
      <c r="W963" s="1214"/>
      <c r="X963" s="1214"/>
      <c r="Y963" s="1214"/>
      <c r="Z963" s="1214"/>
    </row>
    <row r="964">
      <c r="A964" s="1214"/>
      <c r="B964" s="1214"/>
      <c r="C964" s="1214"/>
      <c r="D964" s="1267"/>
      <c r="E964" s="1214"/>
      <c r="F964" s="1214"/>
      <c r="G964" s="1214"/>
      <c r="H964" s="1214"/>
      <c r="I964" s="1214"/>
      <c r="J964" s="1214"/>
      <c r="K964" s="1214"/>
      <c r="L964" s="1214"/>
      <c r="M964" s="1214"/>
      <c r="N964" s="1214"/>
      <c r="O964" s="1214"/>
      <c r="P964" s="1214"/>
      <c r="Q964" s="1214"/>
      <c r="R964" s="1214"/>
      <c r="S964" s="1214"/>
      <c r="T964" s="1214"/>
      <c r="U964" s="1214"/>
      <c r="V964" s="1214"/>
      <c r="W964" s="1214"/>
      <c r="X964" s="1214"/>
      <c r="Y964" s="1214"/>
      <c r="Z964" s="1214"/>
    </row>
    <row r="965">
      <c r="A965" s="1214"/>
      <c r="B965" s="1214"/>
      <c r="C965" s="1214"/>
      <c r="D965" s="1267"/>
      <c r="E965" s="1214"/>
      <c r="F965" s="1214"/>
      <c r="G965" s="1214"/>
      <c r="H965" s="1214"/>
      <c r="I965" s="1214"/>
      <c r="J965" s="1214"/>
      <c r="K965" s="1214"/>
      <c r="L965" s="1214"/>
      <c r="M965" s="1214"/>
      <c r="N965" s="1214"/>
      <c r="O965" s="1214"/>
      <c r="P965" s="1214"/>
      <c r="Q965" s="1214"/>
      <c r="R965" s="1214"/>
      <c r="S965" s="1214"/>
      <c r="T965" s="1214"/>
      <c r="U965" s="1214"/>
      <c r="V965" s="1214"/>
      <c r="W965" s="1214"/>
      <c r="X965" s="1214"/>
      <c r="Y965" s="1214"/>
      <c r="Z965" s="1214"/>
    </row>
    <row r="966">
      <c r="A966" s="1214"/>
      <c r="B966" s="1214"/>
      <c r="C966" s="1214"/>
      <c r="D966" s="1267"/>
      <c r="E966" s="1214"/>
      <c r="F966" s="1214"/>
      <c r="G966" s="1214"/>
      <c r="H966" s="1214"/>
      <c r="I966" s="1214"/>
      <c r="J966" s="1214"/>
      <c r="K966" s="1214"/>
      <c r="L966" s="1214"/>
      <c r="M966" s="1214"/>
      <c r="N966" s="1214"/>
      <c r="O966" s="1214"/>
      <c r="P966" s="1214"/>
      <c r="Q966" s="1214"/>
      <c r="R966" s="1214"/>
      <c r="S966" s="1214"/>
      <c r="T966" s="1214"/>
      <c r="U966" s="1214"/>
      <c r="V966" s="1214"/>
      <c r="W966" s="1214"/>
      <c r="X966" s="1214"/>
      <c r="Y966" s="1214"/>
      <c r="Z966" s="1214"/>
    </row>
    <row r="967">
      <c r="A967" s="1214"/>
      <c r="B967" s="1214"/>
      <c r="C967" s="1214"/>
      <c r="D967" s="1267"/>
      <c r="E967" s="1214"/>
      <c r="F967" s="1214"/>
      <c r="G967" s="1214"/>
      <c r="H967" s="1214"/>
      <c r="I967" s="1214"/>
      <c r="J967" s="1214"/>
      <c r="K967" s="1214"/>
      <c r="L967" s="1214"/>
      <c r="M967" s="1214"/>
      <c r="N967" s="1214"/>
      <c r="O967" s="1214"/>
      <c r="P967" s="1214"/>
      <c r="Q967" s="1214"/>
      <c r="R967" s="1214"/>
      <c r="S967" s="1214"/>
      <c r="T967" s="1214"/>
      <c r="U967" s="1214"/>
      <c r="V967" s="1214"/>
      <c r="W967" s="1214"/>
      <c r="X967" s="1214"/>
      <c r="Y967" s="1214"/>
      <c r="Z967" s="1214"/>
    </row>
    <row r="968">
      <c r="A968" s="1214"/>
      <c r="B968" s="1214"/>
      <c r="C968" s="1214"/>
      <c r="D968" s="1267"/>
      <c r="E968" s="1214"/>
      <c r="F968" s="1214"/>
      <c r="G968" s="1214"/>
      <c r="H968" s="1214"/>
      <c r="I968" s="1214"/>
      <c r="J968" s="1214"/>
      <c r="K968" s="1214"/>
      <c r="L968" s="1214"/>
      <c r="M968" s="1214"/>
      <c r="N968" s="1214"/>
      <c r="O968" s="1214"/>
      <c r="P968" s="1214"/>
      <c r="Q968" s="1214"/>
      <c r="R968" s="1214"/>
      <c r="S968" s="1214"/>
      <c r="T968" s="1214"/>
      <c r="U968" s="1214"/>
      <c r="V968" s="1214"/>
      <c r="W968" s="1214"/>
      <c r="X968" s="1214"/>
      <c r="Y968" s="1214"/>
      <c r="Z968" s="1214"/>
    </row>
    <row r="969">
      <c r="A969" s="1214"/>
      <c r="B969" s="1214"/>
      <c r="C969" s="1214"/>
      <c r="D969" s="1267"/>
      <c r="E969" s="1214"/>
      <c r="F969" s="1214"/>
      <c r="G969" s="1214"/>
      <c r="H969" s="1214"/>
      <c r="I969" s="1214"/>
      <c r="J969" s="1214"/>
      <c r="K969" s="1214"/>
      <c r="L969" s="1214"/>
      <c r="M969" s="1214"/>
      <c r="N969" s="1214"/>
      <c r="O969" s="1214"/>
      <c r="P969" s="1214"/>
      <c r="Q969" s="1214"/>
      <c r="R969" s="1214"/>
      <c r="S969" s="1214"/>
      <c r="T969" s="1214"/>
      <c r="U969" s="1214"/>
      <c r="V969" s="1214"/>
      <c r="W969" s="1214"/>
      <c r="X969" s="1214"/>
      <c r="Y969" s="1214"/>
      <c r="Z969" s="1214"/>
    </row>
    <row r="970">
      <c r="A970" s="1214"/>
      <c r="B970" s="1214"/>
      <c r="C970" s="1214"/>
      <c r="D970" s="1267"/>
      <c r="E970" s="1214"/>
      <c r="F970" s="1214"/>
      <c r="G970" s="1214"/>
      <c r="H970" s="1214"/>
      <c r="I970" s="1214"/>
      <c r="J970" s="1214"/>
      <c r="K970" s="1214"/>
      <c r="L970" s="1214"/>
      <c r="M970" s="1214"/>
      <c r="N970" s="1214"/>
      <c r="O970" s="1214"/>
      <c r="P970" s="1214"/>
      <c r="Q970" s="1214"/>
      <c r="R970" s="1214"/>
      <c r="S970" s="1214"/>
      <c r="T970" s="1214"/>
      <c r="U970" s="1214"/>
      <c r="V970" s="1214"/>
      <c r="W970" s="1214"/>
      <c r="X970" s="1214"/>
      <c r="Y970" s="1214"/>
      <c r="Z970" s="1214"/>
    </row>
    <row r="971">
      <c r="A971" s="1214"/>
      <c r="B971" s="1214"/>
      <c r="C971" s="1214"/>
      <c r="D971" s="1267"/>
      <c r="E971" s="1214"/>
      <c r="F971" s="1214"/>
      <c r="G971" s="1214"/>
      <c r="H971" s="1214"/>
      <c r="I971" s="1214"/>
      <c r="J971" s="1214"/>
      <c r="K971" s="1214"/>
      <c r="L971" s="1214"/>
      <c r="M971" s="1214"/>
      <c r="N971" s="1214"/>
      <c r="O971" s="1214"/>
      <c r="P971" s="1214"/>
      <c r="Q971" s="1214"/>
      <c r="R971" s="1214"/>
      <c r="S971" s="1214"/>
      <c r="T971" s="1214"/>
      <c r="U971" s="1214"/>
      <c r="V971" s="1214"/>
      <c r="W971" s="1214"/>
      <c r="X971" s="1214"/>
      <c r="Y971" s="1214"/>
      <c r="Z971" s="1214"/>
    </row>
    <row r="972">
      <c r="A972" s="1214"/>
      <c r="B972" s="1214"/>
      <c r="C972" s="1214"/>
      <c r="D972" s="1267"/>
      <c r="E972" s="1214"/>
      <c r="F972" s="1214"/>
      <c r="G972" s="1214"/>
      <c r="H972" s="1214"/>
      <c r="I972" s="1214"/>
      <c r="J972" s="1214"/>
      <c r="K972" s="1214"/>
      <c r="L972" s="1214"/>
      <c r="M972" s="1214"/>
      <c r="N972" s="1214"/>
      <c r="O972" s="1214"/>
      <c r="P972" s="1214"/>
      <c r="Q972" s="1214"/>
      <c r="R972" s="1214"/>
      <c r="S972" s="1214"/>
      <c r="T972" s="1214"/>
      <c r="U972" s="1214"/>
      <c r="V972" s="1214"/>
      <c r="W972" s="1214"/>
      <c r="X972" s="1214"/>
      <c r="Y972" s="1214"/>
      <c r="Z972" s="1214"/>
    </row>
    <row r="973">
      <c r="A973" s="1214"/>
      <c r="B973" s="1214"/>
      <c r="C973" s="1214"/>
      <c r="D973" s="1267"/>
      <c r="E973" s="1214"/>
      <c r="F973" s="1214"/>
      <c r="G973" s="1214"/>
      <c r="H973" s="1214"/>
      <c r="I973" s="1214"/>
      <c r="J973" s="1214"/>
      <c r="K973" s="1214"/>
      <c r="L973" s="1214"/>
      <c r="M973" s="1214"/>
      <c r="N973" s="1214"/>
      <c r="O973" s="1214"/>
      <c r="P973" s="1214"/>
      <c r="Q973" s="1214"/>
      <c r="R973" s="1214"/>
      <c r="S973" s="1214"/>
      <c r="T973" s="1214"/>
      <c r="U973" s="1214"/>
      <c r="V973" s="1214"/>
      <c r="W973" s="1214"/>
      <c r="X973" s="1214"/>
      <c r="Y973" s="1214"/>
      <c r="Z973" s="1214"/>
    </row>
    <row r="974">
      <c r="A974" s="1214"/>
      <c r="B974" s="1214"/>
      <c r="C974" s="1214"/>
      <c r="D974" s="1267"/>
      <c r="E974" s="1214"/>
      <c r="F974" s="1214"/>
      <c r="G974" s="1214"/>
      <c r="H974" s="1214"/>
      <c r="I974" s="1214"/>
      <c r="J974" s="1214"/>
      <c r="K974" s="1214"/>
      <c r="L974" s="1214"/>
      <c r="M974" s="1214"/>
      <c r="N974" s="1214"/>
      <c r="O974" s="1214"/>
      <c r="P974" s="1214"/>
      <c r="Q974" s="1214"/>
      <c r="R974" s="1214"/>
      <c r="S974" s="1214"/>
      <c r="T974" s="1214"/>
      <c r="U974" s="1214"/>
      <c r="V974" s="1214"/>
      <c r="W974" s="1214"/>
      <c r="X974" s="1214"/>
      <c r="Y974" s="1214"/>
      <c r="Z974" s="1214"/>
    </row>
    <row r="975">
      <c r="A975" s="1214"/>
      <c r="B975" s="1214"/>
      <c r="C975" s="1214"/>
      <c r="D975" s="1267"/>
      <c r="E975" s="1214"/>
      <c r="F975" s="1214"/>
      <c r="G975" s="1214"/>
      <c r="H975" s="1214"/>
      <c r="I975" s="1214"/>
      <c r="J975" s="1214"/>
      <c r="K975" s="1214"/>
      <c r="L975" s="1214"/>
      <c r="M975" s="1214"/>
      <c r="N975" s="1214"/>
      <c r="O975" s="1214"/>
      <c r="P975" s="1214"/>
      <c r="Q975" s="1214"/>
      <c r="R975" s="1214"/>
      <c r="S975" s="1214"/>
      <c r="T975" s="1214"/>
      <c r="U975" s="1214"/>
      <c r="V975" s="1214"/>
      <c r="W975" s="1214"/>
      <c r="X975" s="1214"/>
      <c r="Y975" s="1214"/>
      <c r="Z975" s="1214"/>
    </row>
    <row r="976">
      <c r="A976" s="1214"/>
      <c r="B976" s="1214"/>
      <c r="C976" s="1214"/>
      <c r="D976" s="1267"/>
      <c r="E976" s="1214"/>
      <c r="F976" s="1214"/>
      <c r="G976" s="1214"/>
      <c r="H976" s="1214"/>
      <c r="I976" s="1214"/>
      <c r="J976" s="1214"/>
      <c r="K976" s="1214"/>
      <c r="L976" s="1214"/>
      <c r="M976" s="1214"/>
      <c r="N976" s="1214"/>
      <c r="O976" s="1214"/>
      <c r="P976" s="1214"/>
      <c r="Q976" s="1214"/>
      <c r="R976" s="1214"/>
      <c r="S976" s="1214"/>
      <c r="T976" s="1214"/>
      <c r="U976" s="1214"/>
      <c r="V976" s="1214"/>
      <c r="W976" s="1214"/>
      <c r="X976" s="1214"/>
      <c r="Y976" s="1214"/>
      <c r="Z976" s="1214"/>
    </row>
    <row r="977">
      <c r="A977" s="1214"/>
      <c r="B977" s="1214"/>
      <c r="C977" s="1214"/>
      <c r="D977" s="1267"/>
      <c r="E977" s="1214"/>
      <c r="F977" s="1214"/>
      <c r="G977" s="1214"/>
      <c r="H977" s="1214"/>
      <c r="I977" s="1214"/>
      <c r="J977" s="1214"/>
      <c r="K977" s="1214"/>
      <c r="L977" s="1214"/>
      <c r="M977" s="1214"/>
      <c r="N977" s="1214"/>
      <c r="O977" s="1214"/>
      <c r="P977" s="1214"/>
      <c r="Q977" s="1214"/>
      <c r="R977" s="1214"/>
      <c r="S977" s="1214"/>
      <c r="T977" s="1214"/>
      <c r="U977" s="1214"/>
      <c r="V977" s="1214"/>
      <c r="W977" s="1214"/>
      <c r="X977" s="1214"/>
      <c r="Y977" s="1214"/>
      <c r="Z977" s="1214"/>
    </row>
    <row r="978">
      <c r="A978" s="1214"/>
      <c r="B978" s="1214"/>
      <c r="C978" s="1214"/>
      <c r="D978" s="1267"/>
      <c r="E978" s="1214"/>
      <c r="F978" s="1214"/>
      <c r="G978" s="1214"/>
      <c r="H978" s="1214"/>
      <c r="I978" s="1214"/>
      <c r="J978" s="1214"/>
      <c r="K978" s="1214"/>
      <c r="L978" s="1214"/>
      <c r="M978" s="1214"/>
      <c r="N978" s="1214"/>
      <c r="O978" s="1214"/>
      <c r="P978" s="1214"/>
      <c r="Q978" s="1214"/>
      <c r="R978" s="1214"/>
      <c r="S978" s="1214"/>
      <c r="T978" s="1214"/>
      <c r="U978" s="1214"/>
      <c r="V978" s="1214"/>
      <c r="W978" s="1214"/>
      <c r="X978" s="1214"/>
      <c r="Y978" s="1214"/>
      <c r="Z978" s="1214"/>
    </row>
    <row r="979">
      <c r="A979" s="1214"/>
      <c r="B979" s="1214"/>
      <c r="C979" s="1214"/>
      <c r="D979" s="1267"/>
      <c r="E979" s="1214"/>
      <c r="F979" s="1214"/>
      <c r="G979" s="1214"/>
      <c r="H979" s="1214"/>
      <c r="I979" s="1214"/>
      <c r="J979" s="1214"/>
      <c r="K979" s="1214"/>
      <c r="L979" s="1214"/>
      <c r="M979" s="1214"/>
      <c r="N979" s="1214"/>
      <c r="O979" s="1214"/>
      <c r="P979" s="1214"/>
      <c r="Q979" s="1214"/>
      <c r="R979" s="1214"/>
      <c r="S979" s="1214"/>
      <c r="T979" s="1214"/>
      <c r="U979" s="1214"/>
      <c r="V979" s="1214"/>
      <c r="W979" s="1214"/>
      <c r="X979" s="1214"/>
      <c r="Y979" s="1214"/>
      <c r="Z979" s="1214"/>
    </row>
    <row r="980">
      <c r="A980" s="1214"/>
      <c r="B980" s="1214"/>
      <c r="C980" s="1214"/>
      <c r="D980" s="1267"/>
      <c r="E980" s="1214"/>
      <c r="F980" s="1214"/>
      <c r="G980" s="1214"/>
      <c r="H980" s="1214"/>
      <c r="I980" s="1214"/>
      <c r="J980" s="1214"/>
      <c r="K980" s="1214"/>
      <c r="L980" s="1214"/>
      <c r="M980" s="1214"/>
      <c r="N980" s="1214"/>
      <c r="O980" s="1214"/>
      <c r="P980" s="1214"/>
      <c r="Q980" s="1214"/>
      <c r="R980" s="1214"/>
      <c r="S980" s="1214"/>
      <c r="T980" s="1214"/>
      <c r="U980" s="1214"/>
      <c r="V980" s="1214"/>
      <c r="W980" s="1214"/>
      <c r="X980" s="1214"/>
      <c r="Y980" s="1214"/>
      <c r="Z980" s="1214"/>
    </row>
    <row r="981">
      <c r="A981" s="1214"/>
      <c r="B981" s="1214"/>
      <c r="C981" s="1214"/>
      <c r="D981" s="1267"/>
      <c r="E981" s="1214"/>
      <c r="F981" s="1214"/>
      <c r="G981" s="1214"/>
      <c r="H981" s="1214"/>
      <c r="I981" s="1214"/>
      <c r="J981" s="1214"/>
      <c r="K981" s="1214"/>
      <c r="L981" s="1214"/>
      <c r="M981" s="1214"/>
      <c r="N981" s="1214"/>
      <c r="O981" s="1214"/>
      <c r="P981" s="1214"/>
      <c r="Q981" s="1214"/>
      <c r="R981" s="1214"/>
      <c r="S981" s="1214"/>
      <c r="T981" s="1214"/>
      <c r="U981" s="1214"/>
      <c r="V981" s="1214"/>
      <c r="W981" s="1214"/>
      <c r="X981" s="1214"/>
      <c r="Y981" s="1214"/>
      <c r="Z981" s="1214"/>
    </row>
    <row r="982">
      <c r="A982" s="1214"/>
      <c r="B982" s="1214"/>
      <c r="C982" s="1214"/>
      <c r="D982" s="1267"/>
      <c r="E982" s="1214"/>
      <c r="F982" s="1214"/>
      <c r="G982" s="1214"/>
      <c r="H982" s="1214"/>
      <c r="I982" s="1214"/>
      <c r="J982" s="1214"/>
      <c r="K982" s="1214"/>
      <c r="L982" s="1214"/>
      <c r="M982" s="1214"/>
      <c r="N982" s="1214"/>
      <c r="O982" s="1214"/>
      <c r="P982" s="1214"/>
      <c r="Q982" s="1214"/>
      <c r="R982" s="1214"/>
      <c r="S982" s="1214"/>
      <c r="T982" s="1214"/>
      <c r="U982" s="1214"/>
      <c r="V982" s="1214"/>
      <c r="W982" s="1214"/>
      <c r="X982" s="1214"/>
      <c r="Y982" s="1214"/>
      <c r="Z982" s="1214"/>
    </row>
    <row r="983">
      <c r="A983" s="1214"/>
      <c r="B983" s="1214"/>
      <c r="C983" s="1214"/>
      <c r="D983" s="1267"/>
      <c r="E983" s="1214"/>
      <c r="F983" s="1214"/>
      <c r="G983" s="1214"/>
      <c r="H983" s="1214"/>
      <c r="I983" s="1214"/>
      <c r="J983" s="1214"/>
      <c r="K983" s="1214"/>
      <c r="L983" s="1214"/>
      <c r="M983" s="1214"/>
      <c r="N983" s="1214"/>
      <c r="O983" s="1214"/>
      <c r="P983" s="1214"/>
      <c r="Q983" s="1214"/>
      <c r="R983" s="1214"/>
      <c r="S983" s="1214"/>
      <c r="T983" s="1214"/>
      <c r="U983" s="1214"/>
      <c r="V983" s="1214"/>
      <c r="W983" s="1214"/>
      <c r="X983" s="1214"/>
      <c r="Y983" s="1214"/>
      <c r="Z983" s="1214"/>
    </row>
    <row r="984">
      <c r="A984" s="1214"/>
      <c r="B984" s="1214"/>
      <c r="C984" s="1214"/>
      <c r="D984" s="1267"/>
      <c r="E984" s="1214"/>
      <c r="F984" s="1214"/>
      <c r="G984" s="1214"/>
      <c r="H984" s="1214"/>
      <c r="I984" s="1214"/>
      <c r="J984" s="1214"/>
      <c r="K984" s="1214"/>
      <c r="L984" s="1214"/>
      <c r="M984" s="1214"/>
      <c r="N984" s="1214"/>
      <c r="O984" s="1214"/>
      <c r="P984" s="1214"/>
      <c r="Q984" s="1214"/>
      <c r="R984" s="1214"/>
      <c r="S984" s="1214"/>
      <c r="T984" s="1214"/>
      <c r="U984" s="1214"/>
      <c r="V984" s="1214"/>
      <c r="W984" s="1214"/>
      <c r="X984" s="1214"/>
      <c r="Y984" s="1214"/>
      <c r="Z984" s="1214"/>
    </row>
    <row r="985">
      <c r="A985" s="1214"/>
      <c r="B985" s="1214"/>
      <c r="C985" s="1214"/>
      <c r="D985" s="1267"/>
      <c r="E985" s="1214"/>
      <c r="F985" s="1214"/>
      <c r="G985" s="1214"/>
      <c r="H985" s="1214"/>
      <c r="I985" s="1214"/>
      <c r="J985" s="1214"/>
      <c r="K985" s="1214"/>
      <c r="L985" s="1214"/>
      <c r="M985" s="1214"/>
      <c r="N985" s="1214"/>
      <c r="O985" s="1214"/>
      <c r="P985" s="1214"/>
      <c r="Q985" s="1214"/>
      <c r="R985" s="1214"/>
      <c r="S985" s="1214"/>
      <c r="T985" s="1214"/>
      <c r="U985" s="1214"/>
      <c r="V985" s="1214"/>
      <c r="W985" s="1214"/>
      <c r="X985" s="1214"/>
      <c r="Y985" s="1214"/>
      <c r="Z985" s="1214"/>
    </row>
    <row r="986">
      <c r="A986" s="1214"/>
      <c r="B986" s="1214"/>
      <c r="C986" s="1214"/>
      <c r="D986" s="1267"/>
      <c r="E986" s="1214"/>
      <c r="F986" s="1214"/>
      <c r="G986" s="1214"/>
      <c r="H986" s="1214"/>
      <c r="I986" s="1214"/>
      <c r="J986" s="1214"/>
      <c r="K986" s="1214"/>
      <c r="L986" s="1214"/>
      <c r="M986" s="1214"/>
      <c r="N986" s="1214"/>
      <c r="O986" s="1214"/>
      <c r="P986" s="1214"/>
      <c r="Q986" s="1214"/>
      <c r="R986" s="1214"/>
      <c r="S986" s="1214"/>
      <c r="T986" s="1214"/>
      <c r="U986" s="1214"/>
      <c r="V986" s="1214"/>
      <c r="W986" s="1214"/>
      <c r="X986" s="1214"/>
      <c r="Y986" s="1214"/>
      <c r="Z986" s="1214"/>
    </row>
    <row r="987">
      <c r="A987" s="1214"/>
      <c r="B987" s="1214"/>
      <c r="C987" s="1214"/>
      <c r="D987" s="1267"/>
      <c r="E987" s="1214"/>
      <c r="F987" s="1214"/>
      <c r="G987" s="1214"/>
      <c r="H987" s="1214"/>
      <c r="I987" s="1214"/>
      <c r="J987" s="1214"/>
      <c r="K987" s="1214"/>
      <c r="L987" s="1214"/>
      <c r="M987" s="1214"/>
      <c r="N987" s="1214"/>
      <c r="O987" s="1214"/>
      <c r="P987" s="1214"/>
      <c r="Q987" s="1214"/>
      <c r="R987" s="1214"/>
      <c r="S987" s="1214"/>
      <c r="T987" s="1214"/>
      <c r="U987" s="1214"/>
      <c r="V987" s="1214"/>
      <c r="W987" s="1214"/>
      <c r="X987" s="1214"/>
      <c r="Y987" s="1214"/>
      <c r="Z987" s="1214"/>
    </row>
    <row r="988">
      <c r="A988" s="1214"/>
      <c r="B988" s="1214"/>
      <c r="C988" s="1214"/>
      <c r="D988" s="1267"/>
      <c r="E988" s="1214"/>
      <c r="F988" s="1214"/>
      <c r="G988" s="1214"/>
      <c r="H988" s="1214"/>
      <c r="I988" s="1214"/>
      <c r="J988" s="1214"/>
      <c r="K988" s="1214"/>
      <c r="L988" s="1214"/>
      <c r="M988" s="1214"/>
      <c r="N988" s="1214"/>
      <c r="O988" s="1214"/>
      <c r="P988" s="1214"/>
      <c r="Q988" s="1214"/>
      <c r="R988" s="1214"/>
      <c r="S988" s="1214"/>
      <c r="T988" s="1214"/>
      <c r="U988" s="1214"/>
      <c r="V988" s="1214"/>
      <c r="W988" s="1214"/>
      <c r="X988" s="1214"/>
      <c r="Y988" s="1214"/>
      <c r="Z988" s="1214"/>
    </row>
    <row r="989">
      <c r="A989" s="1214"/>
      <c r="B989" s="1214"/>
      <c r="C989" s="1214"/>
      <c r="D989" s="1267"/>
      <c r="E989" s="1214"/>
      <c r="F989" s="1214"/>
      <c r="G989" s="1214"/>
      <c r="H989" s="1214"/>
      <c r="I989" s="1214"/>
      <c r="J989" s="1214"/>
      <c r="K989" s="1214"/>
      <c r="L989" s="1214"/>
      <c r="M989" s="1214"/>
      <c r="N989" s="1214"/>
      <c r="O989" s="1214"/>
      <c r="P989" s="1214"/>
      <c r="Q989" s="1214"/>
      <c r="R989" s="1214"/>
      <c r="S989" s="1214"/>
      <c r="T989" s="1214"/>
      <c r="U989" s="1214"/>
      <c r="V989" s="1214"/>
      <c r="W989" s="1214"/>
      <c r="X989" s="1214"/>
      <c r="Y989" s="1214"/>
      <c r="Z989" s="1214"/>
    </row>
    <row r="990">
      <c r="A990" s="1214"/>
      <c r="B990" s="1214"/>
      <c r="C990" s="1214"/>
      <c r="D990" s="1267"/>
      <c r="E990" s="1214"/>
      <c r="F990" s="1214"/>
      <c r="G990" s="1214"/>
      <c r="H990" s="1214"/>
      <c r="I990" s="1214"/>
      <c r="J990" s="1214"/>
      <c r="K990" s="1214"/>
      <c r="L990" s="1214"/>
      <c r="M990" s="1214"/>
      <c r="N990" s="1214"/>
      <c r="O990" s="1214"/>
      <c r="P990" s="1214"/>
      <c r="Q990" s="1214"/>
      <c r="R990" s="1214"/>
      <c r="S990" s="1214"/>
      <c r="T990" s="1214"/>
      <c r="U990" s="1214"/>
      <c r="V990" s="1214"/>
      <c r="W990" s="1214"/>
      <c r="X990" s="1214"/>
      <c r="Y990" s="1214"/>
      <c r="Z990" s="1214"/>
    </row>
    <row r="991">
      <c r="A991" s="1214"/>
      <c r="B991" s="1214"/>
      <c r="C991" s="1214"/>
      <c r="D991" s="1267"/>
      <c r="E991" s="1214"/>
      <c r="F991" s="1214"/>
      <c r="G991" s="1214"/>
      <c r="H991" s="1214"/>
      <c r="I991" s="1214"/>
      <c r="J991" s="1214"/>
      <c r="K991" s="1214"/>
      <c r="L991" s="1214"/>
      <c r="M991" s="1214"/>
      <c r="N991" s="1214"/>
      <c r="O991" s="1214"/>
      <c r="P991" s="1214"/>
      <c r="Q991" s="1214"/>
      <c r="R991" s="1214"/>
      <c r="S991" s="1214"/>
      <c r="T991" s="1214"/>
      <c r="U991" s="1214"/>
      <c r="V991" s="1214"/>
      <c r="W991" s="1214"/>
      <c r="X991" s="1214"/>
      <c r="Y991" s="1214"/>
      <c r="Z991" s="1214"/>
    </row>
    <row r="992">
      <c r="A992" s="1214"/>
      <c r="B992" s="1214"/>
      <c r="C992" s="1214"/>
      <c r="D992" s="1267"/>
      <c r="E992" s="1214"/>
      <c r="F992" s="1214"/>
      <c r="G992" s="1214"/>
      <c r="H992" s="1214"/>
      <c r="I992" s="1214"/>
      <c r="J992" s="1214"/>
      <c r="K992" s="1214"/>
      <c r="L992" s="1214"/>
      <c r="M992" s="1214"/>
      <c r="N992" s="1214"/>
      <c r="O992" s="1214"/>
      <c r="P992" s="1214"/>
      <c r="Q992" s="1214"/>
      <c r="R992" s="1214"/>
      <c r="S992" s="1214"/>
      <c r="T992" s="1214"/>
      <c r="U992" s="1214"/>
      <c r="V992" s="1214"/>
      <c r="W992" s="1214"/>
      <c r="X992" s="1214"/>
      <c r="Y992" s="1214"/>
      <c r="Z992" s="1214"/>
    </row>
    <row r="993">
      <c r="A993" s="1214"/>
      <c r="B993" s="1214"/>
      <c r="C993" s="1214"/>
      <c r="D993" s="1267"/>
      <c r="E993" s="1214"/>
      <c r="F993" s="1214"/>
      <c r="G993" s="1214"/>
      <c r="H993" s="1214"/>
      <c r="I993" s="1214"/>
      <c r="J993" s="1214"/>
      <c r="K993" s="1214"/>
      <c r="L993" s="1214"/>
      <c r="M993" s="1214"/>
      <c r="N993" s="1214"/>
      <c r="O993" s="1214"/>
      <c r="P993" s="1214"/>
      <c r="Q993" s="1214"/>
      <c r="R993" s="1214"/>
      <c r="S993" s="1214"/>
      <c r="T993" s="1214"/>
      <c r="U993" s="1214"/>
      <c r="V993" s="1214"/>
      <c r="W993" s="1214"/>
      <c r="X993" s="1214"/>
      <c r="Y993" s="1214"/>
      <c r="Z993" s="1214"/>
    </row>
    <row r="994">
      <c r="A994" s="1214"/>
      <c r="B994" s="1214"/>
      <c r="C994" s="1214"/>
      <c r="D994" s="1267"/>
      <c r="E994" s="1214"/>
      <c r="F994" s="1214"/>
      <c r="G994" s="1214"/>
      <c r="H994" s="1214"/>
      <c r="I994" s="1214"/>
      <c r="J994" s="1214"/>
      <c r="K994" s="1214"/>
      <c r="L994" s="1214"/>
      <c r="M994" s="1214"/>
      <c r="N994" s="1214"/>
      <c r="O994" s="1214"/>
      <c r="P994" s="1214"/>
      <c r="Q994" s="1214"/>
      <c r="R994" s="1214"/>
      <c r="S994" s="1214"/>
      <c r="T994" s="1214"/>
      <c r="U994" s="1214"/>
      <c r="V994" s="1214"/>
      <c r="W994" s="1214"/>
      <c r="X994" s="1214"/>
      <c r="Y994" s="1214"/>
      <c r="Z994" s="1214"/>
    </row>
    <row r="995">
      <c r="A995" s="1214"/>
      <c r="B995" s="1214"/>
      <c r="C995" s="1214"/>
      <c r="D995" s="1267"/>
      <c r="E995" s="1214"/>
      <c r="F995" s="1214"/>
      <c r="G995" s="1214"/>
      <c r="H995" s="1214"/>
      <c r="I995" s="1214"/>
      <c r="J995" s="1214"/>
      <c r="K995" s="1214"/>
      <c r="L995" s="1214"/>
      <c r="M995" s="1214"/>
      <c r="N995" s="1214"/>
      <c r="O995" s="1214"/>
      <c r="P995" s="1214"/>
      <c r="Q995" s="1214"/>
      <c r="R995" s="1214"/>
      <c r="S995" s="1214"/>
      <c r="T995" s="1214"/>
      <c r="U995" s="1214"/>
      <c r="V995" s="1214"/>
      <c r="W995" s="1214"/>
      <c r="X995" s="1214"/>
      <c r="Y995" s="1214"/>
      <c r="Z995" s="1214"/>
    </row>
    <row r="996">
      <c r="A996" s="1214"/>
      <c r="B996" s="1214"/>
      <c r="C996" s="1214"/>
      <c r="D996" s="1267"/>
      <c r="E996" s="1214"/>
      <c r="F996" s="1214"/>
      <c r="G996" s="1214"/>
      <c r="H996" s="1214"/>
      <c r="I996" s="1214"/>
      <c r="J996" s="1214"/>
      <c r="K996" s="1214"/>
      <c r="L996" s="1214"/>
      <c r="M996" s="1214"/>
      <c r="N996" s="1214"/>
      <c r="O996" s="1214"/>
      <c r="P996" s="1214"/>
      <c r="Q996" s="1214"/>
      <c r="R996" s="1214"/>
      <c r="S996" s="1214"/>
      <c r="T996" s="1214"/>
      <c r="U996" s="1214"/>
      <c r="V996" s="1214"/>
      <c r="W996" s="1214"/>
      <c r="X996" s="1214"/>
      <c r="Y996" s="1214"/>
      <c r="Z996" s="1214"/>
    </row>
    <row r="997">
      <c r="A997" s="1214"/>
      <c r="B997" s="1214"/>
      <c r="C997" s="1214"/>
      <c r="D997" s="1267"/>
      <c r="E997" s="1214"/>
      <c r="F997" s="1214"/>
      <c r="G997" s="1214"/>
      <c r="H997" s="1214"/>
      <c r="I997" s="1214"/>
      <c r="J997" s="1214"/>
      <c r="K997" s="1214"/>
      <c r="L997" s="1214"/>
      <c r="M997" s="1214"/>
      <c r="N997" s="1214"/>
      <c r="O997" s="1214"/>
      <c r="P997" s="1214"/>
      <c r="Q997" s="1214"/>
      <c r="R997" s="1214"/>
      <c r="S997" s="1214"/>
      <c r="T997" s="1214"/>
      <c r="U997" s="1214"/>
      <c r="V997" s="1214"/>
      <c r="W997" s="1214"/>
      <c r="X997" s="1214"/>
      <c r="Y997" s="1214"/>
      <c r="Z997" s="1214"/>
    </row>
    <row r="998">
      <c r="A998" s="1214"/>
      <c r="B998" s="1214"/>
      <c r="C998" s="1214"/>
      <c r="D998" s="1267"/>
      <c r="E998" s="1214"/>
      <c r="F998" s="1214"/>
      <c r="G998" s="1214"/>
      <c r="H998" s="1214"/>
      <c r="I998" s="1214"/>
      <c r="J998" s="1214"/>
      <c r="K998" s="1214"/>
      <c r="L998" s="1214"/>
      <c r="M998" s="1214"/>
      <c r="N998" s="1214"/>
      <c r="O998" s="1214"/>
      <c r="P998" s="1214"/>
      <c r="Q998" s="1214"/>
      <c r="R998" s="1214"/>
      <c r="S998" s="1214"/>
      <c r="T998" s="1214"/>
      <c r="U998" s="1214"/>
      <c r="V998" s="1214"/>
      <c r="W998" s="1214"/>
      <c r="X998" s="1214"/>
      <c r="Y998" s="1214"/>
      <c r="Z998" s="1214"/>
    </row>
    <row r="999">
      <c r="A999" s="1214"/>
      <c r="B999" s="1214"/>
      <c r="C999" s="1214"/>
      <c r="D999" s="1267"/>
      <c r="E999" s="1214"/>
      <c r="F999" s="1214"/>
      <c r="G999" s="1214"/>
      <c r="H999" s="1214"/>
      <c r="I999" s="1214"/>
      <c r="J999" s="1214"/>
      <c r="K999" s="1214"/>
      <c r="L999" s="1214"/>
      <c r="M999" s="1214"/>
      <c r="N999" s="1214"/>
      <c r="O999" s="1214"/>
      <c r="P999" s="1214"/>
      <c r="Q999" s="1214"/>
      <c r="R999" s="1214"/>
      <c r="S999" s="1214"/>
      <c r="T999" s="1214"/>
      <c r="U999" s="1214"/>
      <c r="V999" s="1214"/>
      <c r="W999" s="1214"/>
      <c r="X999" s="1214"/>
      <c r="Y999" s="1214"/>
      <c r="Z999" s="1214"/>
    </row>
    <row r="1000">
      <c r="A1000" s="1214"/>
      <c r="B1000" s="1214"/>
      <c r="C1000" s="1214"/>
      <c r="D1000" s="1267"/>
      <c r="E1000" s="1214"/>
      <c r="F1000" s="1214"/>
      <c r="G1000" s="1214"/>
      <c r="H1000" s="1214"/>
      <c r="I1000" s="1214"/>
      <c r="J1000" s="1214"/>
      <c r="K1000" s="1214"/>
      <c r="L1000" s="1214"/>
      <c r="M1000" s="1214"/>
      <c r="N1000" s="1214"/>
      <c r="O1000" s="1214"/>
      <c r="P1000" s="1214"/>
      <c r="Q1000" s="1214"/>
      <c r="R1000" s="1214"/>
      <c r="S1000" s="1214"/>
      <c r="T1000" s="1214"/>
      <c r="U1000" s="1214"/>
      <c r="V1000" s="1214"/>
      <c r="W1000" s="1214"/>
      <c r="X1000" s="1214"/>
      <c r="Y1000" s="1214"/>
      <c r="Z1000" s="1214"/>
    </row>
    <row r="1001">
      <c r="A1001" s="1214"/>
      <c r="B1001" s="1214"/>
      <c r="C1001" s="1214"/>
      <c r="D1001" s="1267"/>
      <c r="E1001" s="1214"/>
      <c r="F1001" s="1214"/>
      <c r="G1001" s="1214"/>
      <c r="H1001" s="1214"/>
      <c r="I1001" s="1214"/>
      <c r="J1001" s="1214"/>
      <c r="K1001" s="1214"/>
      <c r="L1001" s="1214"/>
      <c r="M1001" s="1214"/>
      <c r="N1001" s="1214"/>
      <c r="O1001" s="1214"/>
      <c r="P1001" s="1214"/>
      <c r="Q1001" s="1214"/>
      <c r="R1001" s="1214"/>
      <c r="S1001" s="1214"/>
      <c r="T1001" s="1214"/>
      <c r="U1001" s="1214"/>
      <c r="V1001" s="1214"/>
      <c r="W1001" s="1214"/>
      <c r="X1001" s="1214"/>
      <c r="Y1001" s="1214"/>
      <c r="Z1001" s="1214"/>
    </row>
    <row r="1002">
      <c r="A1002" s="1214"/>
      <c r="B1002" s="1214"/>
      <c r="C1002" s="1214"/>
      <c r="D1002" s="1267"/>
      <c r="E1002" s="1214"/>
      <c r="F1002" s="1214"/>
      <c r="G1002" s="1214"/>
      <c r="H1002" s="1214"/>
      <c r="I1002" s="1214"/>
      <c r="J1002" s="1214"/>
      <c r="K1002" s="1214"/>
      <c r="L1002" s="1214"/>
      <c r="M1002" s="1214"/>
      <c r="N1002" s="1214"/>
      <c r="O1002" s="1214"/>
      <c r="P1002" s="1214"/>
      <c r="Q1002" s="1214"/>
      <c r="R1002" s="1214"/>
      <c r="S1002" s="1214"/>
      <c r="T1002" s="1214"/>
      <c r="U1002" s="1214"/>
      <c r="V1002" s="1214"/>
      <c r="W1002" s="1214"/>
      <c r="X1002" s="1214"/>
      <c r="Y1002" s="1214"/>
      <c r="Z1002" s="1214"/>
    </row>
    <row r="1003">
      <c r="A1003" s="1214"/>
      <c r="B1003" s="1214"/>
      <c r="C1003" s="1214"/>
      <c r="D1003" s="1267"/>
      <c r="E1003" s="1214"/>
      <c r="F1003" s="1214"/>
      <c r="G1003" s="1214"/>
      <c r="H1003" s="1214"/>
      <c r="I1003" s="1214"/>
      <c r="J1003" s="1214"/>
      <c r="K1003" s="1214"/>
      <c r="L1003" s="1214"/>
      <c r="M1003" s="1214"/>
      <c r="N1003" s="1214"/>
      <c r="O1003" s="1214"/>
      <c r="P1003" s="1214"/>
      <c r="Q1003" s="1214"/>
      <c r="R1003" s="1214"/>
      <c r="S1003" s="1214"/>
      <c r="T1003" s="1214"/>
      <c r="U1003" s="1214"/>
      <c r="V1003" s="1214"/>
      <c r="W1003" s="1214"/>
      <c r="X1003" s="1214"/>
      <c r="Y1003" s="1214"/>
      <c r="Z1003" s="1214"/>
    </row>
    <row r="1004">
      <c r="A1004" s="1214"/>
      <c r="B1004" s="1214"/>
      <c r="C1004" s="1214"/>
      <c r="D1004" s="1267"/>
      <c r="E1004" s="1214"/>
      <c r="F1004" s="1214"/>
      <c r="G1004" s="1214"/>
      <c r="H1004" s="1214"/>
      <c r="I1004" s="1214"/>
      <c r="J1004" s="1214"/>
      <c r="K1004" s="1214"/>
      <c r="L1004" s="1214"/>
      <c r="M1004" s="1214"/>
      <c r="N1004" s="1214"/>
      <c r="O1004" s="1214"/>
      <c r="P1004" s="1214"/>
      <c r="Q1004" s="1214"/>
      <c r="R1004" s="1214"/>
      <c r="S1004" s="1214"/>
      <c r="T1004" s="1214"/>
      <c r="U1004" s="1214"/>
      <c r="V1004" s="1214"/>
      <c r="W1004" s="1214"/>
      <c r="X1004" s="1214"/>
      <c r="Y1004" s="1214"/>
      <c r="Z1004" s="1214"/>
    </row>
    <row r="1005">
      <c r="A1005" s="1214"/>
      <c r="B1005" s="1214"/>
      <c r="C1005" s="1214"/>
      <c r="D1005" s="1267"/>
      <c r="E1005" s="1214"/>
      <c r="F1005" s="1214"/>
      <c r="G1005" s="1214"/>
      <c r="H1005" s="1214"/>
      <c r="I1005" s="1214"/>
      <c r="J1005" s="1214"/>
      <c r="K1005" s="1214"/>
      <c r="L1005" s="1214"/>
      <c r="M1005" s="1214"/>
      <c r="N1005" s="1214"/>
      <c r="O1005" s="1214"/>
      <c r="P1005" s="1214"/>
      <c r="Q1005" s="1214"/>
      <c r="R1005" s="1214"/>
      <c r="S1005" s="1214"/>
      <c r="T1005" s="1214"/>
      <c r="U1005" s="1214"/>
      <c r="V1005" s="1214"/>
      <c r="W1005" s="1214"/>
      <c r="X1005" s="1214"/>
      <c r="Y1005" s="1214"/>
      <c r="Z1005" s="1214"/>
    </row>
    <row r="1006">
      <c r="A1006" s="1214"/>
      <c r="B1006" s="1214"/>
      <c r="C1006" s="1214"/>
      <c r="D1006" s="1267"/>
      <c r="E1006" s="1214"/>
      <c r="F1006" s="1214"/>
      <c r="G1006" s="1214"/>
      <c r="H1006" s="1214"/>
      <c r="I1006" s="1214"/>
      <c r="J1006" s="1214"/>
      <c r="K1006" s="1214"/>
      <c r="L1006" s="1214"/>
      <c r="M1006" s="1214"/>
      <c r="N1006" s="1214"/>
      <c r="O1006" s="1214"/>
      <c r="P1006" s="1214"/>
      <c r="Q1006" s="1214"/>
      <c r="R1006" s="1214"/>
      <c r="S1006" s="1214"/>
      <c r="T1006" s="1214"/>
      <c r="U1006" s="1214"/>
      <c r="V1006" s="1214"/>
      <c r="W1006" s="1214"/>
      <c r="X1006" s="1214"/>
      <c r="Y1006" s="1214"/>
      <c r="Z1006" s="1214"/>
    </row>
  </sheetData>
  <mergeCells count="10">
    <mergeCell ref="C91:C94"/>
    <mergeCell ref="D91:D94"/>
    <mergeCell ref="A92:A94"/>
    <mergeCell ref="A1:D1"/>
    <mergeCell ref="C7:C12"/>
    <mergeCell ref="C17:C20"/>
    <mergeCell ref="J27:K27"/>
    <mergeCell ref="C67:C70"/>
    <mergeCell ref="D67:D70"/>
    <mergeCell ref="C85:C8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2.86"/>
    <col customWidth="1" min="9" max="9" width="6.0"/>
    <col customWidth="1" min="10" max="10" width="23.86"/>
  </cols>
  <sheetData>
    <row r="1">
      <c r="A1" s="1268" t="s">
        <v>6466</v>
      </c>
      <c r="B1" s="2"/>
      <c r="C1" s="2"/>
      <c r="D1" s="2"/>
      <c r="E1" s="3"/>
      <c r="I1" s="1268" t="s">
        <v>6467</v>
      </c>
      <c r="J1" s="2"/>
      <c r="K1" s="2"/>
      <c r="L1" s="2"/>
      <c r="M1" s="3"/>
    </row>
    <row r="2">
      <c r="A2" s="1269" t="s">
        <v>1435</v>
      </c>
      <c r="B2" s="1270" t="s">
        <v>1436</v>
      </c>
      <c r="C2" s="1271" t="s">
        <v>1564</v>
      </c>
      <c r="D2" s="1272" t="s">
        <v>1440</v>
      </c>
      <c r="E2" s="1273" t="s">
        <v>1565</v>
      </c>
      <c r="I2" s="1269" t="s">
        <v>1435</v>
      </c>
      <c r="J2" s="1270" t="s">
        <v>1436</v>
      </c>
      <c r="K2" s="1271" t="s">
        <v>1564</v>
      </c>
      <c r="L2" s="1272" t="s">
        <v>1440</v>
      </c>
      <c r="M2" s="1273" t="s">
        <v>1565</v>
      </c>
    </row>
    <row r="3">
      <c r="A3" s="1274">
        <v>1.0</v>
      </c>
      <c r="B3" s="1275" t="s">
        <v>6468</v>
      </c>
      <c r="C3" s="1072">
        <v>2.0</v>
      </c>
      <c r="D3" s="1275" t="s">
        <v>3911</v>
      </c>
      <c r="E3" s="1275" t="s">
        <v>6469</v>
      </c>
      <c r="I3" s="1274">
        <v>1.0</v>
      </c>
      <c r="J3" s="1275" t="s">
        <v>6470</v>
      </c>
      <c r="K3" s="1072"/>
      <c r="L3" s="1275" t="s">
        <v>6471</v>
      </c>
      <c r="M3" s="1275"/>
    </row>
    <row r="4">
      <c r="A4" s="1274">
        <v>2.0</v>
      </c>
      <c r="B4" s="1071" t="s">
        <v>2513</v>
      </c>
      <c r="C4" s="1072">
        <v>1.0</v>
      </c>
      <c r="D4" s="1071" t="s">
        <v>3912</v>
      </c>
      <c r="E4" s="1071"/>
      <c r="I4" s="1274">
        <v>2.0</v>
      </c>
      <c r="J4" s="1275" t="s">
        <v>6470</v>
      </c>
      <c r="K4" s="1072"/>
      <c r="L4" s="1071" t="s">
        <v>6472</v>
      </c>
      <c r="M4" s="1071"/>
    </row>
    <row r="5">
      <c r="A5" s="1274">
        <v>3.0</v>
      </c>
      <c r="B5" s="1071" t="s">
        <v>2513</v>
      </c>
      <c r="C5" s="1072">
        <v>1.0</v>
      </c>
      <c r="D5" s="1071" t="s">
        <v>3913</v>
      </c>
      <c r="E5" s="1071" t="s">
        <v>6473</v>
      </c>
      <c r="I5" s="1274">
        <v>3.0</v>
      </c>
      <c r="J5" s="1275" t="s">
        <v>6470</v>
      </c>
      <c r="K5" s="1072"/>
      <c r="L5" s="1071" t="s">
        <v>6474</v>
      </c>
      <c r="M5" s="1071"/>
    </row>
    <row r="6">
      <c r="A6" s="1274">
        <v>4.0</v>
      </c>
      <c r="B6" s="1071" t="s">
        <v>2513</v>
      </c>
      <c r="C6" s="1072">
        <v>1.0</v>
      </c>
      <c r="D6" s="1071" t="s">
        <v>3914</v>
      </c>
      <c r="E6" s="1071" t="s">
        <v>6475</v>
      </c>
      <c r="I6" s="1274">
        <v>4.0</v>
      </c>
      <c r="J6" s="1275" t="s">
        <v>6470</v>
      </c>
      <c r="K6" s="1072"/>
      <c r="L6" s="1071" t="s">
        <v>6476</v>
      </c>
      <c r="M6" s="1071"/>
    </row>
    <row r="7">
      <c r="A7" s="1274">
        <v>5.0</v>
      </c>
      <c r="B7" s="1071" t="s">
        <v>2513</v>
      </c>
      <c r="C7" s="1072">
        <v>1.0</v>
      </c>
      <c r="D7" s="1276" t="s">
        <v>2293</v>
      </c>
      <c r="E7" s="1277" t="s">
        <v>6477</v>
      </c>
      <c r="I7" s="1274">
        <v>5.0</v>
      </c>
      <c r="J7" s="1275" t="s">
        <v>6470</v>
      </c>
      <c r="K7" s="1072"/>
      <c r="L7" s="1276" t="s">
        <v>6478</v>
      </c>
      <c r="M7" s="1277"/>
    </row>
    <row r="8">
      <c r="A8" s="1274">
        <v>6.0</v>
      </c>
      <c r="B8" s="1071" t="s">
        <v>2513</v>
      </c>
      <c r="C8" s="1072">
        <v>1.0</v>
      </c>
      <c r="D8" s="1071" t="s">
        <v>6479</v>
      </c>
      <c r="E8" s="1071" t="s">
        <v>6480</v>
      </c>
      <c r="I8" s="1274">
        <v>6.0</v>
      </c>
      <c r="J8" s="1275" t="s">
        <v>6470</v>
      </c>
      <c r="K8" s="1072"/>
      <c r="L8" s="1071" t="s">
        <v>6481</v>
      </c>
      <c r="M8" s="1071"/>
    </row>
    <row r="9">
      <c r="A9" s="1274">
        <v>7.0</v>
      </c>
      <c r="B9" s="1071" t="s">
        <v>2513</v>
      </c>
      <c r="C9" s="1072">
        <v>1.0</v>
      </c>
      <c r="D9" s="1071" t="s">
        <v>6479</v>
      </c>
      <c r="E9" s="1071" t="s">
        <v>6482</v>
      </c>
      <c r="I9" s="1274">
        <v>7.0</v>
      </c>
      <c r="J9" s="1275" t="s">
        <v>6470</v>
      </c>
      <c r="K9" s="1072"/>
      <c r="L9" s="1071" t="s">
        <v>6483</v>
      </c>
      <c r="M9" s="1071"/>
    </row>
    <row r="10">
      <c r="A10" s="1274">
        <v>8.0</v>
      </c>
      <c r="B10" s="1278" t="s">
        <v>6484</v>
      </c>
      <c r="C10" s="1072" t="s">
        <v>4156</v>
      </c>
      <c r="D10" s="1278" t="s">
        <v>1567</v>
      </c>
      <c r="E10" s="1278" t="s">
        <v>6485</v>
      </c>
      <c r="I10" s="1274">
        <v>8.0</v>
      </c>
      <c r="J10" s="1275" t="s">
        <v>6470</v>
      </c>
      <c r="K10" s="1072"/>
      <c r="L10" s="1278" t="s">
        <v>6486</v>
      </c>
      <c r="M10" s="1278"/>
    </row>
    <row r="11">
      <c r="A11" s="1274">
        <v>9.0</v>
      </c>
      <c r="B11" s="1275" t="s">
        <v>6468</v>
      </c>
      <c r="C11" s="1072" t="s">
        <v>4156</v>
      </c>
      <c r="D11" s="1278" t="s">
        <v>1570</v>
      </c>
      <c r="E11" s="1278" t="s">
        <v>6487</v>
      </c>
      <c r="I11" s="1274">
        <v>9.0</v>
      </c>
      <c r="J11" s="1275" t="s">
        <v>6470</v>
      </c>
      <c r="K11" s="1072"/>
      <c r="L11" s="1278" t="s">
        <v>6488</v>
      </c>
      <c r="M11" s="1278"/>
    </row>
    <row r="12">
      <c r="A12" s="1274">
        <v>10.0</v>
      </c>
      <c r="B12" s="1275" t="s">
        <v>6489</v>
      </c>
      <c r="C12" s="1072" t="s">
        <v>2077</v>
      </c>
      <c r="D12" s="1278" t="s">
        <v>1592</v>
      </c>
      <c r="E12" s="1278" t="s">
        <v>6490</v>
      </c>
      <c r="I12" s="1274">
        <v>10.0</v>
      </c>
      <c r="J12" s="1275" t="s">
        <v>6470</v>
      </c>
      <c r="K12" s="1072"/>
      <c r="L12" s="1278" t="s">
        <v>6491</v>
      </c>
      <c r="M12" s="1278"/>
    </row>
    <row r="13">
      <c r="A13" s="1274">
        <v>11.0</v>
      </c>
      <c r="B13" s="1275" t="s">
        <v>6468</v>
      </c>
      <c r="C13" s="1072" t="s">
        <v>4156</v>
      </c>
      <c r="D13" s="1278" t="s">
        <v>1626</v>
      </c>
      <c r="E13" s="1278" t="s">
        <v>6492</v>
      </c>
      <c r="I13" s="1274">
        <v>11.0</v>
      </c>
      <c r="J13" s="1275" t="s">
        <v>6470</v>
      </c>
      <c r="K13" s="1072"/>
      <c r="L13" s="1278" t="s">
        <v>6493</v>
      </c>
      <c r="M13" s="1278"/>
    </row>
    <row r="14">
      <c r="A14" s="1274">
        <v>12.0</v>
      </c>
      <c r="B14" s="1275" t="s">
        <v>6489</v>
      </c>
      <c r="C14" s="1072" t="s">
        <v>2077</v>
      </c>
      <c r="D14" s="1278" t="s">
        <v>1593</v>
      </c>
      <c r="E14" s="1278" t="s">
        <v>6494</v>
      </c>
      <c r="I14" s="1274">
        <v>12.0</v>
      </c>
      <c r="J14" s="1275" t="s">
        <v>6470</v>
      </c>
      <c r="K14" s="1072"/>
      <c r="L14" s="1278" t="s">
        <v>6495</v>
      </c>
      <c r="M14" s="1278"/>
    </row>
    <row r="15">
      <c r="A15" s="1274">
        <v>13.0</v>
      </c>
      <c r="B15" s="1275" t="s">
        <v>6489</v>
      </c>
      <c r="C15" s="1072" t="s">
        <v>2077</v>
      </c>
      <c r="D15" s="1278" t="s">
        <v>1590</v>
      </c>
      <c r="E15" s="1278" t="s">
        <v>6496</v>
      </c>
      <c r="I15" s="1274">
        <v>13.0</v>
      </c>
      <c r="J15" s="1275"/>
      <c r="K15" s="1072"/>
      <c r="L15" s="1278"/>
      <c r="M15" s="1278"/>
    </row>
    <row r="16">
      <c r="A16" s="1274">
        <v>14.0</v>
      </c>
      <c r="B16" s="1071" t="s">
        <v>2113</v>
      </c>
      <c r="C16" s="1072" t="s">
        <v>2077</v>
      </c>
      <c r="D16" s="1278" t="s">
        <v>1574</v>
      </c>
      <c r="E16" s="1278" t="s">
        <v>6497</v>
      </c>
      <c r="I16" s="1274">
        <v>14.0</v>
      </c>
      <c r="J16" s="1071"/>
      <c r="K16" s="1072"/>
      <c r="L16" s="1278"/>
      <c r="M16" s="1278"/>
    </row>
    <row r="17">
      <c r="A17" s="1274">
        <v>15.0</v>
      </c>
      <c r="B17" s="1275" t="s">
        <v>6498</v>
      </c>
      <c r="C17" s="1072" t="s">
        <v>2077</v>
      </c>
      <c r="D17" s="1278" t="s">
        <v>6499</v>
      </c>
      <c r="E17" s="1278" t="s">
        <v>6500</v>
      </c>
      <c r="I17" s="1274">
        <v>15.0</v>
      </c>
      <c r="J17" s="1275"/>
      <c r="K17" s="1072"/>
      <c r="L17" s="1278"/>
      <c r="M17" s="1278"/>
    </row>
    <row r="18">
      <c r="A18" s="1274">
        <v>16.0</v>
      </c>
      <c r="B18" s="1275"/>
      <c r="C18" s="1072"/>
      <c r="D18" s="1275"/>
      <c r="E18" s="1275"/>
      <c r="I18" s="1274">
        <v>16.0</v>
      </c>
      <c r="J18" s="1275"/>
      <c r="K18" s="1072"/>
      <c r="L18" s="1275"/>
      <c r="M18" s="1275"/>
    </row>
    <row r="19">
      <c r="A19" s="1274">
        <v>17.0</v>
      </c>
      <c r="B19" s="1275"/>
      <c r="C19" s="1072"/>
      <c r="D19" s="1275"/>
      <c r="E19" s="1275"/>
      <c r="I19" s="1274">
        <v>17.0</v>
      </c>
      <c r="J19" s="1275"/>
      <c r="K19" s="1072"/>
      <c r="L19" s="1275"/>
      <c r="M19" s="1275"/>
    </row>
    <row r="20">
      <c r="A20" s="1274">
        <v>18.0</v>
      </c>
      <c r="B20" s="1071"/>
      <c r="C20" s="1072"/>
      <c r="D20" s="1071"/>
      <c r="E20" s="1071"/>
      <c r="I20" s="1274">
        <v>18.0</v>
      </c>
      <c r="J20" s="1071"/>
      <c r="K20" s="1072"/>
      <c r="L20" s="1071"/>
      <c r="M20" s="1071"/>
    </row>
    <row r="21">
      <c r="A21" s="1274">
        <v>19.0</v>
      </c>
      <c r="B21" s="1071"/>
      <c r="C21" s="1072"/>
      <c r="D21" s="1071"/>
      <c r="E21" s="1071"/>
      <c r="I21" s="1274">
        <v>19.0</v>
      </c>
      <c r="J21" s="1071"/>
      <c r="K21" s="1072"/>
      <c r="L21" s="1071"/>
      <c r="M21" s="1071"/>
    </row>
    <row r="22">
      <c r="A22" s="1071">
        <v>20.0</v>
      </c>
      <c r="B22" s="1071"/>
      <c r="C22" s="1072"/>
      <c r="D22" s="1071"/>
      <c r="E22" s="1071"/>
      <c r="I22" s="1071">
        <v>20.0</v>
      </c>
      <c r="J22" s="1071"/>
      <c r="K22" s="1072"/>
      <c r="L22" s="1071"/>
      <c r="M22" s="1071"/>
    </row>
  </sheetData>
  <mergeCells count="2">
    <mergeCell ref="A1:E1"/>
    <mergeCell ref="I1:M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fitToHeight="0" paperSize="9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9.86"/>
    <col customWidth="1" min="3" max="3" width="16.29"/>
    <col customWidth="1" min="4" max="4" width="23.57"/>
    <col customWidth="1" min="8" max="8" width="17.29"/>
    <col customWidth="1" min="11" max="11" width="23.57"/>
  </cols>
  <sheetData>
    <row r="1" ht="27.75" customHeight="1">
      <c r="A1" s="1279" t="s">
        <v>6501</v>
      </c>
      <c r="B1" s="1280"/>
      <c r="C1" s="1280"/>
      <c r="D1" s="1280"/>
      <c r="E1" s="1280"/>
      <c r="F1" s="1280"/>
      <c r="G1" s="1280"/>
      <c r="H1" s="1280"/>
      <c r="I1" s="1280"/>
      <c r="J1" s="1280"/>
      <c r="K1" s="1281"/>
    </row>
    <row r="2" ht="27.75" customHeight="1">
      <c r="A2" s="1282" t="s">
        <v>6502</v>
      </c>
      <c r="B2" s="1282" t="s">
        <v>1436</v>
      </c>
      <c r="C2" s="1282" t="s">
        <v>6503</v>
      </c>
      <c r="D2" s="1283" t="s">
        <v>6504</v>
      </c>
      <c r="E2" s="1282" t="s">
        <v>1752</v>
      </c>
      <c r="F2" s="1282" t="s">
        <v>1438</v>
      </c>
      <c r="G2" s="1284" t="s">
        <v>1564</v>
      </c>
      <c r="H2" s="1283" t="s">
        <v>1440</v>
      </c>
      <c r="I2" s="1283" t="s">
        <v>1565</v>
      </c>
      <c r="J2" s="1285" t="s">
        <v>1562</v>
      </c>
      <c r="K2" s="1282" t="s">
        <v>1441</v>
      </c>
    </row>
    <row r="3">
      <c r="A3" s="1286" t="s">
        <v>6505</v>
      </c>
      <c r="B3" s="225" t="s">
        <v>6506</v>
      </c>
      <c r="C3" s="225" t="s">
        <v>1518</v>
      </c>
      <c r="D3" s="225" t="s">
        <v>6507</v>
      </c>
      <c r="E3" s="225">
        <v>1.0</v>
      </c>
      <c r="F3" s="152">
        <v>2.7</v>
      </c>
      <c r="G3" s="157">
        <v>4.0</v>
      </c>
      <c r="H3" s="1287" t="s">
        <v>1518</v>
      </c>
      <c r="I3" s="225" t="s">
        <v>1446</v>
      </c>
      <c r="J3" s="154"/>
      <c r="K3" s="1288">
        <v>44601.0</v>
      </c>
    </row>
    <row r="4">
      <c r="A4" s="186"/>
      <c r="B4" s="225" t="s">
        <v>5925</v>
      </c>
      <c r="C4" s="225" t="s">
        <v>1518</v>
      </c>
      <c r="D4" s="225" t="s">
        <v>6508</v>
      </c>
      <c r="E4" s="225">
        <v>1.0</v>
      </c>
      <c r="F4" s="152">
        <v>13.3</v>
      </c>
      <c r="G4" s="157">
        <v>6.0</v>
      </c>
      <c r="H4" s="1287" t="s">
        <v>1518</v>
      </c>
      <c r="I4" s="225" t="s">
        <v>1446</v>
      </c>
      <c r="J4" s="154"/>
      <c r="K4" s="1288">
        <v>44601.0</v>
      </c>
    </row>
    <row r="5">
      <c r="A5" s="186"/>
      <c r="B5" s="151" t="s">
        <v>5925</v>
      </c>
      <c r="C5" s="151" t="s">
        <v>1518</v>
      </c>
      <c r="D5" s="151" t="s">
        <v>6509</v>
      </c>
      <c r="E5" s="151">
        <v>1.0</v>
      </c>
      <c r="F5" s="152">
        <v>13.3</v>
      </c>
      <c r="G5" s="157">
        <v>6.0</v>
      </c>
      <c r="H5" s="1287" t="s">
        <v>1518</v>
      </c>
      <c r="I5" s="225" t="s">
        <v>1446</v>
      </c>
      <c r="J5" s="154"/>
      <c r="K5" s="156">
        <v>44601.0</v>
      </c>
    </row>
    <row r="6">
      <c r="A6" s="186"/>
      <c r="B6" s="151" t="s">
        <v>5925</v>
      </c>
      <c r="C6" s="151" t="s">
        <v>1518</v>
      </c>
      <c r="D6" s="154"/>
      <c r="E6" s="151">
        <v>1.0</v>
      </c>
      <c r="F6" s="152">
        <v>13.3</v>
      </c>
      <c r="G6" s="157">
        <v>6.0</v>
      </c>
      <c r="H6" s="1287" t="s">
        <v>1518</v>
      </c>
      <c r="I6" s="225" t="s">
        <v>1446</v>
      </c>
      <c r="J6" s="154"/>
      <c r="K6" s="156">
        <v>44663.0</v>
      </c>
    </row>
    <row r="7">
      <c r="A7" s="186"/>
      <c r="B7" s="1071" t="s">
        <v>6510</v>
      </c>
      <c r="C7" s="151" t="s">
        <v>1518</v>
      </c>
      <c r="D7" s="1071" t="s">
        <v>6511</v>
      </c>
      <c r="E7" s="151">
        <v>1.0</v>
      </c>
      <c r="F7" s="152">
        <v>3.3</v>
      </c>
      <c r="G7" s="157">
        <v>2.0</v>
      </c>
      <c r="H7" s="1287" t="s">
        <v>1518</v>
      </c>
      <c r="I7" s="225" t="s">
        <v>1446</v>
      </c>
      <c r="J7" s="154"/>
      <c r="K7" s="156">
        <v>44663.0</v>
      </c>
    </row>
    <row r="8">
      <c r="A8" s="186"/>
      <c r="B8" s="1071" t="s">
        <v>6512</v>
      </c>
      <c r="C8" s="151" t="s">
        <v>1518</v>
      </c>
      <c r="D8" s="1071" t="s">
        <v>6511</v>
      </c>
      <c r="E8" s="151">
        <v>1.0</v>
      </c>
      <c r="F8" s="152">
        <v>2.7</v>
      </c>
      <c r="G8" s="157">
        <v>1.0</v>
      </c>
      <c r="H8" s="1287" t="s">
        <v>1518</v>
      </c>
      <c r="I8" s="225" t="s">
        <v>1446</v>
      </c>
      <c r="J8" s="154"/>
      <c r="K8" s="1289">
        <v>44663.0</v>
      </c>
    </row>
    <row r="9">
      <c r="A9" s="186"/>
      <c r="B9" s="151" t="s">
        <v>5925</v>
      </c>
      <c r="C9" s="151" t="s">
        <v>1518</v>
      </c>
      <c r="D9" s="1071" t="s">
        <v>6513</v>
      </c>
      <c r="E9" s="151">
        <v>1.0</v>
      </c>
      <c r="F9" s="152">
        <v>13.3</v>
      </c>
      <c r="G9" s="157">
        <v>6.0</v>
      </c>
      <c r="H9" s="1287" t="s">
        <v>1518</v>
      </c>
      <c r="I9" s="225" t="s">
        <v>1446</v>
      </c>
      <c r="J9" s="1290"/>
      <c r="K9" s="1289">
        <v>45131.0</v>
      </c>
    </row>
    <row r="10">
      <c r="A10" s="186"/>
      <c r="B10" s="1071" t="s">
        <v>5925</v>
      </c>
      <c r="C10" s="1071" t="s">
        <v>1518</v>
      </c>
      <c r="D10" s="1071" t="s">
        <v>6511</v>
      </c>
      <c r="E10" s="151">
        <v>1.0</v>
      </c>
      <c r="F10" s="152">
        <v>7.5</v>
      </c>
      <c r="G10" s="157">
        <v>4.0</v>
      </c>
      <c r="H10" s="1287" t="s">
        <v>1518</v>
      </c>
      <c r="I10" s="225" t="s">
        <v>1446</v>
      </c>
      <c r="J10" s="1290"/>
      <c r="K10" s="1289">
        <v>45443.0</v>
      </c>
    </row>
    <row r="11">
      <c r="A11" s="186"/>
      <c r="B11" s="1291" t="s">
        <v>5925</v>
      </c>
      <c r="C11" s="1291" t="s">
        <v>1518</v>
      </c>
      <c r="D11" s="1291" t="s">
        <v>6511</v>
      </c>
      <c r="E11" s="214">
        <v>1.0</v>
      </c>
      <c r="F11" s="215">
        <v>7.5</v>
      </c>
      <c r="G11" s="216">
        <v>4.0</v>
      </c>
      <c r="H11" s="1292" t="s">
        <v>1518</v>
      </c>
      <c r="I11" s="1293" t="s">
        <v>1852</v>
      </c>
      <c r="J11" s="1294"/>
      <c r="K11" s="1295">
        <v>45444.0</v>
      </c>
    </row>
    <row r="12">
      <c r="A12" s="185"/>
      <c r="B12" s="1296" t="s">
        <v>1562</v>
      </c>
      <c r="C12" s="2"/>
      <c r="D12" s="3"/>
      <c r="E12" s="151">
        <f>SUM(E3:E11)</f>
        <v>9</v>
      </c>
      <c r="F12" s="152">
        <f t="shared" ref="F12:G12" si="1">sum(F3:F11)</f>
        <v>76.9</v>
      </c>
      <c r="G12" s="157">
        <f t="shared" si="1"/>
        <v>39</v>
      </c>
      <c r="H12" s="1297"/>
      <c r="I12" s="151"/>
      <c r="J12" s="154"/>
      <c r="K12" s="156"/>
    </row>
    <row r="13">
      <c r="A13" s="1298"/>
      <c r="B13" s="1299"/>
      <c r="C13" s="1300"/>
      <c r="D13" s="1299"/>
      <c r="E13" s="110"/>
      <c r="F13" s="1301"/>
      <c r="G13" s="1302"/>
      <c r="H13" s="1300"/>
      <c r="I13" s="110"/>
      <c r="J13" s="141"/>
      <c r="K13" s="144"/>
    </row>
    <row r="14">
      <c r="A14" s="1298"/>
      <c r="B14" s="1299"/>
      <c r="C14" s="1300"/>
      <c r="D14" s="1299"/>
      <c r="E14" s="110"/>
      <c r="F14" s="1301"/>
      <c r="G14" s="1302"/>
      <c r="H14" s="1300"/>
      <c r="I14" s="110"/>
      <c r="J14" s="141"/>
      <c r="K14" s="144"/>
    </row>
    <row r="15">
      <c r="A15" s="1298"/>
      <c r="B15" s="1299"/>
      <c r="C15" s="1300"/>
      <c r="D15" s="1299"/>
      <c r="E15" s="110"/>
      <c r="F15" s="1301"/>
      <c r="G15" s="1302"/>
      <c r="H15" s="1300"/>
      <c r="I15" s="110"/>
      <c r="J15" s="141"/>
      <c r="K15" s="144"/>
    </row>
    <row r="16" ht="29.25" customHeight="1">
      <c r="A16" s="1303" t="s">
        <v>6514</v>
      </c>
      <c r="B16" s="1304"/>
      <c r="C16" s="1304"/>
      <c r="D16" s="1304"/>
      <c r="E16" s="1304"/>
      <c r="F16" s="1304"/>
      <c r="G16" s="1304"/>
      <c r="H16" s="1304"/>
      <c r="I16" s="1304"/>
      <c r="J16" s="1304"/>
      <c r="K16" s="1305"/>
    </row>
    <row r="17" ht="29.25" customHeight="1">
      <c r="A17" s="1282" t="s">
        <v>6502</v>
      </c>
      <c r="B17" s="1282" t="s">
        <v>1436</v>
      </c>
      <c r="C17" s="1282" t="s">
        <v>6503</v>
      </c>
      <c r="D17" s="1283" t="s">
        <v>6504</v>
      </c>
      <c r="E17" s="1282" t="s">
        <v>1752</v>
      </c>
      <c r="F17" s="1282" t="s">
        <v>1438</v>
      </c>
      <c r="G17" s="1284" t="s">
        <v>1564</v>
      </c>
      <c r="H17" s="1283" t="s">
        <v>1440</v>
      </c>
      <c r="I17" s="1283" t="s">
        <v>1565</v>
      </c>
      <c r="J17" s="1282" t="s">
        <v>1562</v>
      </c>
      <c r="K17" s="1282" t="s">
        <v>1441</v>
      </c>
    </row>
    <row r="18">
      <c r="A18" s="1286" t="s">
        <v>6515</v>
      </c>
      <c r="B18" s="225" t="s">
        <v>3651</v>
      </c>
      <c r="C18" s="225" t="s">
        <v>1518</v>
      </c>
      <c r="D18" s="225" t="s">
        <v>6516</v>
      </c>
      <c r="E18" s="225">
        <v>1.0</v>
      </c>
      <c r="F18" s="225" t="s">
        <v>6517</v>
      </c>
      <c r="G18" s="1287" t="s">
        <v>6518</v>
      </c>
      <c r="H18" s="225" t="s">
        <v>1518</v>
      </c>
      <c r="I18" s="225" t="s">
        <v>1446</v>
      </c>
      <c r="J18" s="1306"/>
      <c r="K18" s="1288">
        <v>44597.0</v>
      </c>
    </row>
    <row r="19">
      <c r="A19" s="186"/>
      <c r="B19" s="225" t="s">
        <v>3651</v>
      </c>
      <c r="C19" s="225" t="s">
        <v>1518</v>
      </c>
      <c r="D19" s="225" t="s">
        <v>6519</v>
      </c>
      <c r="E19" s="225">
        <v>1.0</v>
      </c>
      <c r="F19" s="225" t="s">
        <v>6517</v>
      </c>
      <c r="G19" s="1287" t="s">
        <v>6520</v>
      </c>
      <c r="H19" s="225" t="s">
        <v>1518</v>
      </c>
      <c r="I19" s="225" t="s">
        <v>1446</v>
      </c>
      <c r="J19" s="186"/>
      <c r="K19" s="1288">
        <f>K18</f>
        <v>44597</v>
      </c>
    </row>
    <row r="20">
      <c r="A20" s="186"/>
      <c r="B20" s="225" t="s">
        <v>3651</v>
      </c>
      <c r="C20" s="225" t="s">
        <v>1518</v>
      </c>
      <c r="D20" s="225" t="s">
        <v>6521</v>
      </c>
      <c r="E20" s="225">
        <v>1.0</v>
      </c>
      <c r="F20" s="225" t="s">
        <v>6517</v>
      </c>
      <c r="G20" s="1287" t="s">
        <v>6522</v>
      </c>
      <c r="H20" s="225" t="s">
        <v>1518</v>
      </c>
      <c r="I20" s="225" t="s">
        <v>1446</v>
      </c>
      <c r="J20" s="186"/>
      <c r="K20" s="1288">
        <v>44597.0</v>
      </c>
    </row>
    <row r="21">
      <c r="A21" s="186"/>
      <c r="B21" s="225" t="s">
        <v>3651</v>
      </c>
      <c r="C21" s="225" t="s">
        <v>1518</v>
      </c>
      <c r="D21" s="225" t="s">
        <v>6523</v>
      </c>
      <c r="E21" s="225">
        <v>1.0</v>
      </c>
      <c r="F21" s="225" t="s">
        <v>6517</v>
      </c>
      <c r="G21" s="1287" t="s">
        <v>6524</v>
      </c>
      <c r="H21" s="225" t="s">
        <v>1518</v>
      </c>
      <c r="I21" s="225" t="s">
        <v>1446</v>
      </c>
      <c r="J21" s="186"/>
      <c r="K21" s="1288">
        <f>K20</f>
        <v>44597</v>
      </c>
    </row>
    <row r="22">
      <c r="A22" s="186"/>
      <c r="B22" s="225" t="s">
        <v>3651</v>
      </c>
      <c r="C22" s="225" t="s">
        <v>1518</v>
      </c>
      <c r="D22" s="225" t="s">
        <v>6525</v>
      </c>
      <c r="E22" s="225">
        <v>1.0</v>
      </c>
      <c r="F22" s="225" t="s">
        <v>6517</v>
      </c>
      <c r="G22" s="1287" t="s">
        <v>6526</v>
      </c>
      <c r="H22" s="225" t="s">
        <v>1518</v>
      </c>
      <c r="I22" s="225" t="s">
        <v>1446</v>
      </c>
      <c r="J22" s="186"/>
      <c r="K22" s="1288">
        <v>44597.0</v>
      </c>
    </row>
    <row r="23">
      <c r="A23" s="186"/>
      <c r="B23" s="225" t="s">
        <v>3651</v>
      </c>
      <c r="C23" s="225" t="s">
        <v>1518</v>
      </c>
      <c r="D23" s="225" t="s">
        <v>6527</v>
      </c>
      <c r="E23" s="225">
        <v>1.0</v>
      </c>
      <c r="F23" s="225" t="s">
        <v>6517</v>
      </c>
      <c r="G23" s="1287" t="s">
        <v>6528</v>
      </c>
      <c r="H23" s="225" t="s">
        <v>1518</v>
      </c>
      <c r="I23" s="225" t="s">
        <v>1446</v>
      </c>
      <c r="J23" s="186"/>
      <c r="K23" s="1288">
        <f>K22</f>
        <v>44597</v>
      </c>
    </row>
    <row r="24">
      <c r="A24" s="186"/>
      <c r="B24" s="225" t="s">
        <v>3651</v>
      </c>
      <c r="C24" s="225" t="s">
        <v>1518</v>
      </c>
      <c r="D24" s="225" t="s">
        <v>6529</v>
      </c>
      <c r="E24" s="225">
        <v>1.0</v>
      </c>
      <c r="F24" s="225" t="s">
        <v>6517</v>
      </c>
      <c r="G24" s="1287" t="s">
        <v>6530</v>
      </c>
      <c r="H24" s="225" t="s">
        <v>1518</v>
      </c>
      <c r="I24" s="225" t="s">
        <v>1446</v>
      </c>
      <c r="J24" s="186"/>
      <c r="K24" s="1288">
        <v>44597.0</v>
      </c>
    </row>
    <row r="25">
      <c r="A25" s="186"/>
      <c r="B25" s="225" t="s">
        <v>3651</v>
      </c>
      <c r="C25" s="225" t="s">
        <v>1518</v>
      </c>
      <c r="D25" s="225" t="s">
        <v>6531</v>
      </c>
      <c r="E25" s="225">
        <v>1.0</v>
      </c>
      <c r="F25" s="225" t="s">
        <v>6517</v>
      </c>
      <c r="G25" s="1287" t="s">
        <v>6532</v>
      </c>
      <c r="H25" s="225" t="s">
        <v>1518</v>
      </c>
      <c r="I25" s="225" t="s">
        <v>1446</v>
      </c>
      <c r="J25" s="186"/>
      <c r="K25" s="1288">
        <f>K24</f>
        <v>44597</v>
      </c>
    </row>
    <row r="26">
      <c r="A26" s="186"/>
      <c r="B26" s="225" t="s">
        <v>3651</v>
      </c>
      <c r="C26" s="225" t="s">
        <v>1518</v>
      </c>
      <c r="D26" s="225" t="s">
        <v>6533</v>
      </c>
      <c r="E26" s="225">
        <v>1.0</v>
      </c>
      <c r="F26" s="225" t="s">
        <v>6517</v>
      </c>
      <c r="G26" s="1287" t="s">
        <v>6534</v>
      </c>
      <c r="H26" s="225" t="s">
        <v>1518</v>
      </c>
      <c r="I26" s="225" t="s">
        <v>1446</v>
      </c>
      <c r="J26" s="186"/>
      <c r="K26" s="1288">
        <v>44597.0</v>
      </c>
    </row>
    <row r="27">
      <c r="A27" s="185"/>
      <c r="B27" s="225" t="s">
        <v>3651</v>
      </c>
      <c r="C27" s="225" t="s">
        <v>1518</v>
      </c>
      <c r="D27" s="225" t="s">
        <v>6535</v>
      </c>
      <c r="E27" s="225">
        <v>1.0</v>
      </c>
      <c r="F27" s="225" t="s">
        <v>6517</v>
      </c>
      <c r="G27" s="1287" t="s">
        <v>6536</v>
      </c>
      <c r="H27" s="225" t="s">
        <v>1518</v>
      </c>
      <c r="I27" s="225" t="s">
        <v>1446</v>
      </c>
      <c r="J27" s="185"/>
      <c r="K27" s="1288">
        <f>K26</f>
        <v>44597</v>
      </c>
    </row>
    <row r="28">
      <c r="A28" s="1307"/>
      <c r="B28" s="225" t="s">
        <v>6537</v>
      </c>
      <c r="C28" s="225" t="s">
        <v>1518</v>
      </c>
      <c r="D28" s="225" t="s">
        <v>6538</v>
      </c>
      <c r="E28" s="225">
        <v>1.0</v>
      </c>
      <c r="F28" s="225" t="s">
        <v>6517</v>
      </c>
      <c r="G28" s="1287" t="s">
        <v>6520</v>
      </c>
      <c r="H28" s="225" t="s">
        <v>1518</v>
      </c>
      <c r="I28" s="225" t="s">
        <v>1447</v>
      </c>
      <c r="J28" s="1290"/>
      <c r="K28" s="1288">
        <v>45497.0</v>
      </c>
    </row>
    <row r="29" ht="18.0" customHeight="1">
      <c r="A29" s="1308"/>
      <c r="B29" s="1277" t="s">
        <v>5925</v>
      </c>
      <c r="C29" s="1277" t="s">
        <v>1518</v>
      </c>
      <c r="D29" s="1277" t="s">
        <v>6511</v>
      </c>
      <c r="E29" s="211">
        <v>1.0</v>
      </c>
      <c r="F29" s="260">
        <v>7.5</v>
      </c>
      <c r="G29" s="252">
        <v>4.0</v>
      </c>
      <c r="H29" s="1309" t="s">
        <v>1518</v>
      </c>
      <c r="I29" s="1310" t="s">
        <v>1852</v>
      </c>
      <c r="J29" s="1311"/>
      <c r="K29" s="1312">
        <v>45444.0</v>
      </c>
    </row>
    <row r="30" ht="15.75" customHeight="1">
      <c r="A30" s="1313"/>
      <c r="B30" s="1291" t="s">
        <v>5925</v>
      </c>
      <c r="C30" s="1291" t="s">
        <v>1518</v>
      </c>
      <c r="D30" s="1291" t="s">
        <v>6511</v>
      </c>
      <c r="E30" s="214">
        <v>1.0</v>
      </c>
      <c r="F30" s="215">
        <v>7.5</v>
      </c>
      <c r="G30" s="216">
        <v>4.0</v>
      </c>
      <c r="H30" s="1292" t="s">
        <v>1518</v>
      </c>
      <c r="I30" s="1293" t="s">
        <v>1852</v>
      </c>
      <c r="J30" s="1294"/>
      <c r="K30" s="1295">
        <v>45596.0</v>
      </c>
    </row>
    <row r="31" ht="30.75" customHeight="1">
      <c r="A31" s="1314" t="s">
        <v>6539</v>
      </c>
      <c r="B31" s="1315"/>
      <c r="C31" s="1315"/>
      <c r="D31" s="1315"/>
      <c r="E31" s="1315"/>
      <c r="F31" s="1315"/>
      <c r="G31" s="1315"/>
      <c r="H31" s="1315"/>
      <c r="I31" s="1315"/>
      <c r="J31" s="1315"/>
      <c r="K31" s="1316"/>
    </row>
    <row r="32" ht="30.75" customHeight="1">
      <c r="A32" s="1282" t="s">
        <v>6502</v>
      </c>
      <c r="B32" s="1282" t="s">
        <v>1436</v>
      </c>
      <c r="C32" s="1282" t="s">
        <v>6503</v>
      </c>
      <c r="D32" s="1283" t="s">
        <v>6504</v>
      </c>
      <c r="E32" s="1282" t="s">
        <v>1752</v>
      </c>
      <c r="F32" s="1282" t="s">
        <v>1438</v>
      </c>
      <c r="G32" s="1284" t="s">
        <v>1564</v>
      </c>
      <c r="H32" s="1283" t="s">
        <v>1440</v>
      </c>
      <c r="I32" s="1283" t="s">
        <v>1565</v>
      </c>
      <c r="J32" s="1282" t="s">
        <v>1562</v>
      </c>
      <c r="K32" s="1282" t="s">
        <v>1441</v>
      </c>
    </row>
    <row r="33">
      <c r="A33" s="1286" t="s">
        <v>6540</v>
      </c>
      <c r="B33" s="225" t="s">
        <v>3651</v>
      </c>
      <c r="C33" s="225" t="s">
        <v>1518</v>
      </c>
      <c r="D33" s="225" t="s">
        <v>6541</v>
      </c>
      <c r="E33" s="225">
        <v>1.0</v>
      </c>
      <c r="F33" s="225" t="s">
        <v>6542</v>
      </c>
      <c r="G33" s="1287" t="s">
        <v>6543</v>
      </c>
      <c r="H33" s="225" t="s">
        <v>1518</v>
      </c>
      <c r="I33" s="225" t="s">
        <v>1446</v>
      </c>
      <c r="J33" s="1306"/>
      <c r="K33" s="1288">
        <v>44598.0</v>
      </c>
    </row>
    <row r="34">
      <c r="A34" s="186"/>
      <c r="B34" s="225" t="s">
        <v>3651</v>
      </c>
      <c r="C34" s="225" t="s">
        <v>1518</v>
      </c>
      <c r="D34" s="225" t="s">
        <v>6544</v>
      </c>
      <c r="E34" s="225">
        <v>1.0</v>
      </c>
      <c r="F34" s="225" t="s">
        <v>6542</v>
      </c>
      <c r="G34" s="1287" t="s">
        <v>6545</v>
      </c>
      <c r="H34" s="225" t="s">
        <v>1518</v>
      </c>
      <c r="I34" s="225" t="s">
        <v>1446</v>
      </c>
      <c r="J34" s="186"/>
      <c r="K34" s="1288">
        <v>44598.0</v>
      </c>
    </row>
    <row r="35">
      <c r="A35" s="186"/>
      <c r="B35" s="225" t="s">
        <v>3651</v>
      </c>
      <c r="C35" s="225" t="s">
        <v>1518</v>
      </c>
      <c r="D35" s="225" t="s">
        <v>5706</v>
      </c>
      <c r="E35" s="225">
        <v>1.0</v>
      </c>
      <c r="F35" s="225" t="s">
        <v>6542</v>
      </c>
      <c r="G35" s="1287" t="s">
        <v>6546</v>
      </c>
      <c r="H35" s="225" t="s">
        <v>1518</v>
      </c>
      <c r="I35" s="225" t="s">
        <v>1446</v>
      </c>
      <c r="J35" s="186"/>
      <c r="K35" s="1288">
        <v>44598.0</v>
      </c>
    </row>
    <row r="36">
      <c r="A36" s="186"/>
      <c r="B36" s="225" t="s">
        <v>3651</v>
      </c>
      <c r="C36" s="225" t="s">
        <v>1518</v>
      </c>
      <c r="D36" s="225" t="s">
        <v>6547</v>
      </c>
      <c r="E36" s="225">
        <v>1.0</v>
      </c>
      <c r="F36" s="225" t="s">
        <v>6542</v>
      </c>
      <c r="G36" s="1287" t="s">
        <v>6548</v>
      </c>
      <c r="H36" s="225" t="s">
        <v>1518</v>
      </c>
      <c r="I36" s="225" t="s">
        <v>1446</v>
      </c>
      <c r="J36" s="186"/>
      <c r="K36" s="1288">
        <v>44598.0</v>
      </c>
    </row>
    <row r="37">
      <c r="A37" s="186"/>
      <c r="B37" s="225" t="s">
        <v>3651</v>
      </c>
      <c r="C37" s="225" t="s">
        <v>1518</v>
      </c>
      <c r="D37" s="225" t="s">
        <v>6549</v>
      </c>
      <c r="E37" s="225">
        <v>1.0</v>
      </c>
      <c r="F37" s="225" t="s">
        <v>6542</v>
      </c>
      <c r="G37" s="1287" t="s">
        <v>6550</v>
      </c>
      <c r="H37" s="225" t="s">
        <v>1518</v>
      </c>
      <c r="I37" s="225" t="s">
        <v>1446</v>
      </c>
      <c r="J37" s="186"/>
      <c r="K37" s="1288">
        <v>44598.0</v>
      </c>
    </row>
    <row r="38">
      <c r="A38" s="186"/>
      <c r="B38" s="225" t="s">
        <v>3651</v>
      </c>
      <c r="C38" s="225" t="s">
        <v>1518</v>
      </c>
      <c r="D38" s="225" t="s">
        <v>6551</v>
      </c>
      <c r="E38" s="225">
        <v>1.0</v>
      </c>
      <c r="F38" s="225" t="s">
        <v>6542</v>
      </c>
      <c r="G38" s="1287" t="s">
        <v>6552</v>
      </c>
      <c r="H38" s="225" t="s">
        <v>1518</v>
      </c>
      <c r="I38" s="225" t="s">
        <v>1446</v>
      </c>
      <c r="J38" s="186"/>
      <c r="K38" s="1288">
        <v>44598.0</v>
      </c>
    </row>
    <row r="39">
      <c r="A39" s="186"/>
      <c r="B39" s="225" t="s">
        <v>3651</v>
      </c>
      <c r="C39" s="225" t="s">
        <v>1518</v>
      </c>
      <c r="D39" s="225" t="s">
        <v>5710</v>
      </c>
      <c r="E39" s="225">
        <v>1.0</v>
      </c>
      <c r="F39" s="225" t="s">
        <v>6542</v>
      </c>
      <c r="G39" s="1287" t="s">
        <v>6553</v>
      </c>
      <c r="H39" s="225" t="s">
        <v>1518</v>
      </c>
      <c r="I39" s="225" t="s">
        <v>1446</v>
      </c>
      <c r="J39" s="186"/>
      <c r="K39" s="1288">
        <v>44598.0</v>
      </c>
    </row>
    <row r="40">
      <c r="A40" s="186"/>
      <c r="B40" s="225" t="s">
        <v>3651</v>
      </c>
      <c r="C40" s="225" t="s">
        <v>1518</v>
      </c>
      <c r="D40" s="225" t="s">
        <v>6554</v>
      </c>
      <c r="E40" s="225">
        <v>1.0</v>
      </c>
      <c r="F40" s="225" t="s">
        <v>6542</v>
      </c>
      <c r="G40" s="1287" t="s">
        <v>6555</v>
      </c>
      <c r="H40" s="225" t="s">
        <v>1518</v>
      </c>
      <c r="I40" s="225" t="s">
        <v>1446</v>
      </c>
      <c r="J40" s="186"/>
      <c r="K40" s="1288">
        <v>44598.0</v>
      </c>
    </row>
    <row r="41">
      <c r="A41" s="186"/>
      <c r="B41" s="225" t="s">
        <v>3651</v>
      </c>
      <c r="C41" s="225" t="s">
        <v>1518</v>
      </c>
      <c r="D41" s="151" t="s">
        <v>6556</v>
      </c>
      <c r="E41" s="225">
        <v>1.0</v>
      </c>
      <c r="F41" s="225" t="s">
        <v>6542</v>
      </c>
      <c r="G41" s="1287" t="s">
        <v>6557</v>
      </c>
      <c r="H41" s="225" t="s">
        <v>1518</v>
      </c>
      <c r="I41" s="225" t="s">
        <v>1446</v>
      </c>
      <c r="J41" s="186"/>
      <c r="K41" s="1288">
        <v>44598.0</v>
      </c>
    </row>
    <row r="42">
      <c r="A42" s="185"/>
      <c r="B42" s="225" t="s">
        <v>3651</v>
      </c>
      <c r="C42" s="225" t="s">
        <v>1518</v>
      </c>
      <c r="D42" s="1071" t="s">
        <v>6558</v>
      </c>
      <c r="E42" s="225">
        <v>1.0</v>
      </c>
      <c r="F42" s="225" t="s">
        <v>6542</v>
      </c>
      <c r="G42" s="1287" t="s">
        <v>6559</v>
      </c>
      <c r="H42" s="225" t="s">
        <v>1518</v>
      </c>
      <c r="I42" s="225" t="s">
        <v>1446</v>
      </c>
      <c r="J42" s="185"/>
      <c r="K42" s="1288">
        <v>44598.0</v>
      </c>
    </row>
    <row r="43">
      <c r="A43" s="1307"/>
      <c r="B43" s="225" t="s">
        <v>3651</v>
      </c>
      <c r="C43" s="225" t="s">
        <v>1518</v>
      </c>
      <c r="D43" s="1071" t="s">
        <v>6560</v>
      </c>
      <c r="E43" s="225">
        <v>1.0</v>
      </c>
      <c r="F43" s="225">
        <v>5.5</v>
      </c>
      <c r="G43" s="1287"/>
      <c r="H43" s="225" t="s">
        <v>1518</v>
      </c>
      <c r="I43" s="225" t="s">
        <v>1446</v>
      </c>
      <c r="J43" s="1290"/>
      <c r="K43" s="1288">
        <v>46041.0</v>
      </c>
    </row>
    <row r="44" ht="31.5" customHeight="1">
      <c r="A44" s="1317" t="s">
        <v>6561</v>
      </c>
      <c r="B44" s="1318"/>
      <c r="C44" s="1318"/>
      <c r="D44" s="1318"/>
      <c r="E44" s="1318"/>
      <c r="F44" s="1318"/>
      <c r="G44" s="1318"/>
      <c r="H44" s="1318"/>
      <c r="I44" s="1318"/>
      <c r="J44" s="1318"/>
      <c r="K44" s="1319"/>
    </row>
    <row r="45" ht="31.5" customHeight="1">
      <c r="A45" s="1282" t="s">
        <v>6502</v>
      </c>
      <c r="B45" s="1282" t="s">
        <v>1436</v>
      </c>
      <c r="C45" s="1282" t="s">
        <v>6503</v>
      </c>
      <c r="D45" s="1283" t="s">
        <v>6504</v>
      </c>
      <c r="E45" s="1282" t="s">
        <v>1752</v>
      </c>
      <c r="F45" s="1282" t="s">
        <v>1438</v>
      </c>
      <c r="G45" s="1284" t="s">
        <v>1564</v>
      </c>
      <c r="H45" s="1283" t="s">
        <v>1440</v>
      </c>
      <c r="I45" s="1283" t="s">
        <v>1565</v>
      </c>
      <c r="J45" s="1282" t="s">
        <v>1562</v>
      </c>
      <c r="K45" s="1282" t="s">
        <v>1441</v>
      </c>
    </row>
    <row r="46">
      <c r="A46" s="1286" t="s">
        <v>6562</v>
      </c>
      <c r="B46" s="225" t="s">
        <v>3651</v>
      </c>
      <c r="C46" s="225" t="s">
        <v>1518</v>
      </c>
      <c r="D46" s="225" t="s">
        <v>6563</v>
      </c>
      <c r="E46" s="225">
        <v>1.0</v>
      </c>
      <c r="F46" s="225" t="s">
        <v>6542</v>
      </c>
      <c r="G46" s="1287" t="s">
        <v>6543</v>
      </c>
      <c r="H46" s="225" t="s">
        <v>1518</v>
      </c>
      <c r="I46" s="225" t="s">
        <v>1446</v>
      </c>
      <c r="J46" s="1306"/>
      <c r="K46" s="1288">
        <v>44601.0</v>
      </c>
    </row>
    <row r="47">
      <c r="A47" s="186"/>
      <c r="B47" s="225" t="s">
        <v>3651</v>
      </c>
      <c r="C47" s="225" t="s">
        <v>1518</v>
      </c>
      <c r="D47" s="225" t="s">
        <v>6564</v>
      </c>
      <c r="E47" s="225">
        <v>1.0</v>
      </c>
      <c r="F47" s="225" t="s">
        <v>6542</v>
      </c>
      <c r="G47" s="1287" t="s">
        <v>6545</v>
      </c>
      <c r="H47" s="225" t="s">
        <v>1518</v>
      </c>
      <c r="I47" s="225" t="s">
        <v>1446</v>
      </c>
      <c r="J47" s="186"/>
      <c r="K47" s="1288">
        <v>44601.0</v>
      </c>
    </row>
    <row r="48">
      <c r="A48" s="186"/>
      <c r="B48" s="225" t="s">
        <v>3651</v>
      </c>
      <c r="C48" s="225" t="s">
        <v>1518</v>
      </c>
      <c r="D48" s="225" t="s">
        <v>6565</v>
      </c>
      <c r="E48" s="225">
        <v>1.0</v>
      </c>
      <c r="F48" s="225" t="s">
        <v>6542</v>
      </c>
      <c r="G48" s="1287" t="s">
        <v>6546</v>
      </c>
      <c r="H48" s="225" t="s">
        <v>1518</v>
      </c>
      <c r="I48" s="225" t="s">
        <v>1446</v>
      </c>
      <c r="J48" s="186"/>
      <c r="K48" s="156"/>
    </row>
    <row r="49">
      <c r="A49" s="186"/>
      <c r="B49" s="225" t="s">
        <v>3651</v>
      </c>
      <c r="C49" s="225" t="s">
        <v>1518</v>
      </c>
      <c r="D49" s="225" t="s">
        <v>6566</v>
      </c>
      <c r="E49" s="225">
        <v>1.0</v>
      </c>
      <c r="F49" s="225" t="s">
        <v>6542</v>
      </c>
      <c r="G49" s="1287" t="s">
        <v>6548</v>
      </c>
      <c r="H49" s="225" t="s">
        <v>1518</v>
      </c>
      <c r="I49" s="225" t="s">
        <v>1446</v>
      </c>
      <c r="J49" s="186"/>
      <c r="K49" s="156"/>
    </row>
    <row r="50">
      <c r="A50" s="186"/>
      <c r="B50" s="225" t="s">
        <v>3651</v>
      </c>
      <c r="C50" s="225" t="s">
        <v>1518</v>
      </c>
      <c r="D50" s="225" t="s">
        <v>6567</v>
      </c>
      <c r="E50" s="225">
        <v>1.0</v>
      </c>
      <c r="F50" s="225" t="s">
        <v>6542</v>
      </c>
      <c r="G50" s="1287" t="s">
        <v>6550</v>
      </c>
      <c r="H50" s="225" t="s">
        <v>1518</v>
      </c>
      <c r="I50" s="225" t="s">
        <v>1446</v>
      </c>
      <c r="J50" s="186"/>
      <c r="K50" s="156"/>
    </row>
    <row r="51">
      <c r="A51" s="186"/>
      <c r="B51" s="225" t="s">
        <v>3651</v>
      </c>
      <c r="C51" s="225" t="s">
        <v>1518</v>
      </c>
      <c r="D51" s="225" t="s">
        <v>5724</v>
      </c>
      <c r="E51" s="225">
        <v>1.0</v>
      </c>
      <c r="F51" s="225" t="s">
        <v>6542</v>
      </c>
      <c r="G51" s="1287" t="s">
        <v>6552</v>
      </c>
      <c r="H51" s="225" t="s">
        <v>1518</v>
      </c>
      <c r="I51" s="225" t="s">
        <v>1446</v>
      </c>
      <c r="J51" s="186"/>
      <c r="K51" s="156"/>
    </row>
    <row r="52">
      <c r="A52" s="186"/>
      <c r="B52" s="225" t="s">
        <v>3651</v>
      </c>
      <c r="C52" s="225" t="s">
        <v>1518</v>
      </c>
      <c r="D52" s="225" t="s">
        <v>5725</v>
      </c>
      <c r="E52" s="225">
        <v>1.0</v>
      </c>
      <c r="F52" s="225" t="s">
        <v>6542</v>
      </c>
      <c r="G52" s="1287" t="s">
        <v>6553</v>
      </c>
      <c r="H52" s="225" t="s">
        <v>1518</v>
      </c>
      <c r="I52" s="225" t="s">
        <v>1446</v>
      </c>
      <c r="J52" s="186"/>
      <c r="K52" s="156"/>
    </row>
    <row r="53">
      <c r="A53" s="186"/>
      <c r="B53" s="225" t="s">
        <v>3651</v>
      </c>
      <c r="C53" s="225" t="s">
        <v>1518</v>
      </c>
      <c r="D53" s="225" t="s">
        <v>5726</v>
      </c>
      <c r="E53" s="225">
        <v>1.0</v>
      </c>
      <c r="F53" s="225" t="s">
        <v>6542</v>
      </c>
      <c r="G53" s="1287" t="s">
        <v>6555</v>
      </c>
      <c r="H53" s="225" t="s">
        <v>1518</v>
      </c>
      <c r="I53" s="225" t="s">
        <v>1446</v>
      </c>
      <c r="J53" s="186"/>
      <c r="K53" s="156"/>
    </row>
    <row r="54">
      <c r="A54" s="186"/>
      <c r="B54" s="225" t="s">
        <v>3651</v>
      </c>
      <c r="C54" s="225" t="s">
        <v>1518</v>
      </c>
      <c r="D54" s="225" t="s">
        <v>5727</v>
      </c>
      <c r="E54" s="225">
        <v>1.0</v>
      </c>
      <c r="F54" s="225" t="s">
        <v>6542</v>
      </c>
      <c r="G54" s="1287" t="s">
        <v>6557</v>
      </c>
      <c r="H54" s="225" t="s">
        <v>1518</v>
      </c>
      <c r="I54" s="225" t="s">
        <v>1446</v>
      </c>
      <c r="J54" s="186"/>
      <c r="K54" s="156"/>
    </row>
    <row r="55">
      <c r="A55" s="186"/>
      <c r="B55" s="225" t="s">
        <v>3651</v>
      </c>
      <c r="C55" s="225" t="s">
        <v>1518</v>
      </c>
      <c r="D55" s="225" t="s">
        <v>5728</v>
      </c>
      <c r="E55" s="225">
        <v>1.0</v>
      </c>
      <c r="F55" s="225" t="s">
        <v>6542</v>
      </c>
      <c r="G55" s="1287" t="s">
        <v>6559</v>
      </c>
      <c r="H55" s="225" t="s">
        <v>1518</v>
      </c>
      <c r="I55" s="1071" t="s">
        <v>1446</v>
      </c>
      <c r="J55" s="186"/>
      <c r="K55" s="1297"/>
    </row>
    <row r="56">
      <c r="A56" s="185"/>
      <c r="B56" s="29" t="s">
        <v>3651</v>
      </c>
      <c r="C56" s="29" t="s">
        <v>1518</v>
      </c>
      <c r="D56" s="29" t="s">
        <v>6568</v>
      </c>
      <c r="E56" s="29">
        <v>1.0</v>
      </c>
      <c r="F56" s="225" t="s">
        <v>6542</v>
      </c>
      <c r="G56" s="29" t="s">
        <v>6543</v>
      </c>
      <c r="H56" s="225" t="s">
        <v>1518</v>
      </c>
      <c r="I56" s="29" t="s">
        <v>6569</v>
      </c>
      <c r="J56" s="185"/>
      <c r="K56" s="1320">
        <v>46041.0</v>
      </c>
    </row>
    <row r="57">
      <c r="A57" s="1307"/>
      <c r="B57" s="29" t="s">
        <v>6570</v>
      </c>
      <c r="C57" s="29" t="s">
        <v>1518</v>
      </c>
      <c r="D57" s="29" t="s">
        <v>6571</v>
      </c>
      <c r="E57" s="29">
        <v>1.0</v>
      </c>
      <c r="F57" s="225"/>
      <c r="G57" s="29"/>
      <c r="H57" s="225" t="s">
        <v>1518</v>
      </c>
      <c r="I57" s="29"/>
      <c r="J57" s="1290"/>
      <c r="K57" s="1320"/>
    </row>
    <row r="58" ht="25.5" customHeight="1">
      <c r="A58" s="1279" t="s">
        <v>6572</v>
      </c>
      <c r="B58" s="1280"/>
      <c r="C58" s="1280"/>
      <c r="D58" s="1280"/>
      <c r="E58" s="1280"/>
      <c r="F58" s="1280"/>
      <c r="G58" s="1280"/>
      <c r="H58" s="1280"/>
      <c r="I58" s="1280"/>
      <c r="J58" s="1280"/>
      <c r="K58" s="1281"/>
    </row>
    <row r="59" ht="25.5" customHeight="1">
      <c r="A59" s="1282" t="s">
        <v>6502</v>
      </c>
      <c r="B59" s="1282" t="s">
        <v>1436</v>
      </c>
      <c r="C59" s="1282" t="s">
        <v>6503</v>
      </c>
      <c r="D59" s="1283" t="s">
        <v>6504</v>
      </c>
      <c r="E59" s="1282" t="s">
        <v>1752</v>
      </c>
      <c r="F59" s="1282" t="s">
        <v>1438</v>
      </c>
      <c r="G59" s="1284" t="s">
        <v>1564</v>
      </c>
      <c r="H59" s="1283" t="s">
        <v>1440</v>
      </c>
      <c r="I59" s="1283" t="s">
        <v>1565</v>
      </c>
      <c r="J59" s="1282" t="s">
        <v>1562</v>
      </c>
      <c r="K59" s="1282" t="s">
        <v>1441</v>
      </c>
    </row>
    <row r="60">
      <c r="A60" s="1286" t="s">
        <v>6573</v>
      </c>
      <c r="B60" s="225" t="s">
        <v>3651</v>
      </c>
      <c r="C60" s="225" t="s">
        <v>1518</v>
      </c>
      <c r="D60" s="225" t="s">
        <v>6563</v>
      </c>
      <c r="E60" s="225">
        <v>1.0</v>
      </c>
      <c r="F60" s="225" t="s">
        <v>6542</v>
      </c>
      <c r="G60" s="1287" t="s">
        <v>6543</v>
      </c>
      <c r="H60" s="225" t="s">
        <v>1518</v>
      </c>
      <c r="I60" s="225" t="s">
        <v>1446</v>
      </c>
      <c r="J60" s="1306"/>
      <c r="K60" s="1288">
        <v>44602.0</v>
      </c>
    </row>
    <row r="61">
      <c r="A61" s="186"/>
      <c r="B61" s="225" t="s">
        <v>3651</v>
      </c>
      <c r="C61" s="225" t="s">
        <v>1518</v>
      </c>
      <c r="D61" s="225" t="s">
        <v>6564</v>
      </c>
      <c r="E61" s="225">
        <v>1.0</v>
      </c>
      <c r="F61" s="225" t="s">
        <v>6542</v>
      </c>
      <c r="G61" s="1287" t="s">
        <v>6545</v>
      </c>
      <c r="H61" s="225" t="s">
        <v>1518</v>
      </c>
      <c r="I61" s="225" t="s">
        <v>1446</v>
      </c>
      <c r="J61" s="186"/>
      <c r="K61" s="1288">
        <f>K60</f>
        <v>44602</v>
      </c>
    </row>
    <row r="62">
      <c r="A62" s="186"/>
      <c r="B62" s="225" t="s">
        <v>3651</v>
      </c>
      <c r="C62" s="225" t="s">
        <v>1518</v>
      </c>
      <c r="D62" s="225" t="s">
        <v>6565</v>
      </c>
      <c r="E62" s="225">
        <v>1.0</v>
      </c>
      <c r="F62" s="225" t="s">
        <v>6542</v>
      </c>
      <c r="G62" s="1287" t="s">
        <v>6546</v>
      </c>
      <c r="H62" s="225" t="s">
        <v>1518</v>
      </c>
      <c r="I62" s="225" t="s">
        <v>6569</v>
      </c>
      <c r="J62" s="186"/>
      <c r="K62" s="156"/>
    </row>
    <row r="63">
      <c r="A63" s="186"/>
      <c r="B63" s="225" t="s">
        <v>3651</v>
      </c>
      <c r="C63" s="225" t="s">
        <v>1518</v>
      </c>
      <c r="D63" s="225" t="s">
        <v>6566</v>
      </c>
      <c r="E63" s="225">
        <v>1.0</v>
      </c>
      <c r="F63" s="225" t="s">
        <v>6542</v>
      </c>
      <c r="G63" s="1287" t="s">
        <v>6548</v>
      </c>
      <c r="H63" s="225" t="s">
        <v>1518</v>
      </c>
      <c r="I63" s="225" t="s">
        <v>6569</v>
      </c>
      <c r="J63" s="186"/>
      <c r="K63" s="156"/>
    </row>
    <row r="64">
      <c r="A64" s="186"/>
      <c r="B64" s="225" t="s">
        <v>3651</v>
      </c>
      <c r="C64" s="225" t="s">
        <v>1518</v>
      </c>
      <c r="D64" s="225" t="s">
        <v>6567</v>
      </c>
      <c r="E64" s="225">
        <v>1.0</v>
      </c>
      <c r="F64" s="225" t="s">
        <v>6542</v>
      </c>
      <c r="G64" s="1287" t="s">
        <v>6550</v>
      </c>
      <c r="H64" s="225" t="s">
        <v>1518</v>
      </c>
      <c r="I64" s="225" t="s">
        <v>6569</v>
      </c>
      <c r="J64" s="186"/>
      <c r="K64" s="156"/>
    </row>
    <row r="65">
      <c r="A65" s="186"/>
      <c r="B65" s="225" t="s">
        <v>3651</v>
      </c>
      <c r="C65" s="225" t="s">
        <v>1518</v>
      </c>
      <c r="D65" s="225" t="s">
        <v>5724</v>
      </c>
      <c r="E65" s="225">
        <v>1.0</v>
      </c>
      <c r="F65" s="225" t="s">
        <v>6542</v>
      </c>
      <c r="G65" s="1287" t="s">
        <v>6552</v>
      </c>
      <c r="H65" s="225" t="s">
        <v>1518</v>
      </c>
      <c r="I65" s="225" t="s">
        <v>6569</v>
      </c>
      <c r="J65" s="186"/>
      <c r="K65" s="156"/>
    </row>
    <row r="66">
      <c r="A66" s="186"/>
      <c r="B66" s="225" t="s">
        <v>3651</v>
      </c>
      <c r="C66" s="225" t="s">
        <v>1518</v>
      </c>
      <c r="D66" s="225" t="s">
        <v>5725</v>
      </c>
      <c r="E66" s="225">
        <v>1.0</v>
      </c>
      <c r="F66" s="225" t="s">
        <v>6542</v>
      </c>
      <c r="G66" s="1287" t="s">
        <v>6553</v>
      </c>
      <c r="H66" s="225" t="s">
        <v>1518</v>
      </c>
      <c r="I66" s="225" t="s">
        <v>6569</v>
      </c>
      <c r="J66" s="186"/>
      <c r="K66" s="156"/>
    </row>
    <row r="67">
      <c r="A67" s="186"/>
      <c r="B67" s="225" t="s">
        <v>3651</v>
      </c>
      <c r="C67" s="225" t="s">
        <v>1518</v>
      </c>
      <c r="D67" s="225" t="s">
        <v>5726</v>
      </c>
      <c r="E67" s="225">
        <v>1.0</v>
      </c>
      <c r="F67" s="225" t="s">
        <v>6542</v>
      </c>
      <c r="G67" s="1287" t="s">
        <v>6555</v>
      </c>
      <c r="H67" s="225" t="s">
        <v>1518</v>
      </c>
      <c r="I67" s="225" t="s">
        <v>6569</v>
      </c>
      <c r="J67" s="186"/>
      <c r="K67" s="156"/>
    </row>
    <row r="68">
      <c r="A68" s="186"/>
      <c r="B68" s="225" t="s">
        <v>3651</v>
      </c>
      <c r="C68" s="225" t="s">
        <v>1518</v>
      </c>
      <c r="D68" s="225" t="s">
        <v>5727</v>
      </c>
      <c r="E68" s="225">
        <v>1.0</v>
      </c>
      <c r="F68" s="225" t="s">
        <v>6542</v>
      </c>
      <c r="G68" s="1287" t="s">
        <v>6557</v>
      </c>
      <c r="H68" s="225" t="s">
        <v>1518</v>
      </c>
      <c r="I68" s="225" t="s">
        <v>6569</v>
      </c>
      <c r="J68" s="186"/>
      <c r="K68" s="156"/>
    </row>
    <row r="69">
      <c r="A69" s="185"/>
      <c r="B69" s="225" t="s">
        <v>3651</v>
      </c>
      <c r="C69" s="225" t="s">
        <v>1518</v>
      </c>
      <c r="D69" s="225" t="s">
        <v>5728</v>
      </c>
      <c r="E69" s="225">
        <v>1.0</v>
      </c>
      <c r="F69" s="225" t="s">
        <v>6542</v>
      </c>
      <c r="G69" s="1287" t="s">
        <v>6559</v>
      </c>
      <c r="H69" s="225" t="s">
        <v>1518</v>
      </c>
      <c r="I69" s="225" t="s">
        <v>6569</v>
      </c>
      <c r="J69" s="185"/>
      <c r="K69" s="1297"/>
    </row>
    <row r="70">
      <c r="G70" s="1321"/>
    </row>
    <row r="71">
      <c r="A71" s="1279" t="s">
        <v>6574</v>
      </c>
      <c r="B71" s="1280"/>
      <c r="C71" s="1280"/>
      <c r="D71" s="1280"/>
      <c r="E71" s="1280"/>
      <c r="F71" s="1280"/>
      <c r="G71" s="1280"/>
      <c r="H71" s="1280"/>
      <c r="I71" s="1280"/>
      <c r="J71" s="1280"/>
      <c r="K71" s="1281"/>
    </row>
    <row r="72">
      <c r="A72" s="1282" t="s">
        <v>6502</v>
      </c>
      <c r="B72" s="1282" t="s">
        <v>1436</v>
      </c>
      <c r="C72" s="1282" t="s">
        <v>6503</v>
      </c>
      <c r="D72" s="1283" t="s">
        <v>6504</v>
      </c>
      <c r="E72" s="1282" t="s">
        <v>1752</v>
      </c>
      <c r="F72" s="1282" t="s">
        <v>1438</v>
      </c>
      <c r="G72" s="1284" t="s">
        <v>1564</v>
      </c>
      <c r="H72" s="1283" t="s">
        <v>1440</v>
      </c>
      <c r="I72" s="1283" t="s">
        <v>1565</v>
      </c>
      <c r="J72" s="1282" t="s">
        <v>1562</v>
      </c>
      <c r="K72" s="1282" t="s">
        <v>1441</v>
      </c>
    </row>
    <row r="73">
      <c r="A73" s="1286" t="s">
        <v>6575</v>
      </c>
      <c r="B73" s="225" t="s">
        <v>6576</v>
      </c>
      <c r="C73" s="225" t="s">
        <v>6577</v>
      </c>
      <c r="D73" s="225"/>
      <c r="E73" s="225">
        <v>1.0</v>
      </c>
      <c r="F73" s="225"/>
      <c r="G73" s="1287">
        <v>1.0</v>
      </c>
      <c r="H73" s="225"/>
      <c r="I73" s="225" t="s">
        <v>1571</v>
      </c>
      <c r="J73" s="1306"/>
      <c r="K73" s="1288"/>
    </row>
    <row r="74">
      <c r="A74" s="186"/>
      <c r="B74" s="225" t="s">
        <v>6578</v>
      </c>
      <c r="C74" s="225" t="s">
        <v>6579</v>
      </c>
      <c r="D74" s="225"/>
      <c r="E74" s="225">
        <v>1.0</v>
      </c>
      <c r="F74" s="225"/>
      <c r="G74" s="1287">
        <v>1.0</v>
      </c>
      <c r="H74" s="225"/>
      <c r="I74" s="225" t="s">
        <v>416</v>
      </c>
      <c r="J74" s="186"/>
      <c r="K74" s="1288"/>
    </row>
    <row r="75">
      <c r="A75" s="186"/>
      <c r="B75" s="225" t="s">
        <v>6580</v>
      </c>
      <c r="C75" s="225" t="s">
        <v>6581</v>
      </c>
      <c r="D75" s="225"/>
      <c r="E75" s="225">
        <v>1.0</v>
      </c>
      <c r="F75" s="225"/>
      <c r="G75" s="1287">
        <v>1.0</v>
      </c>
      <c r="H75" s="225"/>
      <c r="I75" s="225" t="s">
        <v>421</v>
      </c>
      <c r="J75" s="186"/>
      <c r="K75" s="156"/>
    </row>
    <row r="76">
      <c r="A76" s="186"/>
      <c r="B76" s="1193"/>
      <c r="C76" s="1193"/>
      <c r="D76" s="1193"/>
      <c r="E76" s="1193"/>
      <c r="F76" s="1193"/>
      <c r="G76" s="1322"/>
      <c r="H76" s="1193"/>
      <c r="I76" s="1193"/>
      <c r="J76" s="186"/>
      <c r="K76" s="156"/>
    </row>
    <row r="77">
      <c r="A77" s="186"/>
      <c r="B77" s="151"/>
      <c r="C77" s="151"/>
      <c r="D77" s="151"/>
      <c r="E77" s="151"/>
      <c r="F77" s="151"/>
      <c r="G77" s="157"/>
      <c r="H77" s="151"/>
      <c r="I77" s="151"/>
      <c r="J77" s="186"/>
      <c r="K77" s="156"/>
    </row>
    <row r="78">
      <c r="A78" s="186"/>
      <c r="B78" s="225"/>
      <c r="C78" s="225"/>
      <c r="D78" s="225"/>
      <c r="E78" s="225"/>
      <c r="F78" s="225"/>
      <c r="G78" s="1287"/>
      <c r="H78" s="225"/>
      <c r="I78" s="225"/>
      <c r="J78" s="186"/>
      <c r="K78" s="156"/>
    </row>
    <row r="79">
      <c r="A79" s="186"/>
      <c r="B79" s="225"/>
      <c r="C79" s="225"/>
      <c r="D79" s="225"/>
      <c r="E79" s="225"/>
      <c r="F79" s="225"/>
      <c r="G79" s="1287"/>
      <c r="H79" s="225"/>
      <c r="I79" s="225"/>
      <c r="J79" s="186"/>
      <c r="K79" s="156"/>
    </row>
    <row r="80">
      <c r="A80" s="186"/>
      <c r="B80" s="225"/>
      <c r="C80" s="225"/>
      <c r="D80" s="225"/>
      <c r="E80" s="225"/>
      <c r="F80" s="225"/>
      <c r="G80" s="1287"/>
      <c r="H80" s="225"/>
      <c r="I80" s="225"/>
      <c r="J80" s="186"/>
      <c r="K80" s="156"/>
    </row>
    <row r="81">
      <c r="A81" s="186"/>
      <c r="B81" s="225"/>
      <c r="C81" s="225"/>
      <c r="D81" s="225"/>
      <c r="E81" s="225"/>
      <c r="F81" s="225"/>
      <c r="G81" s="1287"/>
      <c r="H81" s="225"/>
      <c r="I81" s="225"/>
      <c r="J81" s="186"/>
      <c r="K81" s="156"/>
    </row>
    <row r="82">
      <c r="A82" s="185"/>
      <c r="B82" s="225"/>
      <c r="C82" s="225"/>
      <c r="D82" s="225"/>
      <c r="E82" s="225"/>
      <c r="F82" s="225"/>
      <c r="G82" s="1287"/>
      <c r="H82" s="225"/>
      <c r="I82" s="225"/>
      <c r="J82" s="185"/>
      <c r="K82" s="1297"/>
    </row>
    <row r="83">
      <c r="G83" s="1321"/>
    </row>
    <row r="84">
      <c r="G84" s="1321"/>
    </row>
    <row r="85">
      <c r="A85" s="1279" t="s">
        <v>6582</v>
      </c>
      <c r="B85" s="1280"/>
      <c r="C85" s="1280"/>
      <c r="D85" s="1280"/>
      <c r="E85" s="1280"/>
      <c r="F85" s="1280"/>
      <c r="G85" s="1280"/>
      <c r="H85" s="1280"/>
      <c r="I85" s="1280"/>
      <c r="J85" s="1280"/>
      <c r="K85" s="1281"/>
    </row>
    <row r="86">
      <c r="A86" s="1282" t="s">
        <v>6502</v>
      </c>
      <c r="B86" s="1282" t="s">
        <v>1436</v>
      </c>
      <c r="C86" s="1282" t="s">
        <v>6503</v>
      </c>
      <c r="D86" s="1283" t="s">
        <v>6504</v>
      </c>
      <c r="E86" s="1282" t="s">
        <v>1752</v>
      </c>
      <c r="F86" s="1282" t="s">
        <v>1438</v>
      </c>
      <c r="G86" s="1284" t="s">
        <v>1564</v>
      </c>
      <c r="H86" s="1283" t="s">
        <v>1440</v>
      </c>
      <c r="I86" s="1283" t="s">
        <v>1565</v>
      </c>
      <c r="J86" s="1282" t="s">
        <v>1562</v>
      </c>
      <c r="K86" s="1282" t="s">
        <v>1441</v>
      </c>
    </row>
    <row r="87">
      <c r="A87" s="1286" t="s">
        <v>6583</v>
      </c>
      <c r="B87" s="225" t="s">
        <v>6578</v>
      </c>
      <c r="C87" s="225">
        <v>4948.0</v>
      </c>
      <c r="D87" s="225"/>
      <c r="E87" s="225"/>
      <c r="F87" s="225"/>
      <c r="G87" s="1287"/>
      <c r="H87" s="225"/>
      <c r="I87" s="225" t="s">
        <v>416</v>
      </c>
      <c r="J87" s="1306"/>
      <c r="K87" s="1288"/>
    </row>
    <row r="88">
      <c r="A88" s="186"/>
      <c r="B88" s="225" t="s">
        <v>6584</v>
      </c>
      <c r="C88" s="225" t="s">
        <v>6585</v>
      </c>
      <c r="D88" s="225"/>
      <c r="E88" s="225"/>
      <c r="F88" s="225"/>
      <c r="G88" s="1287"/>
      <c r="H88" s="225"/>
      <c r="I88" s="225" t="s">
        <v>6586</v>
      </c>
      <c r="J88" s="186"/>
      <c r="K88" s="1288"/>
    </row>
    <row r="89">
      <c r="A89" s="186"/>
      <c r="B89" s="225"/>
      <c r="C89" s="225"/>
      <c r="D89" s="225"/>
      <c r="E89" s="225"/>
      <c r="F89" s="225"/>
      <c r="G89" s="1287"/>
      <c r="H89" s="225"/>
      <c r="I89" s="225"/>
      <c r="J89" s="186"/>
      <c r="K89" s="156"/>
    </row>
    <row r="90">
      <c r="A90" s="186"/>
      <c r="B90" s="225"/>
      <c r="C90" s="225"/>
      <c r="D90" s="225"/>
      <c r="E90" s="225"/>
      <c r="F90" s="225"/>
      <c r="G90" s="1287"/>
      <c r="H90" s="225"/>
      <c r="I90" s="225"/>
      <c r="J90" s="186"/>
      <c r="K90" s="156"/>
    </row>
    <row r="91">
      <c r="A91" s="186"/>
      <c r="B91" s="225"/>
      <c r="C91" s="225"/>
      <c r="D91" s="225"/>
      <c r="E91" s="225"/>
      <c r="F91" s="225"/>
      <c r="G91" s="1287"/>
      <c r="H91" s="225"/>
      <c r="I91" s="225"/>
      <c r="J91" s="186"/>
      <c r="K91" s="156"/>
    </row>
    <row r="92">
      <c r="A92" s="186"/>
      <c r="B92" s="225"/>
      <c r="C92" s="225"/>
      <c r="D92" s="225"/>
      <c r="E92" s="225"/>
      <c r="F92" s="225"/>
      <c r="G92" s="1287"/>
      <c r="H92" s="225"/>
      <c r="I92" s="225"/>
      <c r="J92" s="186"/>
      <c r="K92" s="156"/>
    </row>
    <row r="93">
      <c r="A93" s="186"/>
      <c r="B93" s="225"/>
      <c r="C93" s="225"/>
      <c r="D93" s="225"/>
      <c r="E93" s="225"/>
      <c r="F93" s="225"/>
      <c r="G93" s="1287"/>
      <c r="H93" s="225"/>
      <c r="I93" s="225"/>
      <c r="J93" s="186"/>
      <c r="K93" s="156"/>
    </row>
    <row r="94">
      <c r="A94" s="186"/>
      <c r="B94" s="225"/>
      <c r="C94" s="225"/>
      <c r="D94" s="225"/>
      <c r="E94" s="225"/>
      <c r="F94" s="225"/>
      <c r="G94" s="1287"/>
      <c r="H94" s="225"/>
      <c r="I94" s="225"/>
      <c r="J94" s="186"/>
      <c r="K94" s="156"/>
    </row>
    <row r="95">
      <c r="A95" s="186"/>
      <c r="B95" s="225"/>
      <c r="C95" s="225"/>
      <c r="D95" s="225"/>
      <c r="E95" s="225"/>
      <c r="F95" s="225"/>
      <c r="G95" s="1287"/>
      <c r="H95" s="225"/>
      <c r="I95" s="225"/>
      <c r="J95" s="186"/>
      <c r="K95" s="156"/>
    </row>
    <row r="96">
      <c r="A96" s="185"/>
      <c r="B96" s="225"/>
      <c r="C96" s="225"/>
      <c r="D96" s="225"/>
      <c r="E96" s="225"/>
      <c r="F96" s="225"/>
      <c r="G96" s="1287"/>
      <c r="H96" s="225"/>
      <c r="I96" s="225"/>
      <c r="J96" s="185"/>
      <c r="K96" s="1297"/>
    </row>
    <row r="97">
      <c r="G97" s="1321"/>
    </row>
    <row r="98">
      <c r="G98" s="1321"/>
    </row>
    <row r="99">
      <c r="G99" s="1321"/>
    </row>
    <row r="100">
      <c r="G100" s="1321"/>
    </row>
    <row r="101">
      <c r="G101" s="1321"/>
    </row>
    <row r="102">
      <c r="A102" s="1279" t="s">
        <v>6587</v>
      </c>
      <c r="B102" s="1280"/>
      <c r="C102" s="1280"/>
      <c r="D102" s="1280"/>
      <c r="E102" s="1280"/>
      <c r="F102" s="1280"/>
      <c r="G102" s="1280"/>
      <c r="H102" s="1280"/>
      <c r="I102" s="1280"/>
      <c r="J102" s="1280"/>
      <c r="K102" s="1281"/>
    </row>
    <row r="103">
      <c r="A103" s="1282" t="s">
        <v>6502</v>
      </c>
      <c r="B103" s="1282" t="s">
        <v>1436</v>
      </c>
      <c r="C103" s="1282" t="s">
        <v>6503</v>
      </c>
      <c r="D103" s="1283" t="s">
        <v>6504</v>
      </c>
      <c r="E103" s="1282" t="s">
        <v>1752</v>
      </c>
      <c r="F103" s="1282" t="s">
        <v>1438</v>
      </c>
      <c r="G103" s="1284" t="s">
        <v>1564</v>
      </c>
      <c r="H103" s="1283" t="s">
        <v>1440</v>
      </c>
      <c r="I103" s="1283" t="s">
        <v>1565</v>
      </c>
      <c r="J103" s="1282" t="s">
        <v>1562</v>
      </c>
      <c r="K103" s="1282" t="s">
        <v>1441</v>
      </c>
    </row>
    <row r="104">
      <c r="A104" s="1286" t="s">
        <v>6588</v>
      </c>
      <c r="B104" s="225"/>
      <c r="C104" s="225"/>
      <c r="D104" s="225"/>
      <c r="E104" s="225"/>
      <c r="F104" s="225"/>
      <c r="G104" s="1287"/>
      <c r="H104" s="225"/>
      <c r="I104" s="225"/>
      <c r="J104" s="1306"/>
      <c r="K104" s="1288"/>
    </row>
    <row r="105">
      <c r="A105" s="186"/>
      <c r="B105" s="225"/>
      <c r="C105" s="225"/>
      <c r="D105" s="225"/>
      <c r="E105" s="225"/>
      <c r="F105" s="225"/>
      <c r="G105" s="1287"/>
      <c r="H105" s="225"/>
      <c r="I105" s="225"/>
      <c r="J105" s="186"/>
      <c r="K105" s="1288"/>
    </row>
    <row r="106">
      <c r="A106" s="186"/>
      <c r="B106" s="225"/>
      <c r="C106" s="225"/>
      <c r="D106" s="225"/>
      <c r="E106" s="225"/>
      <c r="F106" s="225"/>
      <c r="G106" s="1287"/>
      <c r="H106" s="225"/>
      <c r="I106" s="225"/>
      <c r="J106" s="186"/>
      <c r="K106" s="156"/>
    </row>
    <row r="107">
      <c r="A107" s="186"/>
      <c r="B107" s="225"/>
      <c r="C107" s="225"/>
      <c r="D107" s="225"/>
      <c r="E107" s="225"/>
      <c r="F107" s="225"/>
      <c r="G107" s="1287"/>
      <c r="H107" s="225"/>
      <c r="I107" s="225"/>
      <c r="J107" s="186"/>
      <c r="K107" s="156"/>
    </row>
    <row r="108">
      <c r="A108" s="186"/>
      <c r="B108" s="225"/>
      <c r="C108" s="225"/>
      <c r="D108" s="225"/>
      <c r="E108" s="225"/>
      <c r="F108" s="225"/>
      <c r="G108" s="1287"/>
      <c r="H108" s="225"/>
      <c r="I108" s="225"/>
      <c r="J108" s="186"/>
      <c r="K108" s="156"/>
    </row>
    <row r="109">
      <c r="A109" s="186"/>
      <c r="B109" s="225"/>
      <c r="C109" s="225"/>
      <c r="D109" s="225"/>
      <c r="E109" s="225"/>
      <c r="F109" s="225"/>
      <c r="G109" s="1287"/>
      <c r="H109" s="225"/>
      <c r="I109" s="225"/>
      <c r="J109" s="186"/>
      <c r="K109" s="156"/>
    </row>
    <row r="110">
      <c r="A110" s="186"/>
      <c r="B110" s="225"/>
      <c r="C110" s="225"/>
      <c r="D110" s="225"/>
      <c r="E110" s="225"/>
      <c r="F110" s="225"/>
      <c r="G110" s="1287"/>
      <c r="H110" s="225"/>
      <c r="I110" s="225"/>
      <c r="J110" s="186"/>
      <c r="K110" s="156"/>
    </row>
    <row r="111">
      <c r="A111" s="186"/>
      <c r="B111" s="225"/>
      <c r="C111" s="225"/>
      <c r="D111" s="225"/>
      <c r="E111" s="225"/>
      <c r="F111" s="225"/>
      <c r="G111" s="1287"/>
      <c r="H111" s="225"/>
      <c r="I111" s="225"/>
      <c r="J111" s="186"/>
      <c r="K111" s="156"/>
    </row>
    <row r="112">
      <c r="A112" s="186"/>
      <c r="B112" s="225"/>
      <c r="C112" s="225"/>
      <c r="D112" s="225"/>
      <c r="E112" s="225"/>
      <c r="F112" s="225"/>
      <c r="G112" s="1287"/>
      <c r="H112" s="225"/>
      <c r="I112" s="225"/>
      <c r="J112" s="186"/>
      <c r="K112" s="156"/>
    </row>
    <row r="113">
      <c r="A113" s="185"/>
      <c r="B113" s="225"/>
      <c r="C113" s="225"/>
      <c r="D113" s="225"/>
      <c r="E113" s="225"/>
      <c r="F113" s="225"/>
      <c r="G113" s="1287"/>
      <c r="H113" s="225"/>
      <c r="I113" s="225"/>
      <c r="J113" s="185"/>
      <c r="K113" s="1297"/>
    </row>
    <row r="114">
      <c r="G114" s="1321"/>
    </row>
    <row r="115">
      <c r="G115" s="1321"/>
    </row>
    <row r="116">
      <c r="G116" s="1321"/>
    </row>
    <row r="117">
      <c r="G117" s="1321"/>
    </row>
    <row r="118">
      <c r="A118" s="1279" t="s">
        <v>6589</v>
      </c>
      <c r="B118" s="1280"/>
      <c r="C118" s="1280"/>
      <c r="D118" s="1280"/>
      <c r="E118" s="1280"/>
      <c r="F118" s="1280"/>
      <c r="G118" s="1280"/>
      <c r="H118" s="1280"/>
      <c r="I118" s="1280"/>
      <c r="J118" s="1280"/>
      <c r="K118" s="1281"/>
    </row>
    <row r="119">
      <c r="A119" s="1282" t="s">
        <v>6502</v>
      </c>
      <c r="B119" s="1282" t="s">
        <v>1436</v>
      </c>
      <c r="C119" s="1282" t="s">
        <v>6503</v>
      </c>
      <c r="D119" s="1283" t="s">
        <v>6504</v>
      </c>
      <c r="E119" s="1282" t="s">
        <v>1752</v>
      </c>
      <c r="F119" s="1282" t="s">
        <v>1438</v>
      </c>
      <c r="G119" s="1284" t="s">
        <v>1564</v>
      </c>
      <c r="H119" s="1283" t="s">
        <v>1440</v>
      </c>
      <c r="I119" s="1283" t="s">
        <v>1565</v>
      </c>
      <c r="J119" s="1282" t="s">
        <v>1562</v>
      </c>
      <c r="K119" s="1282" t="s">
        <v>1441</v>
      </c>
    </row>
    <row r="120">
      <c r="A120" s="1286" t="s">
        <v>6590</v>
      </c>
      <c r="B120" s="225"/>
      <c r="C120" s="225"/>
      <c r="D120" s="225"/>
      <c r="E120" s="225"/>
      <c r="F120" s="225"/>
      <c r="G120" s="1287"/>
      <c r="H120" s="225"/>
      <c r="I120" s="225"/>
      <c r="J120" s="1306"/>
      <c r="K120" s="1288"/>
    </row>
    <row r="121">
      <c r="A121" s="186"/>
      <c r="B121" s="225"/>
      <c r="C121" s="225"/>
      <c r="D121" s="225"/>
      <c r="E121" s="225"/>
      <c r="F121" s="225"/>
      <c r="G121" s="1287"/>
      <c r="H121" s="225"/>
      <c r="I121" s="225"/>
      <c r="J121" s="186"/>
      <c r="K121" s="1288"/>
    </row>
    <row r="122">
      <c r="A122" s="186"/>
      <c r="B122" s="225"/>
      <c r="C122" s="225"/>
      <c r="D122" s="225"/>
      <c r="E122" s="225"/>
      <c r="F122" s="225"/>
      <c r="G122" s="1287"/>
      <c r="H122" s="225"/>
      <c r="I122" s="225"/>
      <c r="J122" s="186"/>
      <c r="K122" s="156"/>
    </row>
    <row r="123">
      <c r="A123" s="186"/>
      <c r="B123" s="225"/>
      <c r="C123" s="225"/>
      <c r="D123" s="225"/>
      <c r="E123" s="225"/>
      <c r="F123" s="225"/>
      <c r="G123" s="1287"/>
      <c r="H123" s="225"/>
      <c r="I123" s="225"/>
      <c r="J123" s="186"/>
      <c r="K123" s="156"/>
    </row>
    <row r="124">
      <c r="A124" s="186"/>
      <c r="B124" s="225"/>
      <c r="C124" s="225"/>
      <c r="D124" s="225"/>
      <c r="E124" s="225"/>
      <c r="F124" s="225"/>
      <c r="G124" s="1287"/>
      <c r="H124" s="225"/>
      <c r="I124" s="225"/>
      <c r="J124" s="186"/>
      <c r="K124" s="156"/>
    </row>
    <row r="125">
      <c r="A125" s="186"/>
      <c r="B125" s="225"/>
      <c r="C125" s="225"/>
      <c r="D125" s="225"/>
      <c r="E125" s="225"/>
      <c r="F125" s="225"/>
      <c r="G125" s="1287"/>
      <c r="H125" s="225"/>
      <c r="I125" s="225"/>
      <c r="J125" s="186"/>
      <c r="K125" s="156"/>
    </row>
    <row r="126">
      <c r="A126" s="186"/>
      <c r="B126" s="225"/>
      <c r="C126" s="225"/>
      <c r="D126" s="225"/>
      <c r="E126" s="225"/>
      <c r="F126" s="225"/>
      <c r="G126" s="1287"/>
      <c r="H126" s="225"/>
      <c r="I126" s="225"/>
      <c r="J126" s="186"/>
      <c r="K126" s="156"/>
    </row>
    <row r="127">
      <c r="A127" s="186"/>
      <c r="B127" s="225"/>
      <c r="C127" s="225"/>
      <c r="D127" s="225"/>
      <c r="E127" s="225"/>
      <c r="F127" s="225"/>
      <c r="G127" s="1287"/>
      <c r="H127" s="225"/>
      <c r="I127" s="225"/>
      <c r="J127" s="186"/>
      <c r="K127" s="156"/>
    </row>
    <row r="128">
      <c r="A128" s="186"/>
      <c r="B128" s="225"/>
      <c r="C128" s="225"/>
      <c r="D128" s="225"/>
      <c r="E128" s="225"/>
      <c r="F128" s="225"/>
      <c r="G128" s="1287"/>
      <c r="H128" s="225"/>
      <c r="I128" s="225"/>
      <c r="J128" s="186"/>
      <c r="K128" s="156"/>
    </row>
    <row r="129">
      <c r="A129" s="185"/>
      <c r="B129" s="225"/>
      <c r="C129" s="225"/>
      <c r="D129" s="225"/>
      <c r="E129" s="225"/>
      <c r="F129" s="225"/>
      <c r="G129" s="1287"/>
      <c r="H129" s="225"/>
      <c r="I129" s="225"/>
      <c r="J129" s="185"/>
      <c r="K129" s="1297"/>
    </row>
    <row r="130">
      <c r="G130" s="1321"/>
    </row>
    <row r="131">
      <c r="G131" s="1321"/>
    </row>
    <row r="132">
      <c r="G132" s="1321"/>
    </row>
    <row r="133">
      <c r="A133" s="1279" t="s">
        <v>6591</v>
      </c>
      <c r="B133" s="1280"/>
      <c r="C133" s="1280"/>
      <c r="D133" s="1280"/>
      <c r="E133" s="1280"/>
      <c r="F133" s="1280"/>
      <c r="G133" s="1280"/>
      <c r="H133" s="1280"/>
      <c r="I133" s="1280"/>
      <c r="J133" s="1280"/>
      <c r="K133" s="1281"/>
    </row>
    <row r="134">
      <c r="A134" s="1282" t="s">
        <v>6502</v>
      </c>
      <c r="B134" s="1282" t="s">
        <v>1436</v>
      </c>
      <c r="C134" s="1282" t="s">
        <v>6503</v>
      </c>
      <c r="D134" s="1283" t="s">
        <v>6504</v>
      </c>
      <c r="E134" s="1282" t="s">
        <v>1752</v>
      </c>
      <c r="F134" s="1282" t="s">
        <v>1438</v>
      </c>
      <c r="G134" s="1284" t="s">
        <v>1564</v>
      </c>
      <c r="H134" s="1283" t="s">
        <v>1440</v>
      </c>
      <c r="I134" s="1283" t="s">
        <v>1565</v>
      </c>
      <c r="J134" s="1282" t="s">
        <v>1562</v>
      </c>
      <c r="K134" s="1282" t="s">
        <v>1441</v>
      </c>
    </row>
    <row r="135">
      <c r="A135" s="1286" t="s">
        <v>6592</v>
      </c>
      <c r="B135" s="225"/>
      <c r="C135" s="225"/>
      <c r="D135" s="225"/>
      <c r="E135" s="225"/>
      <c r="F135" s="225"/>
      <c r="G135" s="1287"/>
      <c r="H135" s="225"/>
      <c r="I135" s="225"/>
      <c r="J135" s="1306"/>
      <c r="K135" s="1288"/>
    </row>
    <row r="136">
      <c r="A136" s="186"/>
      <c r="B136" s="225"/>
      <c r="C136" s="225"/>
      <c r="D136" s="225"/>
      <c r="E136" s="225"/>
      <c r="F136" s="225"/>
      <c r="G136" s="1287"/>
      <c r="H136" s="225"/>
      <c r="I136" s="225"/>
      <c r="J136" s="186"/>
      <c r="K136" s="1288"/>
    </row>
    <row r="137">
      <c r="A137" s="186"/>
      <c r="B137" s="225"/>
      <c r="C137" s="225"/>
      <c r="D137" s="225"/>
      <c r="E137" s="225"/>
      <c r="F137" s="225"/>
      <c r="G137" s="1287"/>
      <c r="H137" s="225"/>
      <c r="I137" s="225"/>
      <c r="J137" s="186"/>
      <c r="K137" s="156"/>
    </row>
    <row r="138">
      <c r="A138" s="186"/>
      <c r="B138" s="225"/>
      <c r="C138" s="225"/>
      <c r="D138" s="225"/>
      <c r="E138" s="225"/>
      <c r="F138" s="225"/>
      <c r="G138" s="1287"/>
      <c r="H138" s="225"/>
      <c r="I138" s="225"/>
      <c r="J138" s="186"/>
      <c r="K138" s="156"/>
    </row>
    <row r="139">
      <c r="A139" s="186"/>
      <c r="B139" s="225"/>
      <c r="C139" s="225"/>
      <c r="D139" s="225"/>
      <c r="E139" s="225"/>
      <c r="F139" s="225"/>
      <c r="G139" s="1287"/>
      <c r="H139" s="225"/>
      <c r="I139" s="225"/>
      <c r="J139" s="186"/>
      <c r="K139" s="156"/>
    </row>
    <row r="140">
      <c r="A140" s="186"/>
      <c r="B140" s="225"/>
      <c r="C140" s="225"/>
      <c r="D140" s="225"/>
      <c r="E140" s="225"/>
      <c r="F140" s="225"/>
      <c r="G140" s="1287"/>
      <c r="H140" s="225"/>
      <c r="I140" s="225"/>
      <c r="J140" s="186"/>
      <c r="K140" s="156"/>
    </row>
    <row r="141">
      <c r="A141" s="186"/>
      <c r="B141" s="225"/>
      <c r="C141" s="225"/>
      <c r="D141" s="225"/>
      <c r="E141" s="225"/>
      <c r="F141" s="225"/>
      <c r="G141" s="1287"/>
      <c r="H141" s="225"/>
      <c r="I141" s="225"/>
      <c r="J141" s="186"/>
      <c r="K141" s="156"/>
    </row>
    <row r="142">
      <c r="A142" s="186"/>
      <c r="B142" s="225"/>
      <c r="C142" s="225"/>
      <c r="D142" s="225"/>
      <c r="E142" s="225"/>
      <c r="F142" s="225"/>
      <c r="G142" s="1287"/>
      <c r="H142" s="225"/>
      <c r="I142" s="225"/>
      <c r="J142" s="186"/>
      <c r="K142" s="156"/>
    </row>
    <row r="143">
      <c r="A143" s="186"/>
      <c r="B143" s="225"/>
      <c r="C143" s="225"/>
      <c r="D143" s="225"/>
      <c r="E143" s="225"/>
      <c r="F143" s="225"/>
      <c r="G143" s="1287"/>
      <c r="H143" s="225"/>
      <c r="I143" s="225"/>
      <c r="J143" s="186"/>
      <c r="K143" s="156"/>
    </row>
    <row r="144">
      <c r="A144" s="185"/>
      <c r="B144" s="225"/>
      <c r="C144" s="225"/>
      <c r="D144" s="225"/>
      <c r="E144" s="225"/>
      <c r="F144" s="225"/>
      <c r="G144" s="1287"/>
      <c r="H144" s="225"/>
      <c r="I144" s="225"/>
      <c r="J144" s="185"/>
      <c r="K144" s="1297"/>
    </row>
    <row r="145">
      <c r="G145" s="1321"/>
    </row>
    <row r="146">
      <c r="G146" s="1321"/>
    </row>
    <row r="147">
      <c r="G147" s="1321"/>
    </row>
    <row r="148">
      <c r="G148" s="1321"/>
    </row>
    <row r="149">
      <c r="G149" s="1321"/>
    </row>
    <row r="150">
      <c r="G150" s="1321"/>
    </row>
    <row r="151">
      <c r="G151" s="1321"/>
    </row>
    <row r="152">
      <c r="G152" s="1321"/>
    </row>
    <row r="153">
      <c r="G153" s="1321"/>
    </row>
    <row r="154">
      <c r="G154" s="1321"/>
    </row>
    <row r="155">
      <c r="G155" s="1321"/>
    </row>
    <row r="156">
      <c r="G156" s="1321"/>
    </row>
    <row r="157">
      <c r="G157" s="1321"/>
    </row>
    <row r="158">
      <c r="G158" s="1321"/>
    </row>
    <row r="159">
      <c r="G159" s="1321"/>
    </row>
    <row r="160">
      <c r="G160" s="1321"/>
    </row>
    <row r="161">
      <c r="G161" s="1321"/>
    </row>
    <row r="162">
      <c r="G162" s="1321"/>
    </row>
    <row r="163">
      <c r="G163" s="1321"/>
    </row>
    <row r="164">
      <c r="G164" s="1321"/>
    </row>
    <row r="165">
      <c r="G165" s="1321"/>
    </row>
    <row r="166">
      <c r="G166" s="1321"/>
    </row>
    <row r="167">
      <c r="G167" s="1321"/>
    </row>
    <row r="168">
      <c r="G168" s="1321"/>
    </row>
    <row r="169">
      <c r="G169" s="1321"/>
    </row>
    <row r="170">
      <c r="G170" s="1321"/>
    </row>
    <row r="171">
      <c r="G171" s="1321"/>
    </row>
    <row r="172">
      <c r="G172" s="1321"/>
    </row>
    <row r="173">
      <c r="G173" s="1321"/>
    </row>
    <row r="174">
      <c r="G174" s="1321"/>
    </row>
    <row r="175">
      <c r="G175" s="1321"/>
    </row>
    <row r="176">
      <c r="G176" s="1321"/>
    </row>
    <row r="177">
      <c r="G177" s="1321"/>
    </row>
    <row r="178">
      <c r="G178" s="1321"/>
    </row>
    <row r="179">
      <c r="G179" s="1321"/>
    </row>
    <row r="180">
      <c r="G180" s="1321"/>
    </row>
    <row r="181">
      <c r="G181" s="1321"/>
    </row>
    <row r="182">
      <c r="G182" s="1321"/>
    </row>
    <row r="183">
      <c r="G183" s="1321"/>
    </row>
    <row r="184">
      <c r="G184" s="1321"/>
    </row>
    <row r="185">
      <c r="G185" s="1321"/>
    </row>
    <row r="186">
      <c r="G186" s="1321"/>
    </row>
    <row r="187">
      <c r="G187" s="1321"/>
    </row>
    <row r="188">
      <c r="G188" s="1321"/>
    </row>
    <row r="189">
      <c r="G189" s="1321"/>
    </row>
    <row r="190">
      <c r="G190" s="1321"/>
    </row>
    <row r="191">
      <c r="G191" s="1321"/>
    </row>
    <row r="192">
      <c r="G192" s="1321"/>
    </row>
    <row r="193">
      <c r="G193" s="1321"/>
    </row>
    <row r="194">
      <c r="G194" s="1321"/>
    </row>
    <row r="195">
      <c r="G195" s="1321"/>
    </row>
    <row r="196">
      <c r="G196" s="1321"/>
    </row>
    <row r="197">
      <c r="G197" s="1321"/>
    </row>
    <row r="198">
      <c r="G198" s="1321"/>
    </row>
    <row r="199">
      <c r="G199" s="1321"/>
    </row>
    <row r="200">
      <c r="G200" s="1321"/>
    </row>
    <row r="201">
      <c r="G201" s="1321"/>
    </row>
    <row r="202">
      <c r="G202" s="1321"/>
    </row>
    <row r="203">
      <c r="G203" s="1321"/>
    </row>
    <row r="204">
      <c r="G204" s="1321"/>
    </row>
    <row r="205">
      <c r="G205" s="1321"/>
    </row>
    <row r="206">
      <c r="G206" s="1321"/>
    </row>
    <row r="207">
      <c r="G207" s="1321"/>
    </row>
    <row r="208">
      <c r="G208" s="1321"/>
    </row>
    <row r="209">
      <c r="G209" s="1321"/>
    </row>
    <row r="210">
      <c r="G210" s="1321"/>
    </row>
    <row r="211">
      <c r="G211" s="1321"/>
    </row>
    <row r="212">
      <c r="G212" s="1321"/>
    </row>
    <row r="213">
      <c r="G213" s="1321"/>
    </row>
    <row r="214">
      <c r="G214" s="1321"/>
    </row>
    <row r="215">
      <c r="G215" s="1321"/>
    </row>
    <row r="216">
      <c r="G216" s="1321"/>
    </row>
    <row r="217">
      <c r="G217" s="1321"/>
    </row>
    <row r="218">
      <c r="G218" s="1321"/>
    </row>
    <row r="219">
      <c r="G219" s="1321"/>
    </row>
    <row r="220">
      <c r="G220" s="1321"/>
    </row>
    <row r="221">
      <c r="G221" s="1321"/>
    </row>
    <row r="222">
      <c r="G222" s="1321"/>
    </row>
    <row r="223">
      <c r="G223" s="1321"/>
    </row>
    <row r="224">
      <c r="G224" s="1321"/>
    </row>
    <row r="225">
      <c r="G225" s="1321"/>
    </row>
    <row r="226">
      <c r="G226" s="1321"/>
    </row>
    <row r="227">
      <c r="G227" s="1321"/>
    </row>
    <row r="228">
      <c r="G228" s="1321"/>
    </row>
    <row r="229">
      <c r="G229" s="1321"/>
    </row>
    <row r="230">
      <c r="G230" s="1321"/>
    </row>
    <row r="231">
      <c r="G231" s="1321"/>
    </row>
    <row r="232">
      <c r="G232" s="1321"/>
    </row>
    <row r="233">
      <c r="G233" s="1321"/>
    </row>
    <row r="234">
      <c r="G234" s="1321"/>
    </row>
    <row r="235">
      <c r="G235" s="1321"/>
    </row>
    <row r="236">
      <c r="G236" s="1321"/>
    </row>
    <row r="237">
      <c r="G237" s="1321"/>
    </row>
    <row r="238">
      <c r="G238" s="1321"/>
    </row>
    <row r="239">
      <c r="G239" s="1321"/>
    </row>
    <row r="240">
      <c r="G240" s="1321"/>
    </row>
    <row r="241">
      <c r="G241" s="1321"/>
    </row>
    <row r="242">
      <c r="G242" s="1321"/>
    </row>
    <row r="243">
      <c r="G243" s="1321"/>
    </row>
    <row r="244">
      <c r="G244" s="1321"/>
    </row>
    <row r="245">
      <c r="G245" s="1321"/>
    </row>
    <row r="246">
      <c r="G246" s="1321"/>
    </row>
    <row r="247">
      <c r="G247" s="1321"/>
    </row>
    <row r="248">
      <c r="G248" s="1321"/>
    </row>
    <row r="249">
      <c r="G249" s="1321"/>
    </row>
    <row r="250">
      <c r="G250" s="1321"/>
    </row>
    <row r="251">
      <c r="G251" s="1321"/>
    </row>
    <row r="252">
      <c r="G252" s="1321"/>
    </row>
    <row r="253">
      <c r="G253" s="1321"/>
    </row>
    <row r="254">
      <c r="G254" s="1321"/>
    </row>
    <row r="255">
      <c r="G255" s="1321"/>
    </row>
    <row r="256">
      <c r="G256" s="1321"/>
    </row>
    <row r="257">
      <c r="G257" s="1321"/>
    </row>
    <row r="258">
      <c r="G258" s="1321"/>
    </row>
    <row r="259">
      <c r="G259" s="1321"/>
    </row>
    <row r="260">
      <c r="G260" s="1321"/>
    </row>
    <row r="261">
      <c r="G261" s="1321"/>
    </row>
    <row r="262">
      <c r="G262" s="1321"/>
    </row>
    <row r="263">
      <c r="G263" s="1321"/>
    </row>
    <row r="264">
      <c r="G264" s="1321"/>
    </row>
    <row r="265">
      <c r="G265" s="1321"/>
    </row>
    <row r="266">
      <c r="G266" s="1321"/>
    </row>
    <row r="267">
      <c r="G267" s="1321"/>
    </row>
    <row r="268">
      <c r="G268" s="1321"/>
    </row>
    <row r="269">
      <c r="G269" s="1321"/>
    </row>
    <row r="270">
      <c r="G270" s="1321"/>
    </row>
    <row r="271">
      <c r="G271" s="1321"/>
    </row>
    <row r="272">
      <c r="G272" s="1321"/>
    </row>
    <row r="273">
      <c r="G273" s="1321"/>
    </row>
    <row r="274">
      <c r="G274" s="1321"/>
    </row>
    <row r="275">
      <c r="G275" s="1321"/>
    </row>
    <row r="276">
      <c r="G276" s="1321"/>
    </row>
    <row r="277">
      <c r="G277" s="1321"/>
    </row>
    <row r="278">
      <c r="G278" s="1321"/>
    </row>
    <row r="279">
      <c r="G279" s="1321"/>
    </row>
    <row r="280">
      <c r="G280" s="1321"/>
    </row>
    <row r="281">
      <c r="G281" s="1321"/>
    </row>
    <row r="282">
      <c r="G282" s="1321"/>
    </row>
    <row r="283">
      <c r="G283" s="1321"/>
    </row>
    <row r="284">
      <c r="G284" s="1321"/>
    </row>
    <row r="285">
      <c r="G285" s="1321"/>
    </row>
    <row r="286">
      <c r="G286" s="1321"/>
    </row>
    <row r="287">
      <c r="G287" s="1321"/>
    </row>
    <row r="288">
      <c r="G288" s="1321"/>
    </row>
    <row r="289">
      <c r="G289" s="1321"/>
    </row>
    <row r="290">
      <c r="G290" s="1321"/>
    </row>
    <row r="291">
      <c r="G291" s="1321"/>
    </row>
    <row r="292">
      <c r="G292" s="1321"/>
    </row>
    <row r="293">
      <c r="G293" s="1321"/>
    </row>
    <row r="294">
      <c r="G294" s="1321"/>
    </row>
    <row r="295">
      <c r="G295" s="1321"/>
    </row>
    <row r="296">
      <c r="G296" s="1321"/>
    </row>
    <row r="297">
      <c r="G297" s="1321"/>
    </row>
    <row r="298">
      <c r="G298" s="1321"/>
    </row>
    <row r="299">
      <c r="G299" s="1321"/>
    </row>
    <row r="300">
      <c r="G300" s="1321"/>
    </row>
    <row r="301">
      <c r="G301" s="1321"/>
    </row>
    <row r="302">
      <c r="G302" s="1321"/>
    </row>
    <row r="303">
      <c r="G303" s="1321"/>
    </row>
    <row r="304">
      <c r="G304" s="1321"/>
    </row>
    <row r="305">
      <c r="G305" s="1321"/>
    </row>
    <row r="306">
      <c r="G306" s="1321"/>
    </row>
    <row r="307">
      <c r="G307" s="1321"/>
    </row>
    <row r="308">
      <c r="G308" s="1321"/>
    </row>
    <row r="309">
      <c r="G309" s="1321"/>
    </row>
    <row r="310">
      <c r="G310" s="1321"/>
    </row>
    <row r="311">
      <c r="G311" s="1321"/>
    </row>
    <row r="312">
      <c r="G312" s="1321"/>
    </row>
    <row r="313">
      <c r="G313" s="1321"/>
    </row>
    <row r="314">
      <c r="G314" s="1321"/>
    </row>
    <row r="315">
      <c r="G315" s="1321"/>
    </row>
    <row r="316">
      <c r="G316" s="1321"/>
    </row>
    <row r="317">
      <c r="G317" s="1321"/>
    </row>
    <row r="318">
      <c r="G318" s="1321"/>
    </row>
    <row r="319">
      <c r="G319" s="1321"/>
    </row>
    <row r="320">
      <c r="G320" s="1321"/>
    </row>
    <row r="321">
      <c r="G321" s="1321"/>
    </row>
    <row r="322">
      <c r="G322" s="1321"/>
    </row>
    <row r="323">
      <c r="G323" s="1321"/>
    </row>
    <row r="324">
      <c r="G324" s="1321"/>
    </row>
    <row r="325">
      <c r="G325" s="1321"/>
    </row>
    <row r="326">
      <c r="G326" s="1321"/>
    </row>
    <row r="327">
      <c r="G327" s="1321"/>
    </row>
    <row r="328">
      <c r="G328" s="1321"/>
    </row>
    <row r="329">
      <c r="G329" s="1321"/>
    </row>
    <row r="330">
      <c r="G330" s="1321"/>
    </row>
    <row r="331">
      <c r="G331" s="1321"/>
    </row>
    <row r="332">
      <c r="G332" s="1321"/>
    </row>
    <row r="333">
      <c r="G333" s="1321"/>
    </row>
    <row r="334">
      <c r="G334" s="1321"/>
    </row>
    <row r="335">
      <c r="G335" s="1321"/>
    </row>
    <row r="336">
      <c r="G336" s="1321"/>
    </row>
    <row r="337">
      <c r="G337" s="1321"/>
    </row>
    <row r="338">
      <c r="G338" s="1321"/>
    </row>
    <row r="339">
      <c r="G339" s="1321"/>
    </row>
    <row r="340">
      <c r="G340" s="1321"/>
    </row>
    <row r="341">
      <c r="G341" s="1321"/>
    </row>
    <row r="342">
      <c r="G342" s="1321"/>
    </row>
    <row r="343">
      <c r="G343" s="1321"/>
    </row>
    <row r="344">
      <c r="G344" s="1321"/>
    </row>
    <row r="345">
      <c r="G345" s="1321"/>
    </row>
    <row r="346">
      <c r="G346" s="1321"/>
    </row>
    <row r="347">
      <c r="G347" s="1321"/>
    </row>
    <row r="348">
      <c r="G348" s="1321"/>
    </row>
    <row r="349">
      <c r="G349" s="1321"/>
    </row>
    <row r="350">
      <c r="G350" s="1321"/>
    </row>
    <row r="351">
      <c r="G351" s="1321"/>
    </row>
    <row r="352">
      <c r="G352" s="1321"/>
    </row>
    <row r="353">
      <c r="G353" s="1321"/>
    </row>
    <row r="354">
      <c r="G354" s="1321"/>
    </row>
    <row r="355">
      <c r="G355" s="1321"/>
    </row>
    <row r="356">
      <c r="G356" s="1321"/>
    </row>
    <row r="357">
      <c r="G357" s="1321"/>
    </row>
    <row r="358">
      <c r="G358" s="1321"/>
    </row>
    <row r="359">
      <c r="G359" s="1321"/>
    </row>
    <row r="360">
      <c r="G360" s="1321"/>
    </row>
    <row r="361">
      <c r="G361" s="1321"/>
    </row>
    <row r="362">
      <c r="G362" s="1321"/>
    </row>
    <row r="363">
      <c r="G363" s="1321"/>
    </row>
    <row r="364">
      <c r="G364" s="1321"/>
    </row>
    <row r="365">
      <c r="G365" s="1321"/>
    </row>
    <row r="366">
      <c r="G366" s="1321"/>
    </row>
    <row r="367">
      <c r="G367" s="1321"/>
    </row>
    <row r="368">
      <c r="G368" s="1321"/>
    </row>
    <row r="369">
      <c r="G369" s="1321"/>
    </row>
    <row r="370">
      <c r="G370" s="1321"/>
    </row>
    <row r="371">
      <c r="G371" s="1321"/>
    </row>
    <row r="372">
      <c r="G372" s="1321"/>
    </row>
    <row r="373">
      <c r="G373" s="1321"/>
    </row>
    <row r="374">
      <c r="G374" s="1321"/>
    </row>
    <row r="375">
      <c r="G375" s="1321"/>
    </row>
    <row r="376">
      <c r="G376" s="1321"/>
    </row>
    <row r="377">
      <c r="G377" s="1321"/>
    </row>
    <row r="378">
      <c r="G378" s="1321"/>
    </row>
    <row r="379">
      <c r="G379" s="1321"/>
    </row>
    <row r="380">
      <c r="G380" s="1321"/>
    </row>
    <row r="381">
      <c r="G381" s="1321"/>
    </row>
    <row r="382">
      <c r="G382" s="1321"/>
    </row>
    <row r="383">
      <c r="G383" s="1321"/>
    </row>
    <row r="384">
      <c r="G384" s="1321"/>
    </row>
    <row r="385">
      <c r="G385" s="1321"/>
    </row>
    <row r="386">
      <c r="G386" s="1321"/>
    </row>
    <row r="387">
      <c r="G387" s="1321"/>
    </row>
    <row r="388">
      <c r="G388" s="1321"/>
    </row>
    <row r="389">
      <c r="G389" s="1321"/>
    </row>
    <row r="390">
      <c r="G390" s="1321"/>
    </row>
    <row r="391">
      <c r="G391" s="1321"/>
    </row>
    <row r="392">
      <c r="G392" s="1321"/>
    </row>
    <row r="393">
      <c r="G393" s="1321"/>
    </row>
    <row r="394">
      <c r="G394" s="1321"/>
    </row>
    <row r="395">
      <c r="G395" s="1321"/>
    </row>
    <row r="396">
      <c r="G396" s="1321"/>
    </row>
    <row r="397">
      <c r="G397" s="1321"/>
    </row>
    <row r="398">
      <c r="G398" s="1321"/>
    </row>
    <row r="399">
      <c r="G399" s="1321"/>
    </row>
    <row r="400">
      <c r="G400" s="1321"/>
    </row>
    <row r="401">
      <c r="G401" s="1321"/>
    </row>
    <row r="402">
      <c r="G402" s="1321"/>
    </row>
    <row r="403">
      <c r="G403" s="1321"/>
    </row>
    <row r="404">
      <c r="G404" s="1321"/>
    </row>
    <row r="405">
      <c r="G405" s="1321"/>
    </row>
    <row r="406">
      <c r="G406" s="1321"/>
    </row>
    <row r="407">
      <c r="G407" s="1321"/>
    </row>
    <row r="408">
      <c r="G408" s="1321"/>
    </row>
    <row r="409">
      <c r="G409" s="1321"/>
    </row>
    <row r="410">
      <c r="G410" s="1321"/>
    </row>
    <row r="411">
      <c r="G411" s="1321"/>
    </row>
    <row r="412">
      <c r="G412" s="1321"/>
    </row>
    <row r="413">
      <c r="G413" s="1321"/>
    </row>
    <row r="414">
      <c r="G414" s="1321"/>
    </row>
    <row r="415">
      <c r="G415" s="1321"/>
    </row>
    <row r="416">
      <c r="G416" s="1321"/>
    </row>
    <row r="417">
      <c r="G417" s="1321"/>
    </row>
    <row r="418">
      <c r="G418" s="1321"/>
    </row>
    <row r="419">
      <c r="G419" s="1321"/>
    </row>
    <row r="420">
      <c r="G420" s="1321"/>
    </row>
    <row r="421">
      <c r="G421" s="1321"/>
    </row>
    <row r="422">
      <c r="G422" s="1321"/>
    </row>
    <row r="423">
      <c r="G423" s="1321"/>
    </row>
    <row r="424">
      <c r="G424" s="1321"/>
    </row>
    <row r="425">
      <c r="G425" s="1321"/>
    </row>
    <row r="426">
      <c r="G426" s="1321"/>
    </row>
    <row r="427">
      <c r="G427" s="1321"/>
    </row>
    <row r="428">
      <c r="G428" s="1321"/>
    </row>
    <row r="429">
      <c r="G429" s="1321"/>
    </row>
    <row r="430">
      <c r="G430" s="1321"/>
    </row>
    <row r="431">
      <c r="G431" s="1321"/>
    </row>
    <row r="432">
      <c r="G432" s="1321"/>
    </row>
    <row r="433">
      <c r="G433" s="1321"/>
    </row>
    <row r="434">
      <c r="G434" s="1321"/>
    </row>
    <row r="435">
      <c r="G435" s="1321"/>
    </row>
    <row r="436">
      <c r="G436" s="1321"/>
    </row>
    <row r="437">
      <c r="G437" s="1321"/>
    </row>
    <row r="438">
      <c r="G438" s="1321"/>
    </row>
    <row r="439">
      <c r="G439" s="1321"/>
    </row>
    <row r="440">
      <c r="G440" s="1321"/>
    </row>
    <row r="441">
      <c r="G441" s="1321"/>
    </row>
    <row r="442">
      <c r="G442" s="1321"/>
    </row>
    <row r="443">
      <c r="G443" s="1321"/>
    </row>
    <row r="444">
      <c r="G444" s="1321"/>
    </row>
    <row r="445">
      <c r="G445" s="1321"/>
    </row>
    <row r="446">
      <c r="G446" s="1321"/>
    </row>
    <row r="447">
      <c r="G447" s="1321"/>
    </row>
    <row r="448">
      <c r="G448" s="1321"/>
    </row>
    <row r="449">
      <c r="G449" s="1321"/>
    </row>
    <row r="450">
      <c r="G450" s="1321"/>
    </row>
    <row r="451">
      <c r="G451" s="1321"/>
    </row>
    <row r="452">
      <c r="G452" s="1321"/>
    </row>
    <row r="453">
      <c r="G453" s="1321"/>
    </row>
    <row r="454">
      <c r="G454" s="1321"/>
    </row>
    <row r="455">
      <c r="G455" s="1321"/>
    </row>
    <row r="456">
      <c r="G456" s="1321"/>
    </row>
    <row r="457">
      <c r="G457" s="1321"/>
    </row>
    <row r="458">
      <c r="G458" s="1321"/>
    </row>
    <row r="459">
      <c r="G459" s="1321"/>
    </row>
    <row r="460">
      <c r="G460" s="1321"/>
    </row>
    <row r="461">
      <c r="G461" s="1321"/>
    </row>
    <row r="462">
      <c r="G462" s="1321"/>
    </row>
    <row r="463">
      <c r="G463" s="1321"/>
    </row>
    <row r="464">
      <c r="G464" s="1321"/>
    </row>
    <row r="465">
      <c r="G465" s="1321"/>
    </row>
    <row r="466">
      <c r="G466" s="1321"/>
    </row>
    <row r="467">
      <c r="G467" s="1321"/>
    </row>
    <row r="468">
      <c r="G468" s="1321"/>
    </row>
    <row r="469">
      <c r="G469" s="1321"/>
    </row>
    <row r="470">
      <c r="G470" s="1321"/>
    </row>
    <row r="471">
      <c r="G471" s="1321"/>
    </row>
    <row r="472">
      <c r="G472" s="1321"/>
    </row>
    <row r="473">
      <c r="G473" s="1321"/>
    </row>
    <row r="474">
      <c r="G474" s="1321"/>
    </row>
    <row r="475">
      <c r="G475" s="1321"/>
    </row>
    <row r="476">
      <c r="G476" s="1321"/>
    </row>
    <row r="477">
      <c r="G477" s="1321"/>
    </row>
    <row r="478">
      <c r="G478" s="1321"/>
    </row>
    <row r="479">
      <c r="G479" s="1321"/>
    </row>
    <row r="480">
      <c r="G480" s="1321"/>
    </row>
    <row r="481">
      <c r="G481" s="1321"/>
    </row>
    <row r="482">
      <c r="G482" s="1321"/>
    </row>
    <row r="483">
      <c r="G483" s="1321"/>
    </row>
    <row r="484">
      <c r="G484" s="1321"/>
    </row>
    <row r="485">
      <c r="G485" s="1321"/>
    </row>
    <row r="486">
      <c r="G486" s="1321"/>
    </row>
    <row r="487">
      <c r="G487" s="1321"/>
    </row>
    <row r="488">
      <c r="G488" s="1321"/>
    </row>
    <row r="489">
      <c r="G489" s="1321"/>
    </row>
    <row r="490">
      <c r="G490" s="1321"/>
    </row>
    <row r="491">
      <c r="G491" s="1321"/>
    </row>
    <row r="492">
      <c r="G492" s="1321"/>
    </row>
    <row r="493">
      <c r="G493" s="1321"/>
    </row>
    <row r="494">
      <c r="G494" s="1321"/>
    </row>
    <row r="495">
      <c r="G495" s="1321"/>
    </row>
    <row r="496">
      <c r="G496" s="1321"/>
    </row>
    <row r="497">
      <c r="G497" s="1321"/>
    </row>
    <row r="498">
      <c r="G498" s="1321"/>
    </row>
    <row r="499">
      <c r="G499" s="1321"/>
    </row>
    <row r="500">
      <c r="G500" s="1321"/>
    </row>
    <row r="501">
      <c r="G501" s="1321"/>
    </row>
    <row r="502">
      <c r="G502" s="1321"/>
    </row>
    <row r="503">
      <c r="G503" s="1321"/>
    </row>
    <row r="504">
      <c r="G504" s="1321"/>
    </row>
    <row r="505">
      <c r="G505" s="1321"/>
    </row>
    <row r="506">
      <c r="G506" s="1321"/>
    </row>
    <row r="507">
      <c r="G507" s="1321"/>
    </row>
    <row r="508">
      <c r="G508" s="1321"/>
    </row>
    <row r="509">
      <c r="G509" s="1321"/>
    </row>
    <row r="510">
      <c r="G510" s="1321"/>
    </row>
    <row r="511">
      <c r="G511" s="1321"/>
    </row>
    <row r="512">
      <c r="G512" s="1321"/>
    </row>
    <row r="513">
      <c r="G513" s="1321"/>
    </row>
    <row r="514">
      <c r="G514" s="1321"/>
    </row>
    <row r="515">
      <c r="G515" s="1321"/>
    </row>
    <row r="516">
      <c r="G516" s="1321"/>
    </row>
    <row r="517">
      <c r="G517" s="1321"/>
    </row>
    <row r="518">
      <c r="G518" s="1321"/>
    </row>
    <row r="519">
      <c r="G519" s="1321"/>
    </row>
    <row r="520">
      <c r="G520" s="1321"/>
    </row>
    <row r="521">
      <c r="G521" s="1321"/>
    </row>
    <row r="522">
      <c r="G522" s="1321"/>
    </row>
    <row r="523">
      <c r="G523" s="1321"/>
    </row>
    <row r="524">
      <c r="G524" s="1321"/>
    </row>
    <row r="525">
      <c r="G525" s="1321"/>
    </row>
    <row r="526">
      <c r="G526" s="1321"/>
    </row>
    <row r="527">
      <c r="G527" s="1321"/>
    </row>
    <row r="528">
      <c r="G528" s="1321"/>
    </row>
    <row r="529">
      <c r="G529" s="1321"/>
    </row>
    <row r="530">
      <c r="G530" s="1321"/>
    </row>
    <row r="531">
      <c r="G531" s="1321"/>
    </row>
    <row r="532">
      <c r="G532" s="1321"/>
    </row>
    <row r="533">
      <c r="G533" s="1321"/>
    </row>
    <row r="534">
      <c r="G534" s="1321"/>
    </row>
    <row r="535">
      <c r="G535" s="1321"/>
    </row>
    <row r="536">
      <c r="G536" s="1321"/>
    </row>
    <row r="537">
      <c r="G537" s="1321"/>
    </row>
    <row r="538">
      <c r="G538" s="1321"/>
    </row>
    <row r="539">
      <c r="G539" s="1321"/>
    </row>
    <row r="540">
      <c r="G540" s="1321"/>
    </row>
    <row r="541">
      <c r="G541" s="1321"/>
    </row>
    <row r="542">
      <c r="G542" s="1321"/>
    </row>
    <row r="543">
      <c r="G543" s="1321"/>
    </row>
    <row r="544">
      <c r="G544" s="1321"/>
    </row>
    <row r="545">
      <c r="G545" s="1321"/>
    </row>
    <row r="546">
      <c r="G546" s="1321"/>
    </row>
    <row r="547">
      <c r="G547" s="1321"/>
    </row>
    <row r="548">
      <c r="G548" s="1321"/>
    </row>
    <row r="549">
      <c r="G549" s="1321"/>
    </row>
    <row r="550">
      <c r="G550" s="1321"/>
    </row>
    <row r="551">
      <c r="G551" s="1321"/>
    </row>
    <row r="552">
      <c r="G552" s="1321"/>
    </row>
    <row r="553">
      <c r="G553" s="1321"/>
    </row>
    <row r="554">
      <c r="G554" s="1321"/>
    </row>
    <row r="555">
      <c r="G555" s="1321"/>
    </row>
    <row r="556">
      <c r="G556" s="1321"/>
    </row>
    <row r="557">
      <c r="G557" s="1321"/>
    </row>
    <row r="558">
      <c r="G558" s="1321"/>
    </row>
    <row r="559">
      <c r="G559" s="1321"/>
    </row>
    <row r="560">
      <c r="G560" s="1321"/>
    </row>
    <row r="561">
      <c r="G561" s="1321"/>
    </row>
    <row r="562">
      <c r="G562" s="1321"/>
    </row>
    <row r="563">
      <c r="G563" s="1321"/>
    </row>
    <row r="564">
      <c r="G564" s="1321"/>
    </row>
    <row r="565">
      <c r="G565" s="1321"/>
    </row>
    <row r="566">
      <c r="G566" s="1321"/>
    </row>
    <row r="567">
      <c r="G567" s="1321"/>
    </row>
    <row r="568">
      <c r="G568" s="1321"/>
    </row>
    <row r="569">
      <c r="G569" s="1321"/>
    </row>
    <row r="570">
      <c r="G570" s="1321"/>
    </row>
    <row r="571">
      <c r="G571" s="1321"/>
    </row>
    <row r="572">
      <c r="G572" s="1321"/>
    </row>
    <row r="573">
      <c r="G573" s="1321"/>
    </row>
    <row r="574">
      <c r="G574" s="1321"/>
    </row>
    <row r="575">
      <c r="G575" s="1321"/>
    </row>
    <row r="576">
      <c r="G576" s="1321"/>
    </row>
    <row r="577">
      <c r="G577" s="1321"/>
    </row>
    <row r="578">
      <c r="G578" s="1321"/>
    </row>
    <row r="579">
      <c r="G579" s="1321"/>
    </row>
    <row r="580">
      <c r="G580" s="1321"/>
    </row>
    <row r="581">
      <c r="G581" s="1321"/>
    </row>
    <row r="582">
      <c r="G582" s="1321"/>
    </row>
    <row r="583">
      <c r="G583" s="1321"/>
    </row>
    <row r="584">
      <c r="G584" s="1321"/>
    </row>
    <row r="585">
      <c r="G585" s="1321"/>
    </row>
    <row r="586">
      <c r="G586" s="1321"/>
    </row>
    <row r="587">
      <c r="G587" s="1321"/>
    </row>
    <row r="588">
      <c r="G588" s="1321"/>
    </row>
    <row r="589">
      <c r="G589" s="1321"/>
    </row>
    <row r="590">
      <c r="G590" s="1321"/>
    </row>
    <row r="591">
      <c r="G591" s="1321"/>
    </row>
    <row r="592">
      <c r="G592" s="1321"/>
    </row>
    <row r="593">
      <c r="G593" s="1321"/>
    </row>
    <row r="594">
      <c r="G594" s="1321"/>
    </row>
    <row r="595">
      <c r="G595" s="1321"/>
    </row>
    <row r="596">
      <c r="G596" s="1321"/>
    </row>
    <row r="597">
      <c r="G597" s="1321"/>
    </row>
    <row r="598">
      <c r="G598" s="1321"/>
    </row>
    <row r="599">
      <c r="G599" s="1321"/>
    </row>
    <row r="600">
      <c r="G600" s="1321"/>
    </row>
    <row r="601">
      <c r="G601" s="1321"/>
    </row>
    <row r="602">
      <c r="G602" s="1321"/>
    </row>
    <row r="603">
      <c r="G603" s="1321"/>
    </row>
    <row r="604">
      <c r="G604" s="1321"/>
    </row>
    <row r="605">
      <c r="G605" s="1321"/>
    </row>
    <row r="606">
      <c r="G606" s="1321"/>
    </row>
    <row r="607">
      <c r="G607" s="1321"/>
    </row>
    <row r="608">
      <c r="G608" s="1321"/>
    </row>
    <row r="609">
      <c r="G609" s="1321"/>
    </row>
    <row r="610">
      <c r="G610" s="1321"/>
    </row>
    <row r="611">
      <c r="G611" s="1321"/>
    </row>
    <row r="612">
      <c r="G612" s="1321"/>
    </row>
    <row r="613">
      <c r="G613" s="1321"/>
    </row>
    <row r="614">
      <c r="G614" s="1321"/>
    </row>
    <row r="615">
      <c r="G615" s="1321"/>
    </row>
    <row r="616">
      <c r="G616" s="1321"/>
    </row>
    <row r="617">
      <c r="G617" s="1321"/>
    </row>
    <row r="618">
      <c r="G618" s="1321"/>
    </row>
    <row r="619">
      <c r="G619" s="1321"/>
    </row>
    <row r="620">
      <c r="G620" s="1321"/>
    </row>
    <row r="621">
      <c r="G621" s="1321"/>
    </row>
    <row r="622">
      <c r="G622" s="1321"/>
    </row>
    <row r="623">
      <c r="G623" s="1321"/>
    </row>
    <row r="624">
      <c r="G624" s="1321"/>
    </row>
    <row r="625">
      <c r="G625" s="1321"/>
    </row>
    <row r="626">
      <c r="G626" s="1321"/>
    </row>
    <row r="627">
      <c r="G627" s="1321"/>
    </row>
    <row r="628">
      <c r="G628" s="1321"/>
    </row>
    <row r="629">
      <c r="G629" s="1321"/>
    </row>
    <row r="630">
      <c r="G630" s="1321"/>
    </row>
    <row r="631">
      <c r="G631" s="1321"/>
    </row>
    <row r="632">
      <c r="G632" s="1321"/>
    </row>
    <row r="633">
      <c r="G633" s="1321"/>
    </row>
    <row r="634">
      <c r="G634" s="1321"/>
    </row>
    <row r="635">
      <c r="G635" s="1321"/>
    </row>
    <row r="636">
      <c r="G636" s="1321"/>
    </row>
    <row r="637">
      <c r="G637" s="1321"/>
    </row>
    <row r="638">
      <c r="G638" s="1321"/>
    </row>
    <row r="639">
      <c r="G639" s="1321"/>
    </row>
    <row r="640">
      <c r="G640" s="1321"/>
    </row>
    <row r="641">
      <c r="G641" s="1321"/>
    </row>
    <row r="642">
      <c r="G642" s="1321"/>
    </row>
    <row r="643">
      <c r="G643" s="1321"/>
    </row>
    <row r="644">
      <c r="G644" s="1321"/>
    </row>
    <row r="645">
      <c r="G645" s="1321"/>
    </row>
    <row r="646">
      <c r="G646" s="1321"/>
    </row>
    <row r="647">
      <c r="G647" s="1321"/>
    </row>
    <row r="648">
      <c r="G648" s="1321"/>
    </row>
    <row r="649">
      <c r="G649" s="1321"/>
    </row>
    <row r="650">
      <c r="G650" s="1321"/>
    </row>
    <row r="651">
      <c r="G651" s="1321"/>
    </row>
    <row r="652">
      <c r="G652" s="1321"/>
    </row>
    <row r="653">
      <c r="G653" s="1321"/>
    </row>
    <row r="654">
      <c r="G654" s="1321"/>
    </row>
    <row r="655">
      <c r="G655" s="1321"/>
    </row>
    <row r="656">
      <c r="G656" s="1321"/>
    </row>
    <row r="657">
      <c r="G657" s="1321"/>
    </row>
    <row r="658">
      <c r="G658" s="1321"/>
    </row>
    <row r="659">
      <c r="G659" s="1321"/>
    </row>
    <row r="660">
      <c r="G660" s="1321"/>
    </row>
    <row r="661">
      <c r="G661" s="1321"/>
    </row>
    <row r="662">
      <c r="G662" s="1321"/>
    </row>
    <row r="663">
      <c r="G663" s="1321"/>
    </row>
    <row r="664">
      <c r="G664" s="1321"/>
    </row>
    <row r="665">
      <c r="G665" s="1321"/>
    </row>
    <row r="666">
      <c r="G666" s="1321"/>
    </row>
    <row r="667">
      <c r="G667" s="1321"/>
    </row>
    <row r="668">
      <c r="G668" s="1321"/>
    </row>
    <row r="669">
      <c r="G669" s="1321"/>
    </row>
    <row r="670">
      <c r="G670" s="1321"/>
    </row>
    <row r="671">
      <c r="G671" s="1321"/>
    </row>
    <row r="672">
      <c r="G672" s="1321"/>
    </row>
    <row r="673">
      <c r="G673" s="1321"/>
    </row>
    <row r="674">
      <c r="G674" s="1321"/>
    </row>
    <row r="675">
      <c r="G675" s="1321"/>
    </row>
    <row r="676">
      <c r="G676" s="1321"/>
    </row>
    <row r="677">
      <c r="G677" s="1321"/>
    </row>
    <row r="678">
      <c r="G678" s="1321"/>
    </row>
    <row r="679">
      <c r="G679" s="1321"/>
    </row>
    <row r="680">
      <c r="G680" s="1321"/>
    </row>
    <row r="681">
      <c r="G681" s="1321"/>
    </row>
    <row r="682">
      <c r="G682" s="1321"/>
    </row>
    <row r="683">
      <c r="G683" s="1321"/>
    </row>
    <row r="684">
      <c r="G684" s="1321"/>
    </row>
    <row r="685">
      <c r="G685" s="1321"/>
    </row>
    <row r="686">
      <c r="G686" s="1321"/>
    </row>
    <row r="687">
      <c r="G687" s="1321"/>
    </row>
    <row r="688">
      <c r="G688" s="1321"/>
    </row>
    <row r="689">
      <c r="G689" s="1321"/>
    </row>
    <row r="690">
      <c r="G690" s="1321"/>
    </row>
    <row r="691">
      <c r="G691" s="1321"/>
    </row>
    <row r="692">
      <c r="G692" s="1321"/>
    </row>
    <row r="693">
      <c r="G693" s="1321"/>
    </row>
    <row r="694">
      <c r="G694" s="1321"/>
    </row>
    <row r="695">
      <c r="G695" s="1321"/>
    </row>
    <row r="696">
      <c r="G696" s="1321"/>
    </row>
    <row r="697">
      <c r="G697" s="1321"/>
    </row>
    <row r="698">
      <c r="G698" s="1321"/>
    </row>
    <row r="699">
      <c r="G699" s="1321"/>
    </row>
    <row r="700">
      <c r="G700" s="1321"/>
    </row>
    <row r="701">
      <c r="G701" s="1321"/>
    </row>
    <row r="702">
      <c r="G702" s="1321"/>
    </row>
    <row r="703">
      <c r="G703" s="1321"/>
    </row>
    <row r="704">
      <c r="G704" s="1321"/>
    </row>
    <row r="705">
      <c r="G705" s="1321"/>
    </row>
    <row r="706">
      <c r="G706" s="1321"/>
    </row>
    <row r="707">
      <c r="G707" s="1321"/>
    </row>
    <row r="708">
      <c r="G708" s="1321"/>
    </row>
    <row r="709">
      <c r="G709" s="1321"/>
    </row>
    <row r="710">
      <c r="G710" s="1321"/>
    </row>
    <row r="711">
      <c r="G711" s="1321"/>
    </row>
    <row r="712">
      <c r="G712" s="1321"/>
    </row>
    <row r="713">
      <c r="G713" s="1321"/>
    </row>
    <row r="714">
      <c r="G714" s="1321"/>
    </row>
    <row r="715">
      <c r="G715" s="1321"/>
    </row>
    <row r="716">
      <c r="G716" s="1321"/>
    </row>
    <row r="717">
      <c r="G717" s="1321"/>
    </row>
    <row r="718">
      <c r="G718" s="1321"/>
    </row>
    <row r="719">
      <c r="G719" s="1321"/>
    </row>
    <row r="720">
      <c r="G720" s="1321"/>
    </row>
    <row r="721">
      <c r="G721" s="1321"/>
    </row>
    <row r="722">
      <c r="G722" s="1321"/>
    </row>
    <row r="723">
      <c r="G723" s="1321"/>
    </row>
    <row r="724">
      <c r="G724" s="1321"/>
    </row>
    <row r="725">
      <c r="G725" s="1321"/>
    </row>
    <row r="726">
      <c r="G726" s="1321"/>
    </row>
    <row r="727">
      <c r="G727" s="1321"/>
    </row>
    <row r="728">
      <c r="G728" s="1321"/>
    </row>
    <row r="729">
      <c r="G729" s="1321"/>
    </row>
    <row r="730">
      <c r="G730" s="1321"/>
    </row>
    <row r="731">
      <c r="G731" s="1321"/>
    </row>
    <row r="732">
      <c r="G732" s="1321"/>
    </row>
    <row r="733">
      <c r="G733" s="1321"/>
    </row>
    <row r="734">
      <c r="G734" s="1321"/>
    </row>
    <row r="735">
      <c r="G735" s="1321"/>
    </row>
    <row r="736">
      <c r="G736" s="1321"/>
    </row>
    <row r="737">
      <c r="G737" s="1321"/>
    </row>
    <row r="738">
      <c r="G738" s="1321"/>
    </row>
    <row r="739">
      <c r="G739" s="1321"/>
    </row>
    <row r="740">
      <c r="G740" s="1321"/>
    </row>
    <row r="741">
      <c r="G741" s="1321"/>
    </row>
    <row r="742">
      <c r="G742" s="1321"/>
    </row>
    <row r="743">
      <c r="G743" s="1321"/>
    </row>
    <row r="744">
      <c r="G744" s="1321"/>
    </row>
    <row r="745">
      <c r="G745" s="1321"/>
    </row>
    <row r="746">
      <c r="G746" s="1321"/>
    </row>
    <row r="747">
      <c r="G747" s="1321"/>
    </row>
    <row r="748">
      <c r="G748" s="1321"/>
    </row>
    <row r="749">
      <c r="G749" s="1321"/>
    </row>
    <row r="750">
      <c r="G750" s="1321"/>
    </row>
    <row r="751">
      <c r="G751" s="1321"/>
    </row>
    <row r="752">
      <c r="G752" s="1321"/>
    </row>
    <row r="753">
      <c r="G753" s="1321"/>
    </row>
    <row r="754">
      <c r="G754" s="1321"/>
    </row>
    <row r="755">
      <c r="G755" s="1321"/>
    </row>
    <row r="756">
      <c r="G756" s="1321"/>
    </row>
    <row r="757">
      <c r="G757" s="1321"/>
    </row>
    <row r="758">
      <c r="G758" s="1321"/>
    </row>
    <row r="759">
      <c r="G759" s="1321"/>
    </row>
    <row r="760">
      <c r="G760" s="1321"/>
    </row>
    <row r="761">
      <c r="G761" s="1321"/>
    </row>
    <row r="762">
      <c r="G762" s="1321"/>
    </row>
    <row r="763">
      <c r="G763" s="1321"/>
    </row>
    <row r="764">
      <c r="G764" s="1321"/>
    </row>
    <row r="765">
      <c r="G765" s="1321"/>
    </row>
    <row r="766">
      <c r="G766" s="1321"/>
    </row>
    <row r="767">
      <c r="G767" s="1321"/>
    </row>
    <row r="768">
      <c r="G768" s="1321"/>
    </row>
    <row r="769">
      <c r="G769" s="1321"/>
    </row>
    <row r="770">
      <c r="G770" s="1321"/>
    </row>
    <row r="771">
      <c r="G771" s="1321"/>
    </row>
    <row r="772">
      <c r="G772" s="1321"/>
    </row>
    <row r="773">
      <c r="G773" s="1321"/>
    </row>
    <row r="774">
      <c r="G774" s="1321"/>
    </row>
    <row r="775">
      <c r="G775" s="1321"/>
    </row>
    <row r="776">
      <c r="G776" s="1321"/>
    </row>
    <row r="777">
      <c r="G777" s="1321"/>
    </row>
    <row r="778">
      <c r="G778" s="1321"/>
    </row>
    <row r="779">
      <c r="G779" s="1321"/>
    </row>
    <row r="780">
      <c r="G780" s="1321"/>
    </row>
    <row r="781">
      <c r="G781" s="1321"/>
    </row>
    <row r="782">
      <c r="G782" s="1321"/>
    </row>
    <row r="783">
      <c r="G783" s="1321"/>
    </row>
    <row r="784">
      <c r="G784" s="1321"/>
    </row>
    <row r="785">
      <c r="G785" s="1321"/>
    </row>
    <row r="786">
      <c r="G786" s="1321"/>
    </row>
    <row r="787">
      <c r="G787" s="1321"/>
    </row>
    <row r="788">
      <c r="G788" s="1321"/>
    </row>
    <row r="789">
      <c r="G789" s="1321"/>
    </row>
    <row r="790">
      <c r="G790" s="1321"/>
    </row>
    <row r="791">
      <c r="G791" s="1321"/>
    </row>
    <row r="792">
      <c r="G792" s="1321"/>
    </row>
    <row r="793">
      <c r="G793" s="1321"/>
    </row>
    <row r="794">
      <c r="G794" s="1321"/>
    </row>
    <row r="795">
      <c r="G795" s="1321"/>
    </row>
    <row r="796">
      <c r="G796" s="1321"/>
    </row>
    <row r="797">
      <c r="G797" s="1321"/>
    </row>
    <row r="798">
      <c r="G798" s="1321"/>
    </row>
    <row r="799">
      <c r="G799" s="1321"/>
    </row>
    <row r="800">
      <c r="G800" s="1321"/>
    </row>
    <row r="801">
      <c r="G801" s="1321"/>
    </row>
    <row r="802">
      <c r="G802" s="1321"/>
    </row>
    <row r="803">
      <c r="G803" s="1321"/>
    </row>
    <row r="804">
      <c r="G804" s="1321"/>
    </row>
    <row r="805">
      <c r="G805" s="1321"/>
    </row>
    <row r="806">
      <c r="G806" s="1321"/>
    </row>
    <row r="807">
      <c r="G807" s="1321"/>
    </row>
    <row r="808">
      <c r="G808" s="1321"/>
    </row>
    <row r="809">
      <c r="G809" s="1321"/>
    </row>
    <row r="810">
      <c r="G810" s="1321"/>
    </row>
    <row r="811">
      <c r="G811" s="1321"/>
    </row>
    <row r="812">
      <c r="G812" s="1321"/>
    </row>
    <row r="813">
      <c r="G813" s="1321"/>
    </row>
    <row r="814">
      <c r="G814" s="1321"/>
    </row>
    <row r="815">
      <c r="G815" s="1321"/>
    </row>
    <row r="816">
      <c r="G816" s="1321"/>
    </row>
    <row r="817">
      <c r="G817" s="1321"/>
    </row>
    <row r="818">
      <c r="G818" s="1321"/>
    </row>
    <row r="819">
      <c r="G819" s="1321"/>
    </row>
    <row r="820">
      <c r="G820" s="1321"/>
    </row>
    <row r="821">
      <c r="G821" s="1321"/>
    </row>
    <row r="822">
      <c r="G822" s="1321"/>
    </row>
    <row r="823">
      <c r="G823" s="1321"/>
    </row>
    <row r="824">
      <c r="G824" s="1321"/>
    </row>
    <row r="825">
      <c r="G825" s="1321"/>
    </row>
    <row r="826">
      <c r="G826" s="1321"/>
    </row>
    <row r="827">
      <c r="G827" s="1321"/>
    </row>
    <row r="828">
      <c r="G828" s="1321"/>
    </row>
    <row r="829">
      <c r="G829" s="1321"/>
    </row>
    <row r="830">
      <c r="G830" s="1321"/>
    </row>
    <row r="831">
      <c r="G831" s="1321"/>
    </row>
    <row r="832">
      <c r="G832" s="1321"/>
    </row>
    <row r="833">
      <c r="G833" s="1321"/>
    </row>
    <row r="834">
      <c r="G834" s="1321"/>
    </row>
    <row r="835">
      <c r="G835" s="1321"/>
    </row>
    <row r="836">
      <c r="G836" s="1321"/>
    </row>
    <row r="837">
      <c r="G837" s="1321"/>
    </row>
    <row r="838">
      <c r="G838" s="1321"/>
    </row>
    <row r="839">
      <c r="G839" s="1321"/>
    </row>
    <row r="840">
      <c r="G840" s="1321"/>
    </row>
    <row r="841">
      <c r="G841" s="1321"/>
    </row>
    <row r="842">
      <c r="G842" s="1321"/>
    </row>
    <row r="843">
      <c r="G843" s="1321"/>
    </row>
    <row r="844">
      <c r="G844" s="1321"/>
    </row>
    <row r="845">
      <c r="G845" s="1321"/>
    </row>
    <row r="846">
      <c r="G846" s="1321"/>
    </row>
    <row r="847">
      <c r="G847" s="1321"/>
    </row>
    <row r="848">
      <c r="G848" s="1321"/>
    </row>
    <row r="849">
      <c r="G849" s="1321"/>
    </row>
    <row r="850">
      <c r="G850" s="1321"/>
    </row>
    <row r="851">
      <c r="G851" s="1321"/>
    </row>
    <row r="852">
      <c r="G852" s="1321"/>
    </row>
    <row r="853">
      <c r="G853" s="1321"/>
    </row>
    <row r="854">
      <c r="G854" s="1321"/>
    </row>
    <row r="855">
      <c r="G855" s="1321"/>
    </row>
    <row r="856">
      <c r="G856" s="1321"/>
    </row>
    <row r="857">
      <c r="G857" s="1321"/>
    </row>
    <row r="858">
      <c r="G858" s="1321"/>
    </row>
    <row r="859">
      <c r="G859" s="1321"/>
    </row>
    <row r="860">
      <c r="G860" s="1321"/>
    </row>
    <row r="861">
      <c r="G861" s="1321"/>
    </row>
    <row r="862">
      <c r="G862" s="1321"/>
    </row>
    <row r="863">
      <c r="G863" s="1321"/>
    </row>
    <row r="864">
      <c r="G864" s="1321"/>
    </row>
    <row r="865">
      <c r="G865" s="1321"/>
    </row>
    <row r="866">
      <c r="G866" s="1321"/>
    </row>
    <row r="867">
      <c r="G867" s="1321"/>
    </row>
    <row r="868">
      <c r="G868" s="1321"/>
    </row>
    <row r="869">
      <c r="G869" s="1321"/>
    </row>
    <row r="870">
      <c r="G870" s="1321"/>
    </row>
    <row r="871">
      <c r="G871" s="1321"/>
    </row>
    <row r="872">
      <c r="G872" s="1321"/>
    </row>
    <row r="873">
      <c r="G873" s="1321"/>
    </row>
    <row r="874">
      <c r="G874" s="1321"/>
    </row>
    <row r="875">
      <c r="G875" s="1321"/>
    </row>
    <row r="876">
      <c r="G876" s="1321"/>
    </row>
    <row r="877">
      <c r="G877" s="1321"/>
    </row>
    <row r="878">
      <c r="G878" s="1321"/>
    </row>
    <row r="879">
      <c r="G879" s="1321"/>
    </row>
    <row r="880">
      <c r="G880" s="1321"/>
    </row>
    <row r="881">
      <c r="G881" s="1321"/>
    </row>
    <row r="882">
      <c r="G882" s="1321"/>
    </row>
    <row r="883">
      <c r="G883" s="1321"/>
    </row>
    <row r="884">
      <c r="G884" s="1321"/>
    </row>
    <row r="885">
      <c r="G885" s="1321"/>
    </row>
    <row r="886">
      <c r="G886" s="1321"/>
    </row>
    <row r="887">
      <c r="G887" s="1321"/>
    </row>
    <row r="888">
      <c r="G888" s="1321"/>
    </row>
    <row r="889">
      <c r="G889" s="1321"/>
    </row>
    <row r="890">
      <c r="G890" s="1321"/>
    </row>
    <row r="891">
      <c r="G891" s="1321"/>
    </row>
    <row r="892">
      <c r="G892" s="1321"/>
    </row>
    <row r="893">
      <c r="G893" s="1321"/>
    </row>
    <row r="894">
      <c r="G894" s="1321"/>
    </row>
    <row r="895">
      <c r="G895" s="1321"/>
    </row>
    <row r="896">
      <c r="G896" s="1321"/>
    </row>
    <row r="897">
      <c r="G897" s="1321"/>
    </row>
    <row r="898">
      <c r="G898" s="1321"/>
    </row>
    <row r="899">
      <c r="G899" s="1321"/>
    </row>
    <row r="900">
      <c r="G900" s="1321"/>
    </row>
    <row r="901">
      <c r="G901" s="1321"/>
    </row>
    <row r="902">
      <c r="G902" s="1321"/>
    </row>
    <row r="903">
      <c r="G903" s="1321"/>
    </row>
    <row r="904">
      <c r="G904" s="1321"/>
    </row>
    <row r="905">
      <c r="G905" s="1321"/>
    </row>
    <row r="906">
      <c r="G906" s="1321"/>
    </row>
    <row r="907">
      <c r="G907" s="1321"/>
    </row>
    <row r="908">
      <c r="G908" s="1321"/>
    </row>
    <row r="909">
      <c r="G909" s="1321"/>
    </row>
    <row r="910">
      <c r="G910" s="1321"/>
    </row>
    <row r="911">
      <c r="G911" s="1321"/>
    </row>
    <row r="912">
      <c r="G912" s="1321"/>
    </row>
    <row r="913">
      <c r="G913" s="1321"/>
    </row>
    <row r="914">
      <c r="G914" s="1321"/>
    </row>
    <row r="915">
      <c r="G915" s="1321"/>
    </row>
    <row r="916">
      <c r="G916" s="1321"/>
    </row>
    <row r="917">
      <c r="G917" s="1321"/>
    </row>
    <row r="918">
      <c r="G918" s="1321"/>
    </row>
    <row r="919">
      <c r="G919" s="1321"/>
    </row>
    <row r="920">
      <c r="G920" s="1321"/>
    </row>
    <row r="921">
      <c r="G921" s="1321"/>
    </row>
    <row r="922">
      <c r="G922" s="1321"/>
    </row>
    <row r="923">
      <c r="G923" s="1321"/>
    </row>
    <row r="924">
      <c r="G924" s="1321"/>
    </row>
    <row r="925">
      <c r="G925" s="1321"/>
    </row>
    <row r="926">
      <c r="G926" s="1321"/>
    </row>
    <row r="927">
      <c r="G927" s="1321"/>
    </row>
    <row r="928">
      <c r="G928" s="1321"/>
    </row>
    <row r="929">
      <c r="G929" s="1321"/>
    </row>
    <row r="930">
      <c r="G930" s="1321"/>
    </row>
    <row r="931">
      <c r="G931" s="1321"/>
    </row>
    <row r="932">
      <c r="G932" s="1321"/>
    </row>
    <row r="933">
      <c r="G933" s="1321"/>
    </row>
    <row r="934">
      <c r="G934" s="1321"/>
    </row>
    <row r="935">
      <c r="G935" s="1321"/>
    </row>
    <row r="936">
      <c r="G936" s="1321"/>
    </row>
    <row r="937">
      <c r="G937" s="1321"/>
    </row>
    <row r="938">
      <c r="G938" s="1321"/>
    </row>
    <row r="939">
      <c r="G939" s="1321"/>
    </row>
    <row r="940">
      <c r="G940" s="1321"/>
    </row>
    <row r="941">
      <c r="G941" s="1321"/>
    </row>
    <row r="942">
      <c r="G942" s="1321"/>
    </row>
    <row r="943">
      <c r="G943" s="1321"/>
    </row>
    <row r="944">
      <c r="G944" s="1321"/>
    </row>
    <row r="945">
      <c r="G945" s="1321"/>
    </row>
    <row r="946">
      <c r="G946" s="1321"/>
    </row>
    <row r="947">
      <c r="G947" s="1321"/>
    </row>
    <row r="948">
      <c r="G948" s="1321"/>
    </row>
    <row r="949">
      <c r="G949" s="1321"/>
    </row>
    <row r="950">
      <c r="G950" s="1321"/>
    </row>
    <row r="951">
      <c r="G951" s="1321"/>
    </row>
    <row r="952">
      <c r="G952" s="1321"/>
    </row>
    <row r="953">
      <c r="G953" s="1321"/>
    </row>
    <row r="954">
      <c r="G954" s="1321"/>
    </row>
    <row r="955">
      <c r="G955" s="1321"/>
    </row>
    <row r="956">
      <c r="G956" s="1321"/>
    </row>
    <row r="957">
      <c r="G957" s="1321"/>
    </row>
    <row r="958">
      <c r="G958" s="1321"/>
    </row>
    <row r="959">
      <c r="G959" s="1321"/>
    </row>
    <row r="960">
      <c r="G960" s="1321"/>
    </row>
    <row r="961">
      <c r="G961" s="1321"/>
    </row>
    <row r="962">
      <c r="G962" s="1321"/>
    </row>
    <row r="963">
      <c r="G963" s="1321"/>
    </row>
    <row r="964">
      <c r="G964" s="1321"/>
    </row>
    <row r="965">
      <c r="G965" s="1321"/>
    </row>
    <row r="966">
      <c r="G966" s="1321"/>
    </row>
    <row r="967">
      <c r="G967" s="1321"/>
    </row>
    <row r="968">
      <c r="G968" s="1321"/>
    </row>
    <row r="969">
      <c r="G969" s="1321"/>
    </row>
    <row r="970">
      <c r="G970" s="1321"/>
    </row>
    <row r="971">
      <c r="G971" s="1321"/>
    </row>
    <row r="972">
      <c r="G972" s="1321"/>
    </row>
    <row r="973">
      <c r="G973" s="1321"/>
    </row>
    <row r="974">
      <c r="G974" s="1321"/>
    </row>
    <row r="975">
      <c r="G975" s="1321"/>
    </row>
    <row r="976">
      <c r="G976" s="1321"/>
    </row>
    <row r="977">
      <c r="G977" s="1321"/>
    </row>
    <row r="978">
      <c r="G978" s="1321"/>
    </row>
    <row r="979">
      <c r="G979" s="1321"/>
    </row>
    <row r="980">
      <c r="G980" s="1321"/>
    </row>
    <row r="981">
      <c r="G981" s="1321"/>
    </row>
    <row r="982">
      <c r="G982" s="1321"/>
    </row>
    <row r="983">
      <c r="G983" s="1321"/>
    </row>
    <row r="984">
      <c r="G984" s="1321"/>
    </row>
    <row r="985">
      <c r="G985" s="1321"/>
    </row>
    <row r="986">
      <c r="G986" s="1321"/>
    </row>
    <row r="987">
      <c r="G987" s="1321"/>
    </row>
    <row r="988">
      <c r="G988" s="1321"/>
    </row>
    <row r="989">
      <c r="G989" s="1321"/>
    </row>
    <row r="990">
      <c r="G990" s="1321"/>
    </row>
    <row r="991">
      <c r="G991" s="1321"/>
    </row>
    <row r="992">
      <c r="G992" s="1321"/>
    </row>
    <row r="993">
      <c r="G993" s="1321"/>
    </row>
    <row r="994">
      <c r="G994" s="1321"/>
    </row>
    <row r="995">
      <c r="G995" s="1321"/>
    </row>
    <row r="996">
      <c r="G996" s="1321"/>
    </row>
    <row r="997">
      <c r="G997" s="1321"/>
    </row>
    <row r="998">
      <c r="G998" s="1321"/>
    </row>
    <row r="999">
      <c r="G999" s="1321"/>
    </row>
    <row r="1000">
      <c r="G1000" s="1321"/>
    </row>
    <row r="1001">
      <c r="G1001" s="1321"/>
    </row>
    <row r="1002">
      <c r="G1002" s="1321"/>
    </row>
    <row r="1003">
      <c r="G1003" s="1321"/>
    </row>
    <row r="1004">
      <c r="G1004" s="1321"/>
    </row>
    <row r="1005">
      <c r="G1005" s="1321"/>
    </row>
    <row r="1006">
      <c r="G1006" s="1321"/>
    </row>
    <row r="1007">
      <c r="G1007" s="1321"/>
    </row>
    <row r="1008">
      <c r="G1008" s="1321"/>
    </row>
    <row r="1009">
      <c r="G1009" s="1321"/>
    </row>
    <row r="1010">
      <c r="G1010" s="1321"/>
    </row>
    <row r="1011">
      <c r="G1011" s="1321"/>
    </row>
    <row r="1012">
      <c r="G1012" s="1321"/>
    </row>
    <row r="1013">
      <c r="G1013" s="1321"/>
    </row>
    <row r="1014">
      <c r="G1014" s="1321"/>
    </row>
    <row r="1015">
      <c r="G1015" s="1321"/>
    </row>
    <row r="1016">
      <c r="G1016" s="1321"/>
    </row>
    <row r="1017">
      <c r="G1017" s="1321"/>
    </row>
    <row r="1018">
      <c r="G1018" s="1321"/>
    </row>
    <row r="1019">
      <c r="G1019" s="1321"/>
    </row>
    <row r="1020">
      <c r="G1020" s="1321"/>
    </row>
    <row r="1021">
      <c r="G1021" s="1321"/>
    </row>
    <row r="1022">
      <c r="G1022" s="1321"/>
    </row>
    <row r="1023">
      <c r="G1023" s="1321"/>
    </row>
    <row r="1024">
      <c r="G1024" s="1321"/>
    </row>
    <row r="1025">
      <c r="G1025" s="1321"/>
    </row>
    <row r="1026">
      <c r="G1026" s="1321"/>
    </row>
    <row r="1027">
      <c r="G1027" s="1321"/>
    </row>
    <row r="1028">
      <c r="G1028" s="1321"/>
    </row>
    <row r="1029">
      <c r="G1029" s="1321"/>
    </row>
  </sheetData>
  <mergeCells count="30">
    <mergeCell ref="A33:A42"/>
    <mergeCell ref="A46:A56"/>
    <mergeCell ref="A60:A69"/>
    <mergeCell ref="A73:A82"/>
    <mergeCell ref="A87:A96"/>
    <mergeCell ref="A104:A113"/>
    <mergeCell ref="A120:A129"/>
    <mergeCell ref="A135:A144"/>
    <mergeCell ref="A58:K58"/>
    <mergeCell ref="A71:K71"/>
    <mergeCell ref="A85:K85"/>
    <mergeCell ref="A102:K102"/>
    <mergeCell ref="A118:K118"/>
    <mergeCell ref="A133:K133"/>
    <mergeCell ref="A1:K1"/>
    <mergeCell ref="A3:A12"/>
    <mergeCell ref="B12:D12"/>
    <mergeCell ref="A16:K16"/>
    <mergeCell ref="A18:A27"/>
    <mergeCell ref="A31:K31"/>
    <mergeCell ref="A44:K44"/>
    <mergeCell ref="J120:J129"/>
    <mergeCell ref="J135:J144"/>
    <mergeCell ref="J18:J27"/>
    <mergeCell ref="J33:J42"/>
    <mergeCell ref="J46:J56"/>
    <mergeCell ref="J60:J69"/>
    <mergeCell ref="J73:J82"/>
    <mergeCell ref="J87:J96"/>
    <mergeCell ref="J104:J1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